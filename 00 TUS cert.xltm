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omments1.xml" ContentType="application/vnd.openxmlformats-officedocument.spreadsheetml.comments+xml"/>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omments2.xml" ContentType="application/vnd.openxmlformats-officedocument.spreadsheetml.comments+xml"/>
  <Override PartName="/xl/customProperty23.bin" ContentType="application/vnd.openxmlformats-officedocument.spreadsheetml.customProperty"/>
  <Override PartName="/xl/customProperty2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updateLinks="never" codeName="ThisWorkbook" defaultThemeVersion="124226"/>
  <mc:AlternateContent xmlns:mc="http://schemas.openxmlformats.org/markup-compatibility/2006">
    <mc:Choice Requires="x15">
      <x15ac:absPath xmlns:x15ac="http://schemas.microsoft.com/office/spreadsheetml/2010/11/ac" url="C:\Users\rhyth\OneDrive - Johnson Gage and Inspection, Inc\git\xl-TUS\"/>
    </mc:Choice>
  </mc:AlternateContent>
  <xr:revisionPtr revIDLastSave="0" documentId="13_ncr:1_{767FA377-AEA9-4FD9-AB4A-C1A84EB45B4D}" xr6:coauthVersionLast="47" xr6:coauthVersionMax="47" xr10:uidLastSave="{00000000-0000-0000-0000-000000000000}"/>
  <bookViews>
    <workbookView xWindow="-120" yWindow="-120" windowWidth="29040" windowHeight="15840" tabRatio="892" activeTab="7" xr2:uid="{00000000-000D-0000-FFFF-FFFF00000000}"/>
  </bookViews>
  <sheets>
    <sheet name="Main" sheetId="8" r:id="rId1"/>
    <sheet name="DaqBook_RAW_Data" sheetId="9" r:id="rId2"/>
    <sheet name="Packet_Content" sheetId="19" r:id="rId3"/>
    <sheet name="CERT" sheetId="26" r:id="rId4"/>
    <sheet name="Data_Sheet" sheetId="13" r:id="rId5"/>
    <sheet name="Data_Sheet_15_28" sheetId="14" r:id="rId6"/>
    <sheet name="Data_Sheet_29_40" sheetId="15" r:id="rId7"/>
    <sheet name="Comparison_Report" sheetId="4" r:id="rId8"/>
    <sheet name="TUS_Worksheet" sheetId="5" r:id="rId9"/>
    <sheet name="Interp" sheetId="21" r:id="rId10"/>
    <sheet name="Access_Data" sheetId="1" r:id="rId11"/>
    <sheet name="Header Info" sheetId="30" r:id="rId12"/>
    <sheet name="Standards_Import" sheetId="20" r:id="rId13"/>
    <sheet name="Standards_Info" sheetId="12" r:id="rId14"/>
    <sheet name="Enabler4Excel_Picklist_Values" sheetId="25" state="veryHidden" r:id="rId15"/>
    <sheet name="Furnace_Data" sheetId="22" r:id="rId16"/>
    <sheet name="LOG" sheetId="24" r:id="rId17"/>
    <sheet name="Salesforce_Data" sheetId="23" r:id="rId18"/>
    <sheet name="Customer Table" sheetId="29" r:id="rId19"/>
    <sheet name="Software_Validation, Rev. His." sheetId="17" r:id="rId20"/>
  </sheets>
  <functionGroups builtInGroupCount="19"/>
  <definedNames>
    <definedName name="_xleta.ISBLANK" hidden="1" xlm="1">#NAME?</definedName>
    <definedName name="_xleta.ISERROR" hidden="1" xlm="1">#NAME?</definedName>
    <definedName name="CompanyList">Furnace_Data!$K$1:$K$86</definedName>
    <definedName name="Condition">Standards_Info!$AC$2:$AC$3</definedName>
    <definedName name="DBTrace">Standards_Info!$M$2:$M$5</definedName>
    <definedName name="Fluke">Standards_Info!#REF!</definedName>
    <definedName name="FullList">Furnace_Data!#REF!</definedName>
    <definedName name="FurnaceList">Furnace_Data!$D$100:$D$116</definedName>
    <definedName name="InspectorList">OFFSET(Standards_Info!$AG$2,0,0,COUNTA(Standards_Info!$AG:$AG)-1,1)</definedName>
    <definedName name="ListCompRange">Comparison_Report!$S$25:$S$26</definedName>
    <definedName name="ListNameRange">Standards_Info!$A$2:$A$11</definedName>
    <definedName name="Load_Type">Standards_Info!$Q$2:$Q$5</definedName>
    <definedName name="Locator">Access_Data!$LCB$524288</definedName>
    <definedName name="Packet_Content">Standards_Info!$O$2:$O$12</definedName>
    <definedName name="_xlnm.Print_Area" localSheetId="3">CERT!$A$1:$O$80</definedName>
    <definedName name="_xlnm.Print_Area" localSheetId="7">Comparison_Report!$A$1:$N$40</definedName>
    <definedName name="_xlnm.Print_Area" localSheetId="4">Data_Sheet!$A$1:$P$49</definedName>
    <definedName name="_xlnm.Print_Area" localSheetId="5">Data_Sheet_15_28!$A$1:$P$49</definedName>
    <definedName name="_xlnm.Print_Area" localSheetId="6">Data_Sheet_29_40!$A$1:$P$49</definedName>
    <definedName name="_xlnm.Print_Area" localSheetId="2">Packet_Content!$A$1:$I$43</definedName>
    <definedName name="_xlnm.Print_Area" localSheetId="8">TUS_Worksheet!$A$1:$R$56</definedName>
    <definedName name="Spec_Class">Standards_Info!$S$2:$S$4</definedName>
    <definedName name="Tracability">Standards_Info!$K$2:$K$6</definedName>
    <definedName name="Wire_Sets_Probes">Standards_Info!$Y$2:$Y$35</definedName>
    <definedName name="Wire_Type">Standards_Info!$G1048517:$G1048519</definedName>
  </definedNames>
  <calcPr calcId="191029" calcMode="manual"/>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3" i="4" l="1"/>
  <c r="A24" i="4"/>
  <c r="A25" i="4"/>
  <c r="A26" i="4"/>
  <c r="A27" i="4"/>
  <c r="A28" i="4"/>
  <c r="A29" i="4"/>
  <c r="A30" i="4"/>
  <c r="A22" i="4"/>
  <c r="A14" i="4"/>
  <c r="A15" i="4"/>
  <c r="A16" i="4"/>
  <c r="A17" i="4"/>
  <c r="A18" i="4"/>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c r="B14" i="15"/>
  <c r="C14" i="14" a="1"/>
  <c r="C14" i="14" s="1"/>
  <c r="B15" i="14"/>
  <c r="B16" i="14"/>
  <c r="B17" i="14"/>
  <c r="A14" i="14" s="1" a="1"/>
  <c r="A14" i="14" s="1"/>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A14" i="15" a="1"/>
  <c r="A14" i="15" s="1"/>
  <c r="A14" i="13" a="1"/>
  <c r="A14" i="13" s="1"/>
  <c r="C14" i="13" a="1"/>
  <c r="C14" i="13" s="1"/>
  <c r="B14" i="13" a="1"/>
  <c r="B14" i="13" s="1"/>
  <c r="P40" i="5"/>
  <c r="L40" i="5"/>
  <c r="O38" i="5"/>
  <c r="J38" i="5"/>
  <c r="R31" i="5"/>
  <c r="L38" i="5" l="1"/>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H3" i="30"/>
  <c r="CF2" i="30"/>
  <c r="CH2" i="30" s="1"/>
  <c r="X45" i="8" l="1"/>
  <c r="U23" i="8" s="1"/>
  <c r="H30" i="8"/>
  <c r="E6" i="26"/>
  <c r="D14" i="8"/>
  <c r="U29" i="8" l="1"/>
  <c r="U25" i="8" s="1"/>
  <c r="C13" i="5"/>
  <c r="D13" i="5"/>
  <c r="E13" i="5"/>
  <c r="F13" i="5"/>
  <c r="G13" i="5"/>
  <c r="H13" i="5"/>
  <c r="I13" i="5"/>
  <c r="J13" i="5"/>
  <c r="K13" i="5"/>
  <c r="L13" i="5"/>
  <c r="D723" i="22" l="1"/>
  <c r="D722" i="22"/>
  <c r="D721" i="22"/>
  <c r="D720" i="22"/>
  <c r="D719" i="22"/>
  <c r="D718" i="22"/>
  <c r="D717" i="22"/>
  <c r="D716" i="22"/>
  <c r="D715" i="22"/>
  <c r="D714" i="22"/>
  <c r="D713" i="22"/>
  <c r="D712" i="22"/>
  <c r="D711" i="22"/>
  <c r="D710" i="22"/>
  <c r="D709" i="22"/>
  <c r="D708" i="22"/>
  <c r="D707" i="22"/>
  <c r="D706" i="22"/>
  <c r="D705" i="22"/>
  <c r="D704" i="22"/>
  <c r="D703" i="22"/>
  <c r="D702" i="22"/>
  <c r="D701" i="22"/>
  <c r="D700" i="22"/>
  <c r="D699" i="22"/>
  <c r="D698" i="22"/>
  <c r="D697" i="22"/>
  <c r="D696" i="22"/>
  <c r="D695" i="22"/>
  <c r="D694" i="22"/>
  <c r="D693" i="22"/>
  <c r="D692" i="22"/>
  <c r="D691" i="22"/>
  <c r="D690" i="22"/>
  <c r="D689" i="22"/>
  <c r="D688" i="22"/>
  <c r="D687" i="22"/>
  <c r="D686" i="22"/>
  <c r="D685" i="22"/>
  <c r="D684" i="22"/>
  <c r="D683" i="22"/>
  <c r="D682" i="22"/>
  <c r="D681" i="22"/>
  <c r="D680" i="22"/>
  <c r="D679" i="22"/>
  <c r="D678" i="22"/>
  <c r="D677" i="22"/>
  <c r="D676" i="22"/>
  <c r="D675" i="22"/>
  <c r="D674" i="22"/>
  <c r="D673" i="22"/>
  <c r="D672" i="22"/>
  <c r="D671" i="22"/>
  <c r="D670" i="22"/>
  <c r="D669" i="22"/>
  <c r="D668" i="22"/>
  <c r="D667" i="22"/>
  <c r="D666" i="22"/>
  <c r="D665" i="22"/>
  <c r="D664" i="22"/>
  <c r="D663" i="22"/>
  <c r="D662" i="22"/>
  <c r="D661" i="22"/>
  <c r="D660" i="22"/>
  <c r="D659" i="22"/>
  <c r="D658" i="22"/>
  <c r="D657" i="22"/>
  <c r="D656" i="22"/>
  <c r="D655" i="22"/>
  <c r="D654" i="22"/>
  <c r="D653" i="22"/>
  <c r="D652" i="22"/>
  <c r="D651" i="22"/>
  <c r="D650" i="22"/>
  <c r="D649" i="22"/>
  <c r="D648" i="22"/>
  <c r="D647" i="22"/>
  <c r="D646" i="22"/>
  <c r="D645" i="22"/>
  <c r="D644" i="22"/>
  <c r="D643" i="22"/>
  <c r="D642" i="22"/>
  <c r="D641" i="22"/>
  <c r="D640" i="22"/>
  <c r="D639" i="22"/>
  <c r="D638" i="22"/>
  <c r="D637" i="22"/>
  <c r="D636" i="22"/>
  <c r="D635" i="22"/>
  <c r="D634" i="22"/>
  <c r="D633" i="22"/>
  <c r="D632" i="22"/>
  <c r="D631" i="22"/>
  <c r="D630" i="22"/>
  <c r="D629" i="22"/>
  <c r="D628" i="22"/>
  <c r="D627" i="22"/>
  <c r="D626" i="22"/>
  <c r="D625" i="22"/>
  <c r="D624" i="22"/>
  <c r="D623" i="22"/>
  <c r="D622" i="22"/>
  <c r="D621" i="22"/>
  <c r="D620" i="22"/>
  <c r="D619" i="22"/>
  <c r="D618" i="22"/>
  <c r="D617" i="22"/>
  <c r="D616" i="22"/>
  <c r="D615" i="22"/>
  <c r="D614" i="22"/>
  <c r="D613" i="22"/>
  <c r="D612" i="22"/>
  <c r="D611" i="22"/>
  <c r="D610" i="22"/>
  <c r="D609" i="22"/>
  <c r="D608" i="22"/>
  <c r="D607" i="22"/>
  <c r="D606" i="22"/>
  <c r="D605" i="22"/>
  <c r="D604" i="22"/>
  <c r="D603" i="22"/>
  <c r="D602" i="22"/>
  <c r="D601" i="22"/>
  <c r="D600" i="22"/>
  <c r="D599" i="22"/>
  <c r="D598" i="22"/>
  <c r="D597" i="22"/>
  <c r="D596" i="22"/>
  <c r="D595" i="22"/>
  <c r="D594" i="22"/>
  <c r="D593" i="22"/>
  <c r="D592" i="22"/>
  <c r="D591" i="22"/>
  <c r="D590" i="22"/>
  <c r="D589" i="22"/>
  <c r="D588" i="22"/>
  <c r="D587" i="22"/>
  <c r="D586" i="22"/>
  <c r="D585" i="22"/>
  <c r="D584" i="22"/>
  <c r="D583" i="22"/>
  <c r="D582" i="22"/>
  <c r="D581" i="22"/>
  <c r="D580" i="22"/>
  <c r="D579" i="22"/>
  <c r="D578" i="22"/>
  <c r="D577" i="22"/>
  <c r="D576" i="22"/>
  <c r="D575" i="22"/>
  <c r="D574" i="22"/>
  <c r="D573" i="22"/>
  <c r="D572" i="22"/>
  <c r="D571" i="22"/>
  <c r="D570" i="22"/>
  <c r="D569" i="22"/>
  <c r="D568" i="22"/>
  <c r="D567" i="22"/>
  <c r="D566" i="22"/>
  <c r="D565" i="22"/>
  <c r="D564" i="22"/>
  <c r="D563" i="22"/>
  <c r="D562" i="22"/>
  <c r="D561" i="22"/>
  <c r="D560" i="22"/>
  <c r="D559" i="22"/>
  <c r="D558" i="22"/>
  <c r="D557" i="22"/>
  <c r="D556" i="22"/>
  <c r="D555" i="22"/>
  <c r="D554" i="22"/>
  <c r="D553" i="22"/>
  <c r="D552" i="22"/>
  <c r="D551" i="22"/>
  <c r="D550" i="22"/>
  <c r="D549" i="22"/>
  <c r="D548" i="22"/>
  <c r="D547" i="22"/>
  <c r="D546" i="22"/>
  <c r="D545" i="22"/>
  <c r="D544" i="22"/>
  <c r="D543" i="22"/>
  <c r="D542" i="22"/>
  <c r="D541" i="22"/>
  <c r="D540" i="22"/>
  <c r="D539" i="22"/>
  <c r="D538" i="22"/>
  <c r="D537" i="22"/>
  <c r="D536" i="22"/>
  <c r="D535" i="22"/>
  <c r="D534" i="22"/>
  <c r="D533" i="22"/>
  <c r="D532" i="22"/>
  <c r="D531" i="22"/>
  <c r="D530" i="22"/>
  <c r="D529" i="22"/>
  <c r="D528" i="22"/>
  <c r="D527" i="22"/>
  <c r="D526" i="22"/>
  <c r="D525" i="22"/>
  <c r="D524" i="22"/>
  <c r="D523" i="22"/>
  <c r="D522" i="22"/>
  <c r="D521" i="22"/>
  <c r="D520" i="22"/>
  <c r="D519" i="22"/>
  <c r="D518" i="22"/>
  <c r="D517" i="22"/>
  <c r="D516" i="22"/>
  <c r="D515" i="22"/>
  <c r="D514" i="22"/>
  <c r="D513" i="22"/>
  <c r="D512" i="22"/>
  <c r="D511" i="22"/>
  <c r="D510" i="22"/>
  <c r="D509" i="22"/>
  <c r="D508" i="22"/>
  <c r="D507" i="22"/>
  <c r="D506" i="22"/>
  <c r="D505" i="22"/>
  <c r="D504" i="22"/>
  <c r="D503" i="22"/>
  <c r="D502" i="22"/>
  <c r="D501" i="22"/>
  <c r="D500" i="22"/>
  <c r="D499" i="22"/>
  <c r="D498" i="22"/>
  <c r="D497" i="22"/>
  <c r="D496" i="22"/>
  <c r="D495" i="22"/>
  <c r="D494" i="22"/>
  <c r="D493" i="22"/>
  <c r="D492" i="22"/>
  <c r="D491" i="22"/>
  <c r="D490" i="22"/>
  <c r="D489" i="22"/>
  <c r="D488" i="22"/>
  <c r="D487" i="22"/>
  <c r="D486" i="22"/>
  <c r="D485" i="22"/>
  <c r="D484" i="22"/>
  <c r="D483" i="22"/>
  <c r="D482" i="22"/>
  <c r="D481" i="22"/>
  <c r="D480" i="22"/>
  <c r="D479" i="22"/>
  <c r="D478" i="22"/>
  <c r="D477" i="22"/>
  <c r="D476" i="22"/>
  <c r="D475" i="22"/>
  <c r="D474" i="22"/>
  <c r="D473" i="22"/>
  <c r="D472" i="22"/>
  <c r="D471" i="22"/>
  <c r="D470" i="22"/>
  <c r="D469" i="22"/>
  <c r="D468" i="22"/>
  <c r="D467" i="22"/>
  <c r="D466" i="22"/>
  <c r="D465" i="22"/>
  <c r="D464" i="22"/>
  <c r="D463" i="22"/>
  <c r="D462" i="22"/>
  <c r="D461" i="22"/>
  <c r="D460" i="22"/>
  <c r="D459" i="22"/>
  <c r="D458" i="22"/>
  <c r="D457" i="22"/>
  <c r="D456" i="22"/>
  <c r="D455" i="22"/>
  <c r="D454" i="22"/>
  <c r="D453" i="22"/>
  <c r="D452" i="22"/>
  <c r="D451" i="22"/>
  <c r="D450" i="22"/>
  <c r="D449" i="22"/>
  <c r="D448" i="22"/>
  <c r="D447" i="22"/>
  <c r="D446" i="22"/>
  <c r="D445" i="22"/>
  <c r="D444" i="22"/>
  <c r="D443" i="22"/>
  <c r="D442" i="22"/>
  <c r="D441" i="22"/>
  <c r="D440" i="22"/>
  <c r="D439" i="22"/>
  <c r="D438" i="22"/>
  <c r="D437" i="22"/>
  <c r="D436" i="22"/>
  <c r="D435" i="22"/>
  <c r="D434" i="22"/>
  <c r="D433" i="22"/>
  <c r="D432" i="22"/>
  <c r="D431" i="22"/>
  <c r="D430" i="22"/>
  <c r="D429" i="22"/>
  <c r="D428" i="22"/>
  <c r="D427" i="22"/>
  <c r="D426" i="22"/>
  <c r="D425" i="22"/>
  <c r="D424" i="22"/>
  <c r="D423" i="22"/>
  <c r="D422" i="22"/>
  <c r="D421" i="22"/>
  <c r="D420" i="22"/>
  <c r="D419" i="22"/>
  <c r="D418" i="22"/>
  <c r="D417" i="22"/>
  <c r="D416" i="22"/>
  <c r="D415" i="22"/>
  <c r="D414" i="22"/>
  <c r="D413" i="22"/>
  <c r="D412" i="22"/>
  <c r="D411" i="22"/>
  <c r="D410" i="22"/>
  <c r="D409" i="22"/>
  <c r="D408" i="22"/>
  <c r="D407" i="22"/>
  <c r="D406" i="22"/>
  <c r="D405" i="22"/>
  <c r="D404" i="22"/>
  <c r="D403" i="22"/>
  <c r="D402" i="22"/>
  <c r="D401" i="22"/>
  <c r="D400" i="22"/>
  <c r="D399" i="22"/>
  <c r="D398" i="22"/>
  <c r="D397" i="22"/>
  <c r="D396" i="22"/>
  <c r="D395" i="22"/>
  <c r="D394" i="22"/>
  <c r="D393" i="22"/>
  <c r="D392" i="22"/>
  <c r="D391" i="22"/>
  <c r="D390" i="22"/>
  <c r="D389" i="22"/>
  <c r="D388" i="22"/>
  <c r="D387" i="22"/>
  <c r="D386" i="22"/>
  <c r="D385" i="22"/>
  <c r="D384" i="22"/>
  <c r="D383" i="22"/>
  <c r="D382" i="22"/>
  <c r="D381" i="22"/>
  <c r="D380" i="22"/>
  <c r="D379" i="22"/>
  <c r="D378" i="22"/>
  <c r="D377" i="22"/>
  <c r="D376" i="22"/>
  <c r="D375" i="22"/>
  <c r="D374" i="22"/>
  <c r="D373" i="22"/>
  <c r="D372" i="22"/>
  <c r="D371" i="22"/>
  <c r="D370" i="22"/>
  <c r="D369" i="22"/>
  <c r="D368" i="22"/>
  <c r="D367" i="22"/>
  <c r="D366" i="22"/>
  <c r="D365" i="22"/>
  <c r="D364" i="22"/>
  <c r="D363" i="22"/>
  <c r="D362" i="22"/>
  <c r="D361" i="22"/>
  <c r="D360" i="22"/>
  <c r="D359" i="22"/>
  <c r="D358" i="22"/>
  <c r="D357" i="22"/>
  <c r="D356" i="22"/>
  <c r="D355" i="22"/>
  <c r="D354" i="22"/>
  <c r="D353" i="22"/>
  <c r="D352" i="22"/>
  <c r="D351" i="22"/>
  <c r="D350" i="22"/>
  <c r="D349" i="22"/>
  <c r="D348" i="22"/>
  <c r="D347" i="22"/>
  <c r="D346" i="22"/>
  <c r="D345" i="22"/>
  <c r="D344" i="22"/>
  <c r="D343" i="22"/>
  <c r="D342" i="22"/>
  <c r="D341" i="22"/>
  <c r="D340" i="22"/>
  <c r="D339" i="22"/>
  <c r="D338" i="22"/>
  <c r="D337" i="22"/>
  <c r="D336" i="22"/>
  <c r="D335" i="22"/>
  <c r="D334" i="22"/>
  <c r="D333" i="22"/>
  <c r="D332" i="22"/>
  <c r="D331" i="22"/>
  <c r="D330" i="22"/>
  <c r="D329" i="22"/>
  <c r="D328" i="22"/>
  <c r="D327" i="22"/>
  <c r="D326" i="22"/>
  <c r="D325" i="22"/>
  <c r="D324" i="22"/>
  <c r="D323" i="22"/>
  <c r="D322" i="22"/>
  <c r="D321" i="22"/>
  <c r="D320" i="22"/>
  <c r="D319" i="22"/>
  <c r="D318" i="22"/>
  <c r="D317" i="22"/>
  <c r="D316" i="22"/>
  <c r="D315" i="22"/>
  <c r="D314" i="22"/>
  <c r="D313" i="22"/>
  <c r="D312" i="22"/>
  <c r="D311" i="22"/>
  <c r="D310" i="22"/>
  <c r="D309" i="22"/>
  <c r="D308" i="22"/>
  <c r="D307" i="22"/>
  <c r="D306" i="22"/>
  <c r="D305" i="22"/>
  <c r="D304" i="22"/>
  <c r="D303" i="22"/>
  <c r="D302" i="22"/>
  <c r="D301" i="22"/>
  <c r="D300" i="22"/>
  <c r="D299" i="22"/>
  <c r="D298" i="22"/>
  <c r="D297" i="22"/>
  <c r="D296" i="22"/>
  <c r="D295" i="22"/>
  <c r="D294" i="22"/>
  <c r="D293" i="22"/>
  <c r="D292" i="22"/>
  <c r="D291" i="22"/>
  <c r="D290" i="22"/>
  <c r="D289" i="22"/>
  <c r="D288" i="22"/>
  <c r="D287" i="22"/>
  <c r="D286" i="22"/>
  <c r="D285" i="22"/>
  <c r="D284" i="22"/>
  <c r="D283" i="22"/>
  <c r="D282" i="22"/>
  <c r="D281" i="22"/>
  <c r="D280" i="22"/>
  <c r="D279" i="22"/>
  <c r="D278" i="22"/>
  <c r="D277" i="22"/>
  <c r="D276" i="22"/>
  <c r="D275" i="22"/>
  <c r="D274" i="22"/>
  <c r="D273" i="22"/>
  <c r="D272" i="22"/>
  <c r="D271" i="22"/>
  <c r="D270" i="22"/>
  <c r="D269" i="22"/>
  <c r="D268" i="22"/>
  <c r="D267" i="22"/>
  <c r="D266" i="22"/>
  <c r="D265" i="22"/>
  <c r="D264" i="22"/>
  <c r="D263" i="22"/>
  <c r="D262" i="22"/>
  <c r="D261" i="22"/>
  <c r="D260" i="22"/>
  <c r="D259" i="22"/>
  <c r="D258" i="22"/>
  <c r="D257" i="22"/>
  <c r="D256" i="22"/>
  <c r="D255" i="22"/>
  <c r="D254" i="22"/>
  <c r="D253" i="22"/>
  <c r="D252" i="22"/>
  <c r="D251" i="22"/>
  <c r="D250" i="22"/>
  <c r="D249" i="22"/>
  <c r="D248" i="22"/>
  <c r="D247" i="22"/>
  <c r="D246" i="22"/>
  <c r="D245" i="22"/>
  <c r="D244" i="22"/>
  <c r="D243" i="22"/>
  <c r="D242" i="22"/>
  <c r="D241" i="22"/>
  <c r="D240" i="22"/>
  <c r="D239" i="22"/>
  <c r="D238" i="22"/>
  <c r="D237" i="22"/>
  <c r="D236" i="22"/>
  <c r="D235" i="22"/>
  <c r="D234" i="22"/>
  <c r="D233" i="22"/>
  <c r="D232" i="22"/>
  <c r="D231" i="22"/>
  <c r="D230" i="22"/>
  <c r="D229" i="22"/>
  <c r="D228" i="22"/>
  <c r="D227" i="22"/>
  <c r="D226" i="22"/>
  <c r="D225" i="22"/>
  <c r="D224" i="22"/>
  <c r="D223" i="22"/>
  <c r="D222" i="22"/>
  <c r="D221" i="22"/>
  <c r="D220" i="22"/>
  <c r="D219" i="22"/>
  <c r="D218" i="22"/>
  <c r="D217" i="22"/>
  <c r="D216" i="22"/>
  <c r="D215" i="22"/>
  <c r="D214" i="22"/>
  <c r="D213" i="22"/>
  <c r="D212" i="22"/>
  <c r="D211" i="22"/>
  <c r="D210" i="22"/>
  <c r="D209" i="22"/>
  <c r="D208" i="22"/>
  <c r="D207" i="22"/>
  <c r="D206" i="22"/>
  <c r="D205" i="22"/>
  <c r="D204" i="22"/>
  <c r="D203" i="22"/>
  <c r="D202" i="22"/>
  <c r="D201" i="22"/>
  <c r="D200" i="22"/>
  <c r="D199" i="22"/>
  <c r="D198" i="22"/>
  <c r="D197" i="22"/>
  <c r="D196" i="22"/>
  <c r="D195" i="22"/>
  <c r="D194" i="22"/>
  <c r="D193" i="22"/>
  <c r="D192" i="22"/>
  <c r="D191" i="22"/>
  <c r="D190" i="22"/>
  <c r="D189" i="22"/>
  <c r="D188" i="22"/>
  <c r="D187" i="22"/>
  <c r="D186" i="22"/>
  <c r="D185" i="22"/>
  <c r="D184" i="22"/>
  <c r="D183" i="22"/>
  <c r="D182" i="22"/>
  <c r="D181" i="22"/>
  <c r="D180" i="22"/>
  <c r="D179" i="22"/>
  <c r="D178" i="22"/>
  <c r="D177" i="22"/>
  <c r="D176" i="22"/>
  <c r="D175" i="22"/>
  <c r="D174" i="22"/>
  <c r="D173" i="22"/>
  <c r="D172" i="22"/>
  <c r="D171" i="22"/>
  <c r="D170" i="22"/>
  <c r="D169" i="22"/>
  <c r="D168" i="22"/>
  <c r="D167" i="22"/>
  <c r="D166" i="22"/>
  <c r="D165" i="22"/>
  <c r="D164" i="22"/>
  <c r="D163" i="22"/>
  <c r="D162" i="22"/>
  <c r="D161" i="22"/>
  <c r="D160" i="22"/>
  <c r="D159" i="22"/>
  <c r="D158" i="22"/>
  <c r="D157" i="22"/>
  <c r="D156" i="22"/>
  <c r="D155" i="22"/>
  <c r="D154" i="22"/>
  <c r="D153" i="22"/>
  <c r="D152" i="22"/>
  <c r="D151" i="22"/>
  <c r="D150" i="22"/>
  <c r="D149" i="22"/>
  <c r="D148" i="22"/>
  <c r="D147" i="22"/>
  <c r="D146" i="22"/>
  <c r="D145" i="22"/>
  <c r="D144" i="22"/>
  <c r="D143" i="22"/>
  <c r="D142" i="22"/>
  <c r="D141" i="22"/>
  <c r="D140" i="22"/>
  <c r="D139" i="22"/>
  <c r="D138" i="22"/>
  <c r="D137" i="22"/>
  <c r="D136" i="22"/>
  <c r="D135" i="22"/>
  <c r="D134" i="22"/>
  <c r="D133" i="22"/>
  <c r="D132" i="22"/>
  <c r="D131" i="22"/>
  <c r="D130" i="22"/>
  <c r="D129" i="22"/>
  <c r="D128" i="22"/>
  <c r="D127" i="22"/>
  <c r="D126" i="22"/>
  <c r="D125" i="22"/>
  <c r="D124" i="22"/>
  <c r="D123" i="22"/>
  <c r="D122" i="22"/>
  <c r="D121" i="22"/>
  <c r="D120" i="22"/>
  <c r="D119" i="22"/>
  <c r="D118" i="22"/>
  <c r="D117" i="22"/>
  <c r="D116" i="22"/>
  <c r="D115" i="22"/>
  <c r="D114" i="22"/>
  <c r="D113" i="22"/>
  <c r="D112" i="22"/>
  <c r="D111" i="22"/>
  <c r="D110" i="22"/>
  <c r="D109" i="22"/>
  <c r="D108" i="22"/>
  <c r="D107" i="22"/>
  <c r="D106" i="22"/>
  <c r="D105" i="22"/>
  <c r="D104" i="22"/>
  <c r="D103" i="22"/>
  <c r="D102" i="22"/>
  <c r="D101" i="22"/>
  <c r="D100" i="22"/>
  <c r="D99" i="22"/>
  <c r="D98" i="22"/>
  <c r="D97" i="22"/>
  <c r="D96" i="22"/>
  <c r="D95" i="22"/>
  <c r="D94" i="22"/>
  <c r="D93" i="22"/>
  <c r="D92" i="22"/>
  <c r="D91" i="22"/>
  <c r="D90" i="22"/>
  <c r="D89" i="22"/>
  <c r="D88" i="22"/>
  <c r="D87" i="22"/>
  <c r="D86" i="22"/>
  <c r="D85" i="22"/>
  <c r="D84" i="22"/>
  <c r="D83" i="22"/>
  <c r="D82" i="22"/>
  <c r="D81" i="22"/>
  <c r="D80" i="22"/>
  <c r="D79" i="22"/>
  <c r="D78" i="22"/>
  <c r="D77" i="22"/>
  <c r="D76" i="22"/>
  <c r="D75" i="22"/>
  <c r="D74" i="22"/>
  <c r="D73" i="22"/>
  <c r="D72" i="22"/>
  <c r="D71" i="22"/>
  <c r="D70" i="22"/>
  <c r="D69" i="22"/>
  <c r="D68" i="22"/>
  <c r="D67" i="22"/>
  <c r="D66" i="22"/>
  <c r="D65" i="22"/>
  <c r="D64" i="22"/>
  <c r="D63" i="22"/>
  <c r="D62" i="22"/>
  <c r="D61" i="22"/>
  <c r="D60" i="22"/>
  <c r="D59" i="22"/>
  <c r="D58" i="22"/>
  <c r="D57" i="22"/>
  <c r="D56" i="22"/>
  <c r="D55" i="22"/>
  <c r="D54" i="22"/>
  <c r="D53" i="22"/>
  <c r="D52" i="22"/>
  <c r="D51" i="22"/>
  <c r="D50" i="22"/>
  <c r="D49" i="22"/>
  <c r="D48" i="22"/>
  <c r="D47" i="22"/>
  <c r="D46" i="22"/>
  <c r="D45" i="22"/>
  <c r="D44" i="22"/>
  <c r="D43" i="22"/>
  <c r="D42" i="22"/>
  <c r="D41" i="22"/>
  <c r="D40" i="22"/>
  <c r="D39" i="22"/>
  <c r="D38" i="22"/>
  <c r="D37" i="22"/>
  <c r="D36" i="22"/>
  <c r="D35" i="22"/>
  <c r="D34" i="22"/>
  <c r="D33" i="22"/>
  <c r="D32" i="22"/>
  <c r="D31" i="22"/>
  <c r="D30" i="22"/>
  <c r="D29" i="22"/>
  <c r="D28" i="22"/>
  <c r="D27" i="22"/>
  <c r="D26" i="22"/>
  <c r="D25" i="22"/>
  <c r="D24" i="22"/>
  <c r="D23" i="22"/>
  <c r="D22" i="22"/>
  <c r="D21" i="22"/>
  <c r="D20" i="22"/>
  <c r="D19" i="22"/>
  <c r="D18" i="22"/>
  <c r="D17" i="22"/>
  <c r="D16" i="22"/>
  <c r="D15" i="22"/>
  <c r="D14" i="22"/>
  <c r="D13" i="22"/>
  <c r="D12" i="22"/>
  <c r="D11" i="22"/>
  <c r="D10" i="22"/>
  <c r="D9" i="22"/>
  <c r="D8" i="22"/>
  <c r="D7" i="22"/>
  <c r="D6" i="22"/>
  <c r="D5" i="22"/>
  <c r="D4" i="22"/>
  <c r="D3" i="22"/>
  <c r="D2" i="22"/>
  <c r="B723" i="22"/>
  <c r="B722" i="22"/>
  <c r="B721" i="22"/>
  <c r="B720" i="22"/>
  <c r="B719" i="22"/>
  <c r="B718" i="22"/>
  <c r="B717" i="22"/>
  <c r="B716" i="22"/>
  <c r="B715" i="22"/>
  <c r="B714" i="22"/>
  <c r="B713" i="22"/>
  <c r="B712" i="22"/>
  <c r="B711" i="22"/>
  <c r="B710" i="22"/>
  <c r="B709" i="22"/>
  <c r="B708" i="22"/>
  <c r="B707" i="22"/>
  <c r="B706" i="22"/>
  <c r="B705" i="22"/>
  <c r="B704" i="22"/>
  <c r="B703" i="22"/>
  <c r="B702" i="22"/>
  <c r="B701" i="22"/>
  <c r="B700" i="22"/>
  <c r="B699" i="22"/>
  <c r="B698" i="22"/>
  <c r="B697" i="22"/>
  <c r="B696" i="22"/>
  <c r="B695" i="22"/>
  <c r="B694" i="22"/>
  <c r="B693" i="22"/>
  <c r="B692" i="22"/>
  <c r="B691" i="22"/>
  <c r="B690" i="22"/>
  <c r="B689" i="22"/>
  <c r="B688" i="22"/>
  <c r="B687" i="22"/>
  <c r="B686" i="22"/>
  <c r="B685" i="22"/>
  <c r="B684" i="22"/>
  <c r="B683" i="22"/>
  <c r="B682" i="22"/>
  <c r="B681" i="22"/>
  <c r="B680" i="22"/>
  <c r="B679" i="22"/>
  <c r="B678" i="22"/>
  <c r="B677" i="22"/>
  <c r="B676" i="22"/>
  <c r="B675" i="22"/>
  <c r="B674" i="22"/>
  <c r="B673" i="22"/>
  <c r="B672" i="22"/>
  <c r="B671" i="22"/>
  <c r="B670" i="22"/>
  <c r="B669" i="22"/>
  <c r="B668" i="22"/>
  <c r="B667" i="22"/>
  <c r="B666" i="22"/>
  <c r="B665" i="22"/>
  <c r="B664" i="22"/>
  <c r="B663" i="22"/>
  <c r="B662" i="22"/>
  <c r="B661" i="22"/>
  <c r="B660" i="22"/>
  <c r="B659" i="22"/>
  <c r="B658" i="22"/>
  <c r="B657" i="22"/>
  <c r="B656" i="22"/>
  <c r="B655" i="22"/>
  <c r="B654" i="22"/>
  <c r="B653" i="22"/>
  <c r="B652" i="22"/>
  <c r="B651" i="22"/>
  <c r="B650" i="22"/>
  <c r="B649" i="22"/>
  <c r="B648" i="22"/>
  <c r="B647" i="22"/>
  <c r="B646" i="22"/>
  <c r="B645" i="22"/>
  <c r="B644" i="22"/>
  <c r="B643" i="22"/>
  <c r="B642" i="22"/>
  <c r="B641" i="22"/>
  <c r="B640" i="22"/>
  <c r="B639" i="22"/>
  <c r="B638" i="22"/>
  <c r="B637" i="22"/>
  <c r="B636" i="22"/>
  <c r="B635" i="22"/>
  <c r="B634" i="22"/>
  <c r="B633" i="22"/>
  <c r="B632" i="22"/>
  <c r="B631" i="22"/>
  <c r="B630" i="22"/>
  <c r="B629" i="22"/>
  <c r="B628" i="22"/>
  <c r="B627" i="22"/>
  <c r="B626" i="22"/>
  <c r="B625" i="22"/>
  <c r="B624" i="22"/>
  <c r="B623" i="22"/>
  <c r="B622" i="22"/>
  <c r="B621" i="22"/>
  <c r="B620" i="22"/>
  <c r="B619" i="22"/>
  <c r="B618" i="22"/>
  <c r="B617" i="22"/>
  <c r="B616" i="22"/>
  <c r="B615" i="22"/>
  <c r="B614" i="22"/>
  <c r="B613" i="22"/>
  <c r="B612" i="22"/>
  <c r="B611" i="22"/>
  <c r="B610" i="22"/>
  <c r="B609" i="22"/>
  <c r="B608" i="22"/>
  <c r="B607" i="22"/>
  <c r="B606" i="22"/>
  <c r="B605" i="22"/>
  <c r="B604" i="22"/>
  <c r="B603" i="22"/>
  <c r="B602" i="22"/>
  <c r="B601" i="22"/>
  <c r="B600" i="22"/>
  <c r="B599" i="22"/>
  <c r="B598" i="22"/>
  <c r="B597" i="22"/>
  <c r="B596" i="22"/>
  <c r="B595" i="22"/>
  <c r="B594" i="22"/>
  <c r="B593" i="22"/>
  <c r="B592" i="22"/>
  <c r="B591" i="22"/>
  <c r="B590" i="22"/>
  <c r="B589" i="22"/>
  <c r="B588" i="22"/>
  <c r="B587" i="22"/>
  <c r="B586" i="22"/>
  <c r="B585" i="22"/>
  <c r="B584" i="22"/>
  <c r="B583" i="22"/>
  <c r="B582" i="22"/>
  <c r="B581" i="22"/>
  <c r="B580" i="22"/>
  <c r="B579" i="22"/>
  <c r="B578" i="22"/>
  <c r="B577" i="22"/>
  <c r="B576" i="22"/>
  <c r="B575" i="22"/>
  <c r="B574" i="22"/>
  <c r="B573" i="22"/>
  <c r="B572" i="22"/>
  <c r="B571" i="22"/>
  <c r="B570" i="22"/>
  <c r="B569" i="22"/>
  <c r="B568" i="22"/>
  <c r="B567" i="22"/>
  <c r="B566" i="22"/>
  <c r="B565" i="22"/>
  <c r="B564" i="22"/>
  <c r="B563" i="22"/>
  <c r="B562" i="22"/>
  <c r="B561" i="22"/>
  <c r="B560" i="22"/>
  <c r="B559" i="22"/>
  <c r="B558" i="22"/>
  <c r="B557" i="22"/>
  <c r="B556" i="22"/>
  <c r="B555" i="22"/>
  <c r="B554" i="22"/>
  <c r="B553" i="22"/>
  <c r="B552" i="22"/>
  <c r="B551" i="22"/>
  <c r="B550" i="22"/>
  <c r="B549" i="22"/>
  <c r="B548" i="22"/>
  <c r="B547" i="22"/>
  <c r="B546" i="22"/>
  <c r="B545" i="22"/>
  <c r="B544" i="22"/>
  <c r="B543" i="22"/>
  <c r="B542" i="22"/>
  <c r="B541" i="22"/>
  <c r="B540" i="22"/>
  <c r="B539" i="22"/>
  <c r="B538" i="22"/>
  <c r="B537" i="22"/>
  <c r="B536" i="22"/>
  <c r="B535" i="22"/>
  <c r="B534" i="22"/>
  <c r="B533" i="22"/>
  <c r="B532" i="22"/>
  <c r="B531" i="22"/>
  <c r="B530" i="22"/>
  <c r="B529" i="22"/>
  <c r="B528" i="22"/>
  <c r="B527" i="22"/>
  <c r="B526" i="22"/>
  <c r="B525" i="22"/>
  <c r="B524" i="22"/>
  <c r="B523" i="22"/>
  <c r="B522" i="22"/>
  <c r="B521" i="22"/>
  <c r="B520" i="22"/>
  <c r="B519" i="22"/>
  <c r="B518" i="22"/>
  <c r="B517" i="22"/>
  <c r="B516" i="22"/>
  <c r="B515" i="22"/>
  <c r="B514" i="22"/>
  <c r="B513" i="22"/>
  <c r="B512" i="22"/>
  <c r="B511" i="22"/>
  <c r="B510" i="22"/>
  <c r="B509" i="22"/>
  <c r="B508" i="22"/>
  <c r="B507" i="22"/>
  <c r="B506" i="22"/>
  <c r="B505" i="22"/>
  <c r="B504" i="22"/>
  <c r="B503" i="22"/>
  <c r="B502" i="22"/>
  <c r="B501" i="22"/>
  <c r="B500" i="22"/>
  <c r="B499" i="22"/>
  <c r="B498" i="22"/>
  <c r="B497" i="22"/>
  <c r="B496" i="22"/>
  <c r="B495" i="22"/>
  <c r="B494" i="22"/>
  <c r="B493" i="22"/>
  <c r="B492" i="22"/>
  <c r="B491" i="22"/>
  <c r="B490" i="22"/>
  <c r="B489" i="22"/>
  <c r="B488" i="22"/>
  <c r="B487" i="22"/>
  <c r="B486" i="22"/>
  <c r="B485" i="22"/>
  <c r="B484" i="22"/>
  <c r="B483" i="22"/>
  <c r="B482" i="22"/>
  <c r="B481" i="22"/>
  <c r="B480" i="22"/>
  <c r="B479" i="22"/>
  <c r="B478" i="22"/>
  <c r="B477" i="22"/>
  <c r="B476" i="22"/>
  <c r="B475" i="22"/>
  <c r="B474" i="22"/>
  <c r="B473" i="22"/>
  <c r="B472" i="22"/>
  <c r="B471" i="22"/>
  <c r="B470" i="22"/>
  <c r="B469" i="22"/>
  <c r="B468" i="22"/>
  <c r="B467" i="22"/>
  <c r="B466" i="22"/>
  <c r="B465" i="22"/>
  <c r="B464" i="22"/>
  <c r="B463" i="22"/>
  <c r="B462" i="22"/>
  <c r="B461" i="22"/>
  <c r="B460" i="22"/>
  <c r="B459" i="22"/>
  <c r="B458" i="22"/>
  <c r="B457" i="22"/>
  <c r="B456" i="22"/>
  <c r="B455" i="22"/>
  <c r="B454" i="22"/>
  <c r="B453" i="22"/>
  <c r="B452" i="22"/>
  <c r="B451" i="22"/>
  <c r="B450" i="22"/>
  <c r="B449" i="22"/>
  <c r="B448" i="22"/>
  <c r="B447" i="22"/>
  <c r="B446" i="22"/>
  <c r="B445" i="22"/>
  <c r="B444" i="22"/>
  <c r="B443" i="22"/>
  <c r="B442" i="22"/>
  <c r="B441" i="22"/>
  <c r="B440" i="22"/>
  <c r="B439" i="22"/>
  <c r="B438" i="22"/>
  <c r="B437" i="22"/>
  <c r="B436" i="22"/>
  <c r="B435" i="22"/>
  <c r="B434" i="22"/>
  <c r="B433" i="22"/>
  <c r="B432" i="22"/>
  <c r="B431" i="22"/>
  <c r="B430" i="22"/>
  <c r="B429" i="22"/>
  <c r="B428" i="22"/>
  <c r="B427" i="22"/>
  <c r="B426" i="22"/>
  <c r="B425" i="22"/>
  <c r="B424" i="22"/>
  <c r="B423" i="22"/>
  <c r="B422" i="22"/>
  <c r="B421" i="22"/>
  <c r="B420" i="22"/>
  <c r="B419" i="22"/>
  <c r="B418" i="22"/>
  <c r="B417" i="22"/>
  <c r="B416" i="22"/>
  <c r="B415" i="22"/>
  <c r="B414" i="22"/>
  <c r="B413" i="22"/>
  <c r="B412" i="22"/>
  <c r="B411" i="22"/>
  <c r="B410" i="22"/>
  <c r="B409" i="22"/>
  <c r="B408" i="22"/>
  <c r="B407" i="22"/>
  <c r="B406" i="22"/>
  <c r="B405" i="22"/>
  <c r="B404" i="22"/>
  <c r="B403" i="22"/>
  <c r="B402" i="22"/>
  <c r="B401" i="22"/>
  <c r="B400" i="22"/>
  <c r="B399" i="22"/>
  <c r="B398" i="22"/>
  <c r="B397" i="22"/>
  <c r="B396" i="22"/>
  <c r="B395" i="22"/>
  <c r="B394" i="22"/>
  <c r="B393" i="22"/>
  <c r="B392" i="22"/>
  <c r="B391" i="22"/>
  <c r="B390" i="22"/>
  <c r="B389" i="22"/>
  <c r="B388" i="22"/>
  <c r="B387" i="22"/>
  <c r="B386" i="22"/>
  <c r="B385" i="22"/>
  <c r="B384" i="22"/>
  <c r="B383" i="22"/>
  <c r="B382" i="22"/>
  <c r="B381" i="22"/>
  <c r="B380" i="22"/>
  <c r="B379" i="22"/>
  <c r="B378" i="22"/>
  <c r="B377" i="22"/>
  <c r="B376" i="22"/>
  <c r="B375" i="22"/>
  <c r="B374" i="22"/>
  <c r="B373" i="22"/>
  <c r="B372" i="22"/>
  <c r="B371" i="22"/>
  <c r="B370" i="22"/>
  <c r="B369" i="22"/>
  <c r="B368" i="22"/>
  <c r="B367" i="22"/>
  <c r="B366" i="22"/>
  <c r="B365" i="22"/>
  <c r="B364" i="22"/>
  <c r="B363" i="22"/>
  <c r="B362" i="22"/>
  <c r="B361" i="22"/>
  <c r="B360" i="22"/>
  <c r="B359" i="22"/>
  <c r="B358" i="22"/>
  <c r="B357" i="22"/>
  <c r="B356" i="22"/>
  <c r="B355" i="22"/>
  <c r="B354" i="22"/>
  <c r="B353" i="22"/>
  <c r="B352" i="22"/>
  <c r="B351" i="22"/>
  <c r="B350" i="22"/>
  <c r="B349" i="22"/>
  <c r="B348" i="22"/>
  <c r="B347" i="22"/>
  <c r="B346" i="22"/>
  <c r="B345" i="22"/>
  <c r="B344" i="22"/>
  <c r="B343" i="22"/>
  <c r="B342" i="22"/>
  <c r="B341" i="22"/>
  <c r="B340" i="22"/>
  <c r="B339" i="22"/>
  <c r="B338" i="22"/>
  <c r="B337" i="22"/>
  <c r="B336" i="22"/>
  <c r="B335" i="22"/>
  <c r="B334" i="22"/>
  <c r="B333" i="22"/>
  <c r="B332" i="22"/>
  <c r="B331" i="22"/>
  <c r="B330" i="22"/>
  <c r="B329" i="22"/>
  <c r="B328" i="22"/>
  <c r="B327" i="22"/>
  <c r="B326" i="22"/>
  <c r="B325" i="22"/>
  <c r="B324" i="22"/>
  <c r="B323" i="22"/>
  <c r="B322" i="22"/>
  <c r="B321" i="22"/>
  <c r="B320" i="22"/>
  <c r="B319" i="22"/>
  <c r="B318" i="22"/>
  <c r="B317" i="22"/>
  <c r="B316" i="22"/>
  <c r="B315" i="22"/>
  <c r="B314" i="22"/>
  <c r="B313" i="22"/>
  <c r="B312" i="22"/>
  <c r="B311" i="22"/>
  <c r="B310" i="22"/>
  <c r="B309" i="22"/>
  <c r="B308" i="22"/>
  <c r="B307" i="22"/>
  <c r="B306" i="22"/>
  <c r="B305" i="22"/>
  <c r="B304" i="22"/>
  <c r="B303" i="22"/>
  <c r="B302" i="22"/>
  <c r="B301" i="22"/>
  <c r="B300" i="22"/>
  <c r="B299" i="22"/>
  <c r="B298" i="22"/>
  <c r="B297" i="22"/>
  <c r="B296" i="22"/>
  <c r="B295" i="22"/>
  <c r="B294" i="22"/>
  <c r="B293" i="22"/>
  <c r="B292" i="22"/>
  <c r="B291" i="22"/>
  <c r="B290" i="22"/>
  <c r="B289" i="22"/>
  <c r="B288" i="22"/>
  <c r="B287" i="22"/>
  <c r="B286" i="22"/>
  <c r="B285" i="22"/>
  <c r="B284" i="22"/>
  <c r="B283" i="22"/>
  <c r="B282" i="22"/>
  <c r="B281" i="22"/>
  <c r="B280" i="22"/>
  <c r="B279" i="22"/>
  <c r="B278" i="22"/>
  <c r="B277" i="22"/>
  <c r="B276" i="22"/>
  <c r="B275" i="22"/>
  <c r="B274" i="22"/>
  <c r="B273" i="22"/>
  <c r="B272" i="22"/>
  <c r="B271" i="22"/>
  <c r="B270" i="22"/>
  <c r="B269" i="22"/>
  <c r="B268" i="22"/>
  <c r="B267" i="22"/>
  <c r="B266" i="22"/>
  <c r="B265" i="22"/>
  <c r="B264" i="22"/>
  <c r="B263" i="22"/>
  <c r="B262" i="22"/>
  <c r="B261" i="22"/>
  <c r="B260" i="22"/>
  <c r="B259" i="22"/>
  <c r="B258" i="22"/>
  <c r="B257" i="22"/>
  <c r="B256" i="22"/>
  <c r="B255" i="22"/>
  <c r="B254" i="22"/>
  <c r="B253" i="22"/>
  <c r="B252" i="22"/>
  <c r="B251" i="22"/>
  <c r="B250" i="22"/>
  <c r="B249" i="22"/>
  <c r="B248" i="22"/>
  <c r="B247" i="22"/>
  <c r="B246" i="22"/>
  <c r="B245" i="22"/>
  <c r="B244" i="22"/>
  <c r="B243" i="22"/>
  <c r="B242" i="22"/>
  <c r="B241" i="22"/>
  <c r="B240" i="22"/>
  <c r="B239" i="22"/>
  <c r="B238" i="22"/>
  <c r="B237" i="22"/>
  <c r="B236" i="22"/>
  <c r="B235" i="22"/>
  <c r="B234" i="22"/>
  <c r="B233" i="22"/>
  <c r="B232" i="22"/>
  <c r="B231" i="22"/>
  <c r="B230" i="22"/>
  <c r="B229" i="22"/>
  <c r="B228" i="22"/>
  <c r="B227" i="22"/>
  <c r="B226" i="22"/>
  <c r="B225" i="22"/>
  <c r="B224" i="22"/>
  <c r="B223" i="22"/>
  <c r="B222" i="22"/>
  <c r="B221" i="22"/>
  <c r="B220" i="22"/>
  <c r="B219" i="22"/>
  <c r="B218" i="22"/>
  <c r="B217" i="22"/>
  <c r="B216" i="22"/>
  <c r="B215" i="22"/>
  <c r="B214" i="22"/>
  <c r="B213" i="22"/>
  <c r="B212" i="22"/>
  <c r="B211" i="22"/>
  <c r="B210" i="22"/>
  <c r="B209" i="22"/>
  <c r="B208" i="22"/>
  <c r="B207" i="22"/>
  <c r="B206" i="22"/>
  <c r="B205" i="22"/>
  <c r="B204" i="22"/>
  <c r="B203" i="22"/>
  <c r="B202" i="22"/>
  <c r="B201" i="22"/>
  <c r="B200" i="22"/>
  <c r="B199" i="22"/>
  <c r="B198" i="22"/>
  <c r="B197" i="22"/>
  <c r="B196" i="22"/>
  <c r="B195" i="22"/>
  <c r="B194" i="22"/>
  <c r="B193" i="22"/>
  <c r="B192" i="22"/>
  <c r="B191" i="22"/>
  <c r="B190" i="22"/>
  <c r="B189" i="22"/>
  <c r="B188" i="22"/>
  <c r="B187" i="22"/>
  <c r="B186" i="22"/>
  <c r="B185" i="22"/>
  <c r="B184" i="22"/>
  <c r="B183" i="22"/>
  <c r="B182" i="22"/>
  <c r="B181" i="22"/>
  <c r="B180" i="22"/>
  <c r="B179" i="22"/>
  <c r="B178" i="22"/>
  <c r="B177" i="22"/>
  <c r="B176" i="22"/>
  <c r="B175" i="22"/>
  <c r="B174" i="22"/>
  <c r="B173" i="22"/>
  <c r="B172" i="22"/>
  <c r="B171" i="22"/>
  <c r="B170" i="22"/>
  <c r="B169" i="22"/>
  <c r="B168" i="22"/>
  <c r="B167" i="22"/>
  <c r="B166" i="22"/>
  <c r="B165" i="22"/>
  <c r="B164" i="22"/>
  <c r="B163" i="22"/>
  <c r="B162" i="22"/>
  <c r="B161" i="22"/>
  <c r="B160" i="22"/>
  <c r="B159" i="22"/>
  <c r="B158" i="22"/>
  <c r="B157" i="22"/>
  <c r="B156" i="22"/>
  <c r="B155" i="22"/>
  <c r="B154" i="22"/>
  <c r="B153" i="22"/>
  <c r="B152" i="22"/>
  <c r="B151" i="22"/>
  <c r="B150" i="22"/>
  <c r="B149" i="22"/>
  <c r="B148" i="22"/>
  <c r="B147" i="22"/>
  <c r="B146" i="22"/>
  <c r="B145" i="22"/>
  <c r="B144" i="22"/>
  <c r="B143" i="22"/>
  <c r="B142" i="22"/>
  <c r="B141" i="22"/>
  <c r="B140" i="22"/>
  <c r="B139" i="22"/>
  <c r="B138" i="22"/>
  <c r="B137" i="22"/>
  <c r="B136" i="22"/>
  <c r="B135" i="22"/>
  <c r="B134" i="22"/>
  <c r="B133" i="22"/>
  <c r="B132" i="22"/>
  <c r="B131" i="22"/>
  <c r="B130" i="22"/>
  <c r="B129" i="22"/>
  <c r="B128" i="22"/>
  <c r="B127" i="22"/>
  <c r="B126" i="22"/>
  <c r="B125" i="22"/>
  <c r="B124" i="22"/>
  <c r="B123" i="22"/>
  <c r="B122" i="22"/>
  <c r="B121" i="22"/>
  <c r="B120" i="22"/>
  <c r="B119" i="22"/>
  <c r="B118" i="22"/>
  <c r="B117" i="22"/>
  <c r="B116" i="22"/>
  <c r="B115" i="22"/>
  <c r="B114" i="22"/>
  <c r="B113" i="22"/>
  <c r="B112" i="22"/>
  <c r="B111" i="22"/>
  <c r="B110" i="22"/>
  <c r="B109" i="22"/>
  <c r="B108" i="22"/>
  <c r="B107" i="22"/>
  <c r="B106" i="22"/>
  <c r="B105" i="22"/>
  <c r="B104" i="22"/>
  <c r="B103" i="22"/>
  <c r="B102" i="22"/>
  <c r="B101" i="22"/>
  <c r="B100" i="22"/>
  <c r="B99" i="22"/>
  <c r="B98" i="22"/>
  <c r="B97" i="22"/>
  <c r="B96" i="22"/>
  <c r="B95" i="22"/>
  <c r="B94" i="22"/>
  <c r="B93" i="22"/>
  <c r="B92" i="22"/>
  <c r="B91" i="22"/>
  <c r="B90" i="22"/>
  <c r="B89" i="22"/>
  <c r="B88" i="22"/>
  <c r="B87" i="22"/>
  <c r="B86" i="22"/>
  <c r="B85" i="22"/>
  <c r="B84" i="22"/>
  <c r="B83" i="22"/>
  <c r="B82" i="22"/>
  <c r="B81" i="22"/>
  <c r="B80" i="22"/>
  <c r="B79" i="22"/>
  <c r="B78" i="22"/>
  <c r="B77" i="22"/>
  <c r="B76" i="22"/>
  <c r="B75" i="22"/>
  <c r="B74" i="22"/>
  <c r="B73" i="22"/>
  <c r="B72" i="22"/>
  <c r="B71" i="22"/>
  <c r="B70" i="22"/>
  <c r="B69" i="22"/>
  <c r="B68" i="22"/>
  <c r="B67" i="22"/>
  <c r="B66" i="22"/>
  <c r="B65" i="22"/>
  <c r="B64" i="22"/>
  <c r="B63" i="22"/>
  <c r="B62" i="22"/>
  <c r="B61" i="22"/>
  <c r="B60" i="22"/>
  <c r="B59" i="22"/>
  <c r="B58" i="22"/>
  <c r="B57" i="22"/>
  <c r="B56" i="22"/>
  <c r="B55" i="22"/>
  <c r="B54" i="22"/>
  <c r="B53" i="22"/>
  <c r="B52" i="22"/>
  <c r="B51" i="22"/>
  <c r="B50" i="22"/>
  <c r="B49" i="22"/>
  <c r="B48" i="22"/>
  <c r="B47" i="22"/>
  <c r="B46" i="22"/>
  <c r="B45" i="22"/>
  <c r="B44" i="22"/>
  <c r="B43" i="22"/>
  <c r="B42" i="22"/>
  <c r="B41" i="22"/>
  <c r="B40" i="22"/>
  <c r="B39" i="22"/>
  <c r="B38" i="22"/>
  <c r="B37" i="22"/>
  <c r="B36" i="22"/>
  <c r="B35" i="22"/>
  <c r="B34" i="22"/>
  <c r="B33" i="22"/>
  <c r="B32" i="22"/>
  <c r="B31" i="22"/>
  <c r="B30" i="22"/>
  <c r="B29" i="22"/>
  <c r="B28" i="22"/>
  <c r="B27" i="22"/>
  <c r="B26" i="22"/>
  <c r="B25" i="22"/>
  <c r="B24" i="22"/>
  <c r="B23" i="22"/>
  <c r="B22" i="22"/>
  <c r="B21" i="22"/>
  <c r="B20" i="22"/>
  <c r="B19" i="22"/>
  <c r="B18" i="22"/>
  <c r="B17" i="22"/>
  <c r="B16" i="22"/>
  <c r="B15" i="22"/>
  <c r="B14" i="22"/>
  <c r="B13" i="22"/>
  <c r="B12" i="22"/>
  <c r="B11" i="22"/>
  <c r="B10" i="22"/>
  <c r="B9" i="22"/>
  <c r="B8" i="22"/>
  <c r="B7" i="22"/>
  <c r="B6" i="22"/>
  <c r="B5" i="22"/>
  <c r="B4" i="22"/>
  <c r="B3" i="22"/>
  <c r="B2" i="22"/>
  <c r="CF3" i="30" l="1"/>
  <c r="CF4" i="30" l="1"/>
  <c r="CH4" i="30" l="1"/>
  <c r="CF5" i="30"/>
  <c r="CF6" i="30" l="1"/>
  <c r="CH5" i="30"/>
  <c r="CF7" i="30" l="1"/>
  <c r="CH6" i="30"/>
  <c r="CH7" i="30" l="1"/>
  <c r="CF8" i="30"/>
  <c r="CF9" i="30" l="1"/>
  <c r="CH8" i="30"/>
  <c r="CF10" i="30" l="1"/>
  <c r="CH9" i="30"/>
  <c r="CH10" i="30" l="1"/>
  <c r="CF11" i="30"/>
  <c r="CF12" i="30" l="1"/>
  <c r="CH11" i="30"/>
  <c r="CH12" i="30" l="1"/>
  <c r="CF13" i="30"/>
  <c r="CF14" i="30" l="1"/>
  <c r="CH13" i="30"/>
  <c r="CF15" i="30" l="1"/>
  <c r="CH14" i="30"/>
  <c r="CH15" i="30" l="1"/>
  <c r="CF16" i="30"/>
  <c r="CF17" i="30" l="1"/>
  <c r="CH16" i="30"/>
  <c r="CF18" i="30" l="1"/>
  <c r="CH17" i="30"/>
  <c r="CF19" i="30" l="1"/>
  <c r="CH18" i="30"/>
  <c r="CF20" i="30" l="1"/>
  <c r="CH19" i="30"/>
  <c r="CH20" i="30" l="1"/>
  <c r="CF21" i="30"/>
  <c r="CF22" i="30" l="1"/>
  <c r="CH21" i="30"/>
  <c r="CF23" i="30" l="1"/>
  <c r="CH22" i="30"/>
  <c r="CH23" i="30" l="1"/>
  <c r="CF24" i="30"/>
  <c r="CF25" i="30" l="1"/>
  <c r="CH24" i="30"/>
  <c r="CF26" i="30" l="1"/>
  <c r="CH25" i="30"/>
  <c r="CF27" i="30" l="1"/>
  <c r="CH26" i="30"/>
  <c r="CF28" i="30" l="1"/>
  <c r="CH27" i="30"/>
  <c r="CH28" i="30" l="1"/>
  <c r="CF29" i="30"/>
  <c r="CF30" i="30" l="1"/>
  <c r="CH29" i="30"/>
  <c r="CF31" i="30" l="1"/>
  <c r="CH30" i="30"/>
  <c r="CH31" i="30" l="1"/>
  <c r="CF32" i="30"/>
  <c r="CH32" i="30" l="1"/>
  <c r="CF33" i="30"/>
  <c r="CF34" i="30" l="1"/>
  <c r="CH33" i="30"/>
  <c r="CF35" i="30" l="1"/>
  <c r="CH34" i="30"/>
  <c r="CF36" i="30" l="1"/>
  <c r="CH35" i="30"/>
  <c r="CH36" i="30" l="1"/>
  <c r="CF37" i="30"/>
  <c r="CH37" i="30" s="1"/>
  <c r="A69" i="26" l="1"/>
  <c r="T64" i="26" l="1"/>
  <c r="I29" i="5" l="1"/>
  <c r="AP2" i="30" l="1"/>
  <c r="CB2" i="30" s="1"/>
  <c r="G27" i="8" s="1"/>
  <c r="CE2" i="30" l="1"/>
  <c r="M31" i="8" s="1"/>
  <c r="H31" i="8" s="1"/>
  <c r="CD2" i="30"/>
  <c r="L31" i="8" s="1"/>
  <c r="CC2" i="30"/>
  <c r="G17" i="8" s="1"/>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P19" i="5"/>
  <c r="O19" i="5"/>
  <c r="N19" i="5"/>
  <c r="M19" i="5"/>
  <c r="L19" i="5"/>
  <c r="K19" i="5"/>
  <c r="J19" i="5"/>
  <c r="I19" i="5"/>
  <c r="H19" i="5"/>
  <c r="G19" i="5"/>
  <c r="F19" i="5"/>
  <c r="E19" i="5"/>
  <c r="D19" i="5"/>
  <c r="C19" i="5"/>
  <c r="N17" i="26" l="1"/>
  <c r="M17" i="26"/>
  <c r="N18" i="26"/>
  <c r="Q62" i="26" l="1"/>
  <c r="M62" i="26" s="1"/>
  <c r="K62" i="26" l="1"/>
  <c r="I62" i="26"/>
  <c r="T63" i="26"/>
  <c r="R63" i="26"/>
  <c r="T68" i="26"/>
  <c r="T67" i="26"/>
  <c r="T66" i="26"/>
  <c r="T65" i="26"/>
  <c r="R68" i="26"/>
  <c r="R67" i="26"/>
  <c r="R66" i="26"/>
  <c r="R65" i="26"/>
  <c r="R64" i="26"/>
  <c r="R7" i="26" l="1"/>
  <c r="Q68" i="26"/>
  <c r="Q67" i="26"/>
  <c r="Q66" i="26"/>
  <c r="Q65" i="26"/>
  <c r="Q64" i="26"/>
  <c r="Q63" i="26"/>
  <c r="W68" i="26"/>
  <c r="W67" i="26"/>
  <c r="W66" i="26"/>
  <c r="W65" i="26"/>
  <c r="W64" i="26"/>
  <c r="F69" i="26"/>
  <c r="W63"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W62" i="26" l="1"/>
  <c r="F62" i="26" s="1"/>
  <c r="T62" i="26"/>
  <c r="R62" i="26"/>
  <c r="Q2" i="23"/>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B24" i="26"/>
  <c r="A62" i="26" l="1"/>
  <c r="N15" i="26"/>
  <c r="N14" i="26"/>
  <c r="AT2" i="30"/>
  <c r="BZ2" i="30" l="1"/>
  <c r="N53" i="8" s="1"/>
  <c r="I35" i="5" s="1"/>
  <c r="BX2" i="30"/>
  <c r="N51" i="8" s="1"/>
  <c r="I33" i="5" s="1"/>
  <c r="CA2" i="30"/>
  <c r="BY2" i="30"/>
  <c r="N52" i="8" s="1"/>
  <c r="I34" i="5" s="1"/>
  <c r="BV2" i="30"/>
  <c r="N49" i="8" s="1"/>
  <c r="F8" i="8" s="1"/>
  <c r="BW2" i="30"/>
  <c r="N50" i="8" s="1"/>
  <c r="I32" i="5" s="1"/>
  <c r="BR3" i="30"/>
  <c r="BR2" i="30" s="1"/>
  <c r="B54" i="26" s="1"/>
  <c r="AU2" i="30"/>
  <c r="B10" i="26" s="1"/>
  <c r="AY2" i="30"/>
  <c r="L9" i="26" s="1"/>
  <c r="BC2" i="30"/>
  <c r="B16" i="26" s="1"/>
  <c r="BK2" i="30"/>
  <c r="N16" i="26" s="1"/>
  <c r="BO2" i="30"/>
  <c r="B22" i="26" s="1"/>
  <c r="BS2" i="30"/>
  <c r="B30" i="26" s="1"/>
  <c r="AV2" i="30"/>
  <c r="B11" i="26" s="1"/>
  <c r="AZ2" i="30"/>
  <c r="L11" i="26" s="1"/>
  <c r="BD2" i="30"/>
  <c r="B17" i="26" s="1"/>
  <c r="BH2" i="30"/>
  <c r="H16" i="26" s="1"/>
  <c r="BL2" i="30"/>
  <c r="B21" i="26" s="1"/>
  <c r="BP2" i="30"/>
  <c r="G22" i="26" s="1"/>
  <c r="BT2" i="30"/>
  <c r="H30" i="26" s="1"/>
  <c r="BG2" i="30"/>
  <c r="H15" i="26" s="1"/>
  <c r="AW2" i="30"/>
  <c r="B12" i="26" s="1"/>
  <c r="BA2" i="30"/>
  <c r="B14" i="26" s="1"/>
  <c r="BE2" i="30"/>
  <c r="B18" i="26" s="1"/>
  <c r="BI2" i="30"/>
  <c r="H17" i="26" s="1"/>
  <c r="BM2" i="30"/>
  <c r="G21" i="26" s="1"/>
  <c r="BQ2" i="30"/>
  <c r="K22" i="26" s="1"/>
  <c r="BU2" i="30"/>
  <c r="L30" i="26" s="1"/>
  <c r="AX2" i="30"/>
  <c r="L8" i="26" s="1"/>
  <c r="BB2" i="30"/>
  <c r="B15" i="26" s="1"/>
  <c r="BF2" i="30"/>
  <c r="H14" i="26" s="1"/>
  <c r="BJ2" i="30"/>
  <c r="H18" i="26" s="1"/>
  <c r="BN2" i="30"/>
  <c r="K21" i="26" s="1"/>
  <c r="N22" i="26"/>
  <c r="N21" i="26"/>
  <c r="B9" i="26"/>
  <c r="I31" i="5" l="1"/>
  <c r="I91" i="8"/>
  <c r="I90" i="8"/>
  <c r="I89" i="8"/>
  <c r="I88" i="8"/>
  <c r="I87" i="8"/>
  <c r="I86" i="8"/>
  <c r="H91" i="8" l="1"/>
  <c r="H90" i="8"/>
  <c r="H89" i="8"/>
  <c r="H88" i="8"/>
  <c r="H87" i="8"/>
  <c r="H86" i="8"/>
  <c r="G93" i="8" l="1"/>
  <c r="G94" i="8" l="1"/>
  <c r="D20" i="8" s="1"/>
  <c r="G95" i="8"/>
  <c r="E6" i="4" s="1"/>
  <c r="Y2" i="23"/>
  <c r="AK2" i="23" l="1"/>
  <c r="AJ2" i="23"/>
  <c r="AI2" i="23"/>
  <c r="G2" i="23" l="1"/>
  <c r="W2" i="23" l="1"/>
  <c r="V2" i="23"/>
  <c r="U2" i="23"/>
  <c r="T2" i="23"/>
  <c r="S2" i="23"/>
  <c r="R2" i="23"/>
  <c r="K52" i="8"/>
  <c r="K51" i="8"/>
  <c r="K50" i="8"/>
  <c r="K49" i="8"/>
  <c r="K48" i="8"/>
  <c r="K47" i="8"/>
  <c r="D11" i="19" l="1"/>
  <c r="L17" i="8" l="1"/>
  <c r="L2" i="23" l="1"/>
  <c r="K2" i="23"/>
  <c r="J2" i="23"/>
  <c r="X2" i="23" l="1"/>
  <c r="I2" i="23" l="1"/>
  <c r="C2" i="23" l="1"/>
  <c r="A2" i="23" l="1"/>
  <c r="IB3" i="23" l="1"/>
  <c r="IA3" i="23"/>
  <c r="HW3" i="23"/>
  <c r="HV3" i="23"/>
  <c r="HR3" i="23"/>
  <c r="HQ3" i="23"/>
  <c r="HM3" i="23"/>
  <c r="HL3" i="23"/>
  <c r="HH3" i="23"/>
  <c r="HG3" i="23"/>
  <c r="HC3" i="23"/>
  <c r="HB3" i="23"/>
  <c r="GX3" i="23"/>
  <c r="GW3" i="23"/>
  <c r="GS3" i="23"/>
  <c r="GR3" i="23"/>
  <c r="GN3" i="23"/>
  <c r="GM3" i="23"/>
  <c r="GI3" i="23"/>
  <c r="GH3" i="23"/>
  <c r="GD3" i="23"/>
  <c r="GC3" i="23"/>
  <c r="FY3" i="23"/>
  <c r="FX3" i="23"/>
  <c r="FT3" i="23"/>
  <c r="FS3" i="23"/>
  <c r="FO3" i="23"/>
  <c r="FN3" i="23"/>
  <c r="FJ3" i="23"/>
  <c r="FI3" i="23"/>
  <c r="FE3" i="23"/>
  <c r="FD3" i="23"/>
  <c r="EZ3" i="23"/>
  <c r="EY3" i="23"/>
  <c r="EU3" i="23"/>
  <c r="ET3" i="23"/>
  <c r="EP3" i="23"/>
  <c r="EO3" i="23"/>
  <c r="EK3" i="23"/>
  <c r="EJ3" i="23"/>
  <c r="EF3" i="23"/>
  <c r="EE3" i="23"/>
  <c r="EA3" i="23"/>
  <c r="DZ3" i="23"/>
  <c r="DV3" i="23"/>
  <c r="DU3" i="23"/>
  <c r="DQ3" i="23"/>
  <c r="DP3" i="23"/>
  <c r="DL3" i="23"/>
  <c r="DK3" i="23"/>
  <c r="DG3" i="23"/>
  <c r="DF3" i="23"/>
  <c r="DB3" i="23"/>
  <c r="DA3" i="23"/>
  <c r="CW3" i="23"/>
  <c r="CV3" i="23"/>
  <c r="CR3" i="23"/>
  <c r="CQ3" i="23"/>
  <c r="CM3" i="23"/>
  <c r="CL3" i="23"/>
  <c r="CH3" i="23"/>
  <c r="CG3" i="23"/>
  <c r="CC3" i="23"/>
  <c r="CB3" i="23"/>
  <c r="BX3" i="23"/>
  <c r="BW3" i="23"/>
  <c r="BS3" i="23"/>
  <c r="BR3" i="23"/>
  <c r="BN3" i="23"/>
  <c r="BM3" i="23"/>
  <c r="BI3" i="23"/>
  <c r="BH3" i="23"/>
  <c r="BD3" i="23"/>
  <c r="BC3" i="23"/>
  <c r="AY3" i="23"/>
  <c r="AX3" i="23"/>
  <c r="AT3" i="23"/>
  <c r="AS3" i="23"/>
  <c r="AO3" i="23"/>
  <c r="AN3" i="23"/>
  <c r="AB21" i="20"/>
  <c r="AE14" i="20"/>
  <c r="AA24" i="20"/>
  <c r="AD15" i="20"/>
  <c r="AD19" i="20"/>
  <c r="AB12" i="20"/>
  <c r="AE3" i="20"/>
  <c r="AE15" i="20"/>
  <c r="AA8" i="20"/>
  <c r="AC8" i="20"/>
  <c r="AC2" i="20"/>
  <c r="AE23" i="20"/>
  <c r="AC15" i="20"/>
  <c r="AB17" i="20"/>
  <c r="AD40" i="20"/>
  <c r="AA28" i="20"/>
  <c r="AC14" i="20"/>
  <c r="AC4" i="20"/>
  <c r="AC35" i="20"/>
  <c r="AB15" i="20"/>
  <c r="AC16" i="20"/>
  <c r="AE26" i="20"/>
  <c r="AB40" i="20"/>
  <c r="AA9" i="20"/>
  <c r="AD6" i="20"/>
  <c r="AA33" i="20"/>
  <c r="AD11" i="20"/>
  <c r="AB8" i="20"/>
  <c r="AD38" i="20"/>
  <c r="AA11" i="20"/>
  <c r="AD7" i="20"/>
  <c r="AE8" i="20"/>
  <c r="AE16" i="20"/>
  <c r="AA18" i="20"/>
  <c r="AB31" i="20"/>
  <c r="AE25" i="20"/>
  <c r="AA31" i="20"/>
  <c r="AA17" i="20"/>
  <c r="AC33" i="20"/>
  <c r="AC36" i="20"/>
  <c r="AB14" i="20"/>
  <c r="AC3" i="20"/>
  <c r="AD39" i="20"/>
  <c r="AE40" i="20"/>
  <c r="AD10" i="20"/>
  <c r="AA41" i="20"/>
  <c r="AD3" i="20"/>
  <c r="AA37" i="20"/>
  <c r="AB27" i="20"/>
  <c r="AC40" i="20"/>
  <c r="AC9" i="20"/>
  <c r="AB39" i="20"/>
  <c r="AA5" i="20"/>
  <c r="AD23" i="20"/>
  <c r="AB28" i="20"/>
  <c r="AD12" i="20"/>
  <c r="AE11" i="20"/>
  <c r="AB23" i="20"/>
  <c r="AE34" i="20"/>
  <c r="AE6" i="20"/>
  <c r="AE21" i="20"/>
  <c r="AC19" i="20"/>
  <c r="AA3" i="20"/>
  <c r="AC5" i="20"/>
  <c r="AE27" i="20"/>
  <c r="AA7" i="20"/>
  <c r="AD33" i="20"/>
  <c r="AE17" i="20"/>
  <c r="AE28" i="20"/>
  <c r="AE13" i="20"/>
  <c r="AB19" i="20"/>
  <c r="AC13" i="20"/>
  <c r="AA10" i="20"/>
  <c r="AC32" i="20"/>
  <c r="AE37" i="20"/>
  <c r="AD24" i="20"/>
  <c r="AB7" i="20"/>
  <c r="AB20" i="20"/>
  <c r="AB36" i="20"/>
  <c r="AD30" i="20"/>
  <c r="AC12" i="20"/>
  <c r="AC20" i="20"/>
  <c r="AA27" i="20"/>
  <c r="AB22" i="20"/>
  <c r="AD35" i="20"/>
  <c r="AE36" i="20"/>
  <c r="AA32" i="20"/>
  <c r="AA6" i="20"/>
  <c r="AC27" i="20"/>
  <c r="AA39" i="20"/>
  <c r="AA30" i="20"/>
  <c r="AC29" i="20"/>
  <c r="AB3" i="20"/>
  <c r="AA25" i="20"/>
  <c r="AB41" i="20"/>
  <c r="AA36" i="20"/>
  <c r="AA13" i="20"/>
  <c r="AE24" i="20"/>
  <c r="AA19" i="20"/>
  <c r="AC21" i="20"/>
  <c r="AB4" i="20"/>
  <c r="AE12" i="20"/>
  <c r="AC10" i="20"/>
  <c r="AB32" i="20"/>
  <c r="AD21" i="20"/>
  <c r="AE20" i="20"/>
  <c r="AA21" i="20"/>
  <c r="AD14" i="20"/>
  <c r="AE29" i="20"/>
  <c r="AD25" i="20"/>
  <c r="AC31" i="20"/>
  <c r="AD36" i="20"/>
  <c r="AA29" i="20"/>
  <c r="AC39" i="20"/>
  <c r="AB35" i="20"/>
  <c r="AD29" i="20"/>
  <c r="AC41" i="20"/>
  <c r="AB10" i="20"/>
  <c r="AB30" i="20"/>
  <c r="AB24" i="20"/>
  <c r="AB11" i="20"/>
  <c r="AD13" i="20"/>
  <c r="AA22" i="20"/>
  <c r="AD9" i="20"/>
  <c r="AE7" i="20"/>
  <c r="AB26" i="20"/>
  <c r="AC24" i="20"/>
  <c r="AA14" i="20"/>
  <c r="AE31" i="20"/>
  <c r="AD22" i="20"/>
  <c r="AB13" i="20"/>
  <c r="AE9" i="20"/>
  <c r="AB38" i="20"/>
  <c r="AD4" i="20"/>
  <c r="AB2" i="20"/>
  <c r="AB29" i="20"/>
  <c r="AD31" i="20"/>
  <c r="AB25" i="20"/>
  <c r="AE18" i="20"/>
  <c r="AE22" i="20"/>
  <c r="AE38" i="20"/>
  <c r="AD8" i="20"/>
  <c r="AA16" i="20"/>
  <c r="AC28" i="20"/>
  <c r="AB6" i="20"/>
  <c r="AE32" i="20"/>
  <c r="AC22" i="20"/>
  <c r="AA12" i="20"/>
  <c r="AD27" i="20"/>
  <c r="AB37" i="20"/>
  <c r="AA26" i="20"/>
  <c r="AB5" i="20"/>
  <c r="AA2" i="20"/>
  <c r="AA40" i="20"/>
  <c r="AE41" i="20"/>
  <c r="AB18" i="20"/>
  <c r="AC11" i="20"/>
  <c r="AE30" i="20"/>
  <c r="AE10" i="20"/>
  <c r="AB9" i="20"/>
  <c r="AC6" i="20"/>
  <c r="AC17" i="20"/>
  <c r="AB16" i="20"/>
  <c r="AC38" i="20"/>
  <c r="AD34" i="20"/>
  <c r="AC26" i="20"/>
  <c r="AA4" i="20"/>
  <c r="AD17" i="20"/>
  <c r="AE2" i="20"/>
  <c r="AE19" i="20"/>
  <c r="AD32" i="20"/>
  <c r="AE33" i="20"/>
  <c r="AE35" i="20"/>
  <c r="AD20" i="20"/>
  <c r="AC25" i="20"/>
  <c r="AB34" i="20"/>
  <c r="AC34" i="20"/>
  <c r="AC7" i="20"/>
  <c r="AA34" i="20"/>
  <c r="AB33" i="20"/>
  <c r="AA20" i="20"/>
  <c r="AA38" i="20"/>
  <c r="AA35" i="20"/>
  <c r="AD2" i="20"/>
  <c r="AC18" i="20"/>
  <c r="AC37" i="20"/>
  <c r="AC23" i="20"/>
  <c r="AE39" i="20"/>
  <c r="AE4" i="20"/>
  <c r="AD18" i="20"/>
  <c r="AA15" i="20"/>
  <c r="AD5" i="20"/>
  <c r="AC30" i="20"/>
  <c r="AD26" i="20"/>
  <c r="AE5" i="20"/>
  <c r="AD28" i="20"/>
  <c r="AD41" i="20"/>
  <c r="AD16" i="20"/>
  <c r="AA23" i="20"/>
  <c r="AD37" i="20"/>
  <c r="AG2" i="23" l="1"/>
  <c r="AE2" i="23" l="1"/>
  <c r="Z2" i="23"/>
  <c r="E2" i="23" l="1"/>
  <c r="P2" i="23" l="1"/>
  <c r="O2" i="23"/>
  <c r="N2" i="23"/>
  <c r="F2" i="23"/>
  <c r="G19" i="8" l="1"/>
  <c r="I19" i="8" s="1"/>
  <c r="AC2" i="23" l="1"/>
  <c r="H26" i="26"/>
  <c r="W2" i="12" l="1"/>
  <c r="U9" i="12" l="1"/>
  <c r="U8" i="12"/>
  <c r="AE1" i="20" l="1"/>
  <c r="AD1" i="20"/>
  <c r="AC1" i="20"/>
  <c r="AB1" i="20"/>
  <c r="AA1" i="20"/>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C12" i="13"/>
  <c r="B12" i="13"/>
  <c r="J7" i="13"/>
  <c r="J6" i="13"/>
  <c r="J5" i="13"/>
  <c r="C7" i="13"/>
  <c r="C6" i="13"/>
  <c r="C5" i="13"/>
  <c r="D2" i="13"/>
  <c r="B2" i="13"/>
  <c r="B1" i="13"/>
  <c r="B50" i="1" l="1"/>
  <c r="E1" i="13"/>
  <c r="C2" i="13"/>
  <c r="E2" i="13"/>
  <c r="C1" i="13"/>
  <c r="C25" i="1"/>
  <c r="B24" i="1"/>
  <c r="A23" i="1"/>
  <c r="O21" i="1"/>
  <c r="N20" i="1"/>
  <c r="M19" i="1"/>
  <c r="L18" i="1"/>
  <c r="K17" i="1"/>
  <c r="J16" i="1"/>
  <c r="I15" i="1"/>
  <c r="H14" i="1"/>
  <c r="G13" i="1"/>
  <c r="F12" i="1"/>
  <c r="E11" i="1"/>
  <c r="D10" i="1"/>
  <c r="A16" i="1"/>
  <c r="C14" i="1"/>
  <c r="E12" i="1"/>
  <c r="G10" i="1"/>
  <c r="L24" i="1"/>
  <c r="J22" i="1"/>
  <c r="D20" i="1"/>
  <c r="M17" i="1"/>
  <c r="O15" i="1"/>
  <c r="M13" i="1"/>
  <c r="G11" i="1"/>
  <c r="D25" i="1"/>
  <c r="C24" i="1"/>
  <c r="E22" i="1"/>
  <c r="C20" i="1"/>
  <c r="L17" i="1"/>
  <c r="N25" i="1"/>
  <c r="M24" i="1"/>
  <c r="L23" i="1"/>
  <c r="K22" i="1"/>
  <c r="J21" i="1"/>
  <c r="I20" i="1"/>
  <c r="H19" i="1"/>
  <c r="G18" i="1"/>
  <c r="M16" i="1"/>
  <c r="G14" i="1"/>
  <c r="A12" i="1"/>
  <c r="I25" i="1"/>
  <c r="N22" i="1"/>
  <c r="A21" i="1"/>
  <c r="N18" i="1"/>
  <c r="L16" i="1"/>
  <c r="L12" i="1"/>
  <c r="F23" i="1"/>
  <c r="K16" i="1"/>
  <c r="N11" i="1"/>
  <c r="L22" i="1"/>
  <c r="K21" i="1"/>
  <c r="J20" i="1"/>
  <c r="G17" i="1"/>
  <c r="D14" i="1"/>
  <c r="A11" i="1"/>
  <c r="J13" i="1"/>
  <c r="D24" i="1"/>
  <c r="E17" i="1"/>
  <c r="N10" i="1"/>
  <c r="F19" i="1"/>
  <c r="I24" i="1"/>
  <c r="F21" i="1"/>
  <c r="C18" i="1"/>
  <c r="D11" i="1"/>
  <c r="H20" i="1"/>
  <c r="B14" i="1"/>
  <c r="I22" i="1"/>
  <c r="C16" i="1"/>
  <c r="B11" i="1"/>
  <c r="O25" i="1"/>
  <c r="K25" i="1"/>
  <c r="J24" i="1"/>
  <c r="I23" i="1"/>
  <c r="H22" i="1"/>
  <c r="G21" i="1"/>
  <c r="F20" i="1"/>
  <c r="E19" i="1"/>
  <c r="D18" i="1"/>
  <c r="C17" i="1"/>
  <c r="B16" i="1"/>
  <c r="A15" i="1"/>
  <c r="O13" i="1"/>
  <c r="N12" i="1"/>
  <c r="M11" i="1"/>
  <c r="L10" i="1"/>
  <c r="B17" i="1"/>
  <c r="O14" i="1"/>
  <c r="B13" i="1"/>
  <c r="H11" i="1"/>
  <c r="E25" i="1"/>
  <c r="K23" i="1"/>
  <c r="I21" i="1"/>
  <c r="C19" i="1"/>
  <c r="A17" i="1"/>
  <c r="N14" i="1"/>
  <c r="H12" i="1"/>
  <c r="F10" i="1"/>
  <c r="K24" i="1"/>
  <c r="B23" i="1"/>
  <c r="D21" i="1"/>
  <c r="M18" i="1"/>
  <c r="O16" i="1"/>
  <c r="F25" i="1"/>
  <c r="E24" i="1"/>
  <c r="D23" i="1"/>
  <c r="C22" i="1"/>
  <c r="B21" i="1"/>
  <c r="A20" i="1"/>
  <c r="O18" i="1"/>
  <c r="N17" i="1"/>
  <c r="L15" i="1"/>
  <c r="F13" i="1"/>
  <c r="K10" i="1"/>
  <c r="O23" i="1"/>
  <c r="M21" i="1"/>
  <c r="O19" i="1"/>
  <c r="B18" i="1"/>
  <c r="K15" i="1"/>
  <c r="I13" i="1"/>
  <c r="K11" i="1"/>
  <c r="H25" i="1"/>
  <c r="A22" i="1"/>
  <c r="N19" i="1"/>
  <c r="A18" i="1"/>
  <c r="J15" i="1"/>
  <c r="G12" i="1"/>
  <c r="E14" i="1"/>
  <c r="A14" i="1"/>
  <c r="L13" i="1"/>
  <c r="B15" i="1"/>
  <c r="N15" i="1"/>
  <c r="D13" i="1"/>
  <c r="K12" i="1"/>
  <c r="J14" i="1"/>
  <c r="O20" i="1"/>
  <c r="I14" i="1"/>
  <c r="C12" i="1"/>
  <c r="A10" i="1"/>
  <c r="M23" i="1"/>
  <c r="I19" i="1"/>
  <c r="F16" i="1"/>
  <c r="C13" i="1"/>
  <c r="J17" i="1"/>
  <c r="M25" i="1"/>
  <c r="K19" i="1"/>
  <c r="E13" i="1"/>
  <c r="J23" i="1"/>
  <c r="D17" i="1"/>
  <c r="H23" i="1"/>
  <c r="E20" i="1"/>
  <c r="E16" i="1"/>
  <c r="H24" i="1"/>
  <c r="F18" i="1"/>
  <c r="D12" i="1"/>
  <c r="I18" i="1"/>
  <c r="F15" i="1"/>
  <c r="I10" i="1"/>
  <c r="G25" i="1"/>
  <c r="F24" i="1"/>
  <c r="E23" i="1"/>
  <c r="D22" i="1"/>
  <c r="C21" i="1"/>
  <c r="B20" i="1"/>
  <c r="A19" i="1"/>
  <c r="O17" i="1"/>
  <c r="N16" i="1"/>
  <c r="M15" i="1"/>
  <c r="L14" i="1"/>
  <c r="K13" i="1"/>
  <c r="J12" i="1"/>
  <c r="I11" i="1"/>
  <c r="H10" i="1"/>
  <c r="I16" i="1"/>
  <c r="K14" i="1"/>
  <c r="M12" i="1"/>
  <c r="O10" i="1"/>
  <c r="A25" i="1"/>
  <c r="C23" i="1"/>
  <c r="L20" i="1"/>
  <c r="J18" i="1"/>
  <c r="H16" i="1"/>
  <c r="F14" i="1"/>
  <c r="O11" i="1"/>
  <c r="L25" i="1"/>
  <c r="G24" i="1"/>
  <c r="M22" i="1"/>
  <c r="K20" i="1"/>
  <c r="E18" i="1"/>
  <c r="G16" i="1"/>
  <c r="B25" i="1"/>
  <c r="A24" i="1"/>
  <c r="O22" i="1"/>
  <c r="N21" i="1"/>
  <c r="M20" i="1"/>
  <c r="L19" i="1"/>
  <c r="K18" i="1"/>
  <c r="F17" i="1"/>
  <c r="D15" i="1"/>
  <c r="I12" i="1"/>
  <c r="C10" i="1"/>
  <c r="G23" i="1"/>
  <c r="E21" i="1"/>
  <c r="G19" i="1"/>
  <c r="I17" i="1"/>
  <c r="C15" i="1"/>
  <c r="A13" i="1"/>
  <c r="C11" i="1"/>
  <c r="N23" i="1"/>
  <c r="H21" i="1"/>
  <c r="J19" i="1"/>
  <c r="H17" i="1"/>
  <c r="F11" i="1"/>
  <c r="O12" i="1"/>
  <c r="M14" i="1"/>
  <c r="J10" i="1"/>
  <c r="B19" i="1"/>
  <c r="E10" i="1"/>
  <c r="J11" i="1"/>
  <c r="N24" i="1"/>
  <c r="H18" i="1"/>
  <c r="E15" i="1"/>
  <c r="B12" i="1"/>
  <c r="H15" i="1"/>
  <c r="L11" i="1"/>
  <c r="B22" i="1"/>
  <c r="G15" i="1"/>
  <c r="O24" i="1"/>
  <c r="L21" i="1"/>
  <c r="J25" i="1"/>
  <c r="G22" i="1"/>
  <c r="D19" i="1"/>
  <c r="N13" i="1"/>
  <c r="F22" i="1"/>
  <c r="D16" i="1"/>
  <c r="B10" i="1"/>
  <c r="G20" i="1"/>
  <c r="H13" i="1"/>
  <c r="M10" i="1"/>
  <c r="A13" i="4" l="1"/>
  <c r="A10" i="4"/>
  <c r="A12" i="4"/>
  <c r="A11" i="4"/>
  <c r="N59" i="8"/>
  <c r="I9" i="13" s="1"/>
  <c r="N61" i="8"/>
  <c r="I10" i="13" s="1"/>
  <c r="N60" i="8"/>
  <c r="I9" i="15" l="1"/>
  <c r="I9" i="14"/>
  <c r="I10" i="14"/>
  <c r="I10" i="15"/>
  <c r="M13" i="5"/>
  <c r="N13" i="5"/>
  <c r="O13" i="5"/>
  <c r="P13" i="5"/>
  <c r="D2" i="15" l="1"/>
  <c r="D2" i="14"/>
  <c r="C6" i="21" l="1"/>
  <c r="C8" i="21"/>
  <c r="C7" i="21"/>
  <c r="J6" i="21"/>
  <c r="D29" i="8" l="1"/>
  <c r="G30" i="8" s="1"/>
  <c r="F31" i="8" s="1"/>
  <c r="E29" i="8" l="1"/>
  <c r="J7" i="21"/>
  <c r="AB2" i="23" l="1"/>
  <c r="H25" i="26"/>
  <c r="A1" i="2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L25" i="5"/>
  <c r="B109" i="8" s="1"/>
  <c r="D109" i="8" s="1"/>
  <c r="J25" i="5"/>
  <c r="B107" i="8" s="1"/>
  <c r="D107" i="8" s="1"/>
  <c r="D25" i="5"/>
  <c r="B101" i="8" s="1"/>
  <c r="D101" i="8" s="1"/>
  <c r="B7" i="5"/>
  <c r="J6" i="5"/>
  <c r="B6" i="5"/>
  <c r="J5" i="5"/>
  <c r="B5" i="5"/>
  <c r="T31" i="4"/>
  <c r="T30" i="4"/>
  <c r="T29" i="4"/>
  <c r="T28" i="4"/>
  <c r="T27" i="4"/>
  <c r="T26" i="4"/>
  <c r="U25" i="4"/>
  <c r="T25" i="4"/>
  <c r="M25" i="4"/>
  <c r="J25" i="4"/>
  <c r="G25" i="4"/>
  <c r="D25" i="4"/>
  <c r="U24" i="4"/>
  <c r="T24" i="4"/>
  <c r="S24" i="4"/>
  <c r="G1" i="8" s="1"/>
  <c r="M24" i="4"/>
  <c r="J24" i="4"/>
  <c r="G24" i="4"/>
  <c r="D24" i="4"/>
  <c r="U23" i="4"/>
  <c r="T23" i="4"/>
  <c r="M23" i="4"/>
  <c r="J23" i="4"/>
  <c r="G23" i="4"/>
  <c r="D23" i="4"/>
  <c r="V22" i="4"/>
  <c r="M22" i="4"/>
  <c r="J22" i="4"/>
  <c r="G22" i="4"/>
  <c r="D22" i="4"/>
  <c r="V21" i="4"/>
  <c r="M21" i="4"/>
  <c r="L21" i="4"/>
  <c r="J21" i="4"/>
  <c r="I21" i="4"/>
  <c r="G21" i="4"/>
  <c r="F21" i="4"/>
  <c r="D21" i="4"/>
  <c r="C21" i="4"/>
  <c r="V20" i="4"/>
  <c r="V19" i="4"/>
  <c r="V18" i="4"/>
  <c r="V17" i="4"/>
  <c r="M13" i="4"/>
  <c r="J13" i="4"/>
  <c r="G13" i="4"/>
  <c r="D13" i="4"/>
  <c r="M12" i="4"/>
  <c r="J12" i="4"/>
  <c r="G12" i="4"/>
  <c r="D12" i="4"/>
  <c r="M11" i="4"/>
  <c r="J11" i="4"/>
  <c r="G11" i="4"/>
  <c r="D11" i="4"/>
  <c r="M10" i="4"/>
  <c r="J10" i="4"/>
  <c r="G10" i="4"/>
  <c r="D10" i="4"/>
  <c r="M9" i="4"/>
  <c r="L9" i="4"/>
  <c r="J9" i="4"/>
  <c r="I9" i="4"/>
  <c r="G9" i="4"/>
  <c r="F9" i="4"/>
  <c r="D9" i="4"/>
  <c r="C9" i="4"/>
  <c r="A8" i="4"/>
  <c r="K5" i="4"/>
  <c r="E5" i="4"/>
  <c r="K4" i="4"/>
  <c r="E4" i="4"/>
  <c r="K3" i="4"/>
  <c r="E3" i="4"/>
  <c r="D10" i="19"/>
  <c r="D9" i="19"/>
  <c r="J52" i="8"/>
  <c r="J51" i="8"/>
  <c r="J50" i="8"/>
  <c r="J49" i="8"/>
  <c r="J48" i="8"/>
  <c r="J47" i="8"/>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E30" i="8"/>
  <c r="P29" i="8"/>
  <c r="P28" i="8"/>
  <c r="P27" i="8"/>
  <c r="P26" i="8"/>
  <c r="E26" i="8"/>
  <c r="AA2" i="23" s="1"/>
  <c r="P25" i="8"/>
  <c r="P24" i="8"/>
  <c r="P23" i="8"/>
  <c r="P22" i="8"/>
  <c r="P21" i="8"/>
  <c r="P20" i="8"/>
  <c r="P19" i="8"/>
  <c r="P18" i="8"/>
  <c r="P17" i="8"/>
  <c r="P16" i="8"/>
  <c r="P15" i="8"/>
  <c r="P14" i="8"/>
  <c r="P13" i="8"/>
  <c r="P12" i="8"/>
  <c r="P11" i="8"/>
  <c r="G11" i="8"/>
  <c r="D11" i="8"/>
  <c r="P10" i="8"/>
  <c r="P9" i="8"/>
  <c r="P8" i="8"/>
  <c r="P7" i="8"/>
  <c r="P6" i="8"/>
  <c r="L6" i="8"/>
  <c r="P5" i="8"/>
  <c r="B47" i="1" l="1"/>
  <c r="B48" i="1" s="1"/>
  <c r="B42" i="1"/>
  <c r="C42" i="1" s="1"/>
  <c r="B44" i="1" s="1"/>
  <c r="P1" i="15"/>
  <c r="P2" i="15"/>
  <c r="P2" i="14"/>
  <c r="P1" i="14"/>
  <c r="P2" i="13"/>
  <c r="P1" i="13"/>
  <c r="E2" i="14"/>
  <c r="E1" i="14"/>
  <c r="E2" i="15"/>
  <c r="E1" i="15"/>
  <c r="G25" i="5"/>
  <c r="B104" i="8" s="1"/>
  <c r="D104" i="8" s="1"/>
  <c r="K25" i="5"/>
  <c r="B108" i="8" s="1"/>
  <c r="D108" i="8" s="1"/>
  <c r="M25" i="5"/>
  <c r="B110" i="8" s="1"/>
  <c r="D110" i="8" s="1"/>
  <c r="N25" i="5"/>
  <c r="B111" i="8" s="1"/>
  <c r="D111" i="8" s="1"/>
  <c r="E25" i="5"/>
  <c r="B102" i="8" s="1"/>
  <c r="D102" i="8" s="1"/>
  <c r="F25" i="5"/>
  <c r="B103" i="8" s="1"/>
  <c r="D103" i="8" s="1"/>
  <c r="S20" i="4"/>
  <c r="B86" i="8"/>
  <c r="D86" i="8" s="1"/>
  <c r="B92" i="8"/>
  <c r="D92" i="8" s="1"/>
  <c r="B87" i="8"/>
  <c r="D87" i="8" s="1"/>
  <c r="B95" i="8"/>
  <c r="D95" i="8" s="1"/>
  <c r="S12" i="4"/>
  <c r="B82" i="8"/>
  <c r="D82" i="8" s="1"/>
  <c r="B88" i="8"/>
  <c r="D88" i="8" s="1"/>
  <c r="B96" i="8"/>
  <c r="D96" i="8" s="1"/>
  <c r="B94" i="8"/>
  <c r="D94" i="8" s="1"/>
  <c r="S18" i="4"/>
  <c r="S16" i="4"/>
  <c r="S13" i="4"/>
  <c r="R25" i="4"/>
  <c r="B83" i="8"/>
  <c r="D83" i="8" s="1"/>
  <c r="B93" i="8"/>
  <c r="D93" i="8" s="1"/>
  <c r="B91" i="8"/>
  <c r="D91" i="8" s="1"/>
  <c r="B99" i="8"/>
  <c r="D99" i="8" s="1"/>
  <c r="H25" i="5"/>
  <c r="B105" i="8" s="1"/>
  <c r="D105" i="8" s="1"/>
  <c r="B76" i="8"/>
  <c r="D76" i="8" s="1"/>
  <c r="B84" i="8"/>
  <c r="D84" i="8" s="1"/>
  <c r="I25" i="5"/>
  <c r="B106" i="8" s="1"/>
  <c r="D106" i="8" s="1"/>
  <c r="B77" i="8"/>
  <c r="D77" i="8" s="1"/>
  <c r="B85" i="8"/>
  <c r="D85" i="8" s="1"/>
  <c r="B72" i="8"/>
  <c r="D72" i="8" s="1"/>
  <c r="B80" i="8"/>
  <c r="D80" i="8" s="1"/>
  <c r="C25" i="5"/>
  <c r="B100" i="8" s="1"/>
  <c r="D100" i="8" s="1"/>
  <c r="B73" i="8"/>
  <c r="D73" i="8" s="1"/>
  <c r="B74" i="8"/>
  <c r="D74" i="8" s="1"/>
  <c r="B75" i="8"/>
  <c r="D75" i="8" s="1"/>
  <c r="B81" i="8"/>
  <c r="D81" i="8" s="1"/>
  <c r="S14" i="4"/>
  <c r="S15" i="4"/>
  <c r="R28" i="4"/>
  <c r="R23" i="4"/>
  <c r="R24" i="4"/>
  <c r="R29" i="4"/>
  <c r="S19" i="4"/>
  <c r="R30" i="4"/>
  <c r="S22" i="4"/>
  <c r="R26" i="4"/>
  <c r="C2" i="14"/>
  <c r="C1" i="14"/>
  <c r="B78" i="8"/>
  <c r="D78" i="8" s="1"/>
  <c r="B79" i="8"/>
  <c r="D79" i="8" s="1"/>
  <c r="M6" i="1"/>
  <c r="B90" i="8"/>
  <c r="D90" i="8" s="1"/>
  <c r="B98" i="8"/>
  <c r="D98" i="8" s="1"/>
  <c r="B89" i="8"/>
  <c r="D89" i="8" s="1"/>
  <c r="B97" i="8"/>
  <c r="D97" i="8" s="1"/>
  <c r="S17" i="4"/>
  <c r="S21" i="4"/>
  <c r="R27" i="4"/>
  <c r="R31" i="4"/>
  <c r="C2" i="15"/>
  <c r="C1" i="15"/>
  <c r="B2" i="1"/>
  <c r="B52" i="1" l="1"/>
  <c r="G12" i="8" s="1"/>
  <c r="C52" i="1"/>
  <c r="G13" i="8" s="1"/>
  <c r="D52" i="1"/>
  <c r="G14" i="8" s="1"/>
  <c r="H19" i="4"/>
  <c r="R34" i="8" l="1"/>
  <c r="R20" i="8"/>
  <c r="R37" i="8"/>
  <c r="R23" i="8"/>
  <c r="R39" i="8"/>
  <c r="R42" i="8"/>
  <c r="R43" i="8"/>
  <c r="R44" i="8"/>
  <c r="R36" i="8"/>
  <c r="R41" i="8"/>
  <c r="R38" i="8"/>
  <c r="R32" i="8"/>
  <c r="R33" i="8" l="1"/>
  <c r="R19" i="8"/>
  <c r="R21" i="8" l="1"/>
  <c r="I15" i="4" l="1"/>
  <c r="F15" i="4"/>
  <c r="C15" i="4"/>
  <c r="L15" i="4"/>
  <c r="I30" i="4"/>
  <c r="L30" i="4"/>
  <c r="C30" i="4"/>
  <c r="F30" i="4"/>
  <c r="G27" i="4"/>
  <c r="C26" i="4"/>
  <c r="D29" i="4"/>
  <c r="M28" i="4"/>
  <c r="M30" i="4"/>
  <c r="D26" i="4"/>
  <c r="G28" i="4"/>
  <c r="M27" i="4"/>
  <c r="G29" i="4"/>
  <c r="D27" i="4"/>
  <c r="F26" i="4"/>
  <c r="M26" i="4"/>
  <c r="J26" i="4"/>
  <c r="I26" i="4"/>
  <c r="J28" i="4"/>
  <c r="G26" i="4"/>
  <c r="G30" i="4"/>
  <c r="J29" i="4"/>
  <c r="D28" i="4"/>
  <c r="J27" i="4"/>
  <c r="D30" i="4"/>
  <c r="L26" i="4"/>
  <c r="J30" i="4"/>
  <c r="M29" i="4"/>
  <c r="F16" i="4"/>
  <c r="L16" i="4"/>
  <c r="I16" i="4"/>
  <c r="C16" i="4"/>
  <c r="F29" i="4"/>
  <c r="C29" i="4"/>
  <c r="L29" i="4"/>
  <c r="I29" i="4"/>
  <c r="C28" i="4"/>
  <c r="I28" i="4"/>
  <c r="L28" i="4"/>
  <c r="F28" i="4"/>
  <c r="C17" i="4"/>
  <c r="F17" i="4"/>
  <c r="I17" i="4"/>
  <c r="L17" i="4"/>
  <c r="F27" i="4"/>
  <c r="L27" i="4"/>
  <c r="I27" i="4"/>
  <c r="C27" i="4"/>
  <c r="L18" i="4"/>
  <c r="C18" i="4"/>
  <c r="F18" i="4"/>
  <c r="I18" i="4"/>
  <c r="J18" i="4"/>
  <c r="D16" i="4"/>
  <c r="D18" i="4"/>
  <c r="G17" i="4"/>
  <c r="G18" i="4"/>
  <c r="M17" i="4"/>
  <c r="L14" i="4"/>
  <c r="M18" i="4"/>
  <c r="M14" i="4"/>
  <c r="G16" i="4"/>
  <c r="M16" i="4"/>
  <c r="J17" i="4"/>
  <c r="J14" i="4"/>
  <c r="D14" i="4"/>
  <c r="J15" i="4"/>
  <c r="F14" i="4"/>
  <c r="I14" i="4"/>
  <c r="C14" i="4"/>
  <c r="D15" i="4"/>
  <c r="G14" i="4"/>
  <c r="G15" i="4"/>
  <c r="M15" i="4"/>
  <c r="J16" i="4"/>
  <c r="D17" i="4"/>
  <c r="K14" i="4" l="1"/>
  <c r="E29" i="4"/>
  <c r="E28" i="4"/>
  <c r="N29" i="4"/>
  <c r="E27" i="4"/>
  <c r="E14" i="4"/>
  <c r="H28" i="4"/>
  <c r="H27" i="4"/>
  <c r="K28" i="4"/>
  <c r="K29" i="4"/>
  <c r="H29" i="4"/>
  <c r="N14" i="4"/>
  <c r="K27" i="4"/>
  <c r="H26" i="4"/>
  <c r="N27" i="4"/>
  <c r="N26" i="4"/>
  <c r="N28" i="4"/>
  <c r="H14" i="4"/>
  <c r="N18" i="4"/>
  <c r="H17" i="4"/>
  <c r="N16" i="4"/>
  <c r="H30" i="4"/>
  <c r="N15" i="4"/>
  <c r="K18" i="4"/>
  <c r="E17" i="4"/>
  <c r="H16" i="4"/>
  <c r="E30" i="4"/>
  <c r="E15" i="4"/>
  <c r="H18" i="4"/>
  <c r="N17" i="4"/>
  <c r="E16" i="4"/>
  <c r="K26" i="4"/>
  <c r="E26" i="4"/>
  <c r="N30" i="4"/>
  <c r="H15" i="4"/>
  <c r="E18" i="4"/>
  <c r="K17" i="4"/>
  <c r="K16" i="4"/>
  <c r="K30" i="4"/>
  <c r="K15" i="4"/>
  <c r="R17" i="8" l="1"/>
  <c r="R25" i="8" l="1"/>
  <c r="R12" i="8" l="1"/>
  <c r="R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B36" i="1"/>
  <c r="H36" i="1" s="1"/>
  <c r="B30" i="1"/>
  <c r="G31" i="1"/>
  <c r="G30" i="1"/>
  <c r="G27" i="1" s="1"/>
  <c r="AR16" i="1"/>
  <c r="AE17" i="1"/>
  <c r="AZ19" i="1"/>
  <c r="AP14" i="1"/>
  <c r="AW16" i="1"/>
  <c r="AP12" i="1"/>
  <c r="U20" i="1"/>
  <c r="AG12" i="1"/>
  <c r="Y23" i="1"/>
  <c r="AD17" i="1"/>
  <c r="AD15" i="1"/>
  <c r="AF22" i="1"/>
  <c r="AW23" i="1"/>
  <c r="AC14" i="1"/>
  <c r="AV24" i="1"/>
  <c r="AI15" i="1"/>
  <c r="BA24" i="1"/>
  <c r="AV16" i="1"/>
  <c r="AQ11" i="1"/>
  <c r="AI22" i="1"/>
  <c r="Z13" i="1"/>
  <c r="AR14" i="1"/>
  <c r="AT18" i="1"/>
  <c r="AF13" i="1"/>
  <c r="AY17" i="1"/>
  <c r="AU21" i="1"/>
  <c r="AE18" i="1"/>
  <c r="W23" i="1"/>
  <c r="AH22" i="1"/>
  <c r="AI17" i="1"/>
  <c r="BA13" i="1"/>
  <c r="AO25" i="1"/>
  <c r="AX20" i="1"/>
  <c r="Y19" i="1"/>
  <c r="AE21" i="1"/>
  <c r="V10" i="1"/>
  <c r="W12" i="1"/>
  <c r="Y10" i="1"/>
  <c r="AT20" i="1"/>
  <c r="AH12" i="1"/>
  <c r="AQ17" i="1"/>
  <c r="AS12" i="1"/>
  <c r="Y22" i="1"/>
  <c r="AY20" i="1"/>
  <c r="Z19" i="1"/>
  <c r="V11" i="1"/>
  <c r="V25" i="1"/>
  <c r="AC19" i="1"/>
  <c r="AR11" i="1"/>
  <c r="AF23" i="1"/>
  <c r="AT13" i="1"/>
  <c r="Z21" i="1"/>
  <c r="AI23" i="1"/>
  <c r="AA13" i="1"/>
  <c r="AO24" i="1"/>
  <c r="AZ25" i="1"/>
  <c r="AF21" i="1"/>
  <c r="AI12" i="1"/>
  <c r="AW22" i="1"/>
  <c r="AC11" i="1"/>
  <c r="Z15" i="1"/>
  <c r="AS23" i="1"/>
  <c r="AE23" i="1"/>
  <c r="AP19" i="1"/>
  <c r="AC25" i="1"/>
  <c r="Z24" i="1"/>
  <c r="AH10" i="1"/>
  <c r="AV15" i="1"/>
  <c r="AO21" i="1"/>
  <c r="AV11" i="1"/>
  <c r="AD13" i="1"/>
  <c r="AZ22" i="1"/>
  <c r="AG14" i="1"/>
  <c r="AZ20" i="1"/>
  <c r="X15" i="1"/>
  <c r="AT12" i="1"/>
  <c r="W19" i="1"/>
  <c r="Z20" i="1"/>
  <c r="AR10" i="1"/>
  <c r="V21" i="1"/>
  <c r="AC16" i="1"/>
  <c r="AO13" i="1"/>
  <c r="AI19" i="1"/>
  <c r="Y18" i="1"/>
  <c r="AQ14" i="1"/>
  <c r="AV21" i="1"/>
  <c r="AO10" i="1"/>
  <c r="AZ12" i="1"/>
  <c r="AQ23" i="1"/>
  <c r="W22" i="1"/>
  <c r="AU25" i="1"/>
  <c r="AO19" i="1"/>
  <c r="AB17" i="1"/>
  <c r="AG20" i="1"/>
  <c r="AS19" i="1"/>
  <c r="AH24" i="1"/>
  <c r="AW18" i="1"/>
  <c r="AS24" i="1"/>
  <c r="X21" i="1"/>
  <c r="V22" i="1"/>
  <c r="AX24" i="1"/>
  <c r="AQ12" i="1"/>
  <c r="AX17" i="1"/>
  <c r="AE10" i="1"/>
  <c r="AW21" i="1"/>
  <c r="AS25" i="1"/>
  <c r="AC23" i="1"/>
  <c r="AC24" i="1"/>
  <c r="AH21" i="1"/>
  <c r="V20" i="1"/>
  <c r="AZ18" i="1"/>
  <c r="AW25" i="1"/>
  <c r="AE19" i="1"/>
  <c r="AI10" i="1"/>
  <c r="AI13" i="1"/>
  <c r="AA19" i="1"/>
  <c r="AO12" i="1"/>
  <c r="AY21" i="1"/>
  <c r="AV23" i="1"/>
  <c r="AR23" i="1"/>
  <c r="AT14" i="1"/>
  <c r="U12" i="1"/>
  <c r="AA10" i="1"/>
  <c r="AS13" i="1"/>
  <c r="W11" i="1"/>
  <c r="W20" i="1"/>
  <c r="AX23" i="1"/>
  <c r="BA19" i="1"/>
  <c r="AQ15" i="1"/>
  <c r="AV14" i="1"/>
  <c r="U23" i="1"/>
  <c r="AC15" i="1"/>
  <c r="V13" i="1"/>
  <c r="AX16" i="1"/>
  <c r="AE13" i="1"/>
  <c r="AP21" i="1"/>
  <c r="AX19" i="1"/>
  <c r="Y20" i="1"/>
  <c r="AW14" i="1"/>
  <c r="AR18" i="1"/>
  <c r="AZ23" i="1"/>
  <c r="AR20" i="1"/>
  <c r="AT21" i="1"/>
  <c r="AV13" i="1"/>
  <c r="AE24" i="1"/>
  <c r="AO18" i="1"/>
  <c r="AB15" i="1"/>
  <c r="AX11" i="1"/>
  <c r="AG11" i="1"/>
  <c r="AI11" i="1"/>
  <c r="AB19" i="1"/>
  <c r="AF11" i="1"/>
  <c r="AX22" i="1"/>
  <c r="AD25" i="1"/>
  <c r="AG16" i="1"/>
  <c r="AY22" i="1"/>
  <c r="AG19" i="1"/>
  <c r="AY18" i="1"/>
  <c r="AI14" i="1"/>
  <c r="AV17" i="1"/>
  <c r="AF16" i="1"/>
  <c r="AZ21" i="1"/>
  <c r="AA21" i="1"/>
  <c r="BA12" i="1"/>
  <c r="AI25" i="1"/>
  <c r="AX13" i="1"/>
  <c r="AF20" i="1"/>
  <c r="X23" i="1"/>
  <c r="AX10" i="1"/>
  <c r="AA25" i="1"/>
  <c r="AS14" i="1"/>
  <c r="X25" i="1"/>
  <c r="X24" i="1"/>
  <c r="V14" i="1"/>
  <c r="AQ19" i="1"/>
  <c r="AQ13" i="1"/>
  <c r="U15" i="1"/>
  <c r="BA16" i="1"/>
  <c r="U10" i="1"/>
  <c r="X18" i="1"/>
  <c r="AH23" i="1"/>
  <c r="AB25" i="1"/>
  <c r="X12" i="1"/>
  <c r="AI18" i="1"/>
  <c r="AA14" i="1"/>
  <c r="AZ17" i="1"/>
  <c r="AR13" i="1"/>
  <c r="U21" i="1"/>
  <c r="AU12" i="1"/>
  <c r="AD11" i="1"/>
  <c r="AW19" i="1"/>
  <c r="AY10" i="1"/>
  <c r="AH15" i="1"/>
  <c r="AO22" i="1"/>
  <c r="W25" i="1"/>
  <c r="AU11" i="1"/>
  <c r="AV18" i="1"/>
  <c r="AQ18" i="1"/>
  <c r="AF12" i="1"/>
  <c r="AB21" i="1"/>
  <c r="AC18" i="1"/>
  <c r="AH11" i="1"/>
  <c r="AO16" i="1"/>
  <c r="AH14" i="1"/>
  <c r="AY19" i="1"/>
  <c r="AF10" i="1"/>
  <c r="Y12" i="1"/>
  <c r="AU14" i="1"/>
  <c r="AF19" i="1"/>
  <c r="AS17" i="1"/>
  <c r="AZ10" i="1"/>
  <c r="AH19" i="1"/>
  <c r="AZ11" i="1"/>
  <c r="Y11" i="1"/>
  <c r="Z25" i="1"/>
  <c r="AV19" i="1"/>
  <c r="AG25" i="1"/>
  <c r="AW10" i="1"/>
  <c r="W13" i="1"/>
  <c r="Z10" i="1"/>
  <c r="AY24" i="1"/>
  <c r="AQ21" i="1"/>
  <c r="AT10" i="1"/>
  <c r="BA17" i="1"/>
  <c r="U22" i="1"/>
  <c r="AF24" i="1"/>
  <c r="AA24" i="1"/>
  <c r="AC20" i="1"/>
  <c r="AT22" i="1"/>
  <c r="W17" i="1"/>
  <c r="AQ10" i="1"/>
  <c r="AT19" i="1"/>
  <c r="AT25" i="1"/>
  <c r="BA15" i="1"/>
  <c r="W10" i="1"/>
  <c r="AU15" i="1"/>
  <c r="AQ22" i="1"/>
  <c r="AG23" i="1"/>
  <c r="AT15" i="1"/>
  <c r="W21" i="1"/>
  <c r="AV10" i="1"/>
  <c r="Y14" i="1"/>
  <c r="W15" i="1"/>
  <c r="AX25" i="1"/>
  <c r="AP23" i="1"/>
  <c r="AV20" i="1"/>
  <c r="AI16" i="1"/>
  <c r="AQ20" i="1"/>
  <c r="AW12" i="1"/>
  <c r="AY14" i="1"/>
  <c r="U17" i="1"/>
  <c r="AV22" i="1"/>
  <c r="AZ15" i="1"/>
  <c r="AD23" i="1"/>
  <c r="U19" i="1"/>
  <c r="AG21" i="1"/>
  <c r="AD19" i="1"/>
  <c r="AR15" i="1"/>
  <c r="BA21" i="1"/>
  <c r="U24" i="1"/>
  <c r="Y15" i="1"/>
  <c r="AB24" i="1"/>
  <c r="AA17" i="1"/>
  <c r="V19" i="1"/>
  <c r="AC21" i="1"/>
  <c r="AB11" i="1"/>
  <c r="AU20" i="1"/>
  <c r="BA22" i="1"/>
  <c r="BA23" i="1"/>
  <c r="AE15" i="1"/>
  <c r="AB14" i="1"/>
  <c r="AE14" i="1"/>
  <c r="AA12" i="1"/>
  <c r="AF14" i="1"/>
  <c r="AT24" i="1"/>
  <c r="AC13" i="1"/>
  <c r="AY25" i="1"/>
  <c r="Z16" i="1"/>
  <c r="AZ14" i="1"/>
  <c r="AY11" i="1"/>
  <c r="AU18" i="1"/>
  <c r="AI20" i="1"/>
  <c r="AV25" i="1"/>
  <c r="BA14" i="1"/>
  <c r="AR17" i="1"/>
  <c r="V24" i="1"/>
  <c r="AS21" i="1"/>
  <c r="AG24" i="1"/>
  <c r="X19" i="1"/>
  <c r="U18" i="1"/>
  <c r="AG13" i="1"/>
  <c r="AY13" i="1"/>
  <c r="AD14" i="1"/>
  <c r="AQ25" i="1"/>
  <c r="AH16" i="1"/>
  <c r="U14" i="1"/>
  <c r="AG15" i="1"/>
  <c r="AS10" i="1"/>
  <c r="AC10" i="1"/>
  <c r="Y25" i="1"/>
  <c r="V16" i="1"/>
  <c r="AA15" i="1"/>
  <c r="AZ16" i="1"/>
  <c r="AX14" i="1"/>
  <c r="Z22" i="1"/>
  <c r="AF17" i="1"/>
  <c r="AA20" i="1"/>
  <c r="AZ24" i="1"/>
  <c r="AO14" i="1"/>
  <c r="AT17" i="1"/>
  <c r="AE22" i="1"/>
  <c r="AH20" i="1"/>
  <c r="AS22" i="1"/>
  <c r="AP22" i="1"/>
  <c r="AS18" i="1"/>
  <c r="AS20" i="1"/>
  <c r="AR22" i="1"/>
  <c r="AF25" i="1"/>
  <c r="BA11" i="1"/>
  <c r="AB16" i="1"/>
  <c r="AE20" i="1"/>
  <c r="X22" i="1"/>
  <c r="AD10" i="1"/>
  <c r="AO17" i="1"/>
  <c r="AW24" i="1"/>
  <c r="W24" i="1"/>
  <c r="AC22" i="1"/>
  <c r="AD18" i="1"/>
  <c r="AB10" i="1"/>
  <c r="X13" i="1"/>
  <c r="AA18" i="1"/>
  <c r="AU22" i="1"/>
  <c r="AS15" i="1"/>
  <c r="AR25" i="1"/>
  <c r="AR24" i="1"/>
  <c r="AU10" i="1"/>
  <c r="AC12" i="1"/>
  <c r="AI21" i="1"/>
  <c r="V23" i="1"/>
  <c r="BA18" i="1"/>
  <c r="AP24" i="1"/>
  <c r="X17" i="1"/>
  <c r="AP15" i="1"/>
  <c r="AH17" i="1"/>
  <c r="AQ16" i="1"/>
  <c r="W16" i="1"/>
  <c r="U13" i="1"/>
  <c r="AP25" i="1"/>
  <c r="AD16" i="1"/>
  <c r="AR21" i="1"/>
  <c r="AG22" i="1"/>
  <c r="AA11" i="1"/>
  <c r="U11" i="1"/>
  <c r="AP20" i="1"/>
  <c r="AY23" i="1"/>
  <c r="AD12" i="1"/>
  <c r="AO23" i="1"/>
  <c r="X16" i="1"/>
  <c r="Y24" i="1"/>
  <c r="Y17" i="1"/>
  <c r="BA25" i="1"/>
  <c r="AB18" i="1"/>
  <c r="AD22" i="1"/>
  <c r="AP10" i="1"/>
  <c r="W14" i="1"/>
  <c r="AW15" i="1"/>
  <c r="AP13" i="1"/>
  <c r="AP11" i="1"/>
  <c r="AB12" i="1"/>
  <c r="AR12" i="1"/>
  <c r="X20" i="1"/>
  <c r="AS16" i="1"/>
  <c r="AG17" i="1"/>
  <c r="AA22" i="1"/>
  <c r="AH13" i="1"/>
  <c r="AR19" i="1"/>
  <c r="Z17" i="1"/>
  <c r="AY12" i="1"/>
  <c r="AA23" i="1"/>
  <c r="AX21" i="1"/>
  <c r="V18" i="1"/>
  <c r="AW20" i="1"/>
  <c r="AO20" i="1"/>
  <c r="AU17" i="1"/>
  <c r="AG18" i="1"/>
  <c r="AU13" i="1"/>
  <c r="AB20" i="1"/>
  <c r="AY16" i="1"/>
  <c r="AX18" i="1"/>
  <c r="Y21" i="1"/>
  <c r="X11" i="1"/>
  <c r="AP18" i="1"/>
  <c r="AT11" i="1"/>
  <c r="X14" i="1"/>
  <c r="AP17" i="1"/>
  <c r="BA20" i="1"/>
  <c r="Y16" i="1"/>
  <c r="AS11" i="1"/>
  <c r="AD20" i="1"/>
  <c r="AD21" i="1"/>
  <c r="AO15" i="1"/>
  <c r="AX12" i="1"/>
  <c r="AY15" i="1"/>
  <c r="AZ13" i="1"/>
  <c r="Z14" i="1"/>
  <c r="BA10" i="1"/>
  <c r="AE25" i="1"/>
  <c r="AT23" i="1"/>
  <c r="AE16" i="1"/>
  <c r="AA16" i="1"/>
  <c r="AG10" i="1"/>
  <c r="AV12" i="1"/>
  <c r="AC17" i="1"/>
  <c r="Z11" i="1"/>
  <c r="U25" i="1"/>
  <c r="AH25" i="1"/>
  <c r="X10" i="1"/>
  <c r="AU19" i="1"/>
  <c r="AW11" i="1"/>
  <c r="Z18" i="1"/>
  <c r="AU23" i="1"/>
  <c r="AU24" i="1"/>
  <c r="AD24" i="1"/>
  <c r="V12" i="1"/>
  <c r="AU16" i="1"/>
  <c r="U16" i="1"/>
  <c r="AW17" i="1"/>
  <c r="AO11" i="1"/>
  <c r="AT16" i="1"/>
  <c r="Y13" i="1"/>
  <c r="AE11" i="1"/>
  <c r="AQ24" i="1"/>
  <c r="AB23" i="1"/>
  <c r="AP16" i="1"/>
  <c r="AB22" i="1"/>
  <c r="AB13" i="1"/>
  <c r="AE12" i="1"/>
  <c r="Z23" i="1"/>
  <c r="AF18" i="1"/>
  <c r="V15" i="1"/>
  <c r="AF15" i="1"/>
  <c r="AH18" i="1"/>
  <c r="V17" i="1"/>
  <c r="AI24" i="1"/>
  <c r="W18" i="1"/>
  <c r="Z12" i="1"/>
  <c r="AX15" i="1"/>
  <c r="AW13" i="1"/>
  <c r="J35" i="1" l="1"/>
  <c r="F39" i="1" s="1"/>
  <c r="B37" i="1"/>
  <c r="F38" i="1" s="1"/>
  <c r="X31" i="1"/>
  <c r="X30" i="1"/>
  <c r="X27" i="1" s="1"/>
  <c r="X28" i="1" s="1"/>
  <c r="AG30" i="1"/>
  <c r="AG27" i="1" s="1"/>
  <c r="AG31" i="1"/>
  <c r="P97" i="8" s="1"/>
  <c r="FM3" i="23" s="1"/>
  <c r="BA30" i="1"/>
  <c r="BA27" i="1" s="1"/>
  <c r="BA31" i="1"/>
  <c r="P111" i="8" s="1"/>
  <c r="IE3" i="23" s="1"/>
  <c r="AP31" i="1"/>
  <c r="AP30" i="1"/>
  <c r="AP27" i="1" s="1"/>
  <c r="N100" i="8" s="1"/>
  <c r="FZ3" i="23" s="1"/>
  <c r="AU31" i="1"/>
  <c r="AU30" i="1"/>
  <c r="AU27" i="1" s="1"/>
  <c r="AU29" i="1" s="1"/>
  <c r="AB31" i="1"/>
  <c r="AB30" i="1"/>
  <c r="AB27" i="1" s="1"/>
  <c r="AB29" i="1" s="1"/>
  <c r="AD31" i="1"/>
  <c r="AD30" i="1"/>
  <c r="AD27" i="1" s="1"/>
  <c r="AD28" i="1" s="1"/>
  <c r="AC30" i="1"/>
  <c r="AC31" i="1"/>
  <c r="P93" i="8" s="1"/>
  <c r="ES3" i="23" s="1"/>
  <c r="AS30" i="1"/>
  <c r="AS27" i="1" s="1"/>
  <c r="AS31" i="1"/>
  <c r="P103" i="8" s="1"/>
  <c r="GQ3" i="23" s="1"/>
  <c r="AV30" i="1"/>
  <c r="AV27" i="1" s="1"/>
  <c r="AV31" i="1"/>
  <c r="N47" i="26" s="1"/>
  <c r="W30" i="1"/>
  <c r="W27" i="1" s="1"/>
  <c r="W31" i="1"/>
  <c r="F48" i="26" s="1"/>
  <c r="AQ31" i="1"/>
  <c r="AQ30" i="1"/>
  <c r="AQ27" i="1" s="1"/>
  <c r="N101" i="8" s="1"/>
  <c r="GE3" i="23" s="1"/>
  <c r="AT31" i="1"/>
  <c r="AT30" i="1"/>
  <c r="AT27" i="1" s="1"/>
  <c r="AT29" i="1" s="1"/>
  <c r="Z31" i="1"/>
  <c r="Z30" i="1"/>
  <c r="Z27" i="1" s="1"/>
  <c r="Z28" i="1" s="1"/>
  <c r="AW30" i="1"/>
  <c r="AW27" i="1" s="1"/>
  <c r="AW31" i="1"/>
  <c r="P107" i="8" s="1"/>
  <c r="HK3" i="23" s="1"/>
  <c r="AZ30" i="1"/>
  <c r="AZ31" i="1"/>
  <c r="P110" i="8" s="1"/>
  <c r="HZ3" i="23" s="1"/>
  <c r="AF31" i="1"/>
  <c r="AF30" i="1"/>
  <c r="AF27" i="1" s="1"/>
  <c r="AF29" i="1" s="1"/>
  <c r="AY31" i="1"/>
  <c r="AY30" i="1"/>
  <c r="AY27" i="1" s="1"/>
  <c r="AY28" i="1" s="1"/>
  <c r="AX30" i="1"/>
  <c r="AX27" i="1" s="1"/>
  <c r="AX31" i="1"/>
  <c r="N49" i="26" s="1"/>
  <c r="AA30" i="1"/>
  <c r="AA31" i="1"/>
  <c r="F52" i="26" s="1"/>
  <c r="AI30" i="1"/>
  <c r="AI31" i="1"/>
  <c r="P99" i="8" s="1"/>
  <c r="FW3" i="23" s="1"/>
  <c r="AE31" i="1"/>
  <c r="AE30" i="1"/>
  <c r="AE27" i="1" s="1"/>
  <c r="AR30" i="1"/>
  <c r="AR27" i="1" s="1"/>
  <c r="AR31" i="1"/>
  <c r="N43" i="26" s="1"/>
  <c r="AH30" i="1"/>
  <c r="AH27" i="1" s="1"/>
  <c r="AH31" i="1"/>
  <c r="P98" i="8" s="1"/>
  <c r="FR3" i="23" s="1"/>
  <c r="Y31" i="1"/>
  <c r="Y30" i="1"/>
  <c r="Y27" i="1" s="1"/>
  <c r="Y28" i="1" s="1"/>
  <c r="V31" i="1"/>
  <c r="V30" i="1"/>
  <c r="V27" i="1" s="1"/>
  <c r="I25" i="4"/>
  <c r="K25" i="4" s="1"/>
  <c r="F25" i="4"/>
  <c r="H25" i="4" s="1"/>
  <c r="L25" i="4"/>
  <c r="N25" i="4" s="1"/>
  <c r="C25" i="4"/>
  <c r="E25" i="4" s="1"/>
  <c r="F40" i="1"/>
  <c r="B38" i="1" s="1"/>
  <c r="B45" i="1" s="1"/>
  <c r="B40" i="1" s="1"/>
  <c r="K33" i="1" s="1"/>
  <c r="J29" i="1"/>
  <c r="J28" i="1"/>
  <c r="N80" i="8"/>
  <c r="CD3" i="23" s="1"/>
  <c r="D41" i="26"/>
  <c r="R13" i="8"/>
  <c r="M27" i="1"/>
  <c r="M29" i="1" s="1"/>
  <c r="L11" i="4"/>
  <c r="N11" i="4" s="1"/>
  <c r="I11" i="4"/>
  <c r="K11" i="4" s="1"/>
  <c r="F11" i="4"/>
  <c r="H11" i="4" s="1"/>
  <c r="C11" i="4"/>
  <c r="E11" i="4" s="1"/>
  <c r="L27" i="1"/>
  <c r="L29" i="1" s="1"/>
  <c r="R27" i="8"/>
  <c r="I29" i="1"/>
  <c r="I28" i="1"/>
  <c r="D40" i="26"/>
  <c r="N79" i="8"/>
  <c r="BY3" i="23" s="1"/>
  <c r="B27" i="1"/>
  <c r="F34" i="26"/>
  <c r="P73" i="8"/>
  <c r="AW3" i="23" s="1"/>
  <c r="F38" i="26"/>
  <c r="P77" i="8"/>
  <c r="BQ3" i="23" s="1"/>
  <c r="W29" i="1"/>
  <c r="W28" i="1"/>
  <c r="D48" i="26"/>
  <c r="N87" i="8"/>
  <c r="DM3" i="23" s="1"/>
  <c r="K27" i="1"/>
  <c r="K29" i="1" s="1"/>
  <c r="F27" i="1"/>
  <c r="F29" i="1" s="1"/>
  <c r="F22" i="4"/>
  <c r="H22" i="4" s="1"/>
  <c r="L22" i="4"/>
  <c r="N22" i="4" s="1"/>
  <c r="C22" i="4"/>
  <c r="E22" i="4" s="1"/>
  <c r="I22" i="4"/>
  <c r="K22" i="4" s="1"/>
  <c r="P83" i="8"/>
  <c r="CU3" i="23" s="1"/>
  <c r="F44" i="26"/>
  <c r="P109" i="8"/>
  <c r="HU3" i="23" s="1"/>
  <c r="N50" i="26"/>
  <c r="AC27" i="1"/>
  <c r="AC29" i="1" s="1"/>
  <c r="N37" i="26"/>
  <c r="P96" i="8"/>
  <c r="FH3" i="23" s="1"/>
  <c r="I23" i="4"/>
  <c r="K23" i="4" s="1"/>
  <c r="F23" i="4"/>
  <c r="H23" i="4" s="1"/>
  <c r="C23" i="4"/>
  <c r="E23" i="4" s="1"/>
  <c r="L23" i="4"/>
  <c r="N23" i="4" s="1"/>
  <c r="BA29" i="1"/>
  <c r="L52" i="26"/>
  <c r="N111" i="8"/>
  <c r="IC3" i="23" s="1"/>
  <c r="BA28" i="1"/>
  <c r="F43" i="26"/>
  <c r="P82" i="8"/>
  <c r="CP3" i="23" s="1"/>
  <c r="AW29" i="1"/>
  <c r="N107" i="8"/>
  <c r="HI3" i="23" s="1"/>
  <c r="L48" i="26"/>
  <c r="AW28" i="1"/>
  <c r="N35" i="26"/>
  <c r="P94" i="8"/>
  <c r="EX3" i="23" s="1"/>
  <c r="N36" i="26"/>
  <c r="P95" i="8"/>
  <c r="FC3" i="23" s="1"/>
  <c r="F40" i="26"/>
  <c r="P79" i="8"/>
  <c r="CA3" i="23" s="1"/>
  <c r="P105" i="8"/>
  <c r="HA3" i="23" s="1"/>
  <c r="N46" i="26"/>
  <c r="G29" i="1"/>
  <c r="D38" i="26"/>
  <c r="G28" i="1"/>
  <c r="N77" i="8"/>
  <c r="BO3" i="23" s="1"/>
  <c r="P72" i="8"/>
  <c r="AR3" i="23" s="1"/>
  <c r="F33" i="26"/>
  <c r="N27" i="1"/>
  <c r="N29" i="1" s="1"/>
  <c r="F35" i="26"/>
  <c r="P74" i="8"/>
  <c r="BB3" i="23" s="1"/>
  <c r="AV29" i="1"/>
  <c r="AV28" i="1"/>
  <c r="L47" i="26"/>
  <c r="N106" i="8"/>
  <c r="HD3" i="23" s="1"/>
  <c r="P81" i="8"/>
  <c r="CK3" i="23" s="1"/>
  <c r="F42" i="26"/>
  <c r="P76" i="8"/>
  <c r="BL3" i="23" s="1"/>
  <c r="F37" i="26"/>
  <c r="AG29" i="1"/>
  <c r="N97" i="8"/>
  <c r="FK3" i="23" s="1"/>
  <c r="L38" i="26"/>
  <c r="AG28" i="1"/>
  <c r="F50" i="26"/>
  <c r="P89" i="8"/>
  <c r="DY3" i="23" s="1"/>
  <c r="I10" i="4"/>
  <c r="K10" i="4" s="1"/>
  <c r="L10" i="4"/>
  <c r="N10" i="4" s="1"/>
  <c r="F10" i="4"/>
  <c r="H10" i="4" s="1"/>
  <c r="C10" i="4"/>
  <c r="E10" i="4" s="1"/>
  <c r="F36" i="26"/>
  <c r="P75" i="8"/>
  <c r="BG3" i="23" s="1"/>
  <c r="F12" i="4"/>
  <c r="H12" i="4" s="1"/>
  <c r="C12" i="4"/>
  <c r="E12" i="4" s="1"/>
  <c r="L12" i="4"/>
  <c r="N12" i="4" s="1"/>
  <c r="I12" i="4"/>
  <c r="K12" i="4" s="1"/>
  <c r="F39" i="26"/>
  <c r="P78" i="8"/>
  <c r="BV3" i="23" s="1"/>
  <c r="O29" i="1"/>
  <c r="O28" i="1"/>
  <c r="D46" i="26"/>
  <c r="N85" i="8"/>
  <c r="DC3" i="23" s="1"/>
  <c r="AA27" i="1"/>
  <c r="AA29" i="1" s="1"/>
  <c r="P101" i="8"/>
  <c r="GG3" i="23" s="1"/>
  <c r="N42" i="26"/>
  <c r="C27" i="1"/>
  <c r="P84" i="8"/>
  <c r="CZ3" i="23" s="1"/>
  <c r="F45" i="26"/>
  <c r="D29" i="1"/>
  <c r="N74" i="8"/>
  <c r="AZ3" i="23" s="1"/>
  <c r="R7" i="8"/>
  <c r="D35" i="26"/>
  <c r="D28" i="1"/>
  <c r="F13" i="4"/>
  <c r="H13" i="4" s="1"/>
  <c r="L13" i="4"/>
  <c r="N13" i="4" s="1"/>
  <c r="C13" i="4"/>
  <c r="E13" i="4" s="1"/>
  <c r="I13" i="4"/>
  <c r="K13" i="4" s="1"/>
  <c r="P80" i="8"/>
  <c r="CF3" i="23" s="1"/>
  <c r="F41" i="26"/>
  <c r="F47" i="26"/>
  <c r="P86" i="8"/>
  <c r="DJ3" i="23" s="1"/>
  <c r="AX29" i="1"/>
  <c r="L49" i="26"/>
  <c r="N108" i="8"/>
  <c r="HN3" i="23" s="1"/>
  <c r="AX28" i="1"/>
  <c r="N41" i="26"/>
  <c r="P100" i="8"/>
  <c r="GB3" i="23" s="1"/>
  <c r="E29" i="1"/>
  <c r="N75" i="8"/>
  <c r="BE3" i="23" s="1"/>
  <c r="D36" i="26"/>
  <c r="E28" i="1"/>
  <c r="AH29" i="1"/>
  <c r="N98" i="8"/>
  <c r="FP3" i="23" s="1"/>
  <c r="AH28" i="1"/>
  <c r="R31" i="8"/>
  <c r="L39" i="26"/>
  <c r="AS29" i="1"/>
  <c r="AS28" i="1"/>
  <c r="L44" i="26"/>
  <c r="N103" i="8"/>
  <c r="GO3" i="23" s="1"/>
  <c r="AR29" i="1"/>
  <c r="N102" i="8"/>
  <c r="GJ3" i="23" s="1"/>
  <c r="AR28" i="1"/>
  <c r="L43" i="26"/>
  <c r="F24" i="4"/>
  <c r="H24" i="4" s="1"/>
  <c r="I24" i="4"/>
  <c r="K24" i="4" s="1"/>
  <c r="C24" i="4"/>
  <c r="E24" i="4" s="1"/>
  <c r="L24" i="4"/>
  <c r="N24" i="4" s="1"/>
  <c r="H27" i="1"/>
  <c r="AZ27" i="1"/>
  <c r="AZ29" i="1" s="1"/>
  <c r="F46" i="26"/>
  <c r="P85" i="8"/>
  <c r="DE3" i="23" s="1"/>
  <c r="F51" i="26"/>
  <c r="P90" i="8"/>
  <c r="ED3" i="23" s="1"/>
  <c r="AI27" i="1"/>
  <c r="AI29" i="1" s="1"/>
  <c r="N33" i="26"/>
  <c r="P92" i="8"/>
  <c r="EN3" i="23" s="1"/>
  <c r="P104" i="8"/>
  <c r="GV3" i="23" s="1"/>
  <c r="N45" i="26"/>
  <c r="P88" i="8"/>
  <c r="DT3" i="23" s="1"/>
  <c r="F49" i="26"/>
  <c r="N48" i="26" l="1"/>
  <c r="N44" i="26"/>
  <c r="D49" i="26"/>
  <c r="N89" i="8"/>
  <c r="DW3" i="23" s="1"/>
  <c r="P87" i="8"/>
  <c r="DO3" i="23" s="1"/>
  <c r="N88" i="8"/>
  <c r="DR3" i="23" s="1"/>
  <c r="N40" i="26"/>
  <c r="P102" i="8"/>
  <c r="GL3" i="23" s="1"/>
  <c r="D50" i="26"/>
  <c r="O94" i="8"/>
  <c r="EW3" i="23" s="1"/>
  <c r="L35" i="26"/>
  <c r="Y29" i="1"/>
  <c r="E50" i="26" s="1"/>
  <c r="N94" i="8"/>
  <c r="EV3" i="23" s="1"/>
  <c r="AD29" i="1"/>
  <c r="N52" i="26"/>
  <c r="P108" i="8"/>
  <c r="HP3" i="23" s="1"/>
  <c r="X29" i="1"/>
  <c r="U34" i="1"/>
  <c r="N34" i="26"/>
  <c r="N38" i="26"/>
  <c r="AY29" i="1"/>
  <c r="N90" i="8"/>
  <c r="EB3" i="23" s="1"/>
  <c r="AQ29" i="1"/>
  <c r="M42" i="26" s="1"/>
  <c r="P106" i="8"/>
  <c r="HF3" i="23" s="1"/>
  <c r="AP28" i="1"/>
  <c r="V28" i="1"/>
  <c r="Z29" i="1"/>
  <c r="O90" i="8" s="1"/>
  <c r="EC3" i="23" s="1"/>
  <c r="L42" i="26"/>
  <c r="P91" i="8"/>
  <c r="EI3" i="23" s="1"/>
  <c r="L50" i="26"/>
  <c r="AO34" i="1"/>
  <c r="D47" i="26"/>
  <c r="V29" i="1"/>
  <c r="O86" i="8" s="1"/>
  <c r="DI3" i="23" s="1"/>
  <c r="D51" i="26"/>
  <c r="N51" i="26"/>
  <c r="N39" i="26"/>
  <c r="AQ28" i="1"/>
  <c r="N109" i="8"/>
  <c r="HS3" i="23" s="1"/>
  <c r="L41" i="26"/>
  <c r="AP29" i="1"/>
  <c r="N86" i="8"/>
  <c r="DH3" i="23" s="1"/>
  <c r="L65" i="1" a="1"/>
  <c r="L65" i="1" s="1"/>
  <c r="L51" i="1" a="1"/>
  <c r="L51" i="1" s="1"/>
  <c r="L37" i="1" a="1"/>
  <c r="L37" i="1" s="1"/>
  <c r="C29" i="1"/>
  <c r="E34" i="26" s="1"/>
  <c r="B29" i="1"/>
  <c r="O91" i="8"/>
  <c r="EH3" i="23" s="1"/>
  <c r="E52" i="26"/>
  <c r="M34" i="26"/>
  <c r="O93" i="8"/>
  <c r="ER3" i="23" s="1"/>
  <c r="O104" i="8"/>
  <c r="GU3" i="23" s="1"/>
  <c r="M45" i="26"/>
  <c r="M40" i="26"/>
  <c r="O99" i="8"/>
  <c r="FV3" i="23" s="1"/>
  <c r="E45" i="26"/>
  <c r="O84" i="8"/>
  <c r="CY3" i="23" s="1"/>
  <c r="M46" i="26"/>
  <c r="O105" i="8"/>
  <c r="GZ3" i="23" s="1"/>
  <c r="O83" i="8"/>
  <c r="CT3" i="23" s="1"/>
  <c r="R16" i="8"/>
  <c r="E44" i="26"/>
  <c r="O110" i="8"/>
  <c r="HY3" i="23" s="1"/>
  <c r="M51" i="26"/>
  <c r="N110" i="8"/>
  <c r="HX3" i="23" s="1"/>
  <c r="L51" i="26"/>
  <c r="AZ28" i="1"/>
  <c r="M44" i="26"/>
  <c r="O103" i="8"/>
  <c r="GP3" i="23" s="1"/>
  <c r="T1" i="4"/>
  <c r="R1" i="4" s="1"/>
  <c r="E19" i="4"/>
  <c r="U4" i="4"/>
  <c r="R8" i="4" s="1"/>
  <c r="O25" i="4" s="1"/>
  <c r="D42" i="26"/>
  <c r="N81" i="8"/>
  <c r="CI3" i="23" s="1"/>
  <c r="K28" i="1"/>
  <c r="L36" i="26"/>
  <c r="N95" i="8"/>
  <c r="FA3" i="23" s="1"/>
  <c r="R28" i="8"/>
  <c r="AE28" i="1"/>
  <c r="N78" i="8"/>
  <c r="BT3" i="23" s="1"/>
  <c r="D39" i="26"/>
  <c r="H28" i="1"/>
  <c r="R11" i="8"/>
  <c r="H29" i="1"/>
  <c r="O98" i="8"/>
  <c r="FQ3" i="23" s="1"/>
  <c r="M39" i="26"/>
  <c r="M49" i="26"/>
  <c r="O108" i="8"/>
  <c r="HO3" i="23" s="1"/>
  <c r="AT28" i="1"/>
  <c r="L45" i="26"/>
  <c r="N104" i="8"/>
  <c r="GT3" i="23" s="1"/>
  <c r="U1" i="4"/>
  <c r="R2" i="4" s="1"/>
  <c r="O11" i="4" s="1"/>
  <c r="O77" i="8"/>
  <c r="BP3" i="23" s="1"/>
  <c r="E38" i="26"/>
  <c r="R10" i="8"/>
  <c r="M52" i="26"/>
  <c r="O111" i="8"/>
  <c r="ID3" i="23" s="1"/>
  <c r="L34" i="26"/>
  <c r="N93" i="8"/>
  <c r="EQ3" i="23" s="1"/>
  <c r="AC28" i="1"/>
  <c r="R26" i="8"/>
  <c r="U3" i="4"/>
  <c r="R6" i="4" s="1"/>
  <c r="O23" i="4" s="1"/>
  <c r="O76" i="8"/>
  <c r="BK3" i="23" s="1"/>
  <c r="E37" i="26"/>
  <c r="R9" i="8"/>
  <c r="N105" i="8"/>
  <c r="GY3" i="23" s="1"/>
  <c r="AU28" i="1"/>
  <c r="L46" i="26"/>
  <c r="O82" i="8"/>
  <c r="CO3" i="23" s="1"/>
  <c r="E43" i="26"/>
  <c r="R15" i="8"/>
  <c r="O96" i="8"/>
  <c r="FG3" i="23" s="1"/>
  <c r="M37" i="26"/>
  <c r="O109" i="8"/>
  <c r="HT3" i="23" s="1"/>
  <c r="M50" i="26"/>
  <c r="L40" i="26"/>
  <c r="AI28" i="1"/>
  <c r="N99" i="8"/>
  <c r="FU3" i="23" s="1"/>
  <c r="R8" i="8"/>
  <c r="O75" i="8"/>
  <c r="BF3" i="23" s="1"/>
  <c r="E36" i="26"/>
  <c r="O74" i="8"/>
  <c r="BA3" i="23" s="1"/>
  <c r="E35" i="26"/>
  <c r="R6" i="8"/>
  <c r="D34" i="26"/>
  <c r="N73" i="8"/>
  <c r="AU3" i="23" s="1"/>
  <c r="C28" i="1"/>
  <c r="D52" i="26"/>
  <c r="N91" i="8"/>
  <c r="EG3" i="23" s="1"/>
  <c r="AA28" i="1"/>
  <c r="R24" i="8"/>
  <c r="M33" i="26"/>
  <c r="O92" i="8"/>
  <c r="EM3" i="23" s="1"/>
  <c r="U2" i="4"/>
  <c r="R4" i="4" s="1"/>
  <c r="O13" i="4" s="1"/>
  <c r="N19" i="4"/>
  <c r="R30" i="8"/>
  <c r="M38" i="26"/>
  <c r="O97" i="8"/>
  <c r="FL3" i="23" s="1"/>
  <c r="R40" i="8"/>
  <c r="M48" i="26"/>
  <c r="O107" i="8"/>
  <c r="HJ3" i="23" s="1"/>
  <c r="T4" i="4"/>
  <c r="R7" i="4" s="1"/>
  <c r="O24" i="4" s="1"/>
  <c r="R22" i="8"/>
  <c r="F28" i="1"/>
  <c r="D37" i="26"/>
  <c r="N76" i="8"/>
  <c r="BJ3" i="23" s="1"/>
  <c r="O79" i="8"/>
  <c r="BZ3" i="23" s="1"/>
  <c r="E40" i="26"/>
  <c r="M35" i="26"/>
  <c r="D43" i="26"/>
  <c r="N82" i="8"/>
  <c r="CN3" i="23" s="1"/>
  <c r="L28" i="1"/>
  <c r="L37" i="26"/>
  <c r="AF28" i="1"/>
  <c r="N96" i="8"/>
  <c r="FF3" i="23" s="1"/>
  <c r="R29" i="8"/>
  <c r="O80" i="8"/>
  <c r="CE3" i="23" s="1"/>
  <c r="E41" i="26"/>
  <c r="R35" i="8"/>
  <c r="O102" i="8"/>
  <c r="GK3" i="23" s="1"/>
  <c r="M43" i="26"/>
  <c r="E49" i="26"/>
  <c r="O88" i="8"/>
  <c r="DS3" i="23" s="1"/>
  <c r="AB28" i="1"/>
  <c r="L33" i="26"/>
  <c r="N92" i="8"/>
  <c r="EL3" i="23" s="1"/>
  <c r="O85" i="8"/>
  <c r="DD3" i="23" s="1"/>
  <c r="R18" i="8"/>
  <c r="E46" i="26"/>
  <c r="T2" i="4"/>
  <c r="R3" i="4" s="1"/>
  <c r="O12" i="4" s="1"/>
  <c r="K19" i="4"/>
  <c r="O106" i="8"/>
  <c r="HE3" i="23" s="1"/>
  <c r="M47" i="26"/>
  <c r="N84" i="8"/>
  <c r="CX3" i="23" s="1"/>
  <c r="D45" i="26"/>
  <c r="N28" i="1"/>
  <c r="T3" i="4"/>
  <c r="R5" i="4" s="1"/>
  <c r="O22" i="4" s="1"/>
  <c r="R14" i="8"/>
  <c r="O81" i="8"/>
  <c r="CJ3" i="23" s="1"/>
  <c r="E42" i="26"/>
  <c r="O87" i="8"/>
  <c r="DN3" i="23" s="1"/>
  <c r="E48" i="26"/>
  <c r="A34" i="1"/>
  <c r="N72" i="8"/>
  <c r="AP3" i="23" s="1"/>
  <c r="D33" i="26"/>
  <c r="B28" i="1"/>
  <c r="AE29" i="1"/>
  <c r="N83" i="8"/>
  <c r="CS3" i="23" s="1"/>
  <c r="M28" i="1"/>
  <c r="D44" i="26"/>
  <c r="N26" i="26"/>
  <c r="AF2" i="23"/>
  <c r="O89" i="8" l="1"/>
  <c r="DX3" i="23" s="1"/>
  <c r="J51" i="1" a="1"/>
  <c r="J51" i="1" s="1"/>
  <c r="E47" i="26"/>
  <c r="E51" i="26"/>
  <c r="O101" i="8"/>
  <c r="GF3" i="23" s="1"/>
  <c r="U33" i="1"/>
  <c r="J65" i="1" a="1"/>
  <c r="J65" i="1" s="1"/>
  <c r="M41" i="26"/>
  <c r="O100" i="8"/>
  <c r="GA3" i="23" s="1"/>
  <c r="AO33" i="1"/>
  <c r="O72" i="8"/>
  <c r="AQ3" i="23" s="1"/>
  <c r="J37" i="1" a="1"/>
  <c r="J37" i="1" s="1"/>
  <c r="O73" i="8"/>
  <c r="AV3" i="23" s="1"/>
  <c r="A33" i="1"/>
  <c r="F34" i="1" s="1"/>
  <c r="E33" i="26"/>
  <c r="S5" i="8"/>
  <c r="O10" i="4"/>
  <c r="F32" i="8"/>
  <c r="G6" i="4"/>
  <c r="M36" i="26"/>
  <c r="O95" i="8"/>
  <c r="FB3" i="23" s="1"/>
  <c r="J34" i="1"/>
  <c r="K34" i="1"/>
  <c r="E39" i="26"/>
  <c r="O78" i="8"/>
  <c r="BU3" i="23" s="1"/>
  <c r="H33" i="1"/>
  <c r="D33" i="1" l="1"/>
  <c r="G10" i="8" s="1"/>
  <c r="AH2" i="23" s="1"/>
  <c r="AD2" i="23" l="1"/>
  <c r="L5" i="8"/>
  <c r="N24" i="26"/>
  <c r="L4"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<sst xmlns="http://schemas.openxmlformats.org/spreadsheetml/2006/main" count="22033" uniqueCount="5913">
  <si>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</si>
  <si>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</si>
  <si>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</si>
  <si>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</si>
  <si>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</si>
  <si>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</si>
  <si>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</si>
  <si>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</si>
  <si>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</si>
  <si>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</si>
  <si>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</si>
  <si>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</si>
  <si>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</si>
  <si>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</si>
  <si>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</si>
  <si>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</si>
  <si>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</si>
  <si>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</si>
  <si>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</si>
  <si>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</si>
  <si>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</si>
  <si>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</si>
  <si>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</si>
  <si>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</si>
  <si>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</si>
  <si>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</si>
  <si>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</si>
  <si>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</si>
  <si>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</si>
  <si>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</si>
  <si>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</si>
  <si>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</si>
  <si>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</si>
  <si>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4 minute rows</t>
  </si>
  <si>
    <t>10 minute rows</t>
  </si>
  <si>
    <t>Orig. 8-2-12</t>
  </si>
  <si>
    <t/>
  </si>
  <si>
    <t>Temperature Uniformity Survey Worksheet</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</si>
  <si>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</si>
  <si>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</si>
  <si>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</si>
  <si>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</si>
  <si>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</si>
  <si>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</si>
  <si>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</si>
  <si>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</si>
  <si>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</si>
  <si>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</si>
  <si>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</si>
  <si>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</si>
  <si>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</si>
  <si>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</si>
  <si>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</si>
  <si>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</si>
  <si>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</si>
  <si>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</si>
  <si>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</si>
  <si>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</si>
  <si>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</si>
  <si>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</si>
  <si>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</si>
  <si>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</si>
  <si>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</si>
  <si>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</si>
  <si>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</si>
  <si>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</si>
  <si>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</si>
  <si>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</si>
  <si>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</si>
  <si>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</si>
  <si>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</si>
  <si>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</si>
  <si>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</si>
  <si>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</si>
  <si>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</si>
  <si>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</si>
  <si>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</si>
  <si>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</si>
  <si>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</si>
  <si>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</si>
  <si>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</si>
  <si>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</si>
  <si>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</si>
  <si>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</si>
  <si>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</si>
  <si>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</si>
  <si>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</si>
  <si>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</si>
  <si>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</si>
  <si>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</si>
  <si>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</si>
  <si>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</si>
  <si>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</si>
  <si>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</si>
  <si>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</si>
  <si>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</si>
  <si>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</si>
  <si>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</si>
  <si>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</si>
  <si>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</si>
  <si>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</si>
  <si>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</si>
  <si>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</si>
  <si>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</si>
  <si>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</si>
  <si>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</si>
  <si>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</si>
  <si>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</si>
  <si>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</si>
  <si>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</si>
  <si>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</si>
  <si>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</si>
  <si>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</si>
  <si>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</si>
  <si>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</si>
  <si>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</si>
  <si>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</si>
  <si>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</si>
  <si>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</si>
  <si>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</si>
  <si>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</si>
  <si>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</si>
  <si>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</si>
  <si>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</si>
  <si>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</si>
  <si>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</si>
  <si>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</si>
  <si>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</si>
  <si>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</si>
  <si>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</si>
  <si>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</si>
  <si>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</si>
  <si>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</si>
  <si>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</si>
  <si>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</si>
  <si>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</si>
  <si>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</si>
  <si>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</si>
  <si>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</si>
  <si>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</si>
  <si>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</si>
  <si>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</si>
  <si>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</si>
  <si>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</si>
  <si>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</si>
  <si>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</si>
  <si>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</si>
  <si>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</si>
  <si>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</si>
  <si>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</si>
  <si>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</si>
  <si>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</si>
  <si>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</si>
  <si>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</si>
  <si>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</si>
  <si>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</si>
  <si>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</si>
  <si>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</si>
  <si>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</si>
  <si>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</si>
  <si>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</si>
  <si>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</si>
  <si>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</si>
  <si>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</si>
  <si>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</si>
  <si>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</si>
  <si>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</si>
  <si>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</si>
  <si>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</si>
  <si>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</si>
  <si>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</si>
  <si>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</si>
  <si>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</si>
  <si>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</si>
  <si>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</si>
  <si>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</si>
  <si>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</si>
  <si>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</si>
  <si>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</si>
  <si>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</si>
  <si>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</si>
  <si>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</si>
  <si>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</si>
  <si>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</si>
  <si>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</si>
  <si>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</si>
  <si>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</si>
  <si>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</si>
  <si>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</si>
  <si>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</si>
  <si>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</si>
  <si>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</si>
  <si>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</si>
  <si>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</si>
  <si>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</si>
  <si>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</si>
  <si>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</si>
  <si>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</si>
  <si>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</si>
  <si>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</si>
  <si>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</si>
  <si>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</si>
  <si>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</si>
  <si>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</si>
  <si>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</si>
  <si>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</si>
  <si>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</si>
  <si>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</si>
  <si>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</si>
  <si>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</si>
  <si>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</si>
  <si>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</si>
  <si>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</si>
  <si>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</si>
  <si>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</si>
  <si>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</si>
  <si>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</si>
  <si>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</si>
  <si>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</si>
  <si>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</si>
  <si>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</si>
  <si>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</si>
  <si>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</si>
  <si>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</si>
  <si>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</si>
  <si>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</si>
  <si>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</si>
  <si>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</si>
  <si>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</si>
  <si>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</si>
  <si>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</si>
  <si>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</si>
  <si>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</si>
  <si>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</si>
  <si>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</si>
  <si>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</si>
  <si>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</si>
  <si>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</si>
  <si>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</si>
  <si>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</si>
  <si>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</si>
  <si>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</si>
  <si>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</si>
  <si>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</si>
  <si>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</si>
  <si>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</si>
  <si>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</si>
  <si>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</si>
  <si>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</si>
  <si>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</si>
  <si>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</si>
  <si>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</si>
  <si>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</si>
  <si>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</si>
  <si>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</si>
  <si>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</si>
  <si>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</si>
  <si>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</si>
  <si>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</si>
  <si>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</si>
  <si>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</si>
  <si>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</si>
  <si>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</si>
  <si>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</si>
  <si>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</si>
  <si>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</si>
  <si>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</si>
  <si>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</si>
  <si>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</si>
  <si>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</si>
  <si>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</si>
  <si>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</si>
  <si>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</si>
  <si>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</si>
  <si>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</si>
  <si>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</si>
  <si>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</si>
  <si>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</si>
  <si>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</si>
  <si>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</si>
  <si>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</si>
  <si>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</si>
  <si>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</si>
  <si>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</si>
  <si>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</si>
  <si>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</si>
  <si>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</si>
  <si>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</si>
  <si>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</si>
  <si>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</si>
  <si>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</si>
  <si>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</si>
  <si>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</si>
  <si>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</si>
  <si>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</si>
  <si>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</si>
  <si>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</si>
  <si>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</si>
  <si>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</si>
  <si>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</si>
  <si>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</si>
  <si>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</si>
  <si>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</si>
  <si>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</si>
  <si>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</si>
  <si>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</si>
  <si>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</si>
  <si>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</si>
  <si>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</si>
  <si>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</si>
  <si>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</si>
  <si>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</si>
  <si>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</si>
  <si>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</si>
  <si>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</si>
  <si>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</si>
  <si>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</si>
  <si>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</si>
  <si>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</si>
  <si>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</si>
  <si>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</si>
  <si>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</si>
  <si>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</si>
  <si>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</si>
  <si>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</si>
  <si>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</si>
  <si>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</si>
  <si>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</si>
  <si>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</si>
  <si>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</si>
  <si>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</si>
  <si>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account__r.name</t>
  </si>
  <si>
    <t>account__c</t>
  </si>
  <si>
    <t>name</t>
  </si>
  <si>
    <t>id</t>
  </si>
  <si>
    <t>CAPPS MANUFACTURING INC.</t>
  </si>
  <si>
    <t>AGE OVEN NO. 3</t>
  </si>
  <si>
    <t>Inspectors_Name__c</t>
  </si>
  <si>
    <t>a0Ia000000VWq7KEAT</t>
  </si>
  <si>
    <t>a0I14000010MqteEAC</t>
  </si>
  <si>
    <t>Dan Turkali</t>
  </si>
  <si>
    <t>a0Ia000000VWq70EAD</t>
  </si>
  <si>
    <t>Eric Wells</t>
  </si>
  <si>
    <t>a0Ia000000VY39lEAD</t>
  </si>
  <si>
    <t>Joe Craig</t>
  </si>
  <si>
    <t>a0Ia000000VWq7PEAT</t>
  </si>
  <si>
    <t>a0Ia000000tvolVEAQ</t>
  </si>
  <si>
    <t>Kevin Ferrante</t>
  </si>
  <si>
    <t>a0Ia000000VWq6gEAD</t>
  </si>
  <si>
    <t>Inspector__c</t>
  </si>
  <si>
    <t>Temperature__c</t>
  </si>
  <si>
    <t>Relative_Humidity__c</t>
  </si>
  <si>
    <t>Date_Calibrated__c</t>
  </si>
  <si>
    <t>model_number__c</t>
  </si>
  <si>
    <t>item__c</t>
  </si>
  <si>
    <t>Unit_Number__c</t>
  </si>
  <si>
    <t>Serial_Number__c</t>
  </si>
  <si>
    <t>Calibrator, Digital</t>
  </si>
  <si>
    <t>a0K1400000OaSdnEAF</t>
  </si>
  <si>
    <t>Calibrator, Digital - Fluke 726 Field Calibrator, Digital - 9546011</t>
  </si>
  <si>
    <t>Fluke 726 Field Calibrator, Digital</t>
  </si>
  <si>
    <t>FC14</t>
  </si>
  <si>
    <t>a0Ka000000B2XoCEAV</t>
  </si>
  <si>
    <t>Calibrator, Digital - Fluke 726 Field Potentiometer - 1139027</t>
  </si>
  <si>
    <t>Fluke 726 Field Potentiometer</t>
  </si>
  <si>
    <t>FC5</t>
  </si>
  <si>
    <t>a0K1400000Lasd4EAB</t>
  </si>
  <si>
    <t>Calibrator, Digital - Fluke 726 Field Potentiometer - 1611806</t>
  </si>
  <si>
    <t>FC9</t>
  </si>
  <si>
    <t>a0Ka000000AS05VEAT</t>
  </si>
  <si>
    <t>Calibrator, Digital - Fluke 726 Field Potentiometer - 1880060</t>
  </si>
  <si>
    <t>FC6</t>
  </si>
  <si>
    <t>a0K1400000MKGQrEAP</t>
  </si>
  <si>
    <t>Calibrator, Digital - Fluke 726 Field Potentiometer - 2916025</t>
  </si>
  <si>
    <t>FC10</t>
  </si>
  <si>
    <t>a0K1400000MbanfEAB</t>
  </si>
  <si>
    <t>Calibrator, Digital - Fluke 726 Field Potentiometer - 2919050</t>
  </si>
  <si>
    <t>FC11</t>
  </si>
  <si>
    <t>a0K1400000NOx4DEAT</t>
  </si>
  <si>
    <t>Calibrator, Digital - Fluke 726 Field Potentiometer - 9491033</t>
  </si>
  <si>
    <t>FC12</t>
  </si>
  <si>
    <t>a0Ka000000AS1aQEAT</t>
  </si>
  <si>
    <t>Calibrator, Digital - Fluke 726 Field Potentiometer - 9728087</t>
  </si>
  <si>
    <t>FC7</t>
  </si>
  <si>
    <t>Data Acquisition System</t>
  </si>
  <si>
    <t>a0Ka0000009qNssEAE</t>
  </si>
  <si>
    <t>Data Acquisition System - DAQBOOK/2005 - 806337(J2)</t>
  </si>
  <si>
    <t>806337(J2)</t>
  </si>
  <si>
    <t>a0Ka000000DMPkZEAX</t>
  </si>
  <si>
    <t>Data Acquisition System - DAQBOOK/2005 - 807408 (J1)</t>
  </si>
  <si>
    <t>807408 (J1)</t>
  </si>
  <si>
    <t>a0Ka0000009qNqHEAU</t>
  </si>
  <si>
    <t>Data Acquisition System - DAQBOOK/2005 - 807409(K4)</t>
  </si>
  <si>
    <t>807409(K4)</t>
  </si>
  <si>
    <t>a0Ka0000009qO0lEAE</t>
  </si>
  <si>
    <t>Data Acquisition System - DAQBOOK/2005 - 807702 (N1)</t>
  </si>
  <si>
    <t>807702 (N1)</t>
  </si>
  <si>
    <t>a0Ka000000FTLZ9EAP</t>
  </si>
  <si>
    <t>Data Acquisition System - DAQBOOK/2005 - 808004 (N2)</t>
  </si>
  <si>
    <t>808004 (N2)</t>
  </si>
  <si>
    <t>a0Ka000000HFPIfEAP</t>
  </si>
  <si>
    <t>Data Acquisition System - DAQBOOK/2005 - 808005(K5)</t>
  </si>
  <si>
    <t>808005(K5)</t>
  </si>
  <si>
    <t>a0K1400000Oc9EpEAJ</t>
  </si>
  <si>
    <t>Data Acquisition System - DAQBOOK/2005 - 808173 (K6)</t>
  </si>
  <si>
    <t>808173 (K6)</t>
  </si>
  <si>
    <t>Vaisala HMI41 &amp; HMP46</t>
  </si>
  <si>
    <t>Hygrometer</t>
  </si>
  <si>
    <t>a0Ka000000AT68kEAD</t>
  </si>
  <si>
    <t>Hygrometer - Vaisala HMI41 &amp; HMP46 - H1931085, H2330003</t>
  </si>
  <si>
    <t>HYG3</t>
  </si>
  <si>
    <t>H1931085, H2330003</t>
  </si>
  <si>
    <t>a0K1400000RVmtfEAD</t>
  </si>
  <si>
    <t>Resistor Calibration Kit - Atlas Ci3000 Weather-Ometer Calibration Kit - RCK1</t>
  </si>
  <si>
    <t>Atlas Ci3000 Weather-Ometer Calibration Kit</t>
  </si>
  <si>
    <t>Resistor Calibration Kit</t>
  </si>
  <si>
    <t>RCK1</t>
  </si>
  <si>
    <t>a0Ka000000FQc3zEAD</t>
  </si>
  <si>
    <t>Thermo-hygrometer - ACU-RITE No. 00309SBDI - JGIJS02 (KF)</t>
  </si>
  <si>
    <t>ACU-RITE No. 00309SBDI</t>
  </si>
  <si>
    <t>Thermo-hygrometer</t>
  </si>
  <si>
    <t>THG19</t>
  </si>
  <si>
    <t>JGIJS02 (KF)</t>
  </si>
  <si>
    <t>a0Ka000000DLa9HEAT</t>
  </si>
  <si>
    <t>a0Ka000000BkoGKEAZ</t>
  </si>
  <si>
    <t>Thermo-hygrometer - Brookstone - JGI-EJ-BR1 (DT)</t>
  </si>
  <si>
    <t>Brookstone</t>
  </si>
  <si>
    <t>THG8</t>
  </si>
  <si>
    <t>JGI-EJ-BR1 (DT)</t>
  </si>
  <si>
    <t>a0Ka000000BAgI0EAL</t>
  </si>
  <si>
    <t>Thermo-hygrometer - Radio Shack 63-1032 - 02A04-2 (EW)</t>
  </si>
  <si>
    <t>Radio Shack 63-1032</t>
  </si>
  <si>
    <t>THG6</t>
  </si>
  <si>
    <t>02A04-2 (EW)</t>
  </si>
  <si>
    <t>a0Ka000000JJgEPEA1</t>
  </si>
  <si>
    <t>SEOH</t>
  </si>
  <si>
    <t>THG20</t>
  </si>
  <si>
    <t>a0Ka000000JJgEjEAL</t>
  </si>
  <si>
    <t>Thermo-hygrometer - SEOH - THG22 (MC)</t>
  </si>
  <si>
    <t>THG22</t>
  </si>
  <si>
    <t>THG22 (MC)</t>
  </si>
  <si>
    <t>Thermocouple Probe</t>
  </si>
  <si>
    <t>a0K1400000NFborEAD</t>
  </si>
  <si>
    <t>Thermocouple Probe -  - JQSS-18U-18, -12A, -12B</t>
  </si>
  <si>
    <t>JQSS-18U</t>
  </si>
  <si>
    <t>JQSS-18U-18, -12A, -12B</t>
  </si>
  <si>
    <t>a0K1400000OJliiEAD</t>
  </si>
  <si>
    <t>Thermocouple Probe Set -  - SAT Probes</t>
  </si>
  <si>
    <t>Thermocouple Probe Set</t>
  </si>
  <si>
    <t>SAT1</t>
  </si>
  <si>
    <t>SAT Probes</t>
  </si>
  <si>
    <t>a0Ka000000CKp30EAD</t>
  </si>
  <si>
    <t>Thermocouple Probes</t>
  </si>
  <si>
    <t>TP120</t>
  </si>
  <si>
    <t>LTS3</t>
  </si>
  <si>
    <t>Salt Bath</t>
  </si>
  <si>
    <t>a0Ka000000CRh3rEAD</t>
  </si>
  <si>
    <t>Thermocouple Probes - Salt Bath - SBP Set 1</t>
  </si>
  <si>
    <t>SBP1</t>
  </si>
  <si>
    <t>SBP Set 1</t>
  </si>
  <si>
    <t>a0Ka000000CKpCqEAL</t>
  </si>
  <si>
    <t>Thermocouple Probes - Salt Bath - SBP Set 2</t>
  </si>
  <si>
    <t>SBP2</t>
  </si>
  <si>
    <t>SBP Set 2</t>
  </si>
  <si>
    <t>a0K1400000QGe5OEAT</t>
  </si>
  <si>
    <t>Thermocouple Wire Set</t>
  </si>
  <si>
    <t>ENV1</t>
  </si>
  <si>
    <t>a0Ka000000CKNtyEAH</t>
  </si>
  <si>
    <t>TWJ01</t>
  </si>
  <si>
    <t>J01-J24</t>
  </si>
  <si>
    <t>a0Ka000000CKpAkEAL</t>
  </si>
  <si>
    <t>TWJ10</t>
  </si>
  <si>
    <t>J101-J110</t>
  </si>
  <si>
    <t>a0Ka000000CKpCWEA1</t>
  </si>
  <si>
    <t>TWJ11</t>
  </si>
  <si>
    <t>J111-J120</t>
  </si>
  <si>
    <t>a0Ka000000CIz1jEAD</t>
  </si>
  <si>
    <t>TWJ20</t>
  </si>
  <si>
    <t>J201-J214</t>
  </si>
  <si>
    <t>a0Ka000000CKNt0EAH</t>
  </si>
  <si>
    <t>TWJ30</t>
  </si>
  <si>
    <t>J301-J314</t>
  </si>
  <si>
    <t>a0Ka000000CKp5zEAD</t>
  </si>
  <si>
    <t>TWJ50</t>
  </si>
  <si>
    <t>J501-J514</t>
  </si>
  <si>
    <t>a0Ka000000CKpABEA1</t>
  </si>
  <si>
    <t>TWJ60</t>
  </si>
  <si>
    <t>J601-J610</t>
  </si>
  <si>
    <t>a0Ka000000CKpBiEAL</t>
  </si>
  <si>
    <t>TWJ70</t>
  </si>
  <si>
    <t>J701-J710</t>
  </si>
  <si>
    <t>a0Ka000000CKNtUEAX</t>
  </si>
  <si>
    <t>TWJ80</t>
  </si>
  <si>
    <t>J801-J816</t>
  </si>
  <si>
    <t>a0Ka000000CKp8UEAT</t>
  </si>
  <si>
    <t>TWK01</t>
  </si>
  <si>
    <t>a0K1400000QmhLYEAZ</t>
  </si>
  <si>
    <t>K101 - K110</t>
  </si>
  <si>
    <t>a0Ka000000Cz2m9EAB</t>
  </si>
  <si>
    <t>TWK20</t>
  </si>
  <si>
    <t>K201-K214</t>
  </si>
  <si>
    <t>a0Ka000000CKNtoEAH</t>
  </si>
  <si>
    <t>TWK30</t>
  </si>
  <si>
    <t>K301-K314</t>
  </si>
  <si>
    <t>a0Ka000000CKp7CEAT</t>
  </si>
  <si>
    <t>TWK40</t>
  </si>
  <si>
    <t>K401-K416</t>
  </si>
  <si>
    <t>a0K1400000RsffxEAB</t>
  </si>
  <si>
    <t>a0Ka000000CKp8jEAD</t>
  </si>
  <si>
    <t>TWK52</t>
  </si>
  <si>
    <t>K521-K534</t>
  </si>
  <si>
    <t>a0Ka000000CKp9mEAD</t>
  </si>
  <si>
    <t>TWK60</t>
  </si>
  <si>
    <t>K601-K610</t>
  </si>
  <si>
    <t>a0Ka000000CKp98EAD</t>
  </si>
  <si>
    <t>TWK70</t>
  </si>
  <si>
    <t>K701-K710</t>
  </si>
  <si>
    <t>a0Ka000000Cz2lkEAB</t>
  </si>
  <si>
    <t>TWK80</t>
  </si>
  <si>
    <t>K801-K816</t>
  </si>
  <si>
    <t>a0Ka000000Cz2nCEAR</t>
  </si>
  <si>
    <t>TWK90</t>
  </si>
  <si>
    <t>K901-K910</t>
  </si>
  <si>
    <t>a0Ka000000C6JdAEAV</t>
  </si>
  <si>
    <t>TWN01</t>
  </si>
  <si>
    <t>a0K1400000NXwyFEAT</t>
  </si>
  <si>
    <t>TWN10</t>
  </si>
  <si>
    <t>N101-N112</t>
  </si>
  <si>
    <t>a0Ka000000Cz2l1EAB</t>
  </si>
  <si>
    <t>TWN21</t>
  </si>
  <si>
    <t>N21-N34</t>
  </si>
  <si>
    <t>a0K1400000L8V5zEAF</t>
  </si>
  <si>
    <t>Thermocouple Wire Spools - CBL-20-JJ-FEP-FEP-NC, CBL-20-JJ-G-G-NC -</t>
  </si>
  <si>
    <t>CBL-20-JJ-FEP-FEP-NC, CBL-20-JJ-G-G-NC</t>
  </si>
  <si>
    <t>Thermocouple Wire Spools</t>
  </si>
  <si>
    <t>a0K1400000L7b4qEAB</t>
  </si>
  <si>
    <t>Thermocouple Wire Spools - CBL-20-KK-FEP-FEP-NC -</t>
  </si>
  <si>
    <t>CBL-20-KK-FEP-FEP-NC</t>
  </si>
  <si>
    <t>a0K1400000L8V0bEAF</t>
  </si>
  <si>
    <t>Thermocouple Wire Spools - CBL-20-KK-SG(YWRD)-SG(TYW)-NC -</t>
  </si>
  <si>
    <t>CBL-20-KK-SG(YWRD)-SG(TYW)-NC</t>
  </si>
  <si>
    <t>a0Ka000000C73CnEAJ</t>
  </si>
  <si>
    <t>Thermocouple Wire Spools - J20-2-TT -</t>
  </si>
  <si>
    <t>J20-2-TT</t>
  </si>
  <si>
    <t>a0K1400000PiX3qEAF</t>
  </si>
  <si>
    <t>Thermocouple Wire Spools - K20-2-HC -</t>
  </si>
  <si>
    <t>K20-2-HC</t>
  </si>
  <si>
    <t>a0K1400000Rsf4XEAR</t>
  </si>
  <si>
    <t>Thermocouple Wire Spools - T20-2-T -</t>
  </si>
  <si>
    <t>T20-2-T</t>
  </si>
  <si>
    <t>Timer</t>
  </si>
  <si>
    <t>a0Ka000000BBmSgEAL</t>
  </si>
  <si>
    <t>SPER 810035</t>
  </si>
  <si>
    <t>T2</t>
  </si>
  <si>
    <t>a0Ka000000CI6N5EAL</t>
  </si>
  <si>
    <t>Timer - Sportline 2787 - L271 (JC)</t>
  </si>
  <si>
    <t>Sportline 2787</t>
  </si>
  <si>
    <t>T4</t>
  </si>
  <si>
    <t>L271 (JC)</t>
  </si>
  <si>
    <t>a0Ka000000DLSmHEAX</t>
  </si>
  <si>
    <t>Data Acquisition System - DAQBOOK/2005 - 807705 (J3)</t>
  </si>
  <si>
    <t>807705 (J3)</t>
  </si>
  <si>
    <t>WireSets</t>
  </si>
  <si>
    <t>Hygrometers</t>
  </si>
  <si>
    <t>Standard_1__c</t>
  </si>
  <si>
    <t>Standard_2__c</t>
  </si>
  <si>
    <t>Standard_3__c</t>
  </si>
  <si>
    <t>Standard_4__c</t>
  </si>
  <si>
    <t>Standard_5__c</t>
  </si>
  <si>
    <t>Standard_6__c</t>
  </si>
  <si>
    <t>Standard_7__c</t>
  </si>
  <si>
    <t>RecordTypeId</t>
  </si>
  <si>
    <t>Item__c</t>
  </si>
  <si>
    <t>Shop_Traveler__c</t>
  </si>
  <si>
    <t>Id</t>
  </si>
  <si>
    <t>Below temperature values include all correction factors</t>
  </si>
  <si>
    <t>ST_Number</t>
  </si>
  <si>
    <t>Results__c</t>
  </si>
  <si>
    <t>NV002__c</t>
  </si>
  <si>
    <t>ResultText002__c</t>
  </si>
  <si>
    <t>NV003__c</t>
  </si>
  <si>
    <t>ResultText003__c</t>
  </si>
  <si>
    <t>ResultsID</t>
  </si>
  <si>
    <t>Spreadsheet_Check__c</t>
  </si>
  <si>
    <t>Result002__c</t>
  </si>
  <si>
    <t>Tol002__c</t>
  </si>
  <si>
    <t>Avg002__c</t>
  </si>
  <si>
    <t>Result003__c</t>
  </si>
  <si>
    <t>Tol003__c</t>
  </si>
  <si>
    <t>Avg003__c</t>
  </si>
  <si>
    <t>TUS_Test_Temperature__c</t>
  </si>
  <si>
    <t>TUS_Set_Point__c</t>
  </si>
  <si>
    <t>TUS_Overshoot__c</t>
  </si>
  <si>
    <t>TUS_Thermocouples_In__c</t>
  </si>
  <si>
    <t>TUS_Lag_Time__c</t>
  </si>
  <si>
    <t>TUS_Recovery_Time__c</t>
  </si>
  <si>
    <t>TUS_Overall_Uniformity__c</t>
  </si>
  <si>
    <t>TUS_Equipment_Load__c</t>
  </si>
  <si>
    <t>TUS_Uncertainty__c</t>
  </si>
  <si>
    <t>Comments__c</t>
  </si>
  <si>
    <t>NV001__c</t>
  </si>
  <si>
    <t>ResultText001__c</t>
  </si>
  <si>
    <t>Result001__c</t>
  </si>
  <si>
    <t>Tol001__c</t>
  </si>
  <si>
    <t>Avg001__c</t>
  </si>
  <si>
    <t>NV004__c</t>
  </si>
  <si>
    <t>ResultText004__c</t>
  </si>
  <si>
    <t>Result004__c</t>
  </si>
  <si>
    <t>Tol004__c</t>
  </si>
  <si>
    <t>Avg004__c</t>
  </si>
  <si>
    <t>NV005__c</t>
  </si>
  <si>
    <t>ResultText005__c</t>
  </si>
  <si>
    <t>Result005__c</t>
  </si>
  <si>
    <t>Tol005__c</t>
  </si>
  <si>
    <t>Avg005__c</t>
  </si>
  <si>
    <t>NV006__c</t>
  </si>
  <si>
    <t>ResultText006__c</t>
  </si>
  <si>
    <t>Result006__c</t>
  </si>
  <si>
    <t>Tol006__c</t>
  </si>
  <si>
    <t>Avg006__c</t>
  </si>
  <si>
    <t>NV007__c</t>
  </si>
  <si>
    <t>ResultText007__c</t>
  </si>
  <si>
    <t>Result007__c</t>
  </si>
  <si>
    <t>Tol007__c</t>
  </si>
  <si>
    <t>Avg007__c</t>
  </si>
  <si>
    <t>NV008__c</t>
  </si>
  <si>
    <t>ResultText008__c</t>
  </si>
  <si>
    <t>Result008__c</t>
  </si>
  <si>
    <t>Tol008__c</t>
  </si>
  <si>
    <t>Avg008__c</t>
  </si>
  <si>
    <t>NV009__c</t>
  </si>
  <si>
    <t>ResultText009__c</t>
  </si>
  <si>
    <t>Result009__c</t>
  </si>
  <si>
    <t>Tol009__c</t>
  </si>
  <si>
    <t>Avg009__c</t>
  </si>
  <si>
    <t>NV010__c</t>
  </si>
  <si>
    <t>ResultText010__c</t>
  </si>
  <si>
    <t>Result010__c</t>
  </si>
  <si>
    <t>Tol010__c</t>
  </si>
  <si>
    <t>Avg010__c</t>
  </si>
  <si>
    <t>NV011__c</t>
  </si>
  <si>
    <t>ResultText011__c</t>
  </si>
  <si>
    <t>Result011__c</t>
  </si>
  <si>
    <t>Tol011__c</t>
  </si>
  <si>
    <t>Avg011__c</t>
  </si>
  <si>
    <t>NV012__c</t>
  </si>
  <si>
    <t>ResultText012__c</t>
  </si>
  <si>
    <t>Result012__c</t>
  </si>
  <si>
    <t>Tol012__c</t>
  </si>
  <si>
    <t>Avg012__c</t>
  </si>
  <si>
    <t>NV013__c</t>
  </si>
  <si>
    <t>ResultText013__c</t>
  </si>
  <si>
    <t>Result013__c</t>
  </si>
  <si>
    <t>Tol013__c</t>
  </si>
  <si>
    <t>Avg013__c</t>
  </si>
  <si>
    <t>NV014__c</t>
  </si>
  <si>
    <t>ResultText014__c</t>
  </si>
  <si>
    <t>Result014__c</t>
  </si>
  <si>
    <t>Tol014__c</t>
  </si>
  <si>
    <t>Avg014__c</t>
  </si>
  <si>
    <t>NV015__c</t>
  </si>
  <si>
    <t>ResultText015__c</t>
  </si>
  <si>
    <t>Result015__c</t>
  </si>
  <si>
    <t>Tol015__c</t>
  </si>
  <si>
    <t>Avg015__c</t>
  </si>
  <si>
    <t>NV016__c</t>
  </si>
  <si>
    <t>ResultText016__c</t>
  </si>
  <si>
    <t>Result016__c</t>
  </si>
  <si>
    <t>Tol016__c</t>
  </si>
  <si>
    <t>Avg016__c</t>
  </si>
  <si>
    <t>NV017__c</t>
  </si>
  <si>
    <t>ResultText017__c</t>
  </si>
  <si>
    <t>Result017__c</t>
  </si>
  <si>
    <t>Tol017__c</t>
  </si>
  <si>
    <t>Avg017__c</t>
  </si>
  <si>
    <t>NV018__c</t>
  </si>
  <si>
    <t>ResultText018__c</t>
  </si>
  <si>
    <t>Result018__c</t>
  </si>
  <si>
    <t>Tol018__c</t>
  </si>
  <si>
    <t>Avg018__c</t>
  </si>
  <si>
    <t>NV019__c</t>
  </si>
  <si>
    <t>ResultText019__c</t>
  </si>
  <si>
    <t>Result019__c</t>
  </si>
  <si>
    <t>Tol019__c</t>
  </si>
  <si>
    <t>Avg019__c</t>
  </si>
  <si>
    <t>NV020__c</t>
  </si>
  <si>
    <t>ResultText020__c</t>
  </si>
  <si>
    <t>Result020__c</t>
  </si>
  <si>
    <t>Tol020__c</t>
  </si>
  <si>
    <t>Avg020__c</t>
  </si>
  <si>
    <t>NV021__c</t>
  </si>
  <si>
    <t>ResultText021__c</t>
  </si>
  <si>
    <t>Result021__c</t>
  </si>
  <si>
    <t>Tol021__c</t>
  </si>
  <si>
    <t>Avg021__c</t>
  </si>
  <si>
    <t>NV022__c</t>
  </si>
  <si>
    <t>ResultText022__c</t>
  </si>
  <si>
    <t>Result022__c</t>
  </si>
  <si>
    <t>Tol022__c</t>
  </si>
  <si>
    <t>Avg022__c</t>
  </si>
  <si>
    <t>NV023__c</t>
  </si>
  <si>
    <t>ResultText023__c</t>
  </si>
  <si>
    <t>Result023__c</t>
  </si>
  <si>
    <t>Tol023__c</t>
  </si>
  <si>
    <t>Avg023__c</t>
  </si>
  <si>
    <t>NV024__c</t>
  </si>
  <si>
    <t>ResultText024__c</t>
  </si>
  <si>
    <t>Result024__c</t>
  </si>
  <si>
    <t>Tol024__c</t>
  </si>
  <si>
    <t>Avg024__c</t>
  </si>
  <si>
    <t>NV025__c</t>
  </si>
  <si>
    <t>ResultText025__c</t>
  </si>
  <si>
    <t>Result025__c</t>
  </si>
  <si>
    <t>Tol025__c</t>
  </si>
  <si>
    <t>Avg025__c</t>
  </si>
  <si>
    <t>NV026__c</t>
  </si>
  <si>
    <t>ResultText026__c</t>
  </si>
  <si>
    <t>Result026__c</t>
  </si>
  <si>
    <t>Tol026__c</t>
  </si>
  <si>
    <t>Avg026__c</t>
  </si>
  <si>
    <t>NV027__c</t>
  </si>
  <si>
    <t>ResultText027__c</t>
  </si>
  <si>
    <t>Result027__c</t>
  </si>
  <si>
    <t>Tol027__c</t>
  </si>
  <si>
    <t>Avg027__c</t>
  </si>
  <si>
    <t>NV028__c</t>
  </si>
  <si>
    <t>ResultText028__c</t>
  </si>
  <si>
    <t>Result028__c</t>
  </si>
  <si>
    <t>Tol028__c</t>
  </si>
  <si>
    <t>Avg028__c</t>
  </si>
  <si>
    <t>NV029__c</t>
  </si>
  <si>
    <t>ResultText029__c</t>
  </si>
  <si>
    <t>Result029__c</t>
  </si>
  <si>
    <t>Tol029__c</t>
  </si>
  <si>
    <t>Avg029__c</t>
  </si>
  <si>
    <t>NV030__c</t>
  </si>
  <si>
    <t>ResultText030__c</t>
  </si>
  <si>
    <t>Result030__c</t>
  </si>
  <si>
    <t>Tol030__c</t>
  </si>
  <si>
    <t>Avg030__c</t>
  </si>
  <si>
    <t>NV031__c</t>
  </si>
  <si>
    <t>ResultText031__c</t>
  </si>
  <si>
    <t>Result031__c</t>
  </si>
  <si>
    <t>Tol031__c</t>
  </si>
  <si>
    <t>Avg031__c</t>
  </si>
  <si>
    <t>NV032__c</t>
  </si>
  <si>
    <t>ResultText032__c</t>
  </si>
  <si>
    <t>Result032__c</t>
  </si>
  <si>
    <t>Tol032__c</t>
  </si>
  <si>
    <t>Avg032__c</t>
  </si>
  <si>
    <t>NV033__c</t>
  </si>
  <si>
    <t>ResultText033__c</t>
  </si>
  <si>
    <t>Result033__c</t>
  </si>
  <si>
    <t>Tol033__c</t>
  </si>
  <si>
    <t>Avg033__c</t>
  </si>
  <si>
    <t>NV034__c</t>
  </si>
  <si>
    <t>ResultText034__c</t>
  </si>
  <si>
    <t>Result034__c</t>
  </si>
  <si>
    <t>Tol034__c</t>
  </si>
  <si>
    <t>Avg034__c</t>
  </si>
  <si>
    <t>NV035__c</t>
  </si>
  <si>
    <t>ResultText035__c</t>
  </si>
  <si>
    <t>Result035__c</t>
  </si>
  <si>
    <t>Tol035__c</t>
  </si>
  <si>
    <t>Avg035__c</t>
  </si>
  <si>
    <t>NV036__c</t>
  </si>
  <si>
    <t>ResultText036__c</t>
  </si>
  <si>
    <t>Result036__c</t>
  </si>
  <si>
    <t>Tol036__c</t>
  </si>
  <si>
    <t>Avg036__c</t>
  </si>
  <si>
    <t>NV037__c</t>
  </si>
  <si>
    <t>ResultText037__c</t>
  </si>
  <si>
    <t>Result037__c</t>
  </si>
  <si>
    <t>Tol037__c</t>
  </si>
  <si>
    <t>Avg037__c</t>
  </si>
  <si>
    <t>NV038__c</t>
  </si>
  <si>
    <t>ResultText038__c</t>
  </si>
  <si>
    <t>Result038__c</t>
  </si>
  <si>
    <t>Tol038__c</t>
  </si>
  <si>
    <t>Avg038__c</t>
  </si>
  <si>
    <t>NV039__c</t>
  </si>
  <si>
    <t>ResultText039__c</t>
  </si>
  <si>
    <t>Result039__c</t>
  </si>
  <si>
    <t>Tol039__c</t>
  </si>
  <si>
    <t>Avg039__c</t>
  </si>
  <si>
    <t>NV040__c</t>
  </si>
  <si>
    <t>ResultText040__c</t>
  </si>
  <si>
    <t>Result040__c</t>
  </si>
  <si>
    <t>Tol040__c</t>
  </si>
  <si>
    <t>Avg040__c</t>
  </si>
  <si>
    <t>A2LA__c</t>
  </si>
  <si>
    <t>Form__c</t>
  </si>
  <si>
    <t>Form_Revision__c</t>
  </si>
  <si>
    <t>Uncertainty_Statement__c</t>
  </si>
  <si>
    <t>Temperature Uniformity Survey</t>
  </si>
  <si>
    <t>Written_Procedure_1__c </t>
  </si>
  <si>
    <t>WP4100</t>
  </si>
  <si>
    <t>a0Ka000000AfWunEAF</t>
  </si>
  <si>
    <t>Manometer - Meriam D0020IW - 190830-A1</t>
  </si>
  <si>
    <t>Meriam D0020IW</t>
  </si>
  <si>
    <t>Manometer</t>
  </si>
  <si>
    <t>MAN1</t>
  </si>
  <si>
    <t>190830-A1</t>
  </si>
  <si>
    <t>a0Ka000000DLMuyEAH</t>
  </si>
  <si>
    <t>Pressure Gage, Digital - Crystal Digital 500PSIXP2I - 355114</t>
  </si>
  <si>
    <t>Crystal Digital 500PSIXP2I</t>
  </si>
  <si>
    <t>Pressure Gage, Digital</t>
  </si>
  <si>
    <t>PRG3</t>
  </si>
  <si>
    <t>Thermo-hygrometer - SEOH - THG20 (RL)</t>
  </si>
  <si>
    <t>THG20 (RL)</t>
  </si>
  <si>
    <t>a0K1O00000TfUUWUA3</t>
  </si>
  <si>
    <t>Sportline 228</t>
  </si>
  <si>
    <t>T15</t>
  </si>
  <si>
    <t>a0K1O00000TfUUbUAN</t>
  </si>
  <si>
    <t>T16</t>
  </si>
  <si>
    <t>a0t1O00000AiyI7QAJ</t>
  </si>
  <si>
    <t>0121O0000018IHWQA2</t>
  </si>
  <si>
    <t>3P PROCESSING, INC.</t>
  </si>
  <si>
    <t>0013000000qCN3fAAG</t>
  </si>
  <si>
    <t>OVEN NO. 1</t>
  </si>
  <si>
    <t>a0g1O00000BWEacQAH</t>
  </si>
  <si>
    <t>OVEN NO. 7</t>
  </si>
  <si>
    <t>a0g1O00000BWEadQAH</t>
  </si>
  <si>
    <t>OVEN NO. 8</t>
  </si>
  <si>
    <t>a0g1O00000BWEaeQAH</t>
  </si>
  <si>
    <t>OVEN NO. 6</t>
  </si>
  <si>
    <t>a0g1O00000BWEafQAH</t>
  </si>
  <si>
    <t>OVEN NO. 4</t>
  </si>
  <si>
    <t>a0g1O00000BWEagQAH</t>
  </si>
  <si>
    <t>LAB FURNACE</t>
  </si>
  <si>
    <t>a0g1O00000BWEahQAH</t>
  </si>
  <si>
    <t>OVEN NO. 5</t>
  </si>
  <si>
    <t>a0g1O00000BWEaoQAH</t>
  </si>
  <si>
    <t>OVEN NO. 11</t>
  </si>
  <si>
    <t>a0g1O00000BWEajQAH</t>
  </si>
  <si>
    <t>OVEN NO. 12</t>
  </si>
  <si>
    <t>a0g1O00000BWEakQAH</t>
  </si>
  <si>
    <t>OVEN NO. 2</t>
  </si>
  <si>
    <t>a0g1O00000BWEalQAH</t>
  </si>
  <si>
    <t>OVEN NO. 3</t>
  </si>
  <si>
    <t>a0g1O00000BWEamQAH</t>
  </si>
  <si>
    <t>OVEN NO. 9</t>
  </si>
  <si>
    <t>a0g1O00000BWEanQAH</t>
  </si>
  <si>
    <t>OVEN NO. 10</t>
  </si>
  <si>
    <t>a0g1O00000BWEaiQAH</t>
  </si>
  <si>
    <t>AADFW, INC.</t>
  </si>
  <si>
    <t>001a000001KdBr3AAF</t>
  </si>
  <si>
    <t>a0g1O00000BWEaqQAH</t>
  </si>
  <si>
    <t>a0g1O00000BWEapQAH</t>
  </si>
  <si>
    <t>AERO METAL FORMS, INC.</t>
  </si>
  <si>
    <t>0013000000qCN3UAAW</t>
  </si>
  <si>
    <t>a0g1O00000BWEasQAH</t>
  </si>
  <si>
    <t>a0g1O00000BWEarQAH</t>
  </si>
  <si>
    <t>QUINCY OVEN</t>
  </si>
  <si>
    <t>a0g1O00000BWEatQAH</t>
  </si>
  <si>
    <t>AEROSPACE TESTING SERVICES</t>
  </si>
  <si>
    <t>001a000001CFxpHAAT</t>
  </si>
  <si>
    <t>ATS0115</t>
  </si>
  <si>
    <t>a0g1O00000BWEavQAH</t>
  </si>
  <si>
    <t>ATS0013</t>
  </si>
  <si>
    <t>a0g1O00000BWEauQAH</t>
  </si>
  <si>
    <t>AIR CAPITAL INTERIORS</t>
  </si>
  <si>
    <t>0011400001mAz2YAAS</t>
  </si>
  <si>
    <t>SPRAY BOOTH NO. 1</t>
  </si>
  <si>
    <t>a0g1O00000BWEawQAH</t>
  </si>
  <si>
    <t>AIR CAPITAL NDI</t>
  </si>
  <si>
    <t>0011400001kELIFAA4</t>
  </si>
  <si>
    <t>AIR CAPITAL NDI OVEN</t>
  </si>
  <si>
    <t>a0g1O00000BWEaxQAH</t>
  </si>
  <si>
    <t>AIRCRAFT &amp; COMMERCIAL ENT.</t>
  </si>
  <si>
    <t>0013000000qCMzBAAW</t>
  </si>
  <si>
    <t>a0g1O00000BWEayQAH</t>
  </si>
  <si>
    <t>APEX COMPOSITES - OKLAHOMA DIV.</t>
  </si>
  <si>
    <t>0013000000qCN2fAAG</t>
  </si>
  <si>
    <t>a0g1O00000BWEb4QAH</t>
  </si>
  <si>
    <t>AEI-244</t>
  </si>
  <si>
    <t>a0g1O00000BWEb3QAH</t>
  </si>
  <si>
    <t>a0g1O00000BWEb2QAH</t>
  </si>
  <si>
    <t>AUTOCLAVE NO. 3</t>
  </si>
  <si>
    <t>a0g1O00000BWEb1QAH</t>
  </si>
  <si>
    <t>AUTOCLAVE NO. 1</t>
  </si>
  <si>
    <t>a0g1O00000BWEb0QAH</t>
  </si>
  <si>
    <t>a0g1O00000BWEb5QAH</t>
  </si>
  <si>
    <t>a0g1O00000BWEb6QAH</t>
  </si>
  <si>
    <t>APEX ENGINEERING WICHITA DIV.</t>
  </si>
  <si>
    <t>0013000000qCN48AAG</t>
  </si>
  <si>
    <t>AEI-650 GRIEVE OVEN</t>
  </si>
  <si>
    <t>a0g1O00000BWEb7QAH</t>
  </si>
  <si>
    <t>AEI-060</t>
  </si>
  <si>
    <t>a0g1O00000BWEb8QAH</t>
  </si>
  <si>
    <t>AEI-129 FREEZER</t>
  </si>
  <si>
    <t>a0g1O00000BWEbHQAX</t>
  </si>
  <si>
    <t>AEI-243</t>
  </si>
  <si>
    <t>a0g1O00000BWEbGQAX</t>
  </si>
  <si>
    <t>AEI-113</t>
  </si>
  <si>
    <t>a0g1O00000BWEbFQAX</t>
  </si>
  <si>
    <t>a0g1O00000BWEb9QAH</t>
  </si>
  <si>
    <t>a0g1O00000BWEbAQAX</t>
  </si>
  <si>
    <t>a0g1O00000BWEbBQAX</t>
  </si>
  <si>
    <t>AEI-585</t>
  </si>
  <si>
    <t>a0g1O00000BWEbCQAX</t>
  </si>
  <si>
    <t>AEI-324</t>
  </si>
  <si>
    <t>a0g1O00000BWEbDQAX</t>
  </si>
  <si>
    <t>a0g1O00000BWEbEQAX</t>
  </si>
  <si>
    <t>APPH WICHITA, INC.</t>
  </si>
  <si>
    <t>0013000000qCN4iAAG</t>
  </si>
  <si>
    <t>UNASSIGNED</t>
  </si>
  <si>
    <t>a0g1O00000BWEbJQAX</t>
  </si>
  <si>
    <t>917-195</t>
  </si>
  <si>
    <t>a0g1O00000BWEbIQAX</t>
  </si>
  <si>
    <t>ASSOCIATED INDUSTRIES, INC.</t>
  </si>
  <si>
    <t>0013000000qCN1AAAW</t>
  </si>
  <si>
    <t>COLD STORAGE NO. 1</t>
  </si>
  <si>
    <t>a0g1O00000BWEbKQAX</t>
  </si>
  <si>
    <t>FREEZER NO. 1</t>
  </si>
  <si>
    <t>a0g1O00000BWEbLQAX</t>
  </si>
  <si>
    <t>BLANCHAT MACHINE</t>
  </si>
  <si>
    <t>0013000000qCMxWAAW</t>
  </si>
  <si>
    <t>a0g1O00000BWEbQQAX</t>
  </si>
  <si>
    <t>BODYCOTE THERMAL PROCESSING, INC.-McLEAN</t>
  </si>
  <si>
    <t>0013000000qCN3kAAG</t>
  </si>
  <si>
    <t>a0g1O00000BWEbbQAH</t>
  </si>
  <si>
    <t>a0g1O00000BWEbcQAH</t>
  </si>
  <si>
    <t>a0g1O00000BWEbdQAH</t>
  </si>
  <si>
    <t>a0g1O00000BWEbeQAH</t>
  </si>
  <si>
    <t>a0g1O00000BWEbfQAH</t>
  </si>
  <si>
    <t>a0g1O00000BWEbgQAH</t>
  </si>
  <si>
    <t>a0g1O00000BWEbhQAH</t>
  </si>
  <si>
    <t>a0g1O00000BWEbiQAH</t>
  </si>
  <si>
    <t>a0g1O00000BWEbjQAH</t>
  </si>
  <si>
    <t>a0g1O00000BWEbkQAH</t>
  </si>
  <si>
    <t>a0g1O00000BWEbRQAX</t>
  </si>
  <si>
    <t>a0g1O00000BWEbSQAX</t>
  </si>
  <si>
    <t>a0g1O00000BWEbTQAX</t>
  </si>
  <si>
    <t>a0g1O00000BWEbUQAX</t>
  </si>
  <si>
    <t>a0g1O00000BWEbVQAX</t>
  </si>
  <si>
    <t>a0g1O00000BWEbWQAX</t>
  </si>
  <si>
    <t>a0g1O00000BWEbXQAX</t>
  </si>
  <si>
    <t>a0g1O00000BWEbYQAX</t>
  </si>
  <si>
    <t>a0g1O00000BWEbZQAX</t>
  </si>
  <si>
    <t>a0g1O00000BWEbaQAH</t>
  </si>
  <si>
    <t>BODYCOTE THERMAL PROCESSING, INC.-WEST</t>
  </si>
  <si>
    <t>0013000000qCN3zAAG</t>
  </si>
  <si>
    <t>a0g1O00000BWEboQAH</t>
  </si>
  <si>
    <t>a0g1O00000BWEc1QAH</t>
  </si>
  <si>
    <t>a0g1O00000BWEbmQAH</t>
  </si>
  <si>
    <t>a0g1O00000BWEblQAH</t>
  </si>
  <si>
    <t>a0g1O00000BWEbpQAH</t>
  </si>
  <si>
    <t>a0g1O00000BWEbqQAH</t>
  </si>
  <si>
    <t>a0g1O00000BWEbrQAH</t>
  </si>
  <si>
    <t>a0g1O00000BWEbsQAH</t>
  </si>
  <si>
    <t>a0g1O00000BWEbtQAH</t>
  </si>
  <si>
    <t>a0g1O00000BWEbuQAH</t>
  </si>
  <si>
    <t>a0g1O00000BWEbvQAH</t>
  </si>
  <si>
    <t>a0g1O00000BWEbwQAH</t>
  </si>
  <si>
    <t>a0g1O00000BWEbxQAH</t>
  </si>
  <si>
    <t>a0g1O00000BWEbyQAH</t>
  </si>
  <si>
    <t>a0g1O00000BWEbzQAH</t>
  </si>
  <si>
    <t>a0g1O00000BWEc0QAH</t>
  </si>
  <si>
    <t>a0g1O00000BWEbnQAH</t>
  </si>
  <si>
    <t>BOMBARDIER AEROSPACE - LEARJET DIVISION</t>
  </si>
  <si>
    <t>0013000000qCN0SAAW</t>
  </si>
  <si>
    <t>LARGE AGE OVEN</t>
  </si>
  <si>
    <t>a0g1O00000BWEc5QAH</t>
  </si>
  <si>
    <t>TAN-137-E</t>
  </si>
  <si>
    <t>a0g1O00000BWEc4QAH</t>
  </si>
  <si>
    <t>TAN-137-C</t>
  </si>
  <si>
    <t>a0g1O00000BWEc3QAH</t>
  </si>
  <si>
    <t>a0g1O00000BWEc2QAH</t>
  </si>
  <si>
    <t>a0g1O00000BWEc6QAH</t>
  </si>
  <si>
    <t>a0g1O00000BWEcIQAX</t>
  </si>
  <si>
    <t>BOO-102-A</t>
  </si>
  <si>
    <t>a0g1O00000BWEcHQAX</t>
  </si>
  <si>
    <t>a0g1O00000BWEcGQAX</t>
  </si>
  <si>
    <t>ARDROX OVEN</t>
  </si>
  <si>
    <t>a0g1O00000BWEcFQAX</t>
  </si>
  <si>
    <t>OVE-113-A</t>
  </si>
  <si>
    <t>a0g1O00000BWEcEQAX</t>
  </si>
  <si>
    <t>OVE-113-B</t>
  </si>
  <si>
    <t>a0g1O00000BWEcDQAX</t>
  </si>
  <si>
    <t>OVE-114-A</t>
  </si>
  <si>
    <t>a0g1O00000BWEcCQAX</t>
  </si>
  <si>
    <t>a0g1O00000BWEcBQAX</t>
  </si>
  <si>
    <t>OVE-127-A</t>
  </si>
  <si>
    <t>a0g1O00000BWEcAQAX</t>
  </si>
  <si>
    <t>OVE-112-A DROP BOTTOM</t>
  </si>
  <si>
    <t>a0g1O00000BWEc7QAH</t>
  </si>
  <si>
    <t>a0g1O00000BWEc8QAH</t>
  </si>
  <si>
    <t>a0g1O00000BWEc9QAH</t>
  </si>
  <si>
    <t>BURNHAM COMPOSITE STRUCTURES, INC.</t>
  </si>
  <si>
    <t>0013000000qCN4CAAW</t>
  </si>
  <si>
    <t>a0g1O00000BWEcOQAX</t>
  </si>
  <si>
    <t>CURING OVEN NO. 2</t>
  </si>
  <si>
    <t>a0g1O00000BWEcNQAX</t>
  </si>
  <si>
    <t>a0g1O00000BWEcMQAX</t>
  </si>
  <si>
    <t>a0g1O00000BWEcLQAX</t>
  </si>
  <si>
    <t>a0g1O00000BWEcSQAX</t>
  </si>
  <si>
    <t>a0g1O00000BWEcJQAX</t>
  </si>
  <si>
    <t>a0g1O00000BWEcRQAX</t>
  </si>
  <si>
    <t>a0g1O00000BWEcQQAX</t>
  </si>
  <si>
    <t>a0g1O00000BWEcPQAX</t>
  </si>
  <si>
    <t>AUTOCLAVE NO. 2</t>
  </si>
  <si>
    <t>a0g1O00000BWEcKQAX</t>
  </si>
  <si>
    <t>0013000000qCN3qAAG</t>
  </si>
  <si>
    <t>a0g1O00000BWEceQAH</t>
  </si>
  <si>
    <t>TANK NO. 104</t>
  </si>
  <si>
    <t>a0g1O00000BWEcdQAH</t>
  </si>
  <si>
    <t>TANK NO. 103</t>
  </si>
  <si>
    <t>a0g1O00000BWEccQAH</t>
  </si>
  <si>
    <t>DD146046</t>
  </si>
  <si>
    <t>a0g1O00000BWEcbQAH</t>
  </si>
  <si>
    <t>TANK NO. 101</t>
  </si>
  <si>
    <t>a0g1O00000BWEcaQAH</t>
  </si>
  <si>
    <t>AGE OVEN NO. 2</t>
  </si>
  <si>
    <t>a0g1O00000BWEcZQAX</t>
  </si>
  <si>
    <t>TANK NO. 110</t>
  </si>
  <si>
    <t>a0g1O00000BWEcfQAH</t>
  </si>
  <si>
    <t>a0g1O00000BWEcXQAX</t>
  </si>
  <si>
    <t>a0g1O00000BWEcWQAX</t>
  </si>
  <si>
    <t>a0g1O00000BWEcVQAX</t>
  </si>
  <si>
    <t>a0g1O00000BWEcUQAX</t>
  </si>
  <si>
    <t>AGE OVEN NO. 0</t>
  </si>
  <si>
    <t>a0g1O00000BWEcTQAX</t>
  </si>
  <si>
    <t>AGE OVEN NO. 1</t>
  </si>
  <si>
    <t>a0g1O00000BWEcYQAX</t>
  </si>
  <si>
    <t>CAPPS MANUFACTURING INC. - CUSTER</t>
  </si>
  <si>
    <t>0013000000qCN3rAAG</t>
  </si>
  <si>
    <t>CM00296</t>
  </si>
  <si>
    <t>a0g1O00000BWEcrQAH</t>
  </si>
  <si>
    <t>PAINT BAKE OVEN NO. 6</t>
  </si>
  <si>
    <t>a0g1O00000BWEcqQAH</t>
  </si>
  <si>
    <t>TANK NO. 118</t>
  </si>
  <si>
    <t>a0g1O00000BWEcoQAH</t>
  </si>
  <si>
    <t>TANK NO. 102</t>
  </si>
  <si>
    <t>a0g1O00000BWEcnQAH</t>
  </si>
  <si>
    <t>TANK NO. 117</t>
  </si>
  <si>
    <t>a0g1O00000BWEcmQAH</t>
  </si>
  <si>
    <t>TANK NO. 119</t>
  </si>
  <si>
    <t>a0g1O00000BWEclQAH</t>
  </si>
  <si>
    <t>TANK NO. 111</t>
  </si>
  <si>
    <t>a0g1O00000BWEckQAH</t>
  </si>
  <si>
    <t>a0g1O00000BWEcjQAH</t>
  </si>
  <si>
    <t>TANK NO. 109</t>
  </si>
  <si>
    <t>a0g1O00000BWEciQAH</t>
  </si>
  <si>
    <t>a0g1O00000BWEchQAH</t>
  </si>
  <si>
    <t>a0g1O00000BWEcgQAH</t>
  </si>
  <si>
    <t>CM00295 (OVEN NO. 2)</t>
  </si>
  <si>
    <t>a0g1O00000BWEcsQAH</t>
  </si>
  <si>
    <t>C-CPI-6054</t>
  </si>
  <si>
    <t>a0g1O00000BWEctQAH</t>
  </si>
  <si>
    <t>CELCO</t>
  </si>
  <si>
    <t>001a0000019ifTuAAI</t>
  </si>
  <si>
    <t>a0g1O00000BWEcuQAH</t>
  </si>
  <si>
    <t>CENTER INDUSTRIES CORP.</t>
  </si>
  <si>
    <t>0013000000qCN5XAAW</t>
  </si>
  <si>
    <t>CTR SALT BATH NO. 2</t>
  </si>
  <si>
    <t>a0g1O00000BWEcxQAH</t>
  </si>
  <si>
    <t>CTR AGE OVEN NO. 1</t>
  </si>
  <si>
    <t>a0g1O00000BWEcvQAH</t>
  </si>
  <si>
    <t>CTR AGE OVEN NO. 2</t>
  </si>
  <si>
    <t>a0g1O00000BWEcwQAH</t>
  </si>
  <si>
    <t>CENTRAL MACHINE &amp; TOOLING</t>
  </si>
  <si>
    <t>0013000000qCN22AAG</t>
  </si>
  <si>
    <t>AGE OVEN</t>
  </si>
  <si>
    <t>a0g1O00000BWEcyQAH</t>
  </si>
  <si>
    <t>DROP BOTTOM FURNACE</t>
  </si>
  <si>
    <t>a0g1O00000BWEczQAH</t>
  </si>
  <si>
    <t>a0g1O00000BWEd1QAH</t>
  </si>
  <si>
    <t>a0g1O00000BWEd2QAH</t>
  </si>
  <si>
    <t>a0g1O00000BWEd3QAH</t>
  </si>
  <si>
    <t>a0g1O00000BWEd0QAH</t>
  </si>
  <si>
    <t>CHARLES ENGINEERING</t>
  </si>
  <si>
    <t>0013000000qCN3SAAW</t>
  </si>
  <si>
    <t>108582A0313</t>
  </si>
  <si>
    <t>a0g1O00000BWEd5QAH</t>
  </si>
  <si>
    <t>a0g1O00000BWEd4QAH</t>
  </si>
  <si>
    <t>CHROME PLUS INTERNATIONAL - WICHITA</t>
  </si>
  <si>
    <t>0013000000qCN5GAAW</t>
  </si>
  <si>
    <t>a0g1O00000BWEdHQAX</t>
  </si>
  <si>
    <t>a0g1O00000BWEdGQAX</t>
  </si>
  <si>
    <t>W-CPI-4144</t>
  </si>
  <si>
    <t>a0g1O00000BWEdFQAX</t>
  </si>
  <si>
    <t>W-CPI-4143</t>
  </si>
  <si>
    <t>a0g1O00000BWEdEQAX</t>
  </si>
  <si>
    <t>a0g1O00000BWEdDQAX</t>
  </si>
  <si>
    <t>a0g1O00000BWEdCQAX</t>
  </si>
  <si>
    <t>a0g1O00000BWEdBQAX</t>
  </si>
  <si>
    <t>a0g1O00000BWEdAQAX</t>
  </si>
  <si>
    <t>W-CPI-3049</t>
  </si>
  <si>
    <t>a0g1O00000BWEd9QAH</t>
  </si>
  <si>
    <t>a0g1O00000BWEd8QAH</t>
  </si>
  <si>
    <t>a0g1O00000BWEd7QAH</t>
  </si>
  <si>
    <t>a0g1O00000BWEdIQAX</t>
  </si>
  <si>
    <t>OVEN NO. 5 (W-CPI-0335)</t>
  </si>
  <si>
    <t>a0g1O00000BWEd6QAH</t>
  </si>
  <si>
    <t>D-J AEROSPACE, INC. PHILIPPINES</t>
  </si>
  <si>
    <t>0013000000qCN15AAG</t>
  </si>
  <si>
    <t>a0g1O00000BWEdOQAX</t>
  </si>
  <si>
    <t>D-J ENGINEERING, INC.</t>
  </si>
  <si>
    <t>0013000000qCN36AAG</t>
  </si>
  <si>
    <t>MIS458</t>
  </si>
  <si>
    <t>a0g1O00000BWEdSQAX</t>
  </si>
  <si>
    <t>a0g1O00000BWEdRQAX</t>
  </si>
  <si>
    <t>a0g1O00000BWEdQQAX</t>
  </si>
  <si>
    <t>OVEN NO. 126912</t>
  </si>
  <si>
    <t>a0g1O00000BWEdPQAX</t>
  </si>
  <si>
    <t>BKE1</t>
  </si>
  <si>
    <t>a0g1O00000BWEdNQAX</t>
  </si>
  <si>
    <t>a0g1O00000BWEdMQAX</t>
  </si>
  <si>
    <t>D-J EXTRUDING</t>
  </si>
  <si>
    <t>0013000000qCN4lAAG</t>
  </si>
  <si>
    <t>a0g1O00000BWEdZQAX</t>
  </si>
  <si>
    <t>a0g1O00000BWEdYQAX</t>
  </si>
  <si>
    <t>a0g1O00000BWEdXQAX</t>
  </si>
  <si>
    <t>a0g1O00000BWEdWQAX</t>
  </si>
  <si>
    <t>ANNEAL FURNACE</t>
  </si>
  <si>
    <t>a0g1O00000BWEdUQAX</t>
  </si>
  <si>
    <t>a0g1O00000BWEdTQAX</t>
  </si>
  <si>
    <t>DIVERSIFIED SERVICES</t>
  </si>
  <si>
    <t>0013000000qCN3OAAW</t>
  </si>
  <si>
    <t>BAKE OVEN</t>
  </si>
  <si>
    <t>a0g1O00000BWEdJQAX</t>
  </si>
  <si>
    <t>a0g1O00000BWEdKQAX</t>
  </si>
  <si>
    <t>PAINT BAKE OVEN</t>
  </si>
  <si>
    <t>a0g1O00000BWEdLQAX</t>
  </si>
  <si>
    <t>DUCOMMUN AEROSTRUCTURES, INC.</t>
  </si>
  <si>
    <t>0013000000qCN5BAAW</t>
  </si>
  <si>
    <t>VAC-584</t>
  </si>
  <si>
    <t>a0g1O00000BWEdeQAH</t>
  </si>
  <si>
    <t>VAC-440</t>
  </si>
  <si>
    <t>a0g1O00000BWEddQAH</t>
  </si>
  <si>
    <t>VAC-439</t>
  </si>
  <si>
    <t>a0g1O00000BWEdcQAH</t>
  </si>
  <si>
    <t>VAC-438</t>
  </si>
  <si>
    <t>a0g1O00000BWEdbQAH</t>
  </si>
  <si>
    <t>a0g1O00000BWEdaQAH</t>
  </si>
  <si>
    <t>a0g1O00000BWEdlQAH</t>
  </si>
  <si>
    <t>STRESS RELIEF FURNACE</t>
  </si>
  <si>
    <t>a0g1O00000BWEdkQAH</t>
  </si>
  <si>
    <t>VAC-634</t>
  </si>
  <si>
    <t>a0g1O00000BWEdjQAH</t>
  </si>
  <si>
    <t>VAC-644</t>
  </si>
  <si>
    <t>a0g1O00000BWEdfQAH</t>
  </si>
  <si>
    <t>VAC-659</t>
  </si>
  <si>
    <t>a0g1O00000BWEdiQAH</t>
  </si>
  <si>
    <t>VAC-579</t>
  </si>
  <si>
    <t>a0g1O00000BWEdhQAH</t>
  </si>
  <si>
    <t>VAC-570</t>
  </si>
  <si>
    <t>a0g1O00000BWEdgQAH</t>
  </si>
  <si>
    <t>ELECTROMECH TECHNOLOGIES</t>
  </si>
  <si>
    <t>0013000000qCN5SAAW</t>
  </si>
  <si>
    <t>a0g1O00000BWEdnQAH</t>
  </si>
  <si>
    <t>a0g1O00000BWEdoQAH</t>
  </si>
  <si>
    <t>a0g1O00000BWEdmQAH</t>
  </si>
  <si>
    <t>a0g1O00000BWEdpQAH</t>
  </si>
  <si>
    <t>a0g1O00000BWEdqQAH</t>
  </si>
  <si>
    <t>a0g1O00000BWEdrQAH</t>
  </si>
  <si>
    <t>a0g1O00000BWEdsQAH</t>
  </si>
  <si>
    <t>a0g1O00000BWEdtQAH</t>
  </si>
  <si>
    <t>a0g1O00000BWEduQAH</t>
  </si>
  <si>
    <t>a0g1O00000BWEdvQAH</t>
  </si>
  <si>
    <t>a0g1O00000BWEdwQAH</t>
  </si>
  <si>
    <t>a0g1O00000BWEdxQAH</t>
  </si>
  <si>
    <t>FT622</t>
  </si>
  <si>
    <t>a0g1O00000BWEdyQAH</t>
  </si>
  <si>
    <t>ASSET A000080</t>
  </si>
  <si>
    <t>a0g1O00000BWEdzQAH</t>
  </si>
  <si>
    <t>a0g1O00000BWEe0QAH</t>
  </si>
  <si>
    <t>EXACTA AEROSPACE, INC.</t>
  </si>
  <si>
    <t>0013000000qCN5UAAW</t>
  </si>
  <si>
    <t>a0g1O00000BWEe1QAH</t>
  </si>
  <si>
    <t>STRESS RELIEF OVEN</t>
  </si>
  <si>
    <t>a0g1O00000BWEe2QAH</t>
  </si>
  <si>
    <t>FIGEAC AERO</t>
  </si>
  <si>
    <t>0013000000qCN39AAG</t>
  </si>
  <si>
    <t>FW-803</t>
  </si>
  <si>
    <t>a0g1O00000BWEe3QAH</t>
  </si>
  <si>
    <t>FW-801</t>
  </si>
  <si>
    <t>a0g1O00000BWEe4QAH</t>
  </si>
  <si>
    <t>FW-802</t>
  </si>
  <si>
    <t>a0g1O00000BWEe5QAH</t>
  </si>
  <si>
    <t>FW-805</t>
  </si>
  <si>
    <t>a0g1O00000BWEe6QAH</t>
  </si>
  <si>
    <t>FW-804</t>
  </si>
  <si>
    <t>a0g1O00000BWEe7QAH</t>
  </si>
  <si>
    <t>FW-806</t>
  </si>
  <si>
    <t>a0g1O00000BWEe8QAH</t>
  </si>
  <si>
    <t>a0g1O00000BWEe9QAH</t>
  </si>
  <si>
    <t>SW-032</t>
  </si>
  <si>
    <t>a0g1O00000BWEeAQAX</t>
  </si>
  <si>
    <t>FMI, INC.</t>
  </si>
  <si>
    <t>0013000000qCN4zAAG</t>
  </si>
  <si>
    <t>a0g1O00000BWEeBQAX</t>
  </si>
  <si>
    <t>a0g1O00000BWEeCQAX</t>
  </si>
  <si>
    <t>FREEMAN COMPANY</t>
  </si>
  <si>
    <t>0013000000qCN3VAAW</t>
  </si>
  <si>
    <t>a0g1O00000BWEeDQAX</t>
  </si>
  <si>
    <t>a0g1O00000BWEeEQAX</t>
  </si>
  <si>
    <t>FTW COATINGS</t>
  </si>
  <si>
    <t>0011400001tOcPxAAK</t>
  </si>
  <si>
    <t>JPW Oven</t>
  </si>
  <si>
    <t>a0g1O00000BWEeFQAX</t>
  </si>
  <si>
    <t>GKN PRECISION MACHINING, INC.</t>
  </si>
  <si>
    <t>0013000000qCN4tAAG</t>
  </si>
  <si>
    <t>a0g1O00000BWEeGQAX</t>
  </si>
  <si>
    <t>GLOBE ENGINEERING CO.</t>
  </si>
  <si>
    <t>0013000000qCN3MAAW</t>
  </si>
  <si>
    <t>DROP BOTTOM FURNACE NO. 1</t>
  </si>
  <si>
    <t>a0g1O00000BWEeQQAX</t>
  </si>
  <si>
    <t>VACUUM FURNACE NO. 1</t>
  </si>
  <si>
    <t>a0g1O00000BWEeTQAX</t>
  </si>
  <si>
    <t>VACUUM NO. 2</t>
  </si>
  <si>
    <t>a0g1O00000BWEeUQAX</t>
  </si>
  <si>
    <t>a0g1O00000BWEeRQAX</t>
  </si>
  <si>
    <t>PENETRANT OVEN</t>
  </si>
  <si>
    <t>a0g1O00000BWEeSQAX</t>
  </si>
  <si>
    <t>DROP BOTTOM NO. 2A</t>
  </si>
  <si>
    <t>a0g1O00000BWEePQAX</t>
  </si>
  <si>
    <t>GEC AO6</t>
  </si>
  <si>
    <t>a0g1O00000BWEeOQAX</t>
  </si>
  <si>
    <t>GEC AO3A</t>
  </si>
  <si>
    <t>a0g1O00000BWEeHQAX</t>
  </si>
  <si>
    <t>a0g1O00000BWEeIQAX</t>
  </si>
  <si>
    <t>GEC AO5</t>
  </si>
  <si>
    <t>a0g1O00000BWEeKQAX</t>
  </si>
  <si>
    <t>GEC-AO7</t>
  </si>
  <si>
    <t>a0g1O00000BWEeLQAX</t>
  </si>
  <si>
    <t>a0g1O00000BWEeMQAX</t>
  </si>
  <si>
    <t>GEC AO4A</t>
  </si>
  <si>
    <t>a0g1O00000BWEeNQAX</t>
  </si>
  <si>
    <t>GOODRICH - FINANCIAL SHARED SRVCS</t>
  </si>
  <si>
    <t>0013000000qCN24AAG</t>
  </si>
  <si>
    <t>GR-186</t>
  </si>
  <si>
    <t>a0g1O00000BWEeVQAX</t>
  </si>
  <si>
    <t>GR-34</t>
  </si>
  <si>
    <t>a0g1O00000BWEeWQAX</t>
  </si>
  <si>
    <t>GREAT PLAINS INDUSTRIES</t>
  </si>
  <si>
    <t>0013000000qCN38AAG</t>
  </si>
  <si>
    <t>a0g1O00000BWEeXQAX</t>
  </si>
  <si>
    <t>HARLOW AEROSTRUCTURES LLC</t>
  </si>
  <si>
    <t>0013000000qCN4IAAW</t>
  </si>
  <si>
    <t>PENETRANT DRYING OVEN</t>
  </si>
  <si>
    <t>a0g1O00000BWEeYQAX</t>
  </si>
  <si>
    <t>PA-1000</t>
  </si>
  <si>
    <t>a0g1O00000BWEeZQAX</t>
  </si>
  <si>
    <t>HEARTLAND PRECISION FASTENERS INC.</t>
  </si>
  <si>
    <t>001a000001Lg3tcAAB</t>
  </si>
  <si>
    <t>VACUUM NO. 1</t>
  </si>
  <si>
    <t>a0g1O00000BWEeaQAH</t>
  </si>
  <si>
    <t>HI-TECH METAL FINISHING</t>
  </si>
  <si>
    <t>0013000000qCMyxAAG</t>
  </si>
  <si>
    <t>a0g1O00000BWEebQAH</t>
  </si>
  <si>
    <t>JOHNSON GAGE &amp; INSPECTION, INC.</t>
  </si>
  <si>
    <t>00130000012S1ivAAC</t>
  </si>
  <si>
    <t>ENV01</t>
  </si>
  <si>
    <t>a0g1O00000BWEedQAH</t>
  </si>
  <si>
    <t>a0g1O00000BWEecQAH</t>
  </si>
  <si>
    <t>LEADING TECHNOLOGY COMPOSITES</t>
  </si>
  <si>
    <t>0013000000qCN4HAAW</t>
  </si>
  <si>
    <t>a0g1O00000BWEegQAH</t>
  </si>
  <si>
    <t>a0g1O00000BWEehQAH</t>
  </si>
  <si>
    <t>a0g1O00000BWEeiQAH</t>
  </si>
  <si>
    <t>a0g1O00000BWEejQAH</t>
  </si>
  <si>
    <t>a0g1O00000BWEekQAH</t>
  </si>
  <si>
    <t>a0g1O00000BWEelQAH</t>
  </si>
  <si>
    <t>AEROSPACE PART CURE OVEN NO. 2</t>
  </si>
  <si>
    <t>a0g1O00000BWEemQAH</t>
  </si>
  <si>
    <t>OVEN NO. 1414</t>
  </si>
  <si>
    <t>a0g1O00000BWEeoQAH</t>
  </si>
  <si>
    <t>a0g1O00000BWEepQAH</t>
  </si>
  <si>
    <t>a0g1O00000BWEeqQAH</t>
  </si>
  <si>
    <t>LTC NO. 1519</t>
  </si>
  <si>
    <t>a0g1O00000BWEerQAH</t>
  </si>
  <si>
    <t>LTC NO. 1520</t>
  </si>
  <si>
    <t>a0g1O00000BWEesQAH</t>
  </si>
  <si>
    <t>a0g1O00000BWEetQAH</t>
  </si>
  <si>
    <t>a0g1O00000BWEeuQAH</t>
  </si>
  <si>
    <t>a0g1O00000BWEevQAH</t>
  </si>
  <si>
    <t>a0g1O00000BWEewQAH</t>
  </si>
  <si>
    <t>FREEZER NO. 3</t>
  </si>
  <si>
    <t>a0g1O00000BWEexQAH</t>
  </si>
  <si>
    <t>Oven No. 12</t>
  </si>
  <si>
    <t>a0g1O00000BWEeyQAH</t>
  </si>
  <si>
    <t>LEE AEROSPACE, INC.</t>
  </si>
  <si>
    <t>0013000000qCMylAAG</t>
  </si>
  <si>
    <t>PLATEN PRESS ASSET 001451</t>
  </si>
  <si>
    <t>a0g1O00000BWEezQAH</t>
  </si>
  <si>
    <t>LIMCO AIREPAIR, INC.</t>
  </si>
  <si>
    <t>0013000000qCN4jAAG</t>
  </si>
  <si>
    <t>a0g1O00000BWEf5QAH</t>
  </si>
  <si>
    <t>a0g1O00000BWEf6QAH</t>
  </si>
  <si>
    <t>a0g1O00000BWEf4QAH</t>
  </si>
  <si>
    <t>a0g1O00000BWEf3QAH</t>
  </si>
  <si>
    <t>a0g1O00000BWEf2QAH</t>
  </si>
  <si>
    <t>a0g1O00000BWEf1QAH</t>
  </si>
  <si>
    <t>a0g1O00000BWEf0QAH</t>
  </si>
  <si>
    <t>LMI AEROSPACE HILLSIDE</t>
  </si>
  <si>
    <t>0013000000qCN3HAAW</t>
  </si>
  <si>
    <t>a0g1O00000BWEf9QAH</t>
  </si>
  <si>
    <t>S-6886</t>
  </si>
  <si>
    <t>a0g1O00000BWEf8QAH</t>
  </si>
  <si>
    <t>a0g1O00000BWEf7QAH</t>
  </si>
  <si>
    <t>LMI FINISHING INC</t>
  </si>
  <si>
    <t>0013000000qCN5LAAW</t>
  </si>
  <si>
    <t>PAINT OVEN 3 (#1086)</t>
  </si>
  <si>
    <t>a0g1O00000BWEfHQAX</t>
  </si>
  <si>
    <t>a0g1O00000BWEfIQAX</t>
  </si>
  <si>
    <t>OVEN NO. 260</t>
  </si>
  <si>
    <t>a0g1O00000BWEfJQAX</t>
  </si>
  <si>
    <t>PAINT BAKE NO. 98</t>
  </si>
  <si>
    <t>a0g1O00000BWEfGQAX</t>
  </si>
  <si>
    <t>MASK OVEN NO. 54</t>
  </si>
  <si>
    <t>a0g1O00000BWEfFQAX</t>
  </si>
  <si>
    <t>BAY 3 PAINT OVEN 284A</t>
  </si>
  <si>
    <t>a0g1O00000BWEfDQAX</t>
  </si>
  <si>
    <t>a0g1O00000BWEfEQAX</t>
  </si>
  <si>
    <t>TANK B1 (# 156)</t>
  </si>
  <si>
    <t>a0g1O00000BWEfAQAX</t>
  </si>
  <si>
    <t>TANK NO. A8</t>
  </si>
  <si>
    <t>a0g1O00000BWEfBQAX</t>
  </si>
  <si>
    <t>a0g1O00000BWEfCQAX</t>
  </si>
  <si>
    <t>0013000000qCN3oAAG</t>
  </si>
  <si>
    <t>a0g1O00000BWEfQQAX</t>
  </si>
  <si>
    <t>a0g1O00000BWEfMQAX</t>
  </si>
  <si>
    <t>a0g1O00000BWEfSQAX</t>
  </si>
  <si>
    <t>a0g1O00000BWEfTQAX</t>
  </si>
  <si>
    <t>a0g1O00000BWEfUQAX</t>
  </si>
  <si>
    <t>a0g1O00000BWEfVQAX</t>
  </si>
  <si>
    <t>a0g1O00000BWEfWQAX</t>
  </si>
  <si>
    <t>LAB OVEN</t>
  </si>
  <si>
    <t>a0g1O00000BWEfXQAX</t>
  </si>
  <si>
    <t>a0g1O00000BWEfYQAX</t>
  </si>
  <si>
    <t>a0g1O00000BWEeeQAH</t>
  </si>
  <si>
    <t>a0g1O00000BWEefQAH</t>
  </si>
  <si>
    <t>a0g1O00000BWEh7QAH</t>
  </si>
  <si>
    <t>a0g1O00000BWEfKQAX</t>
  </si>
  <si>
    <t>a0g1O00000BWEfLQAX</t>
  </si>
  <si>
    <t>a0g1O00000BWEfPQAX</t>
  </si>
  <si>
    <t>a0g1O00000BWEfOQAX</t>
  </si>
  <si>
    <t>a0g1O00000BWEfNQAX</t>
  </si>
  <si>
    <t>a0g1O00000BWEfRQAX</t>
  </si>
  <si>
    <t>MANUFACTURING DEVELOPMENT, INC.</t>
  </si>
  <si>
    <t>0013000000qCN3DAAW</t>
  </si>
  <si>
    <t>FURNACE NO. 2</t>
  </si>
  <si>
    <t>a0g1O00000BWEfZQAX</t>
  </si>
  <si>
    <t>a0g1O00000BWEfaQAH</t>
  </si>
  <si>
    <t>MAYNARD INC.</t>
  </si>
  <si>
    <t>0013000000qCN14AAG</t>
  </si>
  <si>
    <t>a0g1O00000BWEfbQAH</t>
  </si>
  <si>
    <t>OVEN NO. 3142</t>
  </si>
  <si>
    <t>a0g1O00000BWEfcQAH</t>
  </si>
  <si>
    <t>METAL FINISHING CO.</t>
  </si>
  <si>
    <t>0013000000qCN4yAAG</t>
  </si>
  <si>
    <t>a0g1O00000BWEffQAH</t>
  </si>
  <si>
    <t>FS01</t>
  </si>
  <si>
    <t>a0g1O00000BWEfdQAH</t>
  </si>
  <si>
    <t>MF NO. 4</t>
  </si>
  <si>
    <t>a0g1O00000BWEfhQAH</t>
  </si>
  <si>
    <t>a0g1O00000BWEfiQAH</t>
  </si>
  <si>
    <t>MF NO. 7</t>
  </si>
  <si>
    <t>a0g1O00000BWEfjQAH</t>
  </si>
  <si>
    <t>MF NO. 8</t>
  </si>
  <si>
    <t>a0g1O00000BWEfkQAH</t>
  </si>
  <si>
    <t>MF NO. 9</t>
  </si>
  <si>
    <t>a0g1O00000BWEflQAH</t>
  </si>
  <si>
    <t>MF NO. 11</t>
  </si>
  <si>
    <t>a0g1O00000BWEfmQAH</t>
  </si>
  <si>
    <t>MF NO. 25</t>
  </si>
  <si>
    <t>a0g1O00000BWEfnQAH</t>
  </si>
  <si>
    <t>MF NO. 10</t>
  </si>
  <si>
    <t>a0g1O00000BWEfoQAH</t>
  </si>
  <si>
    <t>a0g1O00000BWEfpQAH</t>
  </si>
  <si>
    <t>OVEN #17</t>
  </si>
  <si>
    <t>a0g1O00000BWEfqQAH</t>
  </si>
  <si>
    <t>PAINT BAKE OVEN NO. 14</t>
  </si>
  <si>
    <t>a0g1O00000BWEfrQAH</t>
  </si>
  <si>
    <t>a0g1O00000BWEfsQAH</t>
  </si>
  <si>
    <t>a0g1O00000BWEftQAH</t>
  </si>
  <si>
    <t>a0g1O00000BWEfgQAH</t>
  </si>
  <si>
    <t>MF NO. 1</t>
  </si>
  <si>
    <t>a0g1O00000BWEfeQAH</t>
  </si>
  <si>
    <t>METAL FINISHING CO. - MURDOCK LOCATION</t>
  </si>
  <si>
    <t>0013000000qCN4xAAG</t>
  </si>
  <si>
    <t>PAINT BAKE NO. 21</t>
  </si>
  <si>
    <t>a0g1O00000BWEfvQAH</t>
  </si>
  <si>
    <t>OVEN NO. 22</t>
  </si>
  <si>
    <t>a0g1O00000BWEfuQAH</t>
  </si>
  <si>
    <t>MILLENNIUM CONCEPTS, INC.</t>
  </si>
  <si>
    <t>0013000000qCN5HAAW</t>
  </si>
  <si>
    <t>CURE OVEN NO. 1</t>
  </si>
  <si>
    <t>a0g1O00000BWEfwQAH</t>
  </si>
  <si>
    <t>NATIONAL INSTITUTE FOR AVIATION RESEARCH</t>
  </si>
  <si>
    <t>0013000000qCN2aAAG</t>
  </si>
  <si>
    <t>a0g1O00000BWEfxQAH</t>
  </si>
  <si>
    <t>SMALL AUTOCLAVE</t>
  </si>
  <si>
    <t>a0g1O00000BWEfyQAH</t>
  </si>
  <si>
    <t>a0g1O00000BWEfzQAH</t>
  </si>
  <si>
    <t>GRIEVE BACK OVEN</t>
  </si>
  <si>
    <t>a0g1O00000BWEg0QAH</t>
  </si>
  <si>
    <t>GRIEVE OVEN NO. 1</t>
  </si>
  <si>
    <t>a0g1O00000BWEg1QAH</t>
  </si>
  <si>
    <t>GRIEVE OVEN NO. 2</t>
  </si>
  <si>
    <t>a0g1O00000BWEg2QAH</t>
  </si>
  <si>
    <t>D043039</t>
  </si>
  <si>
    <t>a0g1O00000BWEg3QAH</t>
  </si>
  <si>
    <t>NIAR - QUALITY CONTROL &amp; STRAIN GAGE LAB</t>
  </si>
  <si>
    <t>001a000001VruDZAAZ</t>
  </si>
  <si>
    <t>B9X00187</t>
  </si>
  <si>
    <t>a0g1O00000BWEg4QAH</t>
  </si>
  <si>
    <t>303N0018</t>
  </si>
  <si>
    <t>a0g1O00000BWEg5QAH</t>
  </si>
  <si>
    <t>0013000000qCN5QAAW</t>
  </si>
  <si>
    <t>a0g1O00000BWEg6QAH</t>
  </si>
  <si>
    <t>a0g1O00000BWEg7QAH</t>
  </si>
  <si>
    <t>a0g1O00000BWEg8QAH</t>
  </si>
  <si>
    <t>a0g1O00000BWEg9QAH</t>
  </si>
  <si>
    <t>0011400001rbpUHAAY</t>
  </si>
  <si>
    <t>a0g1O00000BWEgAQAX</t>
  </si>
  <si>
    <t>OXWELL, INC.</t>
  </si>
  <si>
    <t>0013000000qCN4BAAW</t>
  </si>
  <si>
    <t>SALT BATH</t>
  </si>
  <si>
    <t>a0g1O00000BWEgCQAX</t>
  </si>
  <si>
    <t>AGING OVEN NO. 1</t>
  </si>
  <si>
    <t>a0g1O00000BWEgBQAX</t>
  </si>
  <si>
    <t>PARAGON SERVICES, INC.</t>
  </si>
  <si>
    <t>0013000000qCN4ZAAW</t>
  </si>
  <si>
    <t>CURING OVEN NO. 3</t>
  </si>
  <si>
    <t>a0g1O00000BWEgGQAX</t>
  </si>
  <si>
    <t>a0g1O00000BWEgHQAX</t>
  </si>
  <si>
    <t>a0g1O00000BWEgFQAX</t>
  </si>
  <si>
    <t>L11</t>
  </si>
  <si>
    <t>a0g1O00000BWEgDQAX</t>
  </si>
  <si>
    <t>CURING OVEN NO. 1</t>
  </si>
  <si>
    <t>a0g1O00000BWEgEQAX</t>
  </si>
  <si>
    <t>PARK AEROSPACE TECHNOLOGIES CORP.</t>
  </si>
  <si>
    <t>0013000000qCN5DAAW</t>
  </si>
  <si>
    <t>a0g1O00000BWEgIQAX</t>
  </si>
  <si>
    <t>a0g1O00000BWEgJQAX</t>
  </si>
  <si>
    <t>a0g1O00000BWEgKQAX</t>
  </si>
  <si>
    <t>WISCONSIN OVEN ZONE 1</t>
  </si>
  <si>
    <t>a0g1O00000BWEgMQAX</t>
  </si>
  <si>
    <t>WISCONSIN OVEN ZONE 2</t>
  </si>
  <si>
    <t>a0g1O00000BWEgNQAX</t>
  </si>
  <si>
    <t>OV1300</t>
  </si>
  <si>
    <t>a0g1O00000BWEgOQAX</t>
  </si>
  <si>
    <t>OV1200</t>
  </si>
  <si>
    <t>a0g1O00000BWEgLQAX</t>
  </si>
  <si>
    <t>PERFEKTA, INC.</t>
  </si>
  <si>
    <t>0013000000qCN3LAAW</t>
  </si>
  <si>
    <t>FURNACE NO. 1 (OVEN 0503)</t>
  </si>
  <si>
    <t>a0g1O00000BWEgPQAX</t>
  </si>
  <si>
    <t>PREMIER PROCESSING</t>
  </si>
  <si>
    <t>0013000000qCN0PAAW</t>
  </si>
  <si>
    <t>CURING OVEN</t>
  </si>
  <si>
    <t>a0g1O00000BWEgQQAX</t>
  </si>
  <si>
    <t>PBA200</t>
  </si>
  <si>
    <t>a0g1O00000BWEgSQAX</t>
  </si>
  <si>
    <t>PENETRANT OVEN 1</t>
  </si>
  <si>
    <t>a0g1O00000BWEgRQAX</t>
  </si>
  <si>
    <t>PRODUCT MANUFACTURING CORPORATION</t>
  </si>
  <si>
    <t>0013000000qCN3WAAW</t>
  </si>
  <si>
    <t>OVEN NO. 09150004</t>
  </si>
  <si>
    <t>a0g1O00000BWEgeQAH</t>
  </si>
  <si>
    <t>OVEN NO.14-0581433</t>
  </si>
  <si>
    <t>a0g1O00000BWEgfQAH</t>
  </si>
  <si>
    <t>Upright Freezer #12</t>
  </si>
  <si>
    <t>a0g1O00000BWEggQAH</t>
  </si>
  <si>
    <t>CHEST FREEZER</t>
  </si>
  <si>
    <t>a0g1O00000BWEgdQAH</t>
  </si>
  <si>
    <t>FREEZER NO. 4</t>
  </si>
  <si>
    <t>a0g1O00000BWEgcQAH</t>
  </si>
  <si>
    <t>a0g1O00000BWEgbQAH</t>
  </si>
  <si>
    <t>a0g1O00000BWEgaQAH</t>
  </si>
  <si>
    <t>FREEZER NO. 8</t>
  </si>
  <si>
    <t>a0g1O00000BWEgZQAX</t>
  </si>
  <si>
    <t>FREEZER NO. 5</t>
  </si>
  <si>
    <t>a0g1O00000BWEgYQAX</t>
  </si>
  <si>
    <t>FREEZER NO. 13</t>
  </si>
  <si>
    <t>a0g1O00000BWEgXQAX</t>
  </si>
  <si>
    <t>FREEZER NO. 11</t>
  </si>
  <si>
    <t>a0g1O00000BWEgWQAX</t>
  </si>
  <si>
    <t>a0g1O00000BWEgVQAX</t>
  </si>
  <si>
    <t>a0g1O00000BWEgUQAX</t>
  </si>
  <si>
    <t>OVEN NO. 157157</t>
  </si>
  <si>
    <t>a0g1O00000BWEgTQAX</t>
  </si>
  <si>
    <t>FREEZER NO. 6</t>
  </si>
  <si>
    <t>a0g1O00000BWEgmQAH</t>
  </si>
  <si>
    <t>UPRIGHT FREEZER NO. 16</t>
  </si>
  <si>
    <t>a0g1O00000BWEglQAH</t>
  </si>
  <si>
    <t>a0g1O00000BWEgkQAH</t>
  </si>
  <si>
    <t>Upright Freezer #15</t>
  </si>
  <si>
    <t>a0g1O00000BWEghQAH</t>
  </si>
  <si>
    <t>Upright Freezer #2</t>
  </si>
  <si>
    <t>a0g1O00000BWEgiQAH</t>
  </si>
  <si>
    <t>Upright Freezer #20</t>
  </si>
  <si>
    <t>a0g1O00000BWEgjQAH</t>
  </si>
  <si>
    <t>RAPID PROCESSING SOLUTIONS</t>
  </si>
  <si>
    <t>0013000000qCN1oAAG</t>
  </si>
  <si>
    <t>a0g1O00000BWEgnQAH</t>
  </si>
  <si>
    <t>T3042</t>
  </si>
  <si>
    <t>a0g1O00000BWEh6QAH</t>
  </si>
  <si>
    <t>L0037</t>
  </si>
  <si>
    <t>a0g1O00000BWEgpQAH</t>
  </si>
  <si>
    <t>L0094</t>
  </si>
  <si>
    <t>a0g1O00000BWEgqQAH</t>
  </si>
  <si>
    <t>L0236</t>
  </si>
  <si>
    <t>a0g1O00000BWEgrQAH</t>
  </si>
  <si>
    <t>L0275</t>
  </si>
  <si>
    <t>a0g1O00000BWEgsQAH</t>
  </si>
  <si>
    <t>L0327</t>
  </si>
  <si>
    <t>a0g1O00000BWEgtQAH</t>
  </si>
  <si>
    <t>L0343</t>
  </si>
  <si>
    <t>a0g1O00000BWEguQAH</t>
  </si>
  <si>
    <t>L0491</t>
  </si>
  <si>
    <t>a0g1O00000BWEgvQAH</t>
  </si>
  <si>
    <t>T1392</t>
  </si>
  <si>
    <t>a0g1O00000BWEgwQAH</t>
  </si>
  <si>
    <t>T1755</t>
  </si>
  <si>
    <t>a0g1O00000BWEgxQAH</t>
  </si>
  <si>
    <t>T2372</t>
  </si>
  <si>
    <t>a0g1O00000BWEgyQAH</t>
  </si>
  <si>
    <t>T2465</t>
  </si>
  <si>
    <t>a0g1O00000BWEgzQAH</t>
  </si>
  <si>
    <t>T2466</t>
  </si>
  <si>
    <t>a0g1O00000BWEh0QAH</t>
  </si>
  <si>
    <t>T2472</t>
  </si>
  <si>
    <t>a0g1O00000BWEh1QAH</t>
  </si>
  <si>
    <t>T2700</t>
  </si>
  <si>
    <t>a0g1O00000BWEh2QAH</t>
  </si>
  <si>
    <t>T2996</t>
  </si>
  <si>
    <t>a0g1O00000BWEh3QAH</t>
  </si>
  <si>
    <t>T3038</t>
  </si>
  <si>
    <t>a0g1O00000BWEh4QAH</t>
  </si>
  <si>
    <t>T3039</t>
  </si>
  <si>
    <t>a0g1O00000BWEh5QAH</t>
  </si>
  <si>
    <t>a0g1O00000BWEgoQAH</t>
  </si>
  <si>
    <t>SPIRIT AEROSYSTEMS  - TULSA</t>
  </si>
  <si>
    <t>0013000000qCN5uAAG</t>
  </si>
  <si>
    <t>a0g1O00000BWEh8QAH</t>
  </si>
  <si>
    <t>a0g1O00000BWEh9QAH</t>
  </si>
  <si>
    <t>a0g1O00000BWEhCQAX</t>
  </si>
  <si>
    <t>a0g1O00000BWEhBQAX</t>
  </si>
  <si>
    <t>a0g1O00000BWEhAQAX</t>
  </si>
  <si>
    <t>0013000000qCN3TAAW</t>
  </si>
  <si>
    <t>a0g1O00000BWEhOQAX</t>
  </si>
  <si>
    <t>a0g1O00000BWEhNQAX</t>
  </si>
  <si>
    <t>a0g1O00000BWEhMQAX</t>
  </si>
  <si>
    <t>a0g1O00000BWEhPQAX</t>
  </si>
  <si>
    <t>a0g1O00000BWEhDQAX</t>
  </si>
  <si>
    <t>a0g1O00000BWEhEQAX</t>
  </si>
  <si>
    <t>a0g1O00000BWEhLQAX</t>
  </si>
  <si>
    <t>a0g1O00000BWEhGQAX</t>
  </si>
  <si>
    <t>a0g1O00000BWEhHQAX</t>
  </si>
  <si>
    <t>a0g1O00000BWEhIQAX</t>
  </si>
  <si>
    <t>a0g1O00000BWEhJQAX</t>
  </si>
  <si>
    <t>a0g1O00000BWEhKQAX</t>
  </si>
  <si>
    <t>a0g1O00000BWEhFQAX</t>
  </si>
  <si>
    <t>TEXTRON AVIATION - BEECHCRAFT FACILITY</t>
  </si>
  <si>
    <t>0013000000qCMxtAAG</t>
  </si>
  <si>
    <t>a0g1O00000BWEbPQAX</t>
  </si>
  <si>
    <t>a0g1O00000BWEbOQAX</t>
  </si>
  <si>
    <t>a0g1O00000BWEbMQAX</t>
  </si>
  <si>
    <t>a0g1O00000BWEbNQAX</t>
  </si>
  <si>
    <t>a0g1O00000BWEhRQAX</t>
  </si>
  <si>
    <t>a0g1O00000BWEhQQAX</t>
  </si>
  <si>
    <t>TRIUMPH ACCESSORY SERVICES</t>
  </si>
  <si>
    <t>0013000000qCN5JAAW</t>
  </si>
  <si>
    <t>a0g1O00000BWEhSQAX</t>
  </si>
  <si>
    <t>L-5081 (ASSET #N00076)</t>
  </si>
  <si>
    <t>a0g1O00000BWEhTQAX</t>
  </si>
  <si>
    <t>L-5128 (ASSET #N00147)</t>
  </si>
  <si>
    <t>a0g1O00000BWEhUQAX</t>
  </si>
  <si>
    <t>L-0866</t>
  </si>
  <si>
    <t>a0g1O00000BWEhVQAX</t>
  </si>
  <si>
    <t>L-10163</t>
  </si>
  <si>
    <t>a0g1O00000BWEhWQAX</t>
  </si>
  <si>
    <t>L-10164</t>
  </si>
  <si>
    <t>a0g1O00000BWEhXQAX</t>
  </si>
  <si>
    <t>L-5078</t>
  </si>
  <si>
    <t>a0g1O00000BWEhYQAX</t>
  </si>
  <si>
    <t>L-5084</t>
  </si>
  <si>
    <t>a0g1O00000BWEhZQAX</t>
  </si>
  <si>
    <t>a0g1O00000BWEhaQAH</t>
  </si>
  <si>
    <t>L-5080</t>
  </si>
  <si>
    <t>a0g1O00000BWEhcQAH</t>
  </si>
  <si>
    <t>L3091</t>
  </si>
  <si>
    <t>a0g1O00000BWEhbQAH</t>
  </si>
  <si>
    <t>0013000000qCN5PAAW</t>
  </si>
  <si>
    <t>a0g1O00000BWEhdQAH</t>
  </si>
  <si>
    <t>VALCO MANUFACTURING CO., INC.</t>
  </si>
  <si>
    <t>0013000000qCN3tAAG</t>
  </si>
  <si>
    <t>A6</t>
  </si>
  <si>
    <t>a0g1O00000BWEheQAH</t>
  </si>
  <si>
    <t>a0g1O00000BWEhfQAH</t>
  </si>
  <si>
    <t>a0g1O00000BWEhgQAH</t>
  </si>
  <si>
    <t>a0g1O00000BWEhhQAH</t>
  </si>
  <si>
    <t>A1</t>
  </si>
  <si>
    <t>a0g1O00000BWEhiQAH</t>
  </si>
  <si>
    <t>A2</t>
  </si>
  <si>
    <t>a0g1O00000BWEhjQAH</t>
  </si>
  <si>
    <t>a0g1O00000BWEhkQAH</t>
  </si>
  <si>
    <t>a0g1O00000BWEhlQAH</t>
  </si>
  <si>
    <t>A10</t>
  </si>
  <si>
    <t>a0g1O00000BWEhmQAH</t>
  </si>
  <si>
    <t>a0g1O00000BWEhnQAH</t>
  </si>
  <si>
    <t>81OV1774</t>
  </si>
  <si>
    <t>a0g1O00000BWEhoQAH</t>
  </si>
  <si>
    <t>DRAW FURNACE</t>
  </si>
  <si>
    <t>a0g1O00000BWEhpQAH</t>
  </si>
  <si>
    <t>A13</t>
  </si>
  <si>
    <t>a0g1O00000BWEhqQAH</t>
  </si>
  <si>
    <t>S23</t>
  </si>
  <si>
    <t>a0g1O00000BWEhrQAH</t>
  </si>
  <si>
    <t>S16</t>
  </si>
  <si>
    <t>a0g1O00000BWEhsQAH</t>
  </si>
  <si>
    <t>S19</t>
  </si>
  <si>
    <t>a0g1O00000BWEhtQAH</t>
  </si>
  <si>
    <t>S22</t>
  </si>
  <si>
    <t>a0g1O00000BWEhuQAH</t>
  </si>
  <si>
    <t>A8</t>
  </si>
  <si>
    <t>a0g1O00000BWEhvQAH</t>
  </si>
  <si>
    <t>S14</t>
  </si>
  <si>
    <t>a0g1O00000BWEhwQAH</t>
  </si>
  <si>
    <t>VERMILLION ENTERPRISES</t>
  </si>
  <si>
    <t>0013000000qCN4GAAW</t>
  </si>
  <si>
    <t>BAKE OVEN 9110</t>
  </si>
  <si>
    <t>a0g1O00000BWEhxQAH</t>
  </si>
  <si>
    <t>WICHITA AEROSPACE SPARES, INC.</t>
  </si>
  <si>
    <t>0013000000qCN4eAAG</t>
  </si>
  <si>
    <t>a0g1O00000BWEhyQAH</t>
  </si>
  <si>
    <t>Condition:</t>
  </si>
  <si>
    <t>Condition001__c</t>
  </si>
  <si>
    <t>8.25.17-BETA</t>
  </si>
  <si>
    <t>New Sheets</t>
  </si>
  <si>
    <t>Added Salesforce interactions</t>
  </si>
  <si>
    <t>0061O00001JpAnXQAV</t>
  </si>
  <si>
    <t>Operation result</t>
  </si>
  <si>
    <t>Created ID</t>
  </si>
  <si>
    <t>Date Time</t>
  </si>
  <si>
    <t>TimeStamp</t>
  </si>
  <si>
    <t>Object</t>
  </si>
  <si>
    <t>Operation</t>
  </si>
  <si>
    <t>Success</t>
  </si>
  <si>
    <t>Created</t>
  </si>
  <si>
    <t>Description</t>
  </si>
  <si>
    <t>Certificate__c</t>
  </si>
  <si>
    <t>Upsert</t>
  </si>
  <si>
    <t>a0q1O000008EQlRQAW</t>
  </si>
  <si>
    <t>YES</t>
  </si>
  <si>
    <t>NO</t>
  </si>
  <si>
    <t>No Equipment Record for Certificate</t>
  </si>
  <si>
    <t>a0q1O000008EQlbQAG</t>
  </si>
  <si>
    <t>a0r1O00000CRLXCQA5</t>
  </si>
  <si>
    <t>This is a certificate record.;_x000D_</t>
  </si>
  <si>
    <t>Result__c</t>
  </si>
  <si>
    <t>This is a certificate record.</t>
  </si>
  <si>
    <t>Updated</t>
  </si>
  <si>
    <t>Form_Revision_Date__c</t>
  </si>
  <si>
    <t>a0g1O00000BWEiaQAH</t>
  </si>
  <si>
    <t>COX MACHINE, INC - HARPER DIVISION</t>
  </si>
  <si>
    <t>0013000000qCN5CAAW</t>
  </si>
  <si>
    <t>OVEN NO. A2</t>
  </si>
  <si>
    <t>a0g1O00000BWEibQAH</t>
  </si>
  <si>
    <t>AGE OVEN NO. 4</t>
  </si>
  <si>
    <t>a0g1O00000BWEidQAH</t>
  </si>
  <si>
    <t>OVEN NO. A1</t>
  </si>
  <si>
    <t>a0g1O00000BWEieQAH</t>
  </si>
  <si>
    <t>a0g1O00000BWEifQAH</t>
  </si>
  <si>
    <t>DROP BOTTOM 1</t>
  </si>
  <si>
    <t>a0g1O00000BWEigQAH</t>
  </si>
  <si>
    <t>Revision_Date__c</t>
  </si>
  <si>
    <t>Current_Revision__c</t>
  </si>
  <si>
    <t>a0o1O00000FsLJSQA3</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</si>
  <si>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</si>
  <si>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</si>
  <si>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</si>
  <si>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</si>
  <si>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</si>
  <si>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</si>
  <si>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</si>
  <si>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</si>
  <si>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</si>
  <si>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</si>
  <si>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</si>
  <si>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</si>
  <si>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</si>
  <si>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</si>
  <si>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</si>
  <si>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</si>
  <si>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</si>
  <si>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</si>
  <si>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</si>
  <si>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</si>
  <si>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</si>
  <si>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</si>
  <si>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</si>
  <si>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</si>
  <si>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</si>
  <si>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</si>
  <si>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</si>
  <si>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</si>
  <si>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</si>
  <si>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</si>
  <si>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</si>
  <si>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8/25/2017 3:30 PM</t>
  </si>
  <si>
    <t>Unit  Tested:</t>
  </si>
  <si>
    <t>Salesforce_Data</t>
  </si>
  <si>
    <t>Thermo-hygrometer - ACU-RITE No. 00309SBDI - JGITH577 (AW)</t>
  </si>
  <si>
    <t>THG4 (AW)</t>
  </si>
  <si>
    <t>JGITH577 (AW)</t>
  </si>
  <si>
    <t>Thermocouple Wire Set - "J" Iron-Constantan - ENV1</t>
  </si>
  <si>
    <t>"J" Iron-Constantan</t>
  </si>
  <si>
    <t>a0K1O00000V32ubUAB</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</si>
  <si>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</si>
  <si>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</si>
  <si>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</si>
  <si>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</si>
  <si>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</si>
  <si>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</si>
  <si>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</si>
  <si>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</si>
  <si>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</si>
  <si>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</si>
  <si>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</si>
  <si>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a0K1O00000V32vAUAR</t>
  </si>
  <si>
    <t>Thermocouple Wire Set - "K" Chromel-Alumel - High Temp K</t>
  </si>
  <si>
    <t>"K" Chromel-Alumel</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</si>
  <si>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</si>
  <si>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</si>
  <si>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</si>
  <si>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</si>
  <si>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</si>
  <si>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</si>
  <si>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</si>
  <si>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</si>
  <si>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</si>
  <si>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</si>
  <si>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"N" Nicrosil-Nisil</t>
  </si>
  <si>
    <t>Thermocouple Wire Set - "N" Nicrosil-Nisil - N101-N112</t>
  </si>
  <si>
    <t>Thermocouple Wire Set - "N" Nicrosil-Nisil - N21-N34</t>
  </si>
  <si>
    <t>a0K1O00000V32vPUAR</t>
  </si>
  <si>
    <t>Thermocouple Wire Set - "K" Chromel-Alumel - Ultra High Temp K</t>
  </si>
  <si>
    <t>Ultra High Temp K</t>
  </si>
  <si>
    <t>a0K1O00000V32vtUAB</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</si>
  <si>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</si>
  <si>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</si>
  <si>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</si>
  <si>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</si>
  <si>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</si>
  <si>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</si>
  <si>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</si>
  <si>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a0t1O00000COcLdQAL</t>
  </si>
  <si>
    <t>TUS Statement - without BAC</t>
  </si>
  <si>
    <t>TUS Statement - with BAC</t>
  </si>
  <si>
    <t>TUS_Letter__c</t>
  </si>
  <si>
    <t>TUS_Cert_Page_Number__c</t>
  </si>
  <si>
    <t>TUS_Total_Number_of_Pages__c</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</si>
  <si>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</si>
  <si>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</si>
  <si>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</si>
  <si>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</si>
  <si>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</si>
  <si>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</si>
  <si>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</si>
  <si>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</si>
  <si>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</si>
  <si>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</si>
  <si>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</si>
  <si>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</si>
  <si>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</si>
  <si>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</si>
  <si>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</si>
  <si>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a0g1O00000BPTXLQA5</t>
  </si>
  <si>
    <t>W-CPI-3047 (NO. 8)</t>
  </si>
  <si>
    <t>CURE OVEN, DSI Cal Record 313</t>
  </si>
  <si>
    <t>VAC-980</t>
  </si>
  <si>
    <t>a0g1O00000BPTj7QAH</t>
  </si>
  <si>
    <t>H.M. DUNN AEROSYSTEMS</t>
  </si>
  <si>
    <t>0013000000qCN4MAAW</t>
  </si>
  <si>
    <t>Oven No. 46</t>
  </si>
  <si>
    <t>a0g1O00000BPX3OQAX</t>
  </si>
  <si>
    <t>MAX AEROSTRUCTURES, LLC</t>
  </si>
  <si>
    <t>0013000000qCN2QAAW</t>
  </si>
  <si>
    <t>a0g1O00000BPRzRQAX</t>
  </si>
  <si>
    <t>a0g1O00000BPSHPQA5</t>
  </si>
  <si>
    <t>a0g1O00000BPSzwQAH</t>
  </si>
  <si>
    <t>a0g1O00000BPTA8QAP</t>
  </si>
  <si>
    <t>PARAGON NDT</t>
  </si>
  <si>
    <t>0011400001kEJH4AAO</t>
  </si>
  <si>
    <t>PT Oven No. 1</t>
  </si>
  <si>
    <t>a0g1O00000BPYWuQAP</t>
  </si>
  <si>
    <t>a0g1O00000BPX6IQAX</t>
  </si>
  <si>
    <t>a0g1O00000BPVFFQA5</t>
  </si>
  <si>
    <t>Freezer No. 19</t>
  </si>
  <si>
    <t>a0g1O00000BPX6DQAX</t>
  </si>
  <si>
    <t>TEXTRON AVIATION - DO NOT USE!</t>
  </si>
  <si>
    <t>LAB OVEN 5072</t>
  </si>
  <si>
    <t>a0g1O00000BPTx6QAH</t>
  </si>
  <si>
    <t>a0I1400000y9XIsEAM</t>
  </si>
  <si>
    <t>a0K1O00000V4dHxUAJ</t>
  </si>
  <si>
    <t>B</t>
  </si>
  <si>
    <t>02.12.18-01</t>
  </si>
  <si>
    <t>Fixed rounding code so that midpoint uses Qround</t>
  </si>
  <si>
    <t>02.26.18-01</t>
  </si>
  <si>
    <t>Fixed Rounding code so that the math is correct - excel issue</t>
  </si>
  <si>
    <t>a0g1O00000BPZZVQA5</t>
  </si>
  <si>
    <t>VAC-989</t>
  </si>
  <si>
    <t>a0g1O00000BPnEPQA1</t>
  </si>
  <si>
    <t>VAC-983 2-A</t>
  </si>
  <si>
    <t>a0g1O00000BPZHAQA5</t>
  </si>
  <si>
    <t>VAC-983 2-3</t>
  </si>
  <si>
    <t>a0g1O00000BPZGvQAP</t>
  </si>
  <si>
    <t>VAC-983 2-6</t>
  </si>
  <si>
    <t>a0g1O00000BPZH5QAP</t>
  </si>
  <si>
    <t>VAC-983 2-1</t>
  </si>
  <si>
    <t>a0g1O00000BPZH0QAP</t>
  </si>
  <si>
    <t>Part Cure Oven No. 1, LTC2015</t>
  </si>
  <si>
    <t>a0g1O00000BPmXZQA1</t>
  </si>
  <si>
    <t>Oven OV-2</t>
  </si>
  <si>
    <t>a0g1O00000BPYjkQAH</t>
  </si>
  <si>
    <t>Tank A25</t>
  </si>
  <si>
    <t>a0g1O00000BPYkJQAX</t>
  </si>
  <si>
    <t>OP-090</t>
  </si>
  <si>
    <t>a0g1O00000BPYk9QAH</t>
  </si>
  <si>
    <t>Oven OV-1</t>
  </si>
  <si>
    <t>a0g1O00000BPYjfQAH</t>
  </si>
  <si>
    <t>OP-107</t>
  </si>
  <si>
    <t>a0g1O00000BPYpTQAX</t>
  </si>
  <si>
    <t>PENETERANT DRYING OVEN OV-5</t>
  </si>
  <si>
    <t>Oven OV-3</t>
  </si>
  <si>
    <t>a0g1O00000BPYjpQAH</t>
  </si>
  <si>
    <t>A-23</t>
  </si>
  <si>
    <t>a0g1O00000BPhv4QAD</t>
  </si>
  <si>
    <t>SHACKELFORD MACHINE</t>
  </si>
  <si>
    <t>0013000000qCN3yAAG</t>
  </si>
  <si>
    <t>Oven No. 1</t>
  </si>
  <si>
    <t>a0g1O00000BPbmPQAT</t>
  </si>
  <si>
    <t>a0K1O00000V4hm9UAB</t>
  </si>
  <si>
    <t>Thermocouple Wire Set - "T" Copper-Constantan - T101-T108</t>
  </si>
  <si>
    <t>"T" Copper-Constantan</t>
  </si>
  <si>
    <t>T101-T108</t>
  </si>
  <si>
    <t>K421-K432</t>
  </si>
  <si>
    <t>SPRAY BOOTH NO. 2</t>
  </si>
  <si>
    <t>a0g1O00000BzalFQAR</t>
  </si>
  <si>
    <t>L-5180</t>
  </si>
  <si>
    <t>a0g1O00000BzbhnQAB</t>
  </si>
  <si>
    <t>WEAVER MANUFACTURING, INC. - SOUTH</t>
  </si>
  <si>
    <t>0013000000qCN02AAG</t>
  </si>
  <si>
    <t>Cure Oven No. 1</t>
  </si>
  <si>
    <t>a0g1O00000BPoSYQA1</t>
  </si>
  <si>
    <t>Customer Pyro - See Additional Sheets - Customer</t>
  </si>
  <si>
    <t>See Additional Sheets</t>
  </si>
  <si>
    <t>Customer Pyro</t>
  </si>
  <si>
    <t>Thermocouple Wire Set - "K" Chromel-Alumel - K421-K432</t>
  </si>
  <si>
    <t>05.04.18-01</t>
  </si>
  <si>
    <t>Revised K421 to 12 points</t>
  </si>
  <si>
    <t>0011O000022L26iQAC</t>
  </si>
  <si>
    <t>Penetrant Oven</t>
  </si>
  <si>
    <t>a0g1O00000BzkUHQAZ</t>
  </si>
  <si>
    <t>PRI-1383</t>
  </si>
  <si>
    <t>a0g1O00000BzjnMQAR</t>
  </si>
  <si>
    <t>a0g1O00000BzkJjQAJ</t>
  </si>
  <si>
    <t>KAMAN COMPOSITES - WICHITA, INC.</t>
  </si>
  <si>
    <t>0013000000qCN4qAAG</t>
  </si>
  <si>
    <t>Ney Furnace</t>
  </si>
  <si>
    <t>a0g1O00000Bzk93QAB</t>
  </si>
  <si>
    <t>a0g1O00000BzibgQAB</t>
  </si>
  <si>
    <t>Oven No.23</t>
  </si>
  <si>
    <t>a0g1O00000BzePAQAZ</t>
  </si>
  <si>
    <t>WISCONSIN OVEN ZONE 1 &amp; 2</t>
  </si>
  <si>
    <t>a0g1O00000Bzf8GQAR</t>
  </si>
  <si>
    <t>Chest Freezer</t>
  </si>
  <si>
    <t>a0g1O00000BzjnRQAR</t>
  </si>
  <si>
    <t>a0g1O00000BzhvNQAR</t>
  </si>
  <si>
    <t>T0254</t>
  </si>
  <si>
    <t>a0I1O000012qmUfUAI</t>
  </si>
  <si>
    <t>Alex Charles</t>
  </si>
  <si>
    <t>Timer - SPER 810035 - 029531 (AC)</t>
  </si>
  <si>
    <t>029531 (AC)</t>
  </si>
  <si>
    <t>Timer - Sportline 228 - T15 (MC)</t>
  </si>
  <si>
    <t>T15 (MC)</t>
  </si>
  <si>
    <t>Timer - Sportline 228 - T16 (AW)</t>
  </si>
  <si>
    <t>T16 (AW)</t>
  </si>
  <si>
    <t>Test Temperature:</t>
  </si>
  <si>
    <t>08.17.18-01</t>
  </si>
  <si>
    <t>ABSOLUTE DIMENSIONS</t>
  </si>
  <si>
    <t>0013000000qCN6mAAG</t>
  </si>
  <si>
    <t>a0g1O00000BzncLQAR</t>
  </si>
  <si>
    <t>ALBERS FINISHING &amp; SOLUTIONS LLC</t>
  </si>
  <si>
    <t>Tank 312 Boric Sulfuric Anodize</t>
  </si>
  <si>
    <t>a0g1O00000BzoLtQAJ</t>
  </si>
  <si>
    <t>Air Dryer Tank</t>
  </si>
  <si>
    <t>a0g1O00000BzoM3QAJ</t>
  </si>
  <si>
    <t>a0g1O00000BzoLyQAJ</t>
  </si>
  <si>
    <t>Tank 301 Aqueous Degreaser</t>
  </si>
  <si>
    <t>a0g1O00000BzoLUQAZ</t>
  </si>
  <si>
    <t>Tank 305 Alkaline Etch</t>
  </si>
  <si>
    <t>a0g1O00000BzoLeQAJ</t>
  </si>
  <si>
    <t>Tank 303 Alkaline Clean</t>
  </si>
  <si>
    <t>a0g1O00000BzoLZQAZ</t>
  </si>
  <si>
    <t>Tank 307 Deoxidizer</t>
  </si>
  <si>
    <t>a0g1O00000BzoLjQAJ</t>
  </si>
  <si>
    <t>Tank 310 Chem Film</t>
  </si>
  <si>
    <t>a0g1O00000BzoLoQAJ</t>
  </si>
  <si>
    <t>a0g1O00000Bzl8DQAR</t>
  </si>
  <si>
    <t>W-CPI-3046 (No. 7)</t>
  </si>
  <si>
    <t>VAC-1005</t>
  </si>
  <si>
    <t>a0g1O00000Bzo7XQAR</t>
  </si>
  <si>
    <t>LMI AEROSPACE ESTHNER</t>
  </si>
  <si>
    <t>001a000001VtOFUAA3</t>
  </si>
  <si>
    <t>Cure Oven</t>
  </si>
  <si>
    <t>a0g1O00000BznVQQAZ</t>
  </si>
  <si>
    <t>Autoclave No. 1 Cessna</t>
  </si>
  <si>
    <t>a0g1O00000BzoDbQAJ</t>
  </si>
  <si>
    <t>Oven No. 4 Cessna</t>
  </si>
  <si>
    <t>a0g1O00000BzoXKQAZ</t>
  </si>
  <si>
    <t>MCI-0169</t>
  </si>
  <si>
    <t>a0g1O00000BzkhpQAB</t>
  </si>
  <si>
    <t>Tank A16 Chem Film</t>
  </si>
  <si>
    <t>a0g1O00000BX7AzQAL</t>
  </si>
  <si>
    <t>Main,Salesforce Data, PC</t>
  </si>
  <si>
    <t xml:space="preserve">Added Set Point in addition to test temperture, changed reference cell, added letters to report no. </t>
  </si>
  <si>
    <t>±</t>
  </si>
  <si>
    <t>°F</t>
  </si>
  <si>
    <t>Autoclave No. 2 Cessna</t>
  </si>
  <si>
    <t>a0g1O00000BX9DeQAL</t>
  </si>
  <si>
    <t>a0g1O00000BX9YCQA1</t>
  </si>
  <si>
    <t>Oven No. 1A Cessna</t>
  </si>
  <si>
    <t>a0g1O00000BX9XdQAL</t>
  </si>
  <si>
    <t>a0g1O00000BX9cLQAT</t>
  </si>
  <si>
    <t>T-14</t>
  </si>
  <si>
    <t>a0g1O00000BX8ouQAD</t>
  </si>
  <si>
    <t>Autoclave No. 3</t>
  </si>
  <si>
    <t>a0g1O00000BX9Z5QAL</t>
  </si>
  <si>
    <t>MTS Environmental Chamber 1</t>
  </si>
  <si>
    <t>a0g1O00000BXAEtQAP</t>
  </si>
  <si>
    <t>MTS Environmental Chamber 2</t>
  </si>
  <si>
    <t>a0g1O00000BXAEyQAP</t>
  </si>
  <si>
    <t>a0g1O00000BX9YvQAL</t>
  </si>
  <si>
    <t>Upright Freezer No. 17</t>
  </si>
  <si>
    <t>a0g1O00000BX9Z0QAL</t>
  </si>
  <si>
    <t>a0Ka000000JJgEUEA1</t>
  </si>
  <si>
    <t>Thermo-hygrometer - SEOH 840-10 - THG21 (AW)</t>
  </si>
  <si>
    <t>SEOH 840-10</t>
  </si>
  <si>
    <t>THG21</t>
  </si>
  <si>
    <t>THG21 (AW)</t>
  </si>
  <si>
    <t>TP120 Probes</t>
  </si>
  <si>
    <t>Thermocouple Probes - "J" Iron-Constantan - TP120 Probes</t>
  </si>
  <si>
    <t>09.12.18-01</t>
  </si>
  <si>
    <t>Main, Comparison Sheet</t>
  </si>
  <si>
    <t>Added decimals to SAT tolerance and calculations above 1000°F</t>
  </si>
  <si>
    <t>NONE OBSERVED</t>
  </si>
  <si>
    <t>A</t>
  </si>
  <si>
    <t>ATS 0233</t>
  </si>
  <si>
    <t>a0g1O00000BXGSaQAP</t>
  </si>
  <si>
    <t>ATS 0234</t>
  </si>
  <si>
    <t>a0g1O00000BXGSVQA5</t>
  </si>
  <si>
    <t>ATS0243</t>
  </si>
  <si>
    <t>a0g1O00000BXGQPQA5</t>
  </si>
  <si>
    <t>W-CPI-2163 (Oven No.12)</t>
  </si>
  <si>
    <t>DSI CAL RECORD:91</t>
  </si>
  <si>
    <t>a0g1O00000BjpaZQAR</t>
  </si>
  <si>
    <t>VAC-629 Penetrant Oven</t>
  </si>
  <si>
    <t>a0g1O00000Bf1M4QAJ</t>
  </si>
  <si>
    <t>Environmental Chamber 482</t>
  </si>
  <si>
    <t>a0g1O00000Bf1byQAB</t>
  </si>
  <si>
    <t>GLOBAL PARTS AERO SERVICES, INC.</t>
  </si>
  <si>
    <t>001a000001Tm81ZAAR</t>
  </si>
  <si>
    <t>Knoxville Bake Oven</t>
  </si>
  <si>
    <t>a0g1O00000BXKjoQAH</t>
  </si>
  <si>
    <t>Steelman Bake Oven</t>
  </si>
  <si>
    <t>a0g1O00000BXKibQAH</t>
  </si>
  <si>
    <t>GR-223</t>
  </si>
  <si>
    <t>a0g1O00000BjpylQAB</t>
  </si>
  <si>
    <t>Oven No. 10- Cessna</t>
  </si>
  <si>
    <t>a0g1O00000BXEGjQAP</t>
  </si>
  <si>
    <t>Amaco Oven</t>
  </si>
  <si>
    <t>a0g1O00000Bf0HTQAZ</t>
  </si>
  <si>
    <t>MCI-0180</t>
  </si>
  <si>
    <t>a0g1O00000Bjq5rQAB</t>
  </si>
  <si>
    <t>3x5 Autoclave</t>
  </si>
  <si>
    <t>a0g1O00000BXDKVQA5</t>
  </si>
  <si>
    <t>NORTH AMERICAN AVIATION, INC. CLOSED 2-25-19</t>
  </si>
  <si>
    <t>NWI KANSAS CITY LLC</t>
  </si>
  <si>
    <t>a0g1O00000BXBtkQAH</t>
  </si>
  <si>
    <t>Espec Env. Chamber BTL-433</t>
  </si>
  <si>
    <t>Oven 13 160</t>
  </si>
  <si>
    <t>a0g1O00000BXMzGQAX</t>
  </si>
  <si>
    <t>PT2E200</t>
  </si>
  <si>
    <t>a0g1O00000Bezr1QAB</t>
  </si>
  <si>
    <t>T2679</t>
  </si>
  <si>
    <t>a0g1O00000BXCb9QAH</t>
  </si>
  <si>
    <t>T2278</t>
  </si>
  <si>
    <t>a0g1O00000BXCb4QAH</t>
  </si>
  <si>
    <t>Oven No. 14-0581433</t>
  </si>
  <si>
    <t>a0g1O00000BXCcMQAX</t>
  </si>
  <si>
    <t>a0K1O00000Zbr5aUAB</t>
  </si>
  <si>
    <t>Hygrometer - Vaisala HMI41 &amp; HMP46 - G1321291, G1950001</t>
  </si>
  <si>
    <t>HYG4</t>
  </si>
  <si>
    <t>G1321291, G1950001</t>
  </si>
  <si>
    <t>L-5182</t>
  </si>
  <si>
    <t>a0g1O00000Bju7MQAR</t>
  </si>
  <si>
    <t>a0K1O00000YHnjVUAT</t>
  </si>
  <si>
    <t>LTS4</t>
  </si>
  <si>
    <t>a0K1O00000YHnWbUAL</t>
  </si>
  <si>
    <t>Thermocouple Probes - "J" Iron-Constantan - LTS4</t>
  </si>
  <si>
    <t>10.01.19-01</t>
  </si>
  <si>
    <t>Fixed wrong calculations of max temp when negative and more than 14 points</t>
  </si>
  <si>
    <t>10.18.19-01</t>
  </si>
  <si>
    <t>Fixed pts 29-40 check box pulling pts 15-24 correction factors.</t>
  </si>
  <si>
    <t>Table of Pyro Customers</t>
  </si>
  <si>
    <t>Line 2</t>
  </si>
  <si>
    <t>Line 3</t>
  </si>
  <si>
    <t>Line 4</t>
  </si>
  <si>
    <t>COX MACHINE, INC. - HARPER DIVISION</t>
  </si>
  <si>
    <t>LMI FINISHING INC.</t>
  </si>
  <si>
    <t>SPIRIT AEROSYSTEMS - TULSA</t>
  </si>
  <si>
    <t>1702 S. KNIGHT</t>
  </si>
  <si>
    <t>WICHITA, KS 67213</t>
  </si>
  <si>
    <t>1350 WESTPARK WAY</t>
  </si>
  <si>
    <t>EULESS, TX 76040</t>
  </si>
  <si>
    <t>3838 W. MAY ST.</t>
  </si>
  <si>
    <t>2649 ESTHNER COURT</t>
  </si>
  <si>
    <t>3939 W HARRY ST</t>
  </si>
  <si>
    <t>9424 E 37TH ST N STE 300</t>
  </si>
  <si>
    <t>WICHITA, KS 67226</t>
  </si>
  <si>
    <t>4015 W MAY ST</t>
  </si>
  <si>
    <t>WICHITA, KS 67209</t>
  </si>
  <si>
    <t>DERBY, KS 67037</t>
  </si>
  <si>
    <t>38628 W 15TH ST</t>
  </si>
  <si>
    <t>CHENEY, KS 67025</t>
  </si>
  <si>
    <t>414 CHAMBER LOOP</t>
  </si>
  <si>
    <t>ADA, OK 74821</t>
  </si>
  <si>
    <t>1804 WEST 2ND STREET</t>
  </si>
  <si>
    <t>WICHITA, KS 67203-5703</t>
  </si>
  <si>
    <t>1445 S SIERRA DR</t>
  </si>
  <si>
    <t>WICHITA, KS 67209-2933</t>
  </si>
  <si>
    <t>225 WABASH</t>
  </si>
  <si>
    <t>WICHITA, KS 67214</t>
  </si>
  <si>
    <t>3323 MAPLE</t>
  </si>
  <si>
    <t>WICHITA, KS 67277-2290</t>
  </si>
  <si>
    <t>1019 McLEAN BLVD SOUTH</t>
  </si>
  <si>
    <t>1009 S. WEST STREET</t>
  </si>
  <si>
    <t>ONE LEARJET WAY</t>
  </si>
  <si>
    <t>6262 W. 34TH STREET SOUTH</t>
  </si>
  <si>
    <t>WICHITA, KS 67215</t>
  </si>
  <si>
    <t>2121 S. EDWARDS</t>
  </si>
  <si>
    <t>2120 S. CUSTER</t>
  </si>
  <si>
    <t>103 N. LAWRENCE</t>
  </si>
  <si>
    <t>ANTHONY, KS 67003</t>
  </si>
  <si>
    <t>WICHITA, KS 67217-0364</t>
  </si>
  <si>
    <t>P.O. BOX 725</t>
  </si>
  <si>
    <t>800 N RIVER</t>
  </si>
  <si>
    <t>P.O. BOX 12290</t>
  </si>
  <si>
    <t>P.O. BOX 17364</t>
  </si>
  <si>
    <t>2500 S. CUSTER</t>
  </si>
  <si>
    <t>P.O. BOX 369</t>
  </si>
  <si>
    <t>10400 S. 119TH ST. WEST</t>
  </si>
  <si>
    <t>CLEARWATER, KS 67026</t>
  </si>
  <si>
    <t>3939 W 29TH ST S</t>
  </si>
  <si>
    <t>WICHITA, KS 67217</t>
  </si>
  <si>
    <t>949 N. HIGHWAY 14</t>
  </si>
  <si>
    <t>HARPER, KS 67058</t>
  </si>
  <si>
    <t>12 AIM HIGH CORNER COMMITMENT</t>
  </si>
  <si>
    <t>SUBIC BAY FREEPORT</t>
  </si>
  <si>
    <t>PHILIPPINES</t>
  </si>
  <si>
    <t>219 W. SIXTH</t>
  </si>
  <si>
    <t>P.O. BOX 278</t>
  </si>
  <si>
    <t>AUGUSTA, KS 67010-0278</t>
  </si>
  <si>
    <t>723 E. SPRING</t>
  </si>
  <si>
    <t>CONWAY SPRINGS, KS 67031</t>
  </si>
  <si>
    <t>27 CLARK AVE, IN. PARK #2</t>
  </si>
  <si>
    <t>WELLINGTON, KS 67152</t>
  </si>
  <si>
    <t>3333 MAIN STREET</t>
  </si>
  <si>
    <t>PARSONS, KS 67357</t>
  </si>
  <si>
    <t>2600 SOUTH CUSTER</t>
  </si>
  <si>
    <t>WICHITA, KS 67217-9960</t>
  </si>
  <si>
    <t>4200 W. HARRY</t>
  </si>
  <si>
    <t>WICHITA, KS 67209-2730</t>
  </si>
  <si>
    <t>9313 EAST 39TH STREET NORTH</t>
  </si>
  <si>
    <t>5615 N BROADWAY</t>
  </si>
  <si>
    <t>WICHITA, KS 67219</t>
  </si>
  <si>
    <t>719 WALNUT ST.</t>
  </si>
  <si>
    <t>P.O. BOX 57</t>
  </si>
  <si>
    <t>YANKTON, SD 57078</t>
  </si>
  <si>
    <t>807 E. HARRY</t>
  </si>
  <si>
    <t>WICHITA, KS 67211</t>
  </si>
  <si>
    <t>429 N WEST ROAD</t>
  </si>
  <si>
    <t>WELLINGTON, KS 67152-8047</t>
  </si>
  <si>
    <t>914 INDUSTRIAL RD</t>
  </si>
  <si>
    <t>AUGUSTA, KS 67039</t>
  </si>
  <si>
    <t>1539 S. ST. PAUL</t>
  </si>
  <si>
    <t>WICHITA, KS 67277</t>
  </si>
  <si>
    <t>7016 PUEBLO - SUITE B</t>
  </si>
  <si>
    <t>WICHITA, KS 67209-2937</t>
  </si>
  <si>
    <t>5252 E 36th STREET NORTH</t>
  </si>
  <si>
    <t>WICHITA, KS 67220-3205</t>
  </si>
  <si>
    <t>4201 S. 119th ST. W.</t>
  </si>
  <si>
    <t>WICHITA, KS 67215-9100</t>
  </si>
  <si>
    <t>1501 S. McLEAN BLVD</t>
  </si>
  <si>
    <t>WICHITA, KS 67201-0304</t>
  </si>
  <si>
    <t>301 PRAIRIE VILLAGE DR.</t>
  </si>
  <si>
    <t>NEW CENTURY, KS 66031</t>
  </si>
  <si>
    <t>1500 INTRASTATE 35 WEST</t>
  </si>
  <si>
    <t>DENTON, TX 76207</t>
  </si>
  <si>
    <t>5920 W. 21st ST. N.</t>
  </si>
  <si>
    <t>WICHITA, KS 67205</t>
  </si>
  <si>
    <t>1650 S McCOMAS</t>
  </si>
  <si>
    <t>2626 W. MAY</t>
  </si>
  <si>
    <t>9323 E 34th ST N</t>
  </si>
  <si>
    <t>5304 S. LAWTON AVE</t>
  </si>
  <si>
    <t>TULSA, OK 74107</t>
  </si>
  <si>
    <t>2635 W. ESTHNER CT.</t>
  </si>
  <si>
    <t>2853 S HILLSIDE</t>
  </si>
  <si>
    <t>WICHITA, KS 67216</t>
  </si>
  <si>
    <t>16900 TIGER SWITCH RD</t>
  </si>
  <si>
    <t>TULSA, OK 74116</t>
  </si>
  <si>
    <t>2700 S CUSTER</t>
  </si>
  <si>
    <t>37515 WEST 15th SOUTH</t>
  </si>
  <si>
    <t>P.O. BOX 550</t>
  </si>
  <si>
    <t>CHENEY, KS 67025-0550</t>
  </si>
  <si>
    <t>8219 W IRVING ST</t>
  </si>
  <si>
    <t>7175 S. McGUIRE ST.</t>
  </si>
  <si>
    <t>FAYETTEVILLE, AR 72704-5237</t>
  </si>
  <si>
    <t>1425 S. McLEAN BLVD.</t>
  </si>
  <si>
    <t>701 E. MURDOCK</t>
  </si>
  <si>
    <t>9050 MONROE CIRCLE</t>
  </si>
  <si>
    <t>4004 N. WEBB ROAD</t>
  </si>
  <si>
    <t>1845 FAIRMOUNT</t>
  </si>
  <si>
    <t>WICHITA, KS 67260</t>
  </si>
  <si>
    <t>7330 N. BROADWAY</t>
  </si>
  <si>
    <t>4020 E 138th ST</t>
  </si>
  <si>
    <t>GRANDVIEW, MO 64030</t>
  </si>
  <si>
    <t>2526 W 21st STREET</t>
  </si>
  <si>
    <t>CHANUTE, KS 66720</t>
  </si>
  <si>
    <t>600 E 16th</t>
  </si>
  <si>
    <t>P.O. BOX 588</t>
  </si>
  <si>
    <t>2210 S EDWARDS ST</t>
  </si>
  <si>
    <t>1015 S WEST</t>
  </si>
  <si>
    <t>486 N. OLIVER ROAD, BLDG Z</t>
  </si>
  <si>
    <t>NEWTON, KS 67114</t>
  </si>
  <si>
    <t>480 E 21st N</t>
  </si>
  <si>
    <t>3002 WEST PAWNEE, STE 104</t>
  </si>
  <si>
    <t>WICHITA, KS 67213-1806</t>
  </si>
  <si>
    <t>4425 W MAY ST., BLDG A</t>
  </si>
  <si>
    <t>1367 S. ANNA</t>
  </si>
  <si>
    <t>116 S TRACY</t>
  </si>
  <si>
    <t>P.O. BOX 670</t>
  </si>
  <si>
    <t>1900 ELECTRIC AVE</t>
  </si>
  <si>
    <t>McALESTER, OK 74501</t>
  </si>
  <si>
    <t>10511 E CENTRAL</t>
  </si>
  <si>
    <t>WICHITA, KS 67206</t>
  </si>
  <si>
    <t>411 N. WEST ROAD</t>
  </si>
  <si>
    <t>925 BOREN AVE.</t>
  </si>
  <si>
    <t>DUNCAN, OK 73533</t>
  </si>
  <si>
    <t>4754 S PALISADE</t>
  </si>
  <si>
    <t>WICHITA, KS 67217-4926</t>
  </si>
  <si>
    <t>1005 E 17th</t>
  </si>
  <si>
    <t>4626 W. MAY ST., BUILDING D</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</si>
  <si>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</si>
  <si>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</si>
  <si>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</si>
  <si>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</si>
  <si>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</si>
  <si>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</si>
  <si>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</si>
  <si>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</si>
  <si>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</si>
  <si>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</si>
  <si>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</si>
  <si>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</si>
  <si>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</si>
  <si>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</si>
  <si>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</si>
  <si>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</si>
  <si>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</si>
  <si>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</si>
  <si>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</si>
  <si>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</si>
  <si>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</si>
  <si>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</si>
  <si>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</si>
  <si>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</si>
  <si>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</si>
  <si>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</si>
  <si>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</si>
  <si>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</si>
  <si>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</si>
  <si>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</si>
  <si>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</si>
  <si>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</si>
  <si>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</si>
  <si>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</si>
  <si>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</si>
  <si>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</si>
  <si>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</si>
  <si>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</si>
  <si>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</si>
  <si>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</si>
  <si>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</si>
  <si>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</si>
  <si>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</si>
  <si>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</si>
  <si>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</si>
  <si>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</si>
  <si>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</si>
  <si>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</si>
  <si>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</si>
  <si>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</si>
  <si>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</si>
  <si>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</si>
  <si>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</si>
  <si>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</si>
  <si>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</si>
  <si>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</si>
  <si>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</si>
  <si>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</si>
  <si>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</si>
  <si>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</si>
  <si>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</si>
  <si>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</si>
  <si>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</si>
  <si>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</si>
  <si>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</si>
  <si>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</si>
  <si>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</si>
  <si>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</si>
  <si>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</si>
  <si>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</si>
  <si>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</si>
  <si>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</si>
  <si>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</si>
  <si>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</si>
  <si>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</si>
  <si>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</si>
  <si>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</si>
  <si>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</si>
  <si>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</si>
  <si>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</si>
  <si>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</si>
  <si>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</si>
  <si>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</si>
  <si>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</si>
  <si>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</si>
  <si>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</si>
  <si>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</si>
  <si>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</si>
  <si>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</si>
  <si>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</si>
  <si>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</si>
  <si>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</si>
  <si>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</si>
  <si>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</si>
  <si>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</si>
  <si>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</si>
  <si>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</si>
  <si>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</si>
  <si>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</si>
  <si>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</si>
  <si>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</si>
  <si>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</si>
  <si>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</si>
  <si>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</si>
  <si>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</si>
  <si>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</si>
  <si>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</si>
  <si>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</si>
  <si>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</si>
  <si>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</si>
  <si>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</si>
  <si>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</si>
  <si>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</si>
  <si>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</si>
  <si>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</si>
  <si>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</si>
  <si>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</si>
  <si>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</si>
  <si>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</si>
  <si>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</si>
  <si>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</si>
  <si>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</si>
  <si>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</si>
  <si>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</si>
  <si>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</si>
  <si>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</si>
  <si>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</si>
  <si>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</si>
  <si>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</si>
  <si>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</si>
  <si>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</si>
  <si>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</si>
  <si>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</si>
  <si>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</si>
  <si>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</si>
  <si>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</si>
  <si>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</si>
  <si>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</si>
  <si>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</si>
  <si>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</si>
  <si>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</si>
  <si>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</si>
  <si>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</si>
  <si>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</si>
  <si>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</si>
  <si>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</si>
  <si>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</si>
  <si>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</si>
  <si>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</si>
  <si>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</si>
  <si>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</si>
  <si>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</si>
  <si>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</si>
  <si>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</si>
  <si>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</si>
  <si>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</si>
  <si>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</si>
  <si>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</si>
  <si>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</si>
  <si>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</si>
  <si>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</si>
  <si>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</si>
  <si>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</si>
  <si>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</si>
  <si>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</si>
  <si>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</si>
  <si>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</si>
  <si>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</si>
  <si>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</si>
  <si>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</si>
  <si>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</si>
  <si>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</si>
  <si>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</si>
  <si>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</si>
  <si>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</si>
  <si>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</si>
  <si>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</si>
  <si>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</si>
  <si>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</si>
  <si>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</si>
  <si>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</si>
  <si>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</si>
  <si>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</si>
  <si>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</si>
  <si>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</si>
  <si>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</si>
  <si>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</si>
  <si>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</si>
  <si>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</si>
  <si>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</si>
  <si>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</si>
  <si>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</si>
  <si>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</si>
  <si>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</si>
  <si>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</si>
  <si>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</si>
  <si>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</si>
  <si>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</si>
  <si>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</si>
  <si>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</si>
  <si>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</si>
  <si>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</si>
  <si>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</si>
  <si>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</si>
  <si>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</si>
  <si>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</si>
  <si>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</si>
  <si>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</si>
  <si>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</si>
  <si>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</si>
  <si>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</si>
  <si>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</si>
  <si>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</si>
  <si>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</si>
  <si>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</si>
  <si>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</si>
  <si>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</si>
  <si>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</si>
  <si>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</si>
  <si>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</si>
  <si>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</si>
  <si>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</si>
  <si>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</si>
  <si>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</si>
  <si>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</si>
  <si>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</si>
  <si>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</si>
  <si>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</si>
  <si>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</si>
  <si>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</si>
  <si>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</si>
  <si>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</si>
  <si>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</si>
  <si>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</si>
  <si>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</si>
  <si>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</si>
  <si>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</si>
  <si>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</si>
  <si>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</si>
  <si>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</si>
  <si>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</si>
  <si>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</si>
  <si>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</si>
  <si>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</si>
  <si>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</si>
  <si>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</si>
  <si>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</si>
  <si>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</si>
  <si>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</si>
  <si>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</si>
  <si>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</si>
  <si>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</si>
  <si>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</si>
  <si>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</si>
  <si>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</si>
  <si>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</si>
  <si>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</si>
  <si>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</si>
  <si>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</si>
  <si>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</si>
  <si>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</si>
  <si>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</si>
  <si>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</si>
  <si>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</si>
  <si>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</si>
  <si>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</si>
  <si>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</si>
  <si>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</si>
  <si>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</si>
  <si>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</si>
  <si>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</si>
  <si>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</si>
  <si>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</si>
  <si>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</si>
  <si>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</si>
  <si>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</si>
  <si>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</si>
  <si>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</si>
  <si>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</si>
  <si>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</si>
  <si>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</si>
  <si>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</si>
  <si>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</si>
  <si>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</si>
  <si>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</si>
  <si>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</si>
  <si>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</si>
  <si>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</si>
  <si>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</si>
  <si>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</si>
  <si>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</si>
  <si>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</si>
  <si>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</si>
  <si>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</si>
  <si>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</si>
  <si>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</si>
  <si>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</si>
  <si>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</si>
  <si>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</si>
  <si>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</si>
  <si>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</si>
  <si>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</si>
  <si>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</si>
  <si>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</si>
  <si>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</si>
  <si>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</si>
  <si>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</si>
  <si>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</si>
  <si>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</si>
  <si>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</si>
  <si>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</si>
  <si>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</si>
  <si>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</si>
  <si>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</si>
  <si>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</si>
  <si>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</si>
  <si>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</si>
  <si>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</si>
  <si>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</si>
  <si>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</si>
  <si>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</si>
  <si>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</si>
  <si>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</si>
  <si>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</si>
  <si>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</si>
  <si>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</si>
  <si>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</si>
  <si>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</si>
  <si>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</si>
  <si>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</si>
  <si>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</si>
  <si>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</si>
  <si>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</si>
  <si>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</si>
  <si>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</si>
  <si>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</si>
  <si>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</si>
  <si>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</si>
  <si>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</si>
  <si>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</si>
  <si>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</si>
  <si>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</si>
  <si>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</si>
  <si>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</si>
  <si>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</si>
  <si>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</si>
  <si>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</si>
  <si>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</si>
  <si>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</si>
  <si>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</si>
  <si>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</si>
  <si>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</si>
  <si>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</si>
  <si>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</si>
  <si>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</si>
  <si>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</si>
  <si>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</si>
  <si>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</si>
  <si>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</si>
  <si>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</si>
  <si>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</si>
  <si>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</si>
  <si>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</si>
  <si>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</si>
  <si>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</si>
  <si>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</si>
  <si>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</si>
  <si>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</si>
  <si>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</si>
  <si>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</si>
  <si>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</si>
  <si>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</si>
  <si>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</si>
  <si>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</si>
  <si>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</si>
  <si>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</si>
  <si>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</si>
  <si>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</si>
  <si>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</si>
  <si>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</si>
  <si>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</si>
  <si>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</si>
  <si>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</si>
  <si>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</si>
  <si>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</si>
  <si>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</si>
  <si>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</si>
  <si>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</si>
  <si>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</si>
  <si>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</si>
  <si>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</si>
  <si>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</si>
  <si>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</si>
  <si>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</si>
  <si>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</si>
  <si>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</si>
  <si>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</si>
  <si>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</si>
  <si>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</si>
  <si>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</si>
  <si>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</si>
  <si>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</si>
  <si>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</si>
  <si>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</si>
  <si>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</si>
  <si>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</si>
  <si>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</si>
  <si>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</si>
  <si>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</si>
  <si>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</si>
  <si>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</si>
  <si>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</si>
  <si>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</si>
  <si>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</si>
  <si>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</si>
  <si>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</si>
  <si>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</si>
  <si>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</si>
  <si>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</si>
  <si>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</si>
  <si>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</si>
  <si>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</si>
  <si>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</si>
  <si>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</si>
  <si>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</si>
  <si>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</si>
  <si>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</si>
  <si>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</si>
  <si>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</si>
  <si>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</si>
  <si>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</si>
  <si>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</si>
  <si>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</si>
  <si>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</si>
  <si>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</si>
  <si>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</si>
  <si>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</si>
  <si>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</si>
  <si>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</si>
  <si>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</si>
  <si>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</si>
  <si>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</si>
  <si>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</si>
  <si>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</si>
  <si>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</si>
  <si>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</si>
  <si>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</si>
  <si>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</si>
  <si>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</si>
  <si>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</si>
  <si>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</si>
  <si>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</si>
  <si>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</si>
  <si>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</si>
  <si>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</si>
  <si>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</si>
  <si>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</si>
  <si>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</si>
  <si>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</si>
  <si>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</si>
  <si>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</si>
  <si>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</si>
  <si>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</si>
  <si>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</si>
  <si>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</si>
  <si>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</si>
  <si>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</si>
  <si>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</si>
  <si>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</si>
  <si>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</si>
  <si>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</si>
  <si>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</si>
  <si>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</si>
  <si>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</si>
  <si>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</si>
  <si>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</si>
  <si>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</si>
  <si>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</si>
  <si>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</si>
  <si>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</si>
  <si>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</si>
  <si>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</si>
  <si>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</si>
  <si>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</si>
  <si>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</si>
  <si>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</si>
  <si>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</si>
  <si>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</si>
  <si>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</si>
  <si>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</si>
  <si>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</si>
  <si>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</si>
  <si>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</si>
  <si>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</si>
  <si>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</si>
  <si>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</si>
  <si>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</si>
  <si>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</si>
  <si>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</si>
  <si>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</si>
  <si>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</si>
  <si>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</si>
  <si>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</si>
  <si>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</si>
  <si>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</si>
  <si>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</si>
  <si>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</si>
  <si>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</si>
  <si>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</si>
  <si>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</si>
  <si>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</si>
  <si>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</si>
  <si>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</si>
  <si>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</si>
  <si>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</si>
  <si>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</si>
  <si>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</si>
  <si>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</si>
  <si>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</si>
  <si>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</si>
  <si>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</si>
  <si>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</si>
  <si>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</si>
  <si>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</si>
  <si>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</si>
  <si>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</si>
  <si>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</si>
  <si>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</si>
  <si>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</si>
  <si>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</si>
  <si>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</si>
  <si>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</si>
  <si>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</si>
  <si>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</si>
  <si>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</si>
  <si>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</si>
  <si>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</si>
  <si>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</si>
  <si>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</si>
  <si>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</si>
  <si>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</si>
  <si>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</si>
  <si>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</si>
  <si>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</si>
  <si>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</si>
  <si>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</si>
  <si>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</si>
  <si>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</si>
  <si>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</si>
  <si>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</si>
  <si>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</si>
  <si>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</si>
  <si>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</si>
  <si>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</si>
  <si>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</si>
  <si>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</si>
  <si>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</si>
  <si>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</si>
  <si>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</si>
  <si>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</si>
  <si>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</si>
  <si>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</si>
  <si>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</si>
  <si>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</si>
  <si>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</si>
  <si>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</si>
  <si>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</si>
  <si>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</si>
  <si>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</si>
  <si>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</si>
  <si>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</si>
  <si>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</si>
  <si>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</si>
  <si>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</si>
  <si>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</si>
  <si>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</si>
  <si>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</si>
  <si>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</si>
  <si>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</si>
  <si>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</si>
  <si>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</si>
  <si>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</si>
  <si>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</si>
  <si>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</si>
  <si>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</si>
  <si>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</si>
  <si>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</si>
  <si>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</si>
  <si>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</si>
  <si>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</si>
  <si>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</si>
  <si>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</si>
  <si>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</si>
  <si>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</si>
  <si>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</si>
  <si>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</si>
  <si>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</si>
  <si>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</si>
  <si>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</si>
  <si>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</si>
  <si>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</si>
  <si>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</si>
  <si>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</si>
  <si>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</si>
  <si>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</si>
  <si>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</si>
  <si>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</si>
  <si>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</si>
  <si>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</si>
  <si>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</si>
  <si>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</si>
  <si>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</si>
  <si>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</si>
  <si>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</si>
  <si>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</si>
  <si>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</si>
  <si>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</si>
  <si>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</si>
  <si>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</si>
  <si>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</si>
  <si>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</si>
  <si>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</si>
  <si>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</si>
  <si>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</si>
  <si>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</si>
  <si>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</si>
  <si>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</si>
  <si>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</si>
  <si>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</si>
  <si>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</si>
  <si>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</si>
  <si>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</si>
  <si>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</si>
  <si>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</si>
  <si>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</si>
  <si>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</si>
  <si>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</si>
  <si>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</si>
  <si>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</si>
  <si>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</si>
  <si>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</si>
  <si>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</si>
  <si>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</si>
  <si>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</si>
  <si>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</si>
  <si>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</si>
  <si>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</si>
  <si>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</si>
  <si>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</si>
  <si>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</si>
  <si>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</si>
  <si>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</si>
  <si>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</si>
  <si>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</si>
  <si>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</si>
  <si>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</si>
  <si>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</si>
  <si>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</si>
  <si>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</si>
  <si>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</si>
  <si>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</si>
  <si>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</si>
  <si>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</si>
  <si>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</si>
  <si>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</si>
  <si>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</si>
  <si>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</si>
  <si>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</si>
  <si>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</si>
  <si>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</si>
  <si>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</si>
  <si>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</si>
  <si>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</si>
  <si>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</si>
  <si>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</si>
  <si>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</si>
  <si>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</si>
  <si>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</si>
  <si>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</si>
  <si>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</si>
  <si>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</si>
  <si>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</si>
  <si>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</si>
  <si>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</si>
  <si>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</si>
  <si>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</si>
  <si>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</si>
  <si>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</si>
  <si>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</si>
  <si>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</si>
  <si>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</si>
  <si>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</si>
  <si>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</si>
  <si>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</si>
  <si>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</si>
  <si>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</si>
  <si>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</si>
  <si>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</si>
  <si>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</si>
  <si>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</si>
  <si>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</si>
  <si>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</si>
  <si>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</si>
  <si>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</si>
  <si>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</si>
  <si>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</si>
  <si>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</si>
  <si>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</si>
  <si>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</si>
  <si>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</si>
  <si>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</si>
  <si>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</si>
  <si>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</si>
  <si>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</si>
  <si>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</si>
  <si>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</si>
  <si>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</si>
  <si>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</si>
  <si>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</si>
  <si>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</si>
  <si>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</si>
  <si>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</si>
  <si>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</si>
  <si>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</si>
  <si>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</si>
  <si>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</si>
  <si>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</si>
  <si>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</si>
  <si>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</si>
  <si>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</si>
  <si>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</si>
  <si>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</si>
  <si>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</si>
  <si>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</si>
  <si>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</si>
  <si>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</si>
  <si>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</si>
  <si>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</si>
  <si>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</si>
  <si>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</si>
  <si>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</si>
  <si>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</si>
  <si>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</si>
  <si>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</si>
  <si>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</si>
  <si>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</si>
  <si>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</si>
  <si>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</si>
  <si>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</si>
  <si>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</si>
  <si>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</si>
  <si>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</si>
  <si>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</si>
  <si>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</si>
  <si>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</si>
  <si>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</si>
  <si>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</si>
  <si>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</si>
  <si>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</si>
  <si>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</si>
  <si>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</si>
  <si>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</si>
  <si>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</si>
  <si>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</si>
  <si>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</si>
  <si>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</si>
  <si>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</si>
  <si>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</si>
  <si>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</si>
  <si>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</si>
  <si>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</si>
  <si>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</si>
  <si>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</si>
  <si>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</si>
  <si>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</si>
  <si>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</si>
  <si>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</si>
  <si>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</si>
  <si>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</si>
  <si>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</si>
  <si>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</si>
  <si>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</si>
  <si>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</si>
  <si>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</si>
  <si>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</si>
  <si>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</si>
  <si>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</si>
  <si>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</si>
  <si>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</si>
  <si>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</si>
  <si>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</si>
  <si>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</si>
  <si>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</si>
  <si>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</si>
  <si>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</si>
  <si>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</si>
  <si>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</si>
  <si>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</si>
  <si>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</si>
  <si>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</si>
  <si>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</si>
  <si>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</si>
  <si>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</si>
  <si>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</si>
  <si>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</si>
  <si>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</si>
  <si>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</si>
  <si>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</si>
  <si>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</si>
  <si>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</si>
  <si>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</si>
  <si>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</si>
  <si>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</si>
  <si>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</si>
  <si>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</si>
  <si>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</si>
  <si>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</si>
  <si>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</si>
  <si>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</si>
  <si>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</si>
  <si>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</si>
  <si>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</si>
  <si>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</si>
  <si>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</si>
  <si>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</si>
  <si>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</si>
  <si>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</si>
  <si>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</si>
  <si>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</si>
  <si>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</si>
  <si>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</si>
  <si>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</si>
  <si>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</si>
  <si>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</si>
  <si>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</si>
  <si>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</si>
  <si>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</si>
  <si>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</si>
  <si>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</si>
  <si>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</si>
  <si>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</si>
  <si>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</si>
  <si>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</si>
  <si>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</si>
  <si>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</si>
  <si>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</si>
  <si>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</si>
  <si>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</si>
  <si>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</si>
  <si>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</si>
  <si>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</si>
  <si>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</si>
  <si>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</si>
  <si>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</si>
  <si>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</si>
  <si>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</si>
  <si>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</si>
  <si>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</si>
  <si>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</si>
  <si>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</si>
  <si>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</si>
  <si>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</si>
  <si>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</si>
  <si>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</si>
  <si>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</si>
  <si>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</si>
  <si>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</si>
  <si>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</si>
  <si>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</si>
  <si>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</si>
  <si>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</si>
  <si>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</si>
  <si>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</si>
  <si>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</si>
  <si>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</si>
  <si>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</si>
  <si>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</si>
  <si>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</si>
  <si>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</si>
  <si>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</si>
  <si>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</si>
  <si>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</si>
  <si>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</si>
  <si>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</si>
  <si>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</si>
  <si>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</si>
  <si>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</si>
  <si>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</si>
  <si>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</si>
  <si>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</si>
  <si>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</si>
  <si>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</si>
  <si>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</si>
  <si>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</si>
  <si>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</si>
  <si>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</si>
  <si>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</si>
  <si>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</si>
  <si>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</si>
  <si>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</si>
  <si>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</si>
  <si>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</si>
  <si>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</si>
  <si>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</si>
  <si>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</si>
  <si>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</si>
  <si>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</si>
  <si>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</si>
  <si>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</si>
  <si>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</si>
  <si>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</si>
  <si>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</si>
  <si>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</si>
  <si>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</si>
  <si>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</si>
  <si>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</si>
  <si>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</si>
  <si>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</si>
  <si>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</si>
  <si>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</si>
  <si>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</si>
  <si>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</si>
  <si>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</si>
  <si>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</si>
  <si>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</si>
  <si>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</si>
  <si>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</si>
  <si>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</si>
  <si>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</si>
  <si>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</si>
  <si>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</si>
  <si>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</si>
  <si>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</si>
  <si>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</si>
  <si>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</si>
  <si>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</si>
  <si>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</si>
  <si>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</si>
  <si>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</si>
  <si>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</si>
  <si>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</si>
  <si>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</si>
  <si>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</si>
  <si>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</si>
  <si>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</si>
  <si>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</si>
  <si>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</si>
  <si>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</si>
  <si>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</si>
  <si>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</si>
  <si>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</si>
  <si>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</si>
  <si>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</si>
  <si>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</si>
  <si>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</si>
  <si>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</si>
  <si>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</si>
  <si>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</si>
  <si>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</si>
  <si>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</si>
  <si>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</si>
  <si>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</si>
  <si>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</si>
  <si>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</si>
  <si>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</si>
  <si>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</si>
  <si>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</si>
  <si>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</si>
  <si>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</si>
  <si>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</si>
  <si>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</si>
  <si>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</si>
  <si>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</si>
  <si>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</si>
  <si>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</si>
  <si>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</si>
  <si>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</si>
  <si>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</si>
  <si>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</si>
  <si>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</si>
  <si>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</si>
  <si>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</si>
  <si>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</si>
  <si>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</si>
  <si>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</si>
  <si>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</si>
  <si>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</si>
  <si>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</si>
  <si>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</si>
  <si>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</si>
  <si>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</si>
  <si>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</si>
  <si>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</si>
  <si>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</si>
  <si>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</si>
  <si>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</si>
  <si>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</si>
  <si>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</si>
  <si>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</si>
  <si>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</si>
  <si>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</si>
  <si>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</si>
  <si>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</si>
  <si>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</si>
  <si>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</si>
  <si>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</si>
  <si>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</si>
  <si>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</si>
  <si>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</si>
  <si>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</si>
  <si>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</si>
  <si>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</si>
  <si>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</si>
  <si>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</si>
  <si>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</si>
  <si>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</si>
  <si>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</si>
  <si>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</si>
  <si>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</si>
  <si>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</si>
  <si>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</si>
  <si>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</si>
  <si>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</si>
  <si>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</si>
  <si>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</si>
  <si>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</si>
  <si>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</si>
  <si>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</si>
  <si>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</si>
  <si>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</si>
  <si>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</si>
  <si>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</si>
  <si>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</si>
  <si>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</si>
  <si>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</si>
  <si>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</si>
  <si>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</si>
  <si>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</si>
  <si>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</si>
  <si>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</si>
  <si>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</si>
  <si>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</si>
  <si>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</si>
  <si>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</si>
  <si>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</si>
  <si>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</si>
  <si>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</si>
  <si>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</si>
  <si>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</si>
  <si>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</si>
  <si>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</si>
  <si>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</si>
  <si>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</si>
  <si>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</si>
  <si>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</si>
  <si>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</si>
  <si>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</si>
  <si>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</si>
  <si>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</si>
  <si>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</si>
  <si>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</si>
  <si>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</si>
  <si>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</si>
  <si>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</si>
  <si>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</si>
  <si>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</si>
  <si>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</si>
  <si>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</si>
  <si>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</si>
  <si>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</si>
  <si>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</si>
  <si>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</si>
  <si>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</si>
  <si>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</si>
  <si>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</si>
  <si>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</si>
  <si>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</si>
  <si>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</si>
  <si>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</si>
  <si>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</si>
  <si>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</si>
  <si>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</si>
  <si>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</si>
  <si>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</si>
  <si>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</si>
  <si>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</si>
  <si>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</si>
  <si>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</si>
  <si>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</si>
  <si>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</si>
  <si>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</si>
  <si>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</si>
  <si>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</si>
  <si>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</si>
  <si>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</si>
  <si>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</si>
  <si>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</si>
  <si>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</si>
  <si>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</si>
  <si>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</si>
  <si>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</si>
  <si>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</si>
  <si>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</si>
  <si>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</si>
  <si>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</si>
  <si>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</si>
  <si>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</si>
  <si>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</si>
  <si>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</si>
  <si>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</si>
  <si>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</si>
  <si>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</si>
  <si>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</si>
  <si>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</si>
  <si>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</si>
  <si>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</si>
  <si>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</si>
  <si>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</si>
  <si>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</si>
  <si>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</si>
  <si>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</si>
  <si>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</si>
  <si>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</si>
  <si>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</si>
  <si>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</si>
  <si>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</si>
  <si>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</si>
  <si>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</si>
  <si>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</si>
  <si>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</si>
  <si>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</si>
  <si>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</si>
  <si>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</si>
  <si>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</si>
  <si>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</si>
  <si>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</si>
  <si>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</si>
  <si>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</si>
  <si>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</si>
  <si>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</si>
  <si>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</si>
  <si>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</si>
  <si>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</si>
  <si>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</si>
  <si>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</si>
  <si>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</si>
  <si>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</si>
  <si>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</si>
  <si>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</si>
  <si>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</si>
  <si>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</si>
  <si>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</si>
  <si>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</si>
  <si>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</si>
  <si>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</si>
  <si>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</si>
  <si>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</si>
  <si>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</si>
  <si>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</si>
  <si>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</si>
  <si>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</si>
  <si>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</si>
  <si>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</si>
  <si>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</si>
  <si>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</si>
  <si>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</si>
  <si>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</si>
  <si>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</si>
  <si>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</si>
  <si>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</si>
  <si>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</si>
  <si>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</si>
  <si>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</si>
  <si>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</si>
  <si>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</si>
  <si>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</si>
  <si>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</si>
  <si>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</si>
  <si>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</si>
  <si>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</si>
  <si>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</si>
  <si>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</si>
  <si>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</si>
  <si>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</si>
  <si>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</si>
  <si>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</si>
  <si>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</si>
  <si>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</si>
  <si>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</si>
  <si>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</si>
  <si>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</si>
  <si>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</si>
  <si>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</si>
  <si>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</si>
  <si>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</si>
  <si>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</si>
  <si>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</si>
  <si>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</si>
  <si>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</si>
  <si>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</si>
  <si>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</si>
  <si>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</si>
  <si>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</si>
  <si>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</si>
  <si>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</si>
  <si>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</si>
  <si>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</si>
  <si>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</si>
  <si>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</si>
  <si>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</si>
  <si>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</si>
  <si>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</si>
  <si>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</si>
  <si>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</si>
  <si>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</si>
  <si>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</si>
  <si>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</si>
  <si>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</si>
  <si>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</si>
  <si>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</si>
  <si>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</si>
  <si>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</si>
  <si>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</si>
  <si>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</si>
  <si>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</si>
  <si>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</si>
  <si>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</si>
  <si>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</si>
  <si>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</si>
  <si>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</si>
  <si>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</si>
  <si>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</si>
  <si>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</si>
  <si>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</si>
  <si>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</si>
  <si>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</si>
  <si>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</si>
  <si>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</si>
  <si>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</si>
  <si>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</si>
  <si>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</si>
  <si>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</si>
  <si>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</si>
  <si>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</si>
  <si>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</si>
  <si>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</si>
  <si>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</si>
  <si>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</si>
  <si>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</si>
  <si>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</si>
  <si>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</si>
  <si>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</si>
  <si>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</si>
  <si>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</si>
  <si>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</si>
  <si>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</si>
  <si>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</si>
  <si>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</si>
  <si>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</si>
  <si>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</si>
  <si>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</si>
  <si>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</si>
  <si>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</si>
  <si>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</si>
  <si>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</si>
  <si>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</si>
  <si>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</si>
  <si>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</si>
  <si>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</si>
  <si>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</si>
  <si>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</si>
  <si>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</si>
  <si>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</si>
  <si>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</si>
  <si>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</si>
  <si>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</si>
  <si>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</si>
  <si>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</si>
  <si>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</si>
  <si>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</si>
  <si>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</si>
  <si>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</si>
  <si>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</si>
  <si>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</si>
  <si>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</si>
  <si>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</si>
  <si>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</si>
  <si>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</si>
  <si>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</si>
  <si>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</si>
  <si>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</si>
  <si>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</si>
  <si>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</si>
  <si>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</si>
  <si>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</si>
  <si>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</si>
  <si>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</si>
  <si>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</si>
  <si>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</si>
  <si>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</si>
  <si>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</si>
  <si>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</si>
  <si>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</si>
  <si>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</si>
  <si>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</si>
  <si>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</si>
  <si>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</si>
  <si>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</si>
  <si>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</si>
  <si>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</si>
  <si>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</si>
  <si>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</si>
  <si>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</si>
  <si>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</si>
  <si>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</si>
  <si>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</si>
  <si>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</si>
  <si>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</si>
  <si>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</si>
  <si>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</si>
  <si>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</si>
  <si>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</si>
  <si>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</si>
  <si>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</si>
  <si>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</si>
  <si>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</si>
  <si>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</si>
  <si>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</si>
  <si>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</si>
  <si>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</si>
  <si>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</si>
  <si>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</si>
  <si>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</si>
  <si>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</si>
  <si>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</si>
  <si>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</si>
  <si>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</si>
  <si>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</si>
  <si>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</si>
  <si>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</si>
  <si>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</si>
  <si>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</si>
  <si>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</si>
  <si>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</si>
  <si>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</si>
  <si>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</si>
  <si>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</si>
  <si>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</si>
  <si>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</si>
  <si>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</si>
  <si>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</si>
  <si>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</si>
  <si>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</si>
  <si>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</si>
  <si>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</si>
  <si>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</si>
  <si>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</si>
  <si>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</si>
  <si>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</si>
  <si>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</si>
  <si>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</si>
  <si>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</si>
  <si>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</si>
  <si>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</si>
  <si>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</si>
  <si>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</si>
  <si>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</si>
  <si>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</si>
  <si>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</si>
  <si>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</si>
  <si>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</si>
  <si>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</si>
  <si>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</si>
  <si>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</si>
  <si>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</si>
  <si>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</si>
  <si>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</si>
  <si>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</si>
  <si>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</si>
  <si>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</si>
  <si>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</si>
  <si>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</si>
  <si>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</si>
  <si>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</si>
  <si>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</si>
  <si>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</si>
  <si>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</si>
  <si>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</si>
  <si>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</si>
  <si>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</si>
  <si>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</si>
  <si>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</si>
  <si>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</si>
  <si>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</si>
  <si>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</si>
  <si>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</si>
  <si>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</si>
  <si>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</si>
  <si>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</si>
  <si>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</si>
  <si>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</si>
  <si>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</si>
  <si>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</si>
  <si>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</si>
  <si>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</si>
  <si>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</si>
  <si>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</si>
  <si>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</si>
  <si>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</si>
  <si>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</si>
  <si>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</si>
  <si>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</si>
  <si>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</si>
  <si>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</si>
  <si>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</si>
  <si>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</si>
  <si>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</si>
  <si>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</si>
  <si>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</si>
  <si>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</si>
  <si>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</si>
  <si>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</si>
  <si>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</si>
  <si>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</si>
  <si>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</si>
  <si>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</si>
  <si>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</si>
  <si>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</si>
  <si>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</si>
  <si>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</si>
  <si>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</si>
  <si>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</si>
  <si>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</si>
  <si>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</si>
  <si>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</si>
  <si>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</si>
  <si>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</si>
  <si>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</si>
  <si>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</si>
  <si>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</si>
  <si>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</si>
  <si>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</si>
  <si>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</si>
  <si>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</si>
  <si>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</si>
  <si>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</si>
  <si>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</si>
  <si>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</si>
  <si>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</si>
  <si>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</si>
  <si>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</si>
  <si>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</si>
  <si>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</si>
  <si>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</si>
  <si>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</si>
  <si>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</si>
  <si>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</si>
  <si>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</si>
  <si>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</si>
  <si>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</si>
  <si>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</si>
  <si>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</si>
  <si>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</si>
  <si>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</si>
  <si>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</si>
  <si>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</si>
  <si>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</si>
  <si>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</si>
  <si>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</si>
  <si>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</si>
  <si>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</si>
  <si>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</si>
  <si>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</si>
  <si>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</si>
  <si>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</si>
  <si>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</si>
  <si>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</si>
  <si>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</si>
  <si>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</si>
  <si>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</si>
  <si>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</si>
  <si>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</si>
  <si>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</si>
  <si>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</si>
  <si>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</si>
  <si>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</si>
  <si>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</si>
  <si>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</si>
  <si>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</si>
  <si>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</si>
  <si>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</si>
  <si>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</si>
  <si>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</si>
  <si>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</si>
  <si>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</si>
  <si>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</si>
  <si>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</si>
  <si>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</si>
  <si>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</si>
  <si>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</si>
  <si>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</si>
  <si>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</si>
  <si>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</si>
  <si>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</si>
  <si>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</si>
  <si>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</si>
  <si>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</si>
  <si>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</si>
  <si>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</si>
  <si>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</si>
  <si>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</si>
  <si>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</si>
  <si>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</si>
  <si>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</si>
  <si>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</si>
  <si>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</si>
  <si>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</si>
  <si>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</si>
  <si>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</si>
  <si>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</si>
  <si>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</si>
  <si>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</si>
  <si>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</si>
  <si>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</si>
  <si>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</si>
  <si>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</si>
  <si>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</si>
  <si>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</si>
  <si>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</si>
  <si>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</si>
  <si>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</si>
  <si>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</si>
  <si>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</si>
  <si>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</si>
  <si>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</si>
  <si>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</si>
  <si>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</si>
  <si>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</si>
  <si>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</si>
  <si>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</si>
  <si>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</si>
  <si>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</si>
  <si>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</si>
  <si>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</si>
  <si>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</si>
  <si>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</si>
  <si>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</si>
  <si>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</si>
  <si>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</si>
  <si>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</si>
  <si>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</si>
  <si>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</si>
  <si>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</si>
  <si>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</si>
  <si>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</si>
  <si>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</si>
  <si>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</si>
  <si>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</si>
  <si>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</si>
  <si>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</si>
  <si>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</si>
  <si>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</si>
  <si>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</si>
  <si>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</si>
  <si>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</si>
  <si>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</si>
  <si>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</si>
  <si>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</si>
  <si>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</si>
  <si>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</si>
  <si>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</si>
  <si>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</si>
  <si>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</si>
  <si>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</si>
  <si>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</si>
  <si>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</si>
  <si>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</si>
  <si>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</si>
  <si>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</si>
  <si>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</si>
  <si>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</si>
  <si>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</si>
  <si>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</si>
  <si>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</si>
  <si>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</si>
  <si>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</si>
  <si>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</si>
  <si>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</si>
  <si>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</si>
  <si>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</si>
  <si>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</si>
  <si>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</si>
  <si>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</si>
  <si>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</si>
  <si>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</si>
  <si>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</si>
  <si>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</si>
  <si>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</si>
  <si>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</si>
  <si>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</si>
  <si>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</si>
  <si>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</si>
  <si>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</si>
  <si>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</si>
  <si>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</si>
  <si>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</si>
  <si>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</si>
  <si>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</si>
  <si>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</si>
  <si>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</si>
  <si>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</si>
  <si>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</si>
  <si>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</si>
  <si>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</si>
  <si>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</si>
  <si>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</si>
  <si>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</si>
  <si>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</si>
  <si>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</si>
  <si>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</si>
  <si>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</si>
  <si>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</si>
  <si>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</si>
  <si>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</si>
  <si>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</si>
  <si>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</si>
  <si>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</si>
  <si>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</si>
  <si>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</si>
  <si>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</si>
  <si>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</si>
  <si>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</si>
  <si>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</si>
  <si>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</si>
  <si>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</si>
  <si>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</si>
  <si>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</si>
  <si>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</si>
  <si>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</si>
  <si>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</si>
  <si>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</si>
  <si>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</si>
  <si>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</si>
  <si>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</si>
  <si>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</si>
  <si>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</si>
  <si>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</si>
  <si>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</si>
  <si>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</si>
  <si>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</si>
  <si>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</si>
  <si>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</si>
  <si>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</si>
  <si>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</si>
  <si>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</si>
  <si>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</si>
  <si>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</si>
  <si>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</si>
  <si>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</si>
  <si>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</si>
  <si>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</si>
  <si>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</si>
  <si>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</si>
  <si>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</si>
  <si>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</si>
  <si>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</si>
  <si>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</si>
  <si>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</si>
  <si>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</si>
  <si>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</si>
  <si>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</si>
  <si>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</si>
  <si>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</si>
  <si>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</si>
  <si>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</si>
  <si>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</si>
  <si>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</si>
  <si>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Jesse Turner</t>
  </si>
  <si>
    <t>a0g1O00000Bjw5wQAB</t>
  </si>
  <si>
    <t>Drop Bottom Furnace No. 2</t>
  </si>
  <si>
    <t>a0g1O00000BUb9RQAT</t>
  </si>
  <si>
    <t>a0g1O00000CDajNQAT</t>
  </si>
  <si>
    <t>STH1</t>
  </si>
  <si>
    <t>a0g1O00000BjudeQAB</t>
  </si>
  <si>
    <t>a0g1O00000C3FCYQA3</t>
  </si>
  <si>
    <t>LMI AEROSPACE FREDONIA</t>
  </si>
  <si>
    <t>0013000000qCN26AAG</t>
  </si>
  <si>
    <t>Cure Oven 17091325</t>
  </si>
  <si>
    <t>a0g1O00000BjwTHQAZ</t>
  </si>
  <si>
    <t>a0g1O00000BUqVLQA1</t>
  </si>
  <si>
    <t>a0g1O00000BjvJyQAJ</t>
  </si>
  <si>
    <t>a0g1O00000CDZopQAH</t>
  </si>
  <si>
    <t>a0g1O00000BUqC9QAL</t>
  </si>
  <si>
    <t>a0g1O00000BUbS8QAL</t>
  </si>
  <si>
    <t>a0g1O00000C33q4QAB</t>
  </si>
  <si>
    <t>a0g1O00000C386OQAR</t>
  </si>
  <si>
    <t>CORE OVEN</t>
  </si>
  <si>
    <t>AUTOCLAVE NO. 4</t>
  </si>
  <si>
    <t>a0g1O00000C337eQAB</t>
  </si>
  <si>
    <t>a0g1O00000CDZTjQAP</t>
  </si>
  <si>
    <t>a0g1O00000CDZt1QAH</t>
  </si>
  <si>
    <t>a0g1O00000BUbOzQAL</t>
  </si>
  <si>
    <t>T-10</t>
  </si>
  <si>
    <t>a0g1O00000BUgzJQAT</t>
  </si>
  <si>
    <t>T-16</t>
  </si>
  <si>
    <t>a0g1O00000BUcCgQAL</t>
  </si>
  <si>
    <t>a0g1O00000BUl21QAD</t>
  </si>
  <si>
    <t>OV-6</t>
  </si>
  <si>
    <t>a0g1O00000C3FHiQAN</t>
  </si>
  <si>
    <t>a0g1O00000C3FFlQAN</t>
  </si>
  <si>
    <t>a0g1O00000C3EYpQAN</t>
  </si>
  <si>
    <t>a0g1O00000C3EYuQAN</t>
  </si>
  <si>
    <t>a0g1O00000BUhiDQAT</t>
  </si>
  <si>
    <t>a0g1O00000BUhi3QAD</t>
  </si>
  <si>
    <t>PT (CENTRAL MACHINE &amp; TOOLING)</t>
  </si>
  <si>
    <t>a0g1O00000Bk0ziQAB</t>
  </si>
  <si>
    <t>a0g1O00000BUhGvQAL</t>
  </si>
  <si>
    <t>a0g1O00000BjvdBQAR</t>
  </si>
  <si>
    <t>a0g1O00000BUgpDQAT</t>
  </si>
  <si>
    <t>TNT MACHINE</t>
  </si>
  <si>
    <t>0013000000qCN5hAAG</t>
  </si>
  <si>
    <t>a0g1O00000C3FHTQA3</t>
  </si>
  <si>
    <t>a0I1O000015vIbgUAE</t>
  </si>
  <si>
    <t>a0Ka000000AsbP8EAJ</t>
  </si>
  <si>
    <t>Radiometer - PMA2100 - 12799</t>
  </si>
  <si>
    <t>PMA2100</t>
  </si>
  <si>
    <t>Radiometer</t>
  </si>
  <si>
    <t>RAD1</t>
  </si>
  <si>
    <t>a0K1O00000fy2iSUAQ</t>
  </si>
  <si>
    <t>Resident SAT Probe Set - Custom - 259096A, 259096B, 259096C</t>
  </si>
  <si>
    <t>Resident SAT Probe Set</t>
  </si>
  <si>
    <t>RSAT1</t>
  </si>
  <si>
    <t>259096A, 259096B, 259096C</t>
  </si>
  <si>
    <t>a0K1O00000hKTBYUA4</t>
  </si>
  <si>
    <t>SAT Probes for Max Aero - Type "N" - 259096A, 259096B, 259096C</t>
  </si>
  <si>
    <t>Type "N"</t>
  </si>
  <si>
    <t>SAT Probes for Max Aero</t>
  </si>
  <si>
    <t>MASAT</t>
  </si>
  <si>
    <t>a0K1O00000bNXoSUAW</t>
  </si>
  <si>
    <t>Thermocouple Probes - "J" Iron-Constantan - LTS5</t>
  </si>
  <si>
    <t>LTS5</t>
  </si>
  <si>
    <t>a0K1O00000iikwFUAQ</t>
  </si>
  <si>
    <t>Thermocouple Probes for SAT at Max Aero - N/A - 259096A, 259096B, 259096C</t>
  </si>
  <si>
    <t>Thermocouple Probes for SAT at Max Aero</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</si>
  <si>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</si>
  <si>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</si>
  <si>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</si>
  <si>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</si>
  <si>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</si>
  <si>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</si>
  <si>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</si>
  <si>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</si>
  <si>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</si>
  <si>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</si>
  <si>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</si>
  <si>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</si>
  <si>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</si>
  <si>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</si>
  <si>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</si>
  <si>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</si>
  <si>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</si>
  <si>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</si>
  <si>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</si>
  <si>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</si>
  <si>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</si>
  <si>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</si>
  <si>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</si>
  <si>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</si>
  <si>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</si>
  <si>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</si>
  <si>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</si>
  <si>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</si>
  <si>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</si>
  <si>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</si>
  <si>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</si>
  <si>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</si>
  <si>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</si>
  <si>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</si>
  <si>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</si>
  <si>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</si>
  <si>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</si>
  <si>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</si>
  <si>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</si>
  <si>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</si>
  <si>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</si>
  <si>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</si>
  <si>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</si>
  <si>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</si>
  <si>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</si>
  <si>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</si>
  <si>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</si>
  <si>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</si>
  <si>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</si>
  <si>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</si>
  <si>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</si>
  <si>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</si>
  <si>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</si>
  <si>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</si>
  <si>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</si>
  <si>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</si>
  <si>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</si>
  <si>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</si>
  <si>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</si>
  <si>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</si>
  <si>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</si>
  <si>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</si>
  <si>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</si>
  <si>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</si>
  <si>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</si>
  <si>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</si>
  <si>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</si>
  <si>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</si>
  <si>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</si>
  <si>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</si>
  <si>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</si>
  <si>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</si>
  <si>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</si>
  <si>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</si>
  <si>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</si>
  <si>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</si>
  <si>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</si>
  <si>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</si>
  <si>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</si>
  <si>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</si>
  <si>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</si>
  <si>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</si>
  <si>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</si>
  <si>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</si>
  <si>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</si>
  <si>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</si>
  <si>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</si>
  <si>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</si>
  <si>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</si>
  <si>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</si>
  <si>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</si>
  <si>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</si>
  <si>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</si>
  <si>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</si>
  <si>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</si>
  <si>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</si>
  <si>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</si>
  <si>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</si>
  <si>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</si>
  <si>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</si>
  <si>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</si>
  <si>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</si>
  <si>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</si>
  <si>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</si>
  <si>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</si>
  <si>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</si>
  <si>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</si>
  <si>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</si>
  <si>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</si>
  <si>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</si>
  <si>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</si>
  <si>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</si>
  <si>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</si>
  <si>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</si>
  <si>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</si>
  <si>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</si>
  <si>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</si>
  <si>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</si>
  <si>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</si>
  <si>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</si>
  <si>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</si>
  <si>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</si>
  <si>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</si>
  <si>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</si>
  <si>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</si>
  <si>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</si>
  <si>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</si>
  <si>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</si>
  <si>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</si>
  <si>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</si>
  <si>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</si>
  <si>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</si>
  <si>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</si>
  <si>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</si>
  <si>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</si>
  <si>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</si>
  <si>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</si>
  <si>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</si>
  <si>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</si>
  <si>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</si>
  <si>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</si>
  <si>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</si>
  <si>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</si>
  <si>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</si>
  <si>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</si>
  <si>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</si>
  <si>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</si>
  <si>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</si>
  <si>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</si>
  <si>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</si>
  <si>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</si>
  <si>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</si>
  <si>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</si>
  <si>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</si>
  <si>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</si>
  <si>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</si>
  <si>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</si>
  <si>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</si>
  <si>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</si>
  <si>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</si>
  <si>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</si>
  <si>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</si>
  <si>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</si>
  <si>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</si>
  <si>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</si>
  <si>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</si>
  <si>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</si>
  <si>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</si>
  <si>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</si>
  <si>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</si>
  <si>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</si>
  <si>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</si>
  <si>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</si>
  <si>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</si>
  <si>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</si>
  <si>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</si>
  <si>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</si>
  <si>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</si>
  <si>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</si>
  <si>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</si>
  <si>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</si>
  <si>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</si>
  <si>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</si>
  <si>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</si>
  <si>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</si>
  <si>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</si>
  <si>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</si>
  <si>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</si>
  <si>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</si>
  <si>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</si>
  <si>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</si>
  <si>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</si>
  <si>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</si>
  <si>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</si>
  <si>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</si>
  <si>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</si>
  <si>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</si>
  <si>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</si>
  <si>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</si>
  <si>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</si>
  <si>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</si>
  <si>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</si>
  <si>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</si>
  <si>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</si>
  <si>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</si>
  <si>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</si>
  <si>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</si>
  <si>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</si>
  <si>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</si>
  <si>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</si>
  <si>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</si>
  <si>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</si>
  <si>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</si>
  <si>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</si>
  <si>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</si>
  <si>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</si>
  <si>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</si>
  <si>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</si>
  <si>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</si>
  <si>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</si>
  <si>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</si>
  <si>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</si>
  <si>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</si>
  <si>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</si>
  <si>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</si>
  <si>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</si>
  <si>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</si>
  <si>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</si>
  <si>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</si>
  <si>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</si>
  <si>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</si>
  <si>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</si>
  <si>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</si>
  <si>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</si>
  <si>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</si>
  <si>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</si>
  <si>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</si>
  <si>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</si>
  <si>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</si>
  <si>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</si>
  <si>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</si>
  <si>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</si>
  <si>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</si>
  <si>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</si>
  <si>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</si>
  <si>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</si>
  <si>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</si>
  <si>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</si>
  <si>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</si>
  <si>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</si>
  <si>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</si>
  <si>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</si>
  <si>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</si>
  <si>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</si>
  <si>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</si>
  <si>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</si>
  <si>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</si>
  <si>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</si>
  <si>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</si>
  <si>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</si>
  <si>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</si>
  <si>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</si>
  <si>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</si>
  <si>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</si>
  <si>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</si>
  <si>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</si>
  <si>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</si>
  <si>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</si>
  <si>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</si>
  <si>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</si>
  <si>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</si>
  <si>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</si>
  <si>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</si>
  <si>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</si>
  <si>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</si>
  <si>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</si>
  <si>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</si>
  <si>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</si>
  <si>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</si>
  <si>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</si>
  <si>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</si>
  <si>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</si>
  <si>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</si>
  <si>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</si>
  <si>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</si>
  <si>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</si>
  <si>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</si>
  <si>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</si>
  <si>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</si>
  <si>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</si>
  <si>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</si>
  <si>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</si>
  <si>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</si>
  <si>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</si>
  <si>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</si>
  <si>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</si>
  <si>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</si>
  <si>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</si>
  <si>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</si>
  <si>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</si>
  <si>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</si>
  <si>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</si>
  <si>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</si>
  <si>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</si>
  <si>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</si>
  <si>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</si>
  <si>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</si>
  <si>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</si>
  <si>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</si>
  <si>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</si>
  <si>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</si>
  <si>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</si>
  <si>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</si>
  <si>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</si>
  <si>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</si>
  <si>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</si>
  <si>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</si>
  <si>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</si>
  <si>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</si>
  <si>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</si>
  <si>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</si>
  <si>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</si>
  <si>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</si>
  <si>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</si>
  <si>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</si>
  <si>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</si>
  <si>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</si>
  <si>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</si>
  <si>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</si>
  <si>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</si>
  <si>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</si>
  <si>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</si>
  <si>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</si>
  <si>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</si>
  <si>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</si>
  <si>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</si>
  <si>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</si>
  <si>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</si>
  <si>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</si>
  <si>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</si>
  <si>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</si>
  <si>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</si>
  <si>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</si>
  <si>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</si>
  <si>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</si>
  <si>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</si>
  <si>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</si>
  <si>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</si>
  <si>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</si>
  <si>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</si>
  <si>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</si>
  <si>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</si>
  <si>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</si>
  <si>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</si>
  <si>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</si>
  <si>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</si>
  <si>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</si>
  <si>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</si>
  <si>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</si>
  <si>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</si>
  <si>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</si>
  <si>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</si>
  <si>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</si>
  <si>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</si>
  <si>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</si>
  <si>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</si>
  <si>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</si>
  <si>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</si>
  <si>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</si>
  <si>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</si>
  <si>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</si>
  <si>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</si>
  <si>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</si>
  <si>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</si>
  <si>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</si>
  <si>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</si>
  <si>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</si>
  <si>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</si>
  <si>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</si>
  <si>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</si>
  <si>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</si>
  <si>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</si>
  <si>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</si>
  <si>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</si>
  <si>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</si>
  <si>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</si>
  <si>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</si>
  <si>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</si>
  <si>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</si>
  <si>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</si>
  <si>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</si>
  <si>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</si>
  <si>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</si>
  <si>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</si>
  <si>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</si>
  <si>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</si>
  <si>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</si>
  <si>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</si>
  <si>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</si>
  <si>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</si>
  <si>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</si>
  <si>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</si>
  <si>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</si>
  <si>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</si>
  <si>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</si>
  <si>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</si>
  <si>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</si>
  <si>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</si>
  <si>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</si>
  <si>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</si>
  <si>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</si>
  <si>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</si>
  <si>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</si>
  <si>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</si>
  <si>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</si>
  <si>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</si>
  <si>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</si>
  <si>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</si>
  <si>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</si>
  <si>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</si>
  <si>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</si>
  <si>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</si>
  <si>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</si>
  <si>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</si>
  <si>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</si>
  <si>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</si>
  <si>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</si>
  <si>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</si>
  <si>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</si>
  <si>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</si>
  <si>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</si>
  <si>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</si>
  <si>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</si>
  <si>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</si>
  <si>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</si>
  <si>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</si>
  <si>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</si>
  <si>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</si>
  <si>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</si>
  <si>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</si>
  <si>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</si>
  <si>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</si>
  <si>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</si>
  <si>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</si>
  <si>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</si>
  <si>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</si>
  <si>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</si>
  <si>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</si>
  <si>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</si>
  <si>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</si>
  <si>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</si>
  <si>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</si>
  <si>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</si>
  <si>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</si>
  <si>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</si>
  <si>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</si>
  <si>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</si>
  <si>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</si>
  <si>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</si>
  <si>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</si>
  <si>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</si>
  <si>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</si>
  <si>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</si>
  <si>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</si>
  <si>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</si>
  <si>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</si>
  <si>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</si>
  <si>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</si>
  <si>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</si>
  <si>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</si>
  <si>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</si>
  <si>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</si>
  <si>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</si>
  <si>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</si>
  <si>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</si>
  <si>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</si>
  <si>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</si>
  <si>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</si>
  <si>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</si>
  <si>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</si>
  <si>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</si>
  <si>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</si>
  <si>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</si>
  <si>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</si>
  <si>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</si>
  <si>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</si>
  <si>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</si>
  <si>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</si>
  <si>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Joey Craig</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</si>
  <si>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</si>
  <si>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</si>
  <si>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</si>
  <si>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</si>
  <si>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</si>
  <si>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</si>
  <si>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</si>
  <si>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</si>
  <si>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</si>
  <si>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</si>
  <si>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</si>
  <si>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</si>
  <si>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</si>
  <si>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</si>
  <si>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</si>
  <si>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</si>
  <si>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</si>
  <si>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</si>
  <si>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</si>
  <si>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</si>
  <si>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</si>
  <si>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</si>
  <si>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</si>
  <si>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</si>
  <si>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</si>
  <si>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</si>
  <si>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</si>
  <si>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</si>
  <si>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</si>
  <si>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</si>
  <si>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</si>
  <si>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</si>
  <si>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</si>
  <si>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</si>
  <si>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</si>
  <si>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</si>
  <si>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</si>
  <si>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</si>
  <si>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</si>
  <si>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</si>
  <si>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</si>
  <si>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</si>
  <si>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</si>
  <si>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</si>
  <si>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</si>
  <si>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</si>
  <si>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</si>
  <si>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</si>
  <si>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</si>
  <si>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</si>
  <si>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</si>
  <si>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</si>
  <si>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</si>
  <si>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</si>
  <si>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</si>
  <si>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</si>
  <si>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</si>
  <si>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</si>
  <si>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</si>
  <si>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</si>
  <si>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</si>
  <si>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</si>
  <si>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</si>
  <si>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</si>
  <si>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</si>
  <si>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</si>
  <si>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</si>
  <si>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</si>
  <si>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</si>
  <si>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</si>
  <si>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</si>
  <si>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</si>
  <si>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</si>
  <si>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</si>
  <si>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</si>
  <si>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Ovens</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</si>
  <si>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</si>
  <si>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</si>
  <si>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</si>
  <si>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</si>
  <si>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</si>
  <si>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</si>
  <si>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</si>
  <si>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</si>
  <si>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</si>
  <si>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</si>
  <si>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</si>
  <si>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</si>
  <si>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</si>
  <si>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</si>
  <si>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</si>
  <si>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</si>
  <si>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</si>
  <si>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</si>
  <si>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</si>
  <si>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</si>
  <si>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</si>
  <si>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</si>
  <si>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</si>
  <si>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</si>
  <si>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</si>
  <si>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</si>
  <si>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</si>
  <si>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</si>
  <si>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</si>
  <si>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</si>
  <si>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</si>
  <si>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</si>
  <si>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</si>
  <si>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</si>
  <si>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</si>
  <si>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</si>
  <si>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</si>
  <si>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</si>
  <si>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</si>
  <si>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</si>
  <si>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</si>
  <si>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</si>
  <si>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</si>
  <si>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</si>
  <si>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</si>
  <si>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</si>
  <si>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</si>
  <si>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</si>
  <si>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</si>
  <si>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</si>
  <si>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</si>
  <si>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</si>
  <si>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</si>
  <si>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</si>
  <si>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</si>
  <si>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</si>
  <si>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</si>
  <si>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</si>
  <si>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</si>
  <si>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</si>
  <si>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</si>
  <si>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</si>
  <si>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</si>
  <si>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</si>
  <si>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</si>
  <si>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</si>
  <si>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</si>
  <si>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</si>
  <si>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</si>
  <si>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</si>
  <si>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</si>
  <si>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</si>
  <si>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</si>
  <si>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</si>
  <si>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</si>
  <si>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</si>
  <si>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</si>
  <si>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</si>
  <si>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</si>
  <si>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</si>
  <si>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</si>
  <si>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</si>
  <si>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</si>
  <si>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</si>
  <si>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</si>
  <si>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</si>
  <si>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</si>
  <si>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</si>
  <si>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</si>
  <si>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</si>
  <si>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</si>
  <si>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</si>
  <si>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</si>
  <si>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</si>
  <si>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</si>
  <si>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</si>
  <si>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</si>
  <si>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</si>
  <si>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</si>
  <si>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</si>
  <si>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</si>
  <si>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</si>
  <si>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</si>
  <si>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</si>
  <si>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</si>
  <si>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</si>
  <si>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</si>
  <si>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</si>
  <si>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</si>
  <si>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</si>
  <si>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</si>
  <si>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</si>
  <si>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</si>
  <si>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</si>
  <si>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</si>
  <si>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</si>
  <si>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</si>
  <si>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</si>
  <si>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</si>
  <si>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</si>
  <si>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</si>
  <si>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</si>
  <si>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</si>
  <si>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</si>
  <si>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</si>
  <si>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</si>
  <si>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</si>
  <si>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</si>
  <si>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</si>
  <si>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</si>
  <si>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</si>
  <si>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</si>
  <si>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</si>
  <si>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</si>
  <si>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</si>
  <si>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</si>
  <si>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</si>
  <si>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</si>
  <si>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</si>
  <si>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</si>
  <si>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</si>
  <si>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</si>
  <si>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</si>
  <si>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</si>
  <si>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</si>
  <si>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</si>
  <si>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</si>
  <si>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</si>
  <si>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</si>
  <si>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</si>
  <si>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</si>
  <si>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</si>
  <si>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</si>
  <si>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</si>
  <si>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</si>
  <si>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</si>
  <si>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</si>
  <si>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</si>
  <si>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</si>
  <si>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</si>
  <si>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</si>
  <si>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</si>
  <si>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</si>
  <si>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</si>
  <si>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</si>
  <si>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</si>
  <si>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</si>
  <si>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</si>
  <si>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</si>
  <si>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</si>
  <si>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</si>
  <si>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</si>
  <si>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</si>
  <si>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</si>
  <si>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</si>
  <si>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</si>
  <si>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</si>
  <si>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</si>
  <si>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</si>
  <si>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</si>
  <si>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</si>
  <si>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</si>
  <si>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</si>
  <si>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</si>
  <si>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</si>
  <si>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</si>
  <si>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</si>
  <si>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</si>
  <si>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</si>
  <si>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</si>
  <si>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</si>
  <si>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</si>
  <si>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</si>
  <si>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</si>
  <si>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</si>
  <si>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</si>
  <si>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</si>
  <si>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</si>
  <si>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</si>
  <si>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</si>
  <si>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</si>
  <si>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</si>
  <si>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</si>
  <si>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</si>
  <si>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</si>
  <si>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</si>
  <si>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</si>
  <si>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</si>
  <si>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</si>
  <si>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</si>
  <si>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</si>
  <si>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</si>
  <si>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</si>
  <si>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</si>
  <si>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</si>
  <si>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</si>
  <si>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</si>
  <si>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</si>
  <si>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</si>
  <si>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</si>
  <si>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</si>
  <si>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</si>
  <si>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</si>
  <si>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</si>
  <si>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</si>
  <si>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</si>
  <si>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</si>
  <si>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</si>
  <si>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</si>
  <si>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</si>
  <si>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</si>
  <si>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</si>
  <si>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</si>
  <si>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</si>
  <si>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</si>
  <si>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</si>
  <si>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</si>
  <si>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</si>
  <si>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</si>
  <si>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</si>
  <si>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</si>
  <si>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</si>
  <si>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</si>
  <si>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</si>
  <si>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</si>
  <si>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</si>
  <si>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</si>
  <si>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</si>
  <si>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</si>
  <si>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</si>
  <si>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</si>
  <si>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</si>
  <si>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</si>
  <si>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</si>
  <si>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</si>
  <si>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</si>
  <si>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</si>
  <si>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</si>
  <si>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</si>
  <si>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</si>
  <si>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</si>
  <si>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</si>
  <si>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</si>
  <si>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</si>
  <si>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</si>
  <si>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</si>
  <si>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</si>
  <si>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</si>
  <si>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</si>
  <si>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</si>
  <si>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</si>
  <si>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</si>
  <si>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</si>
  <si>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</si>
  <si>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</si>
  <si>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</si>
  <si>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</si>
  <si>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</si>
  <si>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</si>
  <si>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</si>
  <si>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</si>
  <si>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</si>
  <si>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</si>
  <si>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</si>
  <si>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</si>
  <si>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</si>
  <si>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</si>
  <si>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</si>
  <si>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</si>
  <si>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</si>
  <si>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</si>
  <si>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</si>
  <si>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</si>
  <si>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</si>
  <si>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</si>
  <si>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</si>
  <si>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</si>
  <si>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</si>
  <si>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</si>
  <si>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</si>
  <si>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</si>
  <si>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</si>
  <si>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</si>
  <si>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</si>
  <si>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</si>
  <si>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</si>
  <si>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</si>
  <si>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</si>
  <si>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</si>
  <si>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</si>
  <si>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</si>
  <si>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</si>
  <si>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</si>
  <si>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</si>
  <si>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</si>
  <si>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</si>
  <si>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</si>
  <si>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</si>
  <si>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</si>
  <si>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</si>
  <si>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</si>
  <si>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</si>
  <si>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</si>
  <si>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</si>
  <si>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</si>
  <si>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</si>
  <si>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</si>
  <si>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</si>
  <si>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</si>
  <si>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</si>
  <si>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</si>
  <si>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</si>
  <si>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</si>
  <si>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</si>
  <si>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</si>
  <si>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</si>
  <si>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</si>
  <si>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</si>
  <si>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</si>
  <si>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</si>
  <si>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</si>
  <si>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</si>
  <si>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</si>
  <si>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</si>
  <si>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</si>
  <si>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</si>
  <si>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</si>
  <si>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</si>
  <si>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</si>
  <si>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</si>
  <si>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</si>
  <si>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</si>
  <si>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</si>
  <si>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</si>
  <si>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</si>
  <si>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</si>
  <si>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</si>
  <si>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</si>
  <si>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</si>
  <si>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</si>
  <si>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</si>
  <si>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</si>
  <si>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</si>
  <si>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</si>
  <si>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</si>
  <si>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</si>
  <si>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</si>
  <si>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</si>
  <si>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</si>
  <si>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</si>
  <si>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</si>
  <si>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</si>
  <si>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</si>
  <si>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</si>
  <si>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</si>
  <si>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</si>
  <si>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</si>
  <si>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</si>
  <si>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</si>
  <si>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</si>
  <si>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</si>
  <si>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</si>
  <si>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</si>
  <si>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</si>
  <si>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</si>
  <si>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</si>
  <si>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</si>
  <si>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</si>
  <si>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</si>
  <si>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</si>
  <si>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</si>
  <si>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</si>
  <si>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</si>
  <si>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</si>
  <si>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</si>
  <si>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</si>
  <si>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</si>
  <si>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</si>
  <si>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</si>
  <si>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</si>
  <si>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</si>
  <si>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</si>
  <si>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</si>
  <si>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</si>
  <si>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</si>
  <si>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</si>
  <si>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</si>
  <si>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</si>
  <si>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</si>
  <si>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</si>
  <si>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</si>
  <si>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</si>
  <si>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</si>
  <si>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</si>
  <si>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</si>
  <si>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</si>
  <si>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</si>
  <si>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</si>
  <si>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</si>
  <si>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</si>
  <si>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</si>
  <si>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</si>
  <si>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</si>
  <si>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</si>
  <si>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</si>
  <si>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</si>
  <si>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</si>
  <si>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</si>
  <si>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</si>
  <si>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</si>
  <si>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</si>
  <si>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</si>
  <si>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</si>
  <si>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</si>
  <si>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</si>
  <si>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</si>
  <si>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</si>
  <si>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</si>
  <si>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</si>
  <si>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</si>
  <si>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</si>
  <si>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</si>
  <si>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</si>
  <si>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</si>
  <si>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</si>
  <si>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</si>
  <si>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</si>
  <si>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</si>
  <si>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</si>
  <si>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</si>
  <si>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</si>
  <si>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</si>
  <si>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</si>
  <si>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</si>
  <si>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</si>
  <si>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</si>
  <si>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</si>
  <si>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</si>
  <si>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</si>
  <si>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</si>
  <si>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</si>
  <si>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</si>
  <si>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</si>
  <si>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</si>
  <si>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</si>
  <si>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</si>
  <si>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</si>
  <si>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</si>
  <si>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</si>
  <si>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</si>
  <si>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</si>
  <si>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</si>
  <si>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</si>
  <si>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</si>
  <si>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</si>
  <si>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</si>
  <si>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</si>
  <si>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</si>
  <si>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</si>
  <si>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</si>
  <si>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</si>
  <si>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</si>
  <si>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</si>
  <si>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</si>
  <si>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</si>
  <si>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</si>
  <si>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</si>
  <si>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</si>
  <si>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</si>
  <si>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</si>
  <si>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</si>
  <si>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</si>
  <si>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</si>
  <si>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</si>
  <si>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</si>
  <si>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</si>
  <si>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</si>
  <si>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</si>
  <si>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</si>
  <si>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</si>
  <si>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</si>
  <si>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</si>
  <si>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</si>
  <si>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</si>
  <si>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</si>
  <si>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</si>
  <si>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</si>
  <si>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</si>
  <si>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</si>
  <si>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</si>
  <si>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</si>
  <si>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</si>
  <si>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THE BRADBURY COMPANY</t>
  </si>
  <si>
    <t>±20.0°F/±10.0°F</t>
  </si>
  <si>
    <t>y</t>
  </si>
  <si>
    <t>Ver. 12.14.21</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</si>
  <si>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</si>
  <si>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</si>
  <si>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</si>
  <si>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</si>
  <si>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</si>
  <si>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</si>
  <si>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</si>
  <si>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</si>
  <si>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</si>
  <si>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</si>
  <si>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</si>
  <si>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</si>
  <si>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</si>
  <si>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</si>
  <si>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</si>
  <si>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</si>
  <si>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</si>
  <si>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</si>
  <si>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</si>
  <si>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</si>
  <si>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</si>
  <si>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</si>
  <si>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</si>
  <si>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</si>
  <si>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</si>
  <si>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</si>
  <si>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</si>
  <si>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</si>
  <si>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</si>
  <si>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</si>
  <si>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</si>
  <si>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</si>
  <si>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</si>
  <si>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</si>
  <si>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</si>
  <si>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</si>
  <si>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</si>
  <si>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</si>
  <si>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</si>
  <si>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</si>
  <si>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</si>
  <si>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</si>
  <si>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</si>
  <si>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</si>
  <si>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</si>
  <si>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</si>
  <si>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</si>
  <si>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</si>
  <si>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</si>
  <si>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</si>
  <si>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</si>
  <si>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</si>
  <si>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</si>
  <si>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</si>
  <si>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</si>
  <si>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</si>
  <si>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</si>
  <si>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</si>
  <si>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</si>
  <si>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</si>
  <si>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</si>
  <si>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</si>
  <si>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</si>
  <si>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</si>
  <si>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</si>
  <si>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</si>
  <si>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</si>
  <si>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</si>
  <si>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</si>
  <si>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</si>
  <si>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</si>
  <si>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</si>
  <si>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</si>
  <si>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</si>
  <si>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</si>
  <si>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</si>
  <si>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</si>
  <si>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</si>
  <si>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</si>
  <si>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</si>
  <si>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</si>
  <si>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</si>
  <si>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</si>
  <si>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</si>
  <si>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</si>
  <si>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</si>
  <si>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</si>
  <si>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</si>
  <si>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</si>
  <si>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</si>
  <si>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</si>
  <si>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</si>
  <si>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</si>
  <si>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</si>
  <si>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</si>
  <si>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</si>
  <si>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</si>
  <si>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</si>
  <si>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</si>
  <si>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</si>
  <si>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</si>
  <si>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</si>
  <si>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</si>
  <si>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</si>
  <si>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</si>
  <si>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</si>
  <si>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</si>
  <si>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</si>
  <si>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</si>
  <si>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</si>
  <si>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</si>
  <si>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</si>
  <si>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</si>
  <si>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</si>
  <si>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</si>
  <si>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</si>
  <si>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</si>
  <si>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</si>
  <si>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</si>
  <si>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</si>
  <si>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</si>
  <si>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</si>
  <si>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</si>
  <si>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</si>
  <si>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</si>
  <si>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</si>
  <si>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</si>
  <si>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</si>
  <si>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</si>
  <si>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</si>
  <si>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</si>
  <si>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</si>
  <si>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</si>
  <si>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</si>
  <si>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</si>
  <si>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</si>
  <si>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</si>
  <si>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</si>
  <si>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</si>
  <si>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</si>
  <si>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</si>
  <si>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</si>
  <si>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</si>
  <si>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</si>
  <si>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</si>
  <si>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</si>
  <si>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</si>
  <si>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</si>
  <si>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</si>
  <si>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</si>
  <si>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</si>
  <si>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</si>
  <si>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</si>
  <si>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</si>
  <si>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</si>
  <si>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</si>
  <si>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</si>
  <si>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</si>
  <si>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</si>
  <si>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</si>
  <si>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</si>
  <si>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</si>
  <si>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</si>
  <si>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</si>
  <si>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</si>
  <si>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</si>
  <si>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</si>
  <si>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</si>
  <si>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</si>
  <si>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</si>
  <si>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</si>
  <si>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</si>
  <si>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</si>
  <si>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</si>
  <si>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</si>
  <si>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</si>
  <si>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</si>
  <si>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</si>
  <si>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</si>
  <si>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</si>
  <si>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</si>
  <si>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</si>
  <si>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</si>
  <si>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</si>
  <si>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</si>
  <si>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</si>
  <si>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</si>
  <si>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</si>
  <si>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</si>
  <si>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</si>
  <si>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</si>
  <si>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</si>
  <si>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</si>
  <si>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</si>
  <si>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</si>
  <si>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</si>
  <si>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</si>
  <si>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</si>
  <si>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</si>
  <si>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</si>
  <si>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</si>
  <si>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</si>
  <si>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</si>
  <si>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</si>
  <si>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</si>
  <si>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</si>
  <si>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</si>
  <si>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</si>
  <si>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</si>
  <si>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</si>
  <si>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</si>
  <si>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</si>
  <si>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</si>
  <si>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</si>
  <si>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</si>
  <si>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</si>
  <si>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</si>
  <si>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</si>
  <si>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</si>
  <si>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</si>
  <si>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</si>
  <si>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</si>
  <si>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</si>
  <si>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</si>
  <si>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</si>
  <si>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</si>
  <si>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</si>
  <si>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</si>
  <si>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</si>
  <si>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</si>
  <si>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</si>
  <si>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</si>
  <si>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</si>
  <si>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</si>
  <si>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</si>
  <si>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</si>
  <si>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</si>
  <si>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</si>
  <si>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</si>
  <si>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</si>
  <si>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</si>
  <si>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</si>
  <si>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</si>
  <si>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</si>
  <si>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</si>
  <si>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</si>
  <si>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</si>
  <si>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</si>
  <si>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</si>
  <si>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</si>
  <si>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</si>
  <si>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</si>
  <si>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</si>
  <si>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</si>
  <si>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</si>
  <si>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</si>
  <si>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</si>
  <si>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</si>
  <si>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</si>
  <si>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</si>
  <si>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</si>
  <si>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</si>
  <si>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</si>
  <si>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</si>
  <si>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</si>
  <si>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</si>
  <si>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</si>
  <si>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</si>
  <si>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</si>
  <si>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</si>
  <si>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</si>
  <si>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</si>
  <si>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</si>
  <si>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</si>
  <si>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</si>
  <si>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</si>
  <si>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</si>
  <si>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</si>
  <si>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</si>
  <si>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</si>
  <si>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</si>
  <si>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</si>
  <si>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</si>
  <si>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</si>
  <si>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</si>
  <si>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</si>
  <si>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</si>
  <si>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</si>
  <si>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</si>
  <si>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</si>
  <si>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</si>
  <si>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</si>
  <si>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</si>
  <si>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</si>
  <si>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</si>
  <si>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</si>
  <si>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</si>
  <si>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</si>
  <si>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</si>
  <si>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</si>
  <si>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</si>
  <si>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</si>
  <si>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</si>
  <si>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</si>
  <si>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</si>
  <si>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</si>
  <si>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</si>
  <si>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</si>
  <si>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</si>
  <si>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</si>
  <si>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</si>
  <si>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</si>
  <si>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</si>
  <si>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</si>
  <si>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</si>
  <si>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</si>
  <si>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</si>
  <si>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</si>
  <si>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</si>
  <si>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</si>
  <si>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</si>
  <si>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</si>
  <si>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</si>
  <si>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</si>
  <si>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</si>
  <si>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</si>
  <si>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</si>
  <si>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</si>
  <si>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</si>
  <si>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</si>
  <si>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</si>
  <si>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</si>
  <si>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</si>
  <si>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</si>
  <si>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</si>
  <si>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</si>
  <si>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</si>
  <si>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</si>
  <si>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Qualer WO Line (-01,-02, -03):</t>
  </si>
  <si>
    <t>James Haven</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</si>
  <si>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</si>
  <si>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</si>
  <si>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</si>
  <si>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</si>
  <si>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</si>
  <si>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</si>
  <si>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</si>
  <si>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</si>
  <si>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</si>
  <si>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</si>
  <si>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</si>
  <si>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</si>
  <si>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</si>
  <si>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</si>
  <si>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</si>
  <si>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</si>
  <si>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</si>
  <si>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</si>
  <si>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</si>
  <si>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</si>
  <si>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</si>
  <si>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</si>
  <si>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</si>
  <si>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</si>
  <si>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</si>
  <si>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</si>
  <si>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</si>
  <si>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</si>
  <si>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</si>
  <si>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</si>
  <si>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</si>
  <si>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</si>
  <si>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</si>
  <si>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</si>
  <si>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</si>
  <si>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</si>
  <si>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</si>
  <si>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</si>
  <si>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</si>
  <si>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</si>
  <si>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</si>
  <si>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</si>
  <si>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</si>
  <si>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</si>
  <si>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</si>
  <si>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</si>
  <si>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</si>
  <si>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</si>
  <si>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</si>
  <si>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</si>
  <si>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</si>
  <si>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</si>
  <si>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</si>
  <si>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</si>
  <si>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</si>
  <si>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</si>
  <si>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</si>
  <si>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</si>
  <si>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</si>
  <si>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</si>
  <si>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</si>
  <si>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</si>
  <si>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</si>
  <si>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</si>
  <si>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</si>
  <si>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</si>
  <si>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</si>
  <si>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</si>
  <si>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</si>
  <si>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</si>
  <si>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</si>
  <si>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</si>
  <si>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</si>
  <si>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</si>
  <si>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</si>
  <si>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</si>
  <si>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</si>
  <si>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</si>
  <si>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</si>
  <si>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</si>
  <si>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</si>
  <si>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</si>
  <si>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</si>
  <si>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</si>
  <si>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</si>
  <si>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</si>
  <si>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</si>
  <si>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</si>
  <si>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</si>
  <si>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</si>
  <si>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</si>
  <si>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</si>
  <si>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</si>
  <si>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</si>
  <si>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</si>
  <si>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</si>
  <si>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</si>
  <si>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</si>
  <si>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</si>
  <si>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</si>
  <si>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</si>
  <si>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</si>
  <si>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</si>
  <si>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</si>
  <si>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</si>
  <si>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</si>
  <si>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</si>
  <si>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</si>
  <si>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</si>
  <si>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</si>
  <si>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</si>
  <si>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</si>
  <si>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</si>
  <si>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</si>
  <si>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</si>
  <si>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</si>
  <si>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</si>
  <si>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</si>
  <si>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</si>
  <si>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</si>
  <si>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</si>
  <si>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</si>
  <si>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</si>
  <si>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</si>
  <si>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</si>
  <si>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</si>
  <si>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</si>
  <si>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</si>
  <si>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</si>
  <si>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</si>
  <si>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</si>
  <si>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</si>
  <si>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</si>
  <si>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</si>
  <si>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</si>
  <si>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</si>
  <si>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</si>
  <si>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</si>
  <si>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</si>
  <si>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Jesse Regehr</t>
  </si>
  <si>
    <t>047655C</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</si>
  <si>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</si>
  <si>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</si>
  <si>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</si>
  <si>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</si>
  <si>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</si>
  <si>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</si>
  <si>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</si>
  <si>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</si>
  <si>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</si>
  <si>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</si>
  <si>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</si>
  <si>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</si>
  <si>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</si>
  <si>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</si>
  <si>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</si>
  <si>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</si>
  <si>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</si>
  <si>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</si>
  <si>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</si>
  <si>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</si>
  <si>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</si>
  <si>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</si>
  <si>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</si>
  <si>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</si>
  <si>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</si>
  <si>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</si>
  <si>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</si>
  <si>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</si>
  <si>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</si>
  <si>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</si>
  <si>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</si>
  <si>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</si>
  <si>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</si>
  <si>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</si>
  <si>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</si>
  <si>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</si>
  <si>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</si>
  <si>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</si>
  <si>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</si>
  <si>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</si>
  <si>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</si>
  <si>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</si>
  <si>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</si>
  <si>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</si>
  <si>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</si>
  <si>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</si>
  <si>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</si>
  <si>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</si>
  <si>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</si>
  <si>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</si>
  <si>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</si>
  <si>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</si>
  <si>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</si>
  <si>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</si>
  <si>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</si>
  <si>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</si>
  <si>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</si>
  <si>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</si>
  <si>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</si>
  <si>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</si>
  <si>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</si>
  <si>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</si>
  <si>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</si>
  <si>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</si>
  <si>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</si>
  <si>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</si>
  <si>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</si>
  <si>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</si>
  <si>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</si>
  <si>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</si>
  <si>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</si>
  <si>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</si>
  <si>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</si>
  <si>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</si>
  <si>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</si>
  <si>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</si>
  <si>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</si>
  <si>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</si>
  <si>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</si>
  <si>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</si>
  <si>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</si>
  <si>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</si>
  <si>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</si>
  <si>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</si>
  <si>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</si>
  <si>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</si>
  <si>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</si>
  <si>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</si>
  <si>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</si>
  <si>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</si>
  <si>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</si>
  <si>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</si>
  <si>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</si>
  <si>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</si>
  <si>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</si>
  <si>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</si>
  <si>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</si>
  <si>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</si>
  <si>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</si>
  <si>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</si>
  <si>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</si>
  <si>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</si>
  <si>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</si>
  <si>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</si>
  <si>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</si>
  <si>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</si>
  <si>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</si>
  <si>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</si>
  <si>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</si>
  <si>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</si>
  <si>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</si>
  <si>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</si>
  <si>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</si>
  <si>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</si>
  <si>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</si>
  <si>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</si>
  <si>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</si>
  <si>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</si>
  <si>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</si>
  <si>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</si>
  <si>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</si>
  <si>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</si>
  <si>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</si>
  <si>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</si>
  <si>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</si>
  <si>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</si>
  <si>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</si>
  <si>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</si>
  <si>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</si>
  <si>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</si>
  <si>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</si>
  <si>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</si>
  <si>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</si>
  <si>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</si>
  <si>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</si>
  <si>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</si>
  <si>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</si>
  <si>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</si>
  <si>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</si>
  <si>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</si>
  <si>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</si>
  <si>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</si>
  <si>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</si>
  <si>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</si>
  <si>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</si>
  <si>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</si>
  <si>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</si>
  <si>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</si>
  <si>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</si>
  <si>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</si>
  <si>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</si>
  <si>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</si>
  <si>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</si>
  <si>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</si>
  <si>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</si>
  <si>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</si>
  <si>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</si>
  <si>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</si>
  <si>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</si>
  <si>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</si>
  <si>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</si>
  <si>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</si>
  <si>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</si>
  <si>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</si>
  <si>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</si>
  <si>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</si>
  <si>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</si>
  <si>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</si>
  <si>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</si>
  <si>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Nick Nolte</t>
  </si>
  <si>
    <t>Mike Ragonese</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</si>
  <si>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</si>
  <si>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</si>
  <si>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</si>
  <si>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</si>
  <si>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</si>
  <si>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</si>
  <si>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</si>
  <si>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</si>
  <si>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</si>
  <si>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</si>
  <si>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</si>
  <si>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</si>
  <si>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</si>
  <si>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</si>
  <si>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</si>
  <si>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</si>
  <si>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</si>
  <si>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</si>
  <si>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</si>
  <si>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</si>
  <si>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</si>
  <si>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</si>
  <si>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</si>
  <si>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</si>
  <si>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</si>
  <si>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</si>
  <si>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</si>
  <si>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</si>
  <si>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</si>
  <si>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</si>
  <si>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</si>
  <si>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</si>
  <si>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</si>
  <si>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</si>
  <si>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</si>
  <si>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</si>
  <si>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</si>
  <si>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</si>
  <si>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</si>
  <si>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</si>
  <si>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</si>
  <si>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</si>
  <si>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</si>
  <si>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</si>
  <si>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</si>
  <si>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</si>
  <si>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</si>
  <si>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</si>
  <si>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</si>
  <si>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</si>
  <si>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</si>
  <si>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</si>
  <si>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</si>
  <si>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</si>
  <si>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</si>
  <si>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</si>
  <si>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</si>
  <si>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</si>
  <si>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</si>
  <si>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</si>
  <si>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</si>
  <si>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</si>
  <si>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</si>
  <si>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</si>
  <si>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</si>
  <si>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</si>
  <si>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</si>
  <si>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</si>
  <si>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</si>
  <si>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</si>
  <si>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</si>
  <si>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</si>
  <si>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</si>
  <si>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</si>
  <si>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</si>
  <si>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</si>
  <si>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</si>
  <si>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</si>
  <si>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</si>
  <si>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</si>
  <si>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</si>
  <si>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</si>
  <si>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</si>
  <si>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</si>
  <si>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</si>
  <si>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</si>
  <si>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</si>
  <si>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</si>
  <si>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</si>
  <si>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</si>
  <si>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</si>
  <si>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</si>
  <si>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</si>
  <si>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</si>
  <si>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</si>
  <si>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</si>
  <si>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</si>
  <si>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</si>
  <si>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</si>
  <si>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</si>
  <si>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</si>
  <si>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</si>
  <si>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</si>
  <si>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</si>
  <si>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</si>
  <si>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</si>
  <si>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</si>
  <si>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</si>
  <si>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</si>
  <si>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</si>
  <si>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</si>
  <si>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</si>
  <si>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</si>
  <si>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</si>
  <si>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</si>
  <si>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</si>
  <si>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</si>
  <si>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</si>
  <si>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</si>
  <si>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</si>
  <si>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</si>
  <si>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</si>
  <si>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</si>
  <si>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</si>
  <si>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</si>
  <si>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</si>
  <si>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</si>
  <si>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</si>
  <si>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</si>
  <si>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</si>
  <si>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</si>
  <si>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</si>
  <si>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</si>
  <si>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</si>
  <si>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</si>
  <si>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</si>
  <si>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</si>
  <si>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</si>
  <si>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</si>
  <si>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</si>
  <si>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</si>
  <si>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</si>
  <si>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</si>
  <si>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</si>
  <si>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</si>
  <si>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</si>
  <si>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</si>
  <si>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</si>
  <si>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</si>
  <si>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</si>
  <si>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</si>
  <si>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</si>
  <si>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</si>
  <si>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</si>
  <si>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</si>
  <si>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</si>
  <si>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</si>
  <si>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</si>
  <si>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</si>
  <si>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</si>
  <si>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</si>
  <si>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</si>
  <si>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</si>
  <si>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</si>
  <si>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</si>
  <si>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</si>
  <si>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</si>
  <si>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</si>
  <si>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</si>
  <si>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</si>
  <si>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</si>
  <si>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</si>
  <si>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</si>
  <si>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</si>
  <si>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</si>
  <si>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</si>
  <si>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</si>
  <si>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</si>
  <si>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</si>
  <si>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</si>
  <si>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</si>
  <si>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</si>
  <si>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</si>
  <si>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</si>
  <si>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</si>
  <si>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</si>
  <si>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</si>
  <si>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</si>
  <si>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</si>
  <si>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</si>
  <si>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</si>
  <si>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</si>
  <si>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</si>
  <si>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</si>
  <si>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</si>
  <si>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</si>
  <si>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</si>
  <si>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</si>
  <si>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</si>
  <si>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</si>
  <si>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</si>
  <si>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</si>
  <si>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</si>
  <si>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</si>
  <si>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</si>
  <si>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</si>
  <si>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</si>
  <si>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</si>
  <si>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</si>
  <si>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</si>
  <si>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</si>
  <si>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</si>
  <si>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</si>
  <si>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</si>
  <si>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</si>
  <si>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</si>
  <si>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</si>
  <si>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</si>
  <si>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</si>
  <si>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</si>
  <si>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</si>
  <si>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</si>
  <si>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</si>
  <si>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</si>
  <si>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</si>
  <si>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</si>
  <si>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</si>
  <si>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</si>
  <si>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</si>
  <si>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</si>
  <si>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</si>
  <si>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</si>
  <si>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</si>
  <si>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</si>
  <si>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</si>
  <si>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</si>
  <si>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</si>
  <si>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</si>
  <si>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</si>
  <si>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</si>
  <si>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</si>
  <si>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</si>
  <si>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</si>
  <si>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</si>
  <si>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</si>
  <si>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</si>
  <si>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</si>
  <si>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</si>
  <si>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</si>
  <si>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</si>
  <si>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</si>
  <si>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</si>
  <si>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</si>
  <si>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</si>
  <si>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</si>
  <si>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</si>
  <si>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</si>
  <si>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</si>
  <si>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</si>
  <si>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</si>
  <si>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</si>
  <si>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</si>
  <si>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</si>
  <si>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</si>
  <si>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</si>
  <si>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</si>
  <si>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</si>
  <si>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</si>
  <si>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</si>
  <si>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</si>
  <si>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</si>
  <si>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</si>
  <si>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</si>
  <si>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</si>
  <si>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</si>
  <si>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Joey Knutson</t>
  </si>
  <si>
    <t>Ryan Byars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</si>
</sst>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2"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9"/>
      <color rgb="FF000000"/>
      <name val="Arial"/>
      <family val="2"/>
    </font>
    <font>
      <sz val="8"/>
      <color rgb="FF000000"/>
      <name val="Tahoma"/>
      <family val="2"/>
    </font>
    <font>
      <sz val="10"/>
      <color rgb="FF000000"/>
      <name val="Arial"/>
      <family val="2"/>
    </font>
    <font>
      <sz val="8"/>
      <color rgb="FF000000"/>
      <name val="Segoe UI"/>
      <family val="2"/>
    </font>
    <font>
      <sz val="10"/>
      <name val="Arial"/>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rgb="FFFF0000"/>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sz val="9"/>
      <color rgb="FF333333"/>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1"/>
      <color theme="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s>
  <fills count="21">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9" fillId="0" borderId="0" applyNumberFormat="0" applyFill="0" applyBorder="0" applyAlignment="0" applyProtection="0"/>
  </cellStyleXfs>
  <cellXfs count="71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72" fontId="32" fillId="2" borderId="0" xfId="0" applyNumberFormat="1" applyFont="1" applyFill="1" applyProtection="1">
      <protection locked="0"/>
    </xf>
    <xf numFmtId="175" fontId="32" fillId="2" borderId="0" xfId="0" applyNumberFormat="1" applyFont="1" applyFill="1" applyProtection="1">
      <protection locked="0"/>
    </xf>
    <xf numFmtId="164" fontId="35" fillId="2" borderId="0" xfId="0" applyNumberFormat="1" applyFont="1" applyFill="1" applyProtection="1">
      <protection locked="0"/>
    </xf>
    <xf numFmtId="164" fontId="36" fillId="2" borderId="6" xfId="0" applyNumberFormat="1" applyFont="1" applyFill="1" applyBorder="1"/>
    <xf numFmtId="0" fontId="37" fillId="2" borderId="0" xfId="0" applyFont="1" applyFill="1" applyProtection="1">
      <protection locked="0"/>
    </xf>
    <xf numFmtId="164" fontId="36" fillId="2" borderId="0" xfId="0" applyNumberFormat="1" applyFont="1" applyFill="1" applyProtection="1">
      <protection locked="0"/>
    </xf>
    <xf numFmtId="0" fontId="11" fillId="0" borderId="0" xfId="1" applyFont="1" applyAlignment="1">
      <alignment horizontal="center"/>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20" fontId="0" fillId="0" borderId="0" xfId="0" applyNumberForma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xf numFmtId="0" fontId="7" fillId="0" borderId="0" xfId="3" applyProtection="1">
      <protection locked="0"/>
    </xf>
    <xf numFmtId="172" fontId="7" fillId="0" borderId="0" xfId="3" applyNumberFormat="1" applyProtection="1">
      <protection locked="0"/>
    </xf>
    <xf numFmtId="0" fontId="1" fillId="0" borderId="0" xfId="5"/>
    <xf numFmtId="20" fontId="1" fillId="0" borderId="0" xfId="5" applyNumberFormat="1"/>
    <xf numFmtId="164" fontId="1" fillId="0" borderId="0" xfId="5" applyNumberFormat="1"/>
    <xf numFmtId="0" fontId="74" fillId="0" borderId="0" xfId="0" applyFont="1" applyAlignment="1">
      <alignment wrapText="1"/>
    </xf>
    <xf numFmtId="171" fontId="0" fillId="0" borderId="0" xfId="0" applyNumberFormat="1"/>
    <xf numFmtId="0" fontId="57" fillId="0" borderId="0" xfId="0" applyFont="1" applyAlignment="1">
      <alignment horizontal="center"/>
    </xf>
    <xf numFmtId="1" fontId="7" fillId="0" borderId="0" xfId="0" applyNumberFormat="1" applyFont="1"/>
    <xf numFmtId="0" fontId="74" fillId="0" borderId="0" xfId="0" applyFont="1" applyAlignment="1">
      <alignment horizontal="right" wrapText="1"/>
    </xf>
    <xf numFmtId="0" fontId="0" fillId="0" borderId="0" xfId="0" applyAlignment="1">
      <alignment horizontal="right"/>
    </xf>
    <xf numFmtId="166" fontId="74" fillId="0" borderId="0" xfId="0" applyNumberFormat="1" applyFont="1" applyAlignment="1">
      <alignment wrapText="1"/>
    </xf>
    <xf numFmtId="166" fontId="0" fillId="0" borderId="0" xfId="0" applyNumberFormat="1"/>
    <xf numFmtId="49" fontId="74" fillId="0" borderId="0" xfId="0" applyNumberFormat="1" applyFont="1"/>
    <xf numFmtId="0" fontId="74" fillId="0" borderId="0" xfId="0" applyFont="1"/>
    <xf numFmtId="0" fontId="3" fillId="0" borderId="0" xfId="0" applyFont="1" applyProtection="1">
      <protection locked="0"/>
    </xf>
    <xf numFmtId="0" fontId="0" fillId="0" borderId="0" xfId="0" applyAlignment="1" applyProtection="1">
      <alignment wrapText="1"/>
      <protection locked="0"/>
    </xf>
    <xf numFmtId="1" fontId="0" fillId="0" borderId="0" xfId="0" applyNumberFormat="1"/>
    <xf numFmtId="22" fontId="0" fillId="0" borderId="0" xfId="0" applyNumberFormat="1"/>
    <xf numFmtId="0" fontId="78" fillId="0" borderId="0" xfId="0" applyFont="1"/>
    <xf numFmtId="14" fontId="78" fillId="0" borderId="0" xfId="0" applyNumberFormat="1" applyFont="1"/>
    <xf numFmtId="0" fontId="80" fillId="3" borderId="0" xfId="0" applyFont="1" applyFill="1" applyAlignment="1">
      <alignment horizontal="left" vertical="center"/>
    </xf>
    <xf numFmtId="0" fontId="82" fillId="7" borderId="14" xfId="0" applyFont="1" applyFill="1" applyBorder="1"/>
    <xf numFmtId="0" fontId="82" fillId="7" borderId="13" xfId="0" applyFont="1" applyFill="1" applyBorder="1"/>
    <xf numFmtId="0" fontId="80" fillId="3" borderId="0" xfId="0" applyFont="1" applyFill="1"/>
    <xf numFmtId="0" fontId="80" fillId="3" borderId="0" xfId="0" applyFont="1" applyFill="1" applyProtection="1">
      <protection locked="0"/>
    </xf>
    <xf numFmtId="0" fontId="80" fillId="3" borderId="0" xfId="0" applyFont="1" applyFill="1" applyAlignment="1">
      <alignment horizontal="right" wrapText="1"/>
    </xf>
    <xf numFmtId="0" fontId="79" fillId="3" borderId="0" xfId="0" applyFont="1" applyFill="1"/>
    <xf numFmtId="0" fontId="79" fillId="3" borderId="0" xfId="0" applyFont="1" applyFill="1" applyAlignment="1">
      <alignment horizontal="center"/>
    </xf>
    <xf numFmtId="0" fontId="83" fillId="3" borderId="0" xfId="0" applyFont="1" applyFill="1"/>
    <xf numFmtId="0" fontId="83" fillId="3" borderId="0" xfId="0" applyFont="1" applyFill="1" applyProtection="1">
      <protection locked="0"/>
    </xf>
    <xf numFmtId="0" fontId="80" fillId="5" borderId="8" xfId="0" applyFont="1" applyFill="1" applyBorder="1" applyAlignment="1">
      <alignment horizontal="left" vertical="top"/>
    </xf>
    <xf numFmtId="0" fontId="84" fillId="5" borderId="13" xfId="0" applyFont="1" applyFill="1" applyBorder="1" applyAlignment="1">
      <alignment horizontal="right" wrapText="1"/>
    </xf>
    <xf numFmtId="0" fontId="87" fillId="3" borderId="0" xfId="0" applyFont="1" applyFill="1" applyProtection="1">
      <protection locked="0"/>
    </xf>
    <xf numFmtId="165" fontId="88" fillId="6" borderId="13" xfId="0" applyNumberFormat="1" applyFont="1" applyFill="1" applyBorder="1" applyAlignment="1">
      <alignment horizontal="center"/>
    </xf>
    <xf numFmtId="0" fontId="86" fillId="5" borderId="4" xfId="0" applyFont="1" applyFill="1" applyBorder="1" applyAlignment="1">
      <alignment horizontal="center"/>
    </xf>
    <xf numFmtId="0" fontId="86" fillId="5" borderId="8" xfId="0" applyFont="1" applyFill="1" applyBorder="1" applyAlignment="1">
      <alignment horizontal="center"/>
    </xf>
    <xf numFmtId="0" fontId="86" fillId="5" borderId="4" xfId="0" applyFont="1" applyFill="1" applyBorder="1" applyAlignment="1" applyProtection="1">
      <alignment horizontal="center"/>
      <protection locked="0"/>
    </xf>
    <xf numFmtId="0" fontId="89" fillId="3" borderId="0" xfId="0" applyFont="1" applyFill="1"/>
    <xf numFmtId="0" fontId="90" fillId="4" borderId="10" xfId="0" applyFont="1" applyFill="1" applyBorder="1" applyProtection="1">
      <protection locked="0"/>
    </xf>
    <xf numFmtId="0" fontId="91" fillId="6" borderId="8" xfId="0" applyFont="1" applyFill="1" applyBorder="1" applyAlignment="1">
      <alignment horizontal="left"/>
    </xf>
    <xf numFmtId="0" fontId="92" fillId="6" borderId="18" xfId="0" applyFont="1" applyFill="1" applyBorder="1" applyAlignment="1">
      <alignment horizontal="left"/>
    </xf>
    <xf numFmtId="0" fontId="91" fillId="6" borderId="4" xfId="0" applyFont="1" applyFill="1" applyBorder="1"/>
    <xf numFmtId="172" fontId="91" fillId="6" borderId="4" xfId="0" applyNumberFormat="1" applyFont="1" applyFill="1" applyBorder="1"/>
    <xf numFmtId="0" fontId="92" fillId="6" borderId="13" xfId="0" applyFont="1" applyFill="1" applyBorder="1" applyAlignment="1">
      <alignment horizontal="left"/>
    </xf>
    <xf numFmtId="0" fontId="80" fillId="5" borderId="10" xfId="0" applyFont="1" applyFill="1" applyBorder="1" applyAlignment="1">
      <alignment horizontal="left" vertical="top"/>
    </xf>
    <xf numFmtId="0" fontId="84" fillId="5" borderId="19" xfId="0" applyFont="1" applyFill="1" applyBorder="1" applyAlignment="1">
      <alignment horizontal="right" wrapText="1"/>
    </xf>
    <xf numFmtId="0" fontId="85" fillId="4" borderId="9" xfId="0" applyFont="1" applyFill="1" applyBorder="1" applyAlignment="1" applyProtection="1">
      <alignment horizontal="left"/>
      <protection locked="0"/>
    </xf>
    <xf numFmtId="0" fontId="93" fillId="3" borderId="0" xfId="0" applyFont="1" applyFill="1"/>
    <xf numFmtId="0" fontId="80" fillId="3" borderId="0" xfId="0" applyFont="1" applyFill="1" applyAlignment="1">
      <alignment horizontal="left" vertical="top"/>
    </xf>
    <xf numFmtId="0" fontId="85" fillId="3" borderId="0" xfId="0" applyFont="1" applyFill="1" applyAlignment="1">
      <alignment horizontal="right" wrapText="1"/>
    </xf>
    <xf numFmtId="0" fontId="85" fillId="3" borderId="0" xfId="0" applyFont="1" applyFill="1" applyAlignment="1">
      <alignment horizontal="left"/>
    </xf>
    <xf numFmtId="0" fontId="84" fillId="5" borderId="13" xfId="0" applyFont="1" applyFill="1" applyBorder="1" applyAlignment="1">
      <alignment horizontal="right"/>
    </xf>
    <xf numFmtId="0" fontId="80" fillId="5" borderId="21" xfId="0" applyFont="1" applyFill="1" applyBorder="1" applyAlignment="1">
      <alignment horizontal="left" vertical="top"/>
    </xf>
    <xf numFmtId="0" fontId="84" fillId="5" borderId="18" xfId="0" applyFont="1" applyFill="1" applyBorder="1" applyAlignment="1">
      <alignment horizontal="right"/>
    </xf>
    <xf numFmtId="0" fontId="88" fillId="6" borderId="10" xfId="0" applyFont="1" applyFill="1" applyBorder="1" applyAlignment="1">
      <alignment horizontal="left"/>
    </xf>
    <xf numFmtId="0" fontId="92" fillId="6" borderId="19" xfId="0" applyFont="1" applyFill="1" applyBorder="1" applyProtection="1">
      <protection locked="0"/>
    </xf>
    <xf numFmtId="0" fontId="79" fillId="3" borderId="0" xfId="0" applyFont="1" applyFill="1" applyAlignment="1">
      <alignment horizontal="right"/>
    </xf>
    <xf numFmtId="0" fontId="80" fillId="3" borderId="0" xfId="0" applyFont="1" applyFill="1" applyAlignment="1">
      <alignment horizontal="left"/>
    </xf>
    <xf numFmtId="0" fontId="84" fillId="5" borderId="12" xfId="0" applyFont="1" applyFill="1" applyBorder="1" applyAlignment="1">
      <alignment horizontal="right"/>
    </xf>
    <xf numFmtId="0" fontId="84" fillId="5" borderId="4" xfId="0" applyFont="1" applyFill="1" applyBorder="1" applyAlignment="1">
      <alignment horizontal="right"/>
    </xf>
    <xf numFmtId="0" fontId="80" fillId="5" borderId="15" xfId="0" applyFont="1" applyFill="1" applyBorder="1" applyAlignment="1">
      <alignment horizontal="left" vertical="top"/>
    </xf>
    <xf numFmtId="0" fontId="84" fillId="5" borderId="17" xfId="0" applyFont="1" applyFill="1" applyBorder="1" applyAlignment="1">
      <alignment horizontal="right" wrapText="1"/>
    </xf>
    <xf numFmtId="0" fontId="80" fillId="4" borderId="13" xfId="0" applyFont="1" applyFill="1" applyBorder="1"/>
    <xf numFmtId="1" fontId="94" fillId="4" borderId="13" xfId="0" applyNumberFormat="1" applyFont="1" applyFill="1" applyBorder="1" applyAlignment="1" applyProtection="1">
      <alignment horizontal="left"/>
      <protection locked="0"/>
    </xf>
    <xf numFmtId="0" fontId="96" fillId="9" borderId="13" xfId="0" applyFont="1" applyFill="1" applyBorder="1" applyAlignment="1">
      <alignment horizontal="left"/>
    </xf>
    <xf numFmtId="0" fontId="84" fillId="5" borderId="18" xfId="0" applyFont="1" applyFill="1" applyBorder="1" applyAlignment="1">
      <alignment horizontal="right" wrapText="1"/>
    </xf>
    <xf numFmtId="0" fontId="85" fillId="4" borderId="4" xfId="0" applyFont="1" applyFill="1" applyBorder="1" applyAlignment="1" applyProtection="1">
      <alignment horizontal="left"/>
      <protection locked="0"/>
    </xf>
    <xf numFmtId="0" fontId="84" fillId="5" borderId="20" xfId="0" applyFont="1" applyFill="1" applyBorder="1" applyAlignment="1">
      <alignment horizontal="right"/>
    </xf>
    <xf numFmtId="0" fontId="80" fillId="4" borderId="17" xfId="0" applyFont="1" applyFill="1" applyBorder="1"/>
    <xf numFmtId="0" fontId="83" fillId="3" borderId="0" xfId="0" applyFont="1" applyFill="1" applyAlignment="1">
      <alignment horizontal="right"/>
    </xf>
    <xf numFmtId="172" fontId="97" fillId="3" borderId="0" xfId="0" applyNumberFormat="1" applyFont="1" applyFill="1"/>
    <xf numFmtId="169" fontId="96" fillId="9" borderId="4" xfId="0" applyNumberFormat="1" applyFont="1" applyFill="1" applyBorder="1" applyAlignment="1">
      <alignment horizontal="left"/>
    </xf>
    <xf numFmtId="0" fontId="84" fillId="3" borderId="0" xfId="0" applyFont="1" applyFill="1" applyAlignment="1">
      <alignment horizontal="right" wrapText="1"/>
    </xf>
    <xf numFmtId="0" fontId="98" fillId="3" borderId="0" xfId="0" applyFont="1" applyFill="1"/>
    <xf numFmtId="0" fontId="85" fillId="5" borderId="4" xfId="0" applyFont="1" applyFill="1" applyBorder="1" applyAlignment="1">
      <alignment horizontal="center"/>
    </xf>
    <xf numFmtId="0" fontId="80" fillId="4" borderId="8" xfId="0" applyFont="1" applyFill="1" applyBorder="1" applyProtection="1">
      <protection locked="0"/>
    </xf>
    <xf numFmtId="0" fontId="80" fillId="4" borderId="14" xfId="0" applyFont="1" applyFill="1" applyBorder="1"/>
    <xf numFmtId="0" fontId="80" fillId="4" borderId="10" xfId="0" applyFont="1" applyFill="1" applyBorder="1" applyProtection="1">
      <protection locked="0"/>
    </xf>
    <xf numFmtId="0" fontId="80" fillId="4" borderId="22" xfId="0" applyFont="1" applyFill="1" applyBorder="1"/>
    <xf numFmtId="0" fontId="80" fillId="4" borderId="19" xfId="0" applyFont="1" applyFill="1" applyBorder="1"/>
    <xf numFmtId="175" fontId="85" fillId="4" borderId="4" xfId="0" applyNumberFormat="1" applyFont="1" applyFill="1" applyBorder="1" applyAlignment="1" applyProtection="1">
      <alignment horizontal="left"/>
      <protection locked="0"/>
    </xf>
    <xf numFmtId="0" fontId="87" fillId="3" borderId="0" xfId="0" applyFont="1" applyFill="1"/>
    <xf numFmtId="1" fontId="99" fillId="5" borderId="8" xfId="0" applyNumberFormat="1" applyFont="1" applyFill="1" applyBorder="1" applyAlignment="1">
      <alignment horizontal="left" vertical="top"/>
    </xf>
    <xf numFmtId="1" fontId="99" fillId="5" borderId="21" xfId="0" applyNumberFormat="1" applyFont="1" applyFill="1" applyBorder="1" applyAlignment="1">
      <alignment horizontal="left" vertical="top"/>
    </xf>
    <xf numFmtId="176" fontId="88" fillId="6" borderId="4" xfId="0" applyNumberFormat="1" applyFont="1" applyFill="1" applyBorder="1" applyAlignment="1">
      <alignment horizontal="left"/>
    </xf>
    <xf numFmtId="172" fontId="93" fillId="3" borderId="0" xfId="0" applyNumberFormat="1" applyFont="1" applyFill="1"/>
    <xf numFmtId="178" fontId="87" fillId="3" borderId="0" xfId="0" applyNumberFormat="1" applyFont="1" applyFill="1"/>
    <xf numFmtId="175" fontId="88" fillId="6" borderId="4" xfId="0" applyNumberFormat="1" applyFont="1" applyFill="1" applyBorder="1" applyAlignment="1">
      <alignment horizontal="left"/>
    </xf>
    <xf numFmtId="172" fontId="85" fillId="5" borderId="10" xfId="0" applyNumberFormat="1" applyFont="1" applyFill="1" applyBorder="1" applyAlignment="1">
      <alignment horizontal="left"/>
    </xf>
    <xf numFmtId="0" fontId="84" fillId="5" borderId="19" xfId="0" applyFont="1" applyFill="1" applyBorder="1" applyAlignment="1">
      <alignment horizontal="right"/>
    </xf>
    <xf numFmtId="0" fontId="100" fillId="3" borderId="0" xfId="0" applyFont="1" applyFill="1" applyAlignment="1">
      <alignment horizontal="left"/>
    </xf>
    <xf numFmtId="0" fontId="100" fillId="3" borderId="0" xfId="0" applyFont="1" applyFill="1"/>
    <xf numFmtId="0" fontId="94" fillId="5" borderId="4" xfId="0" applyFont="1" applyFill="1" applyBorder="1" applyAlignment="1">
      <alignment horizontal="left" vertical="top"/>
    </xf>
    <xf numFmtId="0" fontId="94" fillId="5" borderId="4" xfId="0" applyFont="1" applyFill="1" applyBorder="1" applyAlignment="1">
      <alignment horizontal="left"/>
    </xf>
    <xf numFmtId="172" fontId="88" fillId="6" borderId="4" xfId="0" applyNumberFormat="1" applyFont="1" applyFill="1" applyBorder="1"/>
    <xf numFmtId="172" fontId="88" fillId="6" borderId="4" xfId="0" applyNumberFormat="1" applyFont="1" applyFill="1" applyBorder="1" applyAlignment="1">
      <alignment horizontal="center"/>
    </xf>
    <xf numFmtId="0" fontId="101" fillId="3" borderId="0" xfId="0" applyFont="1" applyFill="1" applyAlignment="1">
      <alignment horizontal="right" wrapText="1"/>
    </xf>
    <xf numFmtId="0" fontId="86" fillId="5" borderId="11" xfId="0" applyFont="1" applyFill="1" applyBorder="1" applyAlignment="1">
      <alignment horizontal="center" vertical="top"/>
    </xf>
    <xf numFmtId="0" fontId="86" fillId="5" borderId="11" xfId="0" applyFont="1" applyFill="1" applyBorder="1" applyAlignment="1">
      <alignment horizontal="center" wrapText="1"/>
    </xf>
    <xf numFmtId="0" fontId="86" fillId="5" borderId="11" xfId="0" applyFont="1" applyFill="1" applyBorder="1" applyAlignment="1">
      <alignment horizontal="center"/>
    </xf>
    <xf numFmtId="0" fontId="85" fillId="4" borderId="9" xfId="0" applyFont="1" applyFill="1" applyBorder="1" applyProtection="1">
      <protection locked="0"/>
    </xf>
    <xf numFmtId="0" fontId="85" fillId="4" borderId="4" xfId="0" applyFont="1" applyFill="1" applyBorder="1" applyAlignment="1" applyProtection="1">
      <alignment horizontal="right" vertical="top"/>
      <protection locked="0"/>
    </xf>
    <xf numFmtId="0" fontId="85" fillId="4" borderId="4" xfId="0" applyFont="1" applyFill="1" applyBorder="1" applyAlignment="1" applyProtection="1">
      <alignment horizontal="right"/>
      <protection locked="0"/>
    </xf>
    <xf numFmtId="0" fontId="85" fillId="4" borderId="4" xfId="0" applyFont="1" applyFill="1" applyBorder="1" applyProtection="1">
      <protection locked="0"/>
    </xf>
    <xf numFmtId="0" fontId="80" fillId="3" borderId="0" xfId="0" applyFont="1" applyFill="1" applyAlignment="1">
      <alignment horizontal="right" vertical="top"/>
    </xf>
    <xf numFmtId="0" fontId="80" fillId="3" borderId="0" xfId="0" applyFont="1" applyFill="1" applyAlignment="1">
      <alignment horizontal="right"/>
    </xf>
    <xf numFmtId="0" fontId="85" fillId="3" borderId="0" xfId="0" applyFont="1" applyFill="1" applyAlignment="1" applyProtection="1">
      <alignment horizontal="left" vertical="top"/>
      <protection locked="0"/>
    </xf>
    <xf numFmtId="0" fontId="84" fillId="3" borderId="0" xfId="0" applyFont="1" applyFill="1" applyProtection="1">
      <protection locked="0"/>
    </xf>
    <xf numFmtId="0" fontId="103" fillId="3" borderId="0" xfId="0" applyFont="1" applyFill="1" applyAlignment="1" applyProtection="1">
      <alignment vertical="top"/>
      <protection locked="0"/>
    </xf>
    <xf numFmtId="0" fontId="85" fillId="3" borderId="0" xfId="0" applyFont="1" applyFill="1" applyAlignment="1" applyProtection="1">
      <alignment vertical="top"/>
      <protection locked="0"/>
    </xf>
    <xf numFmtId="0" fontId="84" fillId="3" borderId="0" xfId="0" applyFont="1" applyFill="1" applyAlignment="1" applyProtection="1">
      <alignment vertical="top"/>
      <protection locked="0"/>
    </xf>
    <xf numFmtId="0" fontId="104" fillId="3" borderId="0" xfId="0" applyFont="1" applyFill="1" applyAlignment="1" applyProtection="1">
      <alignment horizontal="left" vertical="top"/>
      <protection locked="0"/>
    </xf>
    <xf numFmtId="0" fontId="103" fillId="3" borderId="0" xfId="0" applyFont="1" applyFill="1" applyAlignment="1">
      <alignment wrapText="1"/>
    </xf>
    <xf numFmtId="0" fontId="103" fillId="3" borderId="0" xfId="0" applyFont="1" applyFill="1" applyAlignment="1">
      <alignment vertical="top"/>
    </xf>
    <xf numFmtId="0" fontId="105" fillId="9" borderId="4" xfId="0" applyFont="1" applyFill="1" applyBorder="1" applyAlignment="1">
      <alignment horizontal="left"/>
    </xf>
    <xf numFmtId="0" fontId="106" fillId="9" borderId="4" xfId="0" applyFont="1" applyFill="1" applyBorder="1" applyAlignment="1">
      <alignment horizontal="right"/>
    </xf>
    <xf numFmtId="0" fontId="100" fillId="8" borderId="4" xfId="0" applyFont="1" applyFill="1" applyBorder="1" applyProtection="1">
      <protection locked="0"/>
    </xf>
    <xf numFmtId="0" fontId="106" fillId="9" borderId="8" xfId="0" applyFont="1" applyFill="1" applyBorder="1"/>
    <xf numFmtId="0" fontId="106" fillId="9" borderId="14" xfId="0" applyFont="1" applyFill="1" applyBorder="1"/>
    <xf numFmtId="0" fontId="106" fillId="9" borderId="17" xfId="0" applyFont="1" applyFill="1" applyBorder="1"/>
    <xf numFmtId="0" fontId="105" fillId="9" borderId="4" xfId="0" applyFont="1" applyFill="1" applyBorder="1"/>
    <xf numFmtId="0" fontId="85" fillId="3" borderId="0" xfId="0" applyFont="1" applyFill="1" applyAlignment="1" applyProtection="1">
      <alignment horizontal="right" wrapText="1"/>
      <protection locked="0"/>
    </xf>
    <xf numFmtId="0" fontId="80" fillId="3" borderId="0" xfId="0" applyFont="1" applyFill="1" applyAlignment="1" applyProtection="1">
      <alignment horizontal="left" vertical="top"/>
      <protection locked="0"/>
    </xf>
    <xf numFmtId="0" fontId="106" fillId="9" borderId="8" xfId="0" applyFont="1" applyFill="1" applyBorder="1" applyAlignment="1">
      <alignment horizontal="left"/>
    </xf>
    <xf numFmtId="0" fontId="106" fillId="9" borderId="14" xfId="0" applyFont="1" applyFill="1" applyBorder="1" applyAlignment="1">
      <alignment horizontal="right"/>
    </xf>
    <xf numFmtId="0" fontId="106" fillId="9" borderId="13" xfId="0" applyFont="1" applyFill="1" applyBorder="1" applyAlignment="1">
      <alignment horizontal="right"/>
    </xf>
    <xf numFmtId="0" fontId="105" fillId="9" borderId="9" xfId="0" applyFont="1" applyFill="1" applyBorder="1"/>
    <xf numFmtId="0" fontId="100" fillId="3" borderId="0" xfId="0" applyFont="1" applyFill="1" applyAlignment="1" applyProtection="1">
      <alignment horizontal="left"/>
      <protection locked="0"/>
    </xf>
    <xf numFmtId="0" fontId="100" fillId="3" borderId="0" xfId="0" applyFont="1" applyFill="1" applyProtection="1">
      <protection locked="0"/>
    </xf>
    <xf numFmtId="0" fontId="85" fillId="3" borderId="0" xfId="0" applyFont="1" applyFill="1" applyProtection="1">
      <protection locked="0"/>
    </xf>
    <xf numFmtId="0" fontId="107" fillId="3" borderId="0" xfId="0" applyFont="1" applyFill="1" applyAlignment="1" applyProtection="1">
      <alignment wrapText="1"/>
      <protection locked="0"/>
    </xf>
    <xf numFmtId="0" fontId="85" fillId="3" borderId="0" xfId="0" applyFont="1" applyFill="1" applyAlignment="1" applyProtection="1">
      <alignment wrapText="1"/>
      <protection locked="0"/>
    </xf>
    <xf numFmtId="0" fontId="84" fillId="3" borderId="0" xfId="0" applyFont="1" applyFill="1" applyAlignment="1" applyProtection="1">
      <alignment wrapText="1"/>
      <protection locked="0"/>
    </xf>
    <xf numFmtId="164" fontId="84" fillId="3" borderId="0" xfId="0" applyNumberFormat="1" applyFont="1" applyFill="1" applyProtection="1">
      <protection locked="0"/>
    </xf>
    <xf numFmtId="0" fontId="80" fillId="3" borderId="0" xfId="0" applyFont="1" applyFill="1" applyAlignment="1" applyProtection="1">
      <alignment horizontal="left"/>
      <protection locked="0"/>
    </xf>
    <xf numFmtId="0" fontId="104" fillId="3" borderId="0" xfId="0" applyFont="1" applyFill="1" applyAlignment="1" applyProtection="1">
      <alignment horizontal="right" wrapText="1"/>
      <protection locked="0"/>
    </xf>
    <xf numFmtId="0" fontId="108" fillId="3" borderId="0" xfId="0" applyFont="1" applyFill="1" applyAlignment="1" applyProtection="1">
      <alignment horizontal="right" wrapText="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164" fontId="109" fillId="3" borderId="0" xfId="0" applyNumberFormat="1" applyFont="1" applyFill="1"/>
    <xf numFmtId="164" fontId="108" fillId="3" borderId="0" xfId="0" applyNumberFormat="1" applyFont="1" applyFill="1" applyProtection="1">
      <protection locked="0"/>
    </xf>
    <xf numFmtId="0" fontId="87" fillId="3" borderId="0" xfId="0" applyFont="1" applyFill="1" applyAlignment="1" applyProtection="1">
      <alignment horizontal="right" wrapText="1"/>
      <protection locked="0"/>
    </xf>
    <xf numFmtId="0" fontId="87" fillId="3" borderId="0" xfId="0" applyFont="1" applyFill="1" applyAlignment="1" applyProtection="1">
      <alignment horizontal="left" vertical="top"/>
      <protection locked="0"/>
    </xf>
    <xf numFmtId="0" fontId="87" fillId="3" borderId="0" xfId="0" applyFont="1" applyFill="1" applyAlignment="1" applyProtection="1">
      <alignment horizontal="left"/>
      <protection locked="0"/>
    </xf>
    <xf numFmtId="0" fontId="80"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10" fillId="3" borderId="0" xfId="0" applyFont="1" applyFill="1" applyAlignment="1" applyProtection="1">
      <alignment horizontal="right" wrapText="1"/>
      <protection locked="0"/>
    </xf>
    <xf numFmtId="0" fontId="110" fillId="3" borderId="0" xfId="0" applyFont="1" applyFill="1" applyAlignment="1" applyProtection="1">
      <alignment horizontal="left" vertical="top"/>
      <protection locked="0"/>
    </xf>
    <xf numFmtId="0" fontId="110" fillId="3" borderId="0" xfId="0" applyFont="1" applyFill="1" applyAlignment="1" applyProtection="1">
      <alignment horizontal="left"/>
      <protection locked="0"/>
    </xf>
    <xf numFmtId="0" fontId="110" fillId="3" borderId="0" xfId="0" applyFont="1" applyFill="1" applyProtection="1">
      <protection locked="0"/>
    </xf>
    <xf numFmtId="0" fontId="111" fillId="3" borderId="0" xfId="0" applyFont="1" applyFill="1" applyAlignment="1" applyProtection="1">
      <alignment horizontal="left" vertical="top"/>
      <protection locked="0"/>
    </xf>
    <xf numFmtId="0" fontId="111" fillId="3" borderId="0" xfId="0" applyFont="1" applyFill="1" applyAlignment="1" applyProtection="1">
      <alignment horizontal="left"/>
      <protection locked="0"/>
    </xf>
    <xf numFmtId="0" fontId="111" fillId="3" borderId="0" xfId="0" applyFont="1" applyFill="1" applyProtection="1">
      <protection locked="0"/>
    </xf>
    <xf numFmtId="0" fontId="111" fillId="3" borderId="0" xfId="0" applyFont="1" applyFill="1" applyAlignment="1" applyProtection="1">
      <alignment horizontal="right" wrapText="1"/>
      <protection locked="0"/>
    </xf>
    <xf numFmtId="0" fontId="112" fillId="0" borderId="0" xfId="0" applyFont="1"/>
    <xf numFmtId="49" fontId="23" fillId="4" borderId="4" xfId="0" applyNumberFormat="1" applyFont="1" applyFill="1" applyBorder="1" applyAlignment="1" applyProtection="1">
      <alignment horizontal="left"/>
      <protection locked="0"/>
    </xf>
    <xf numFmtId="0" fontId="80" fillId="10" borderId="0" xfId="0" applyFont="1" applyFill="1"/>
    <xf numFmtId="0" fontId="113" fillId="3" borderId="0" xfId="0" applyFont="1" applyFill="1" applyProtection="1">
      <protection locked="0"/>
    </xf>
    <xf numFmtId="0" fontId="60" fillId="3" borderId="0" xfId="0" applyFont="1" applyFill="1"/>
    <xf numFmtId="0" fontId="102" fillId="3" borderId="0" xfId="0" applyFont="1" applyFill="1" applyProtection="1">
      <protection locked="0"/>
    </xf>
    <xf numFmtId="0" fontId="114" fillId="3" borderId="0" xfId="0" applyFont="1" applyFill="1" applyProtection="1">
      <protection locked="0"/>
    </xf>
    <xf numFmtId="0" fontId="78" fillId="0" borderId="0" xfId="0" quotePrefix="1" applyFont="1"/>
    <xf numFmtId="0" fontId="23" fillId="4" borderId="12" xfId="0" applyFont="1" applyFill="1" applyBorder="1" applyAlignment="1" applyProtection="1">
      <alignment horizontal="left"/>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174" fontId="23" fillId="4" borderId="12" xfId="0" applyNumberFormat="1" applyFont="1" applyFill="1" applyBorder="1" applyAlignment="1" applyProtection="1">
      <alignment horizontal="left"/>
      <protection locked="0"/>
    </xf>
    <xf numFmtId="0" fontId="80" fillId="3" borderId="15" xfId="0" applyFont="1" applyFill="1" applyBorder="1"/>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166" fontId="23" fillId="11" borderId="0" xfId="0" applyNumberFormat="1" applyFont="1" applyFill="1" applyAlignment="1" applyProtection="1">
      <alignment horizontal="left"/>
      <protection locked="0"/>
    </xf>
    <xf numFmtId="0" fontId="80" fillId="12" borderId="8" xfId="0" applyFont="1" applyFill="1" applyBorder="1" applyAlignment="1">
      <alignment horizontal="left" vertical="top"/>
    </xf>
    <xf numFmtId="0" fontId="116" fillId="0" borderId="0" xfId="1" applyFont="1"/>
    <xf numFmtId="0" fontId="116" fillId="0" borderId="0" xfId="1" applyFont="1" applyAlignment="1">
      <alignment horizontal="center"/>
    </xf>
    <xf numFmtId="0" fontId="115" fillId="0" borderId="0" xfId="1" applyFont="1"/>
    <xf numFmtId="0" fontId="68" fillId="0" borderId="0" xfId="1" applyFont="1" applyAlignment="1">
      <alignment horizontal="center"/>
    </xf>
    <xf numFmtId="0" fontId="68" fillId="0" borderId="0" xfId="1" applyFont="1"/>
    <xf numFmtId="0" fontId="117" fillId="0" borderId="0" xfId="1" applyFont="1"/>
    <xf numFmtId="0" fontId="117" fillId="0" borderId="0" xfId="1" applyFont="1" applyAlignment="1">
      <alignment horizontal="center"/>
    </xf>
    <xf numFmtId="0" fontId="7" fillId="4" borderId="8" xfId="0" applyFont="1" applyFill="1" applyBorder="1" applyProtection="1">
      <protection locked="0"/>
    </xf>
    <xf numFmtId="0" fontId="118"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20" fillId="0" borderId="16" xfId="0" applyNumberFormat="1" applyFont="1" applyBorder="1"/>
    <xf numFmtId="181" fontId="120" fillId="0" borderId="0" xfId="0" applyNumberFormat="1" applyFont="1"/>
    <xf numFmtId="0" fontId="120" fillId="0" borderId="0" xfId="0" applyFont="1"/>
    <xf numFmtId="0" fontId="67" fillId="0" borderId="10" xfId="0" applyFont="1" applyBorder="1"/>
    <xf numFmtId="0" fontId="67" fillId="0" borderId="19" xfId="0" applyFont="1" applyBorder="1"/>
    <xf numFmtId="0" fontId="124" fillId="0" borderId="0" xfId="0" applyFont="1" applyAlignment="1">
      <alignment horizontal="center"/>
    </xf>
    <xf numFmtId="0" fontId="125" fillId="0" borderId="0" xfId="0" applyFont="1"/>
    <xf numFmtId="0" fontId="44" fillId="0" borderId="0" xfId="0" applyFont="1" applyAlignment="1">
      <alignment horizontal="right"/>
    </xf>
    <xf numFmtId="0" fontId="127" fillId="0" borderId="0" xfId="0" applyFont="1"/>
    <xf numFmtId="0" fontId="120" fillId="0" borderId="16" xfId="0" applyFont="1" applyBorder="1" applyAlignment="1">
      <alignment horizontal="left"/>
    </xf>
    <xf numFmtId="0" fontId="120" fillId="0" borderId="16" xfId="0" applyFont="1" applyBorder="1"/>
    <xf numFmtId="0" fontId="120"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20" fillId="0" borderId="22" xfId="0" applyFont="1" applyBorder="1" applyAlignment="1">
      <alignment horizontal="left"/>
    </xf>
    <xf numFmtId="180" fontId="120"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20" fillId="0" borderId="16" xfId="0" applyNumberFormat="1" applyFont="1" applyBorder="1"/>
    <xf numFmtId="166" fontId="120" fillId="0" borderId="0" xfId="0" applyNumberFormat="1" applyFont="1"/>
    <xf numFmtId="0" fontId="123" fillId="0" borderId="0" xfId="0" applyFont="1"/>
    <xf numFmtId="0" fontId="128" fillId="0" borderId="0" xfId="0" applyFont="1"/>
    <xf numFmtId="0" fontId="120" fillId="0" borderId="22" xfId="0" applyFont="1" applyBorder="1"/>
    <xf numFmtId="180" fontId="120" fillId="0" borderId="16" xfId="0" applyNumberFormat="1" applyFont="1" applyBorder="1" applyAlignment="1">
      <alignment horizontal="left"/>
    </xf>
    <xf numFmtId="180" fontId="120" fillId="0" borderId="22" xfId="0" applyNumberFormat="1" applyFont="1" applyBorder="1" applyAlignment="1">
      <alignment horizontal="left"/>
    </xf>
    <xf numFmtId="0" fontId="131"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174" fontId="23" fillId="4" borderId="4" xfId="0" applyNumberFormat="1" applyFont="1" applyFill="1" applyBorder="1" applyAlignment="1" applyProtection="1">
      <alignment horizontal="left"/>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4" fontId="23" fillId="4" borderId="9" xfId="0" applyNumberFormat="1" applyFont="1" applyFill="1" applyBorder="1" applyAlignment="1" applyProtection="1">
      <alignment horizontal="left"/>
      <protection locked="0"/>
    </xf>
    <xf numFmtId="14" fontId="23" fillId="4" borderId="12"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165" fontId="23" fillId="4" borderId="4" xfId="0" applyNumberFormat="1" applyFont="1" applyFill="1" applyBorder="1" applyAlignment="1" applyProtection="1">
      <alignment horizontal="left"/>
      <protection locked="0"/>
    </xf>
    <xf numFmtId="175"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32" fillId="3" borderId="0" xfId="0" applyFont="1" applyFill="1" applyProtection="1">
      <protection locked="0"/>
    </xf>
    <xf numFmtId="0" fontId="25" fillId="16" borderId="0" xfId="0" applyFont="1" applyFill="1"/>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33"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7" fillId="0" borderId="0" xfId="0" applyFont="1" applyAlignment="1">
      <alignment horizontal="left"/>
    </xf>
    <xf numFmtId="0" fontId="23" fillId="4" borderId="4" xfId="0" applyFont="1" applyFill="1" applyBorder="1" applyProtection="1">
      <protection locked="0"/>
    </xf>
    <xf numFmtId="0" fontId="93"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11"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5" fillId="0" borderId="0" xfId="0" applyFont="1"/>
    <xf numFmtId="0" fontId="136" fillId="3" borderId="0" xfId="0" applyFont="1" applyFill="1"/>
    <xf numFmtId="1" fontId="83" fillId="3" borderId="0" xfId="0" applyNumberFormat="1" applyFont="1" applyFill="1"/>
    <xf numFmtId="176" fontId="137" fillId="3" borderId="0" xfId="0" applyNumberFormat="1" applyFont="1" applyFill="1"/>
    <xf numFmtId="0" fontId="138" fillId="3" borderId="0" xfId="0" applyFont="1" applyFill="1"/>
    <xf numFmtId="175" fontId="137" fillId="3" borderId="0" xfId="0" applyNumberFormat="1" applyFont="1" applyFill="1"/>
    <xf numFmtId="0" fontId="137"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4" fillId="12" borderId="8" xfId="0" applyNumberFormat="1" applyFont="1" applyFill="1" applyBorder="1" applyProtection="1">
      <protection locked="0"/>
    </xf>
    <xf numFmtId="164" fontId="114" fillId="12" borderId="14" xfId="0" applyNumberFormat="1" applyFont="1" applyFill="1" applyBorder="1" applyProtection="1">
      <protection locked="0"/>
    </xf>
    <xf numFmtId="164" fontId="139" fillId="12" borderId="13" xfId="0" applyNumberFormat="1" applyFont="1" applyFill="1" applyBorder="1" applyAlignment="1" applyProtection="1">
      <alignment horizontal="right"/>
      <protection locked="0"/>
    </xf>
    <xf numFmtId="0" fontId="114" fillId="12" borderId="8" xfId="0" applyFont="1" applyFill="1" applyBorder="1" applyProtection="1">
      <protection locked="0"/>
    </xf>
    <xf numFmtId="0" fontId="114" fillId="12" borderId="14" xfId="0" applyFont="1" applyFill="1" applyBorder="1" applyProtection="1">
      <protection locked="0"/>
    </xf>
    <xf numFmtId="0" fontId="139" fillId="12" borderId="13" xfId="0" applyFont="1" applyFill="1" applyBorder="1" applyAlignment="1" applyProtection="1">
      <alignment horizontal="right"/>
      <protection locked="0"/>
    </xf>
    <xf numFmtId="0" fontId="113" fillId="12" borderId="8" xfId="0" applyFont="1" applyFill="1" applyBorder="1" applyProtection="1">
      <protection locked="0"/>
    </xf>
    <xf numFmtId="0" fontId="113" fillId="12" borderId="14" xfId="0" applyFont="1" applyFill="1" applyBorder="1" applyProtection="1">
      <protection locked="0"/>
    </xf>
    <xf numFmtId="0" fontId="80" fillId="12" borderId="8" xfId="0" applyFont="1" applyFill="1" applyBorder="1" applyAlignment="1">
      <alignment horizontal="right"/>
    </xf>
    <xf numFmtId="0" fontId="80" fillId="12" borderId="14" xfId="0" applyFont="1" applyFill="1" applyBorder="1" applyAlignment="1">
      <alignment horizontal="right"/>
    </xf>
    <xf numFmtId="0" fontId="28" fillId="12" borderId="13" xfId="0" applyFont="1" applyFill="1" applyBorder="1" applyAlignment="1">
      <alignment horizontal="right"/>
    </xf>
    <xf numFmtId="164" fontId="139" fillId="11" borderId="4" xfId="0" applyNumberFormat="1" applyFont="1" applyFill="1" applyBorder="1" applyAlignment="1" applyProtection="1">
      <alignment horizontal="left"/>
      <protection locked="0"/>
    </xf>
    <xf numFmtId="0" fontId="139"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7" fillId="3" borderId="0" xfId="0" applyFont="1" applyFill="1" applyProtection="1">
      <protection locked="0"/>
    </xf>
    <xf numFmtId="0" fontId="140"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11" fontId="57" fillId="0" borderId="0" xfId="0" applyNumberFormat="1" applyFont="1"/>
    <xf numFmtId="0" fontId="57" fillId="18" borderId="31" xfId="0" applyFont="1" applyFill="1" applyBorder="1"/>
    <xf numFmtId="0" fontId="57" fillId="18" borderId="32" xfId="0" applyFont="1" applyFill="1" applyBorder="1"/>
    <xf numFmtId="0" fontId="57" fillId="0" borderId="0" xfId="0" applyFont="1" applyAlignment="1">
      <alignment vertical="center"/>
    </xf>
    <xf numFmtId="0" fontId="57" fillId="18" borderId="31" xfId="0" applyFont="1" applyFill="1" applyBorder="1" applyAlignment="1">
      <alignment horizontal="left"/>
    </xf>
    <xf numFmtId="0" fontId="57" fillId="18" borderId="32" xfId="0" applyFont="1" applyFill="1" applyBorder="1" applyAlignment="1">
      <alignment horizontal="left"/>
    </xf>
    <xf numFmtId="0" fontId="57" fillId="19" borderId="32" xfId="0" applyFont="1" applyFill="1" applyBorder="1"/>
    <xf numFmtId="0" fontId="57" fillId="18" borderId="33" xfId="0" applyFont="1" applyFill="1" applyBorder="1"/>
    <xf numFmtId="0" fontId="0" fillId="20" borderId="0" xfId="0" applyFill="1"/>
    <xf numFmtId="171" fontId="85" fillId="4" borderId="8" xfId="0" applyNumberFormat="1" applyFont="1" applyFill="1" applyBorder="1" applyProtection="1">
      <protection locked="0"/>
    </xf>
    <xf numFmtId="171" fontId="85" fillId="4" borderId="14" xfId="0" applyNumberFormat="1" applyFont="1" applyFill="1" applyBorder="1" applyProtection="1">
      <protection locked="0"/>
    </xf>
    <xf numFmtId="171" fontId="85" fillId="4" borderId="13" xfId="0" applyNumberFormat="1"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81" fillId="7" borderId="8" xfId="0" applyFont="1" applyFill="1" applyBorder="1" applyAlignment="1">
      <alignment horizontal="right"/>
    </xf>
    <xf numFmtId="0" fontId="81" fillId="7" borderId="14" xfId="0" applyFont="1" applyFill="1" applyBorder="1" applyAlignment="1">
      <alignment horizontal="right"/>
    </xf>
    <xf numFmtId="0" fontId="86" fillId="7" borderId="8" xfId="0" applyFont="1" applyFill="1" applyBorder="1" applyAlignment="1">
      <alignment horizontal="center"/>
    </xf>
    <xf numFmtId="0" fontId="86" fillId="7" borderId="14" xfId="0" applyFont="1" applyFill="1" applyBorder="1" applyAlignment="1">
      <alignment horizontal="center"/>
    </xf>
    <xf numFmtId="0" fontId="86" fillId="7" borderId="13" xfId="0" applyFont="1" applyFill="1" applyBorder="1" applyAlignment="1">
      <alignment horizontal="center"/>
    </xf>
    <xf numFmtId="0" fontId="86" fillId="5" borderId="8" xfId="0" applyFont="1" applyFill="1" applyBorder="1" applyAlignment="1">
      <alignment horizontal="center"/>
    </xf>
    <xf numFmtId="0" fontId="86" fillId="5" borderId="13" xfId="0" applyFont="1" applyFill="1" applyBorder="1" applyAlignment="1">
      <alignment horizontal="center"/>
    </xf>
    <xf numFmtId="0" fontId="85" fillId="5" borderId="8" xfId="0" applyFont="1" applyFill="1" applyBorder="1" applyAlignment="1">
      <alignment horizontal="right"/>
    </xf>
    <xf numFmtId="0" fontId="85" fillId="5" borderId="13" xfId="0" applyFont="1" applyFill="1" applyBorder="1" applyAlignment="1">
      <alignment horizontal="right"/>
    </xf>
    <xf numFmtId="176" fontId="88" fillId="6" borderId="8" xfId="0" applyNumberFormat="1" applyFont="1" applyFill="1" applyBorder="1" applyAlignment="1">
      <alignment horizontal="center"/>
    </xf>
    <xf numFmtId="176" fontId="88" fillId="6" borderId="13" xfId="0" applyNumberFormat="1" applyFont="1" applyFill="1" applyBorder="1" applyAlignment="1">
      <alignment horizontal="center"/>
    </xf>
    <xf numFmtId="176" fontId="94" fillId="4" borderId="8" xfId="0" applyNumberFormat="1" applyFont="1" applyFill="1" applyBorder="1" applyAlignment="1" applyProtection="1">
      <alignment horizontal="left"/>
      <protection locked="0"/>
    </xf>
    <xf numFmtId="176" fontId="94" fillId="4" borderId="13" xfId="0" applyNumberFormat="1" applyFont="1" applyFill="1" applyBorder="1" applyAlignment="1" applyProtection="1">
      <alignment horizontal="left"/>
      <protection locked="0"/>
    </xf>
    <xf numFmtId="1" fontId="23" fillId="4" borderId="8" xfId="0" applyNumberFormat="1" applyFont="1" applyFill="1" applyBorder="1" applyAlignment="1" applyProtection="1">
      <alignment horizontal="left"/>
      <protection locked="0"/>
    </xf>
    <xf numFmtId="1" fontId="85" fillId="4" borderId="13" xfId="0" applyNumberFormat="1" applyFont="1" applyFill="1" applyBorder="1" applyAlignment="1" applyProtection="1">
      <alignment horizontal="left"/>
      <protection locked="0"/>
    </xf>
    <xf numFmtId="0" fontId="84" fillId="5" borderId="8" xfId="0" applyFont="1" applyFill="1" applyBorder="1" applyAlignment="1">
      <alignment horizontal="right" wrapText="1"/>
    </xf>
    <xf numFmtId="0" fontId="84"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pplyProtection="1">
      <alignment horizontal="left"/>
      <protection locked="0"/>
    </xf>
    <xf numFmtId="0" fontId="23" fillId="8" borderId="13" xfId="0" applyFont="1" applyFill="1" applyBorder="1" applyAlignment="1" applyProtection="1">
      <alignment horizontal="left"/>
      <protection locked="0"/>
    </xf>
    <xf numFmtId="0" fontId="84" fillId="7" borderId="4" xfId="0" applyFont="1" applyFill="1" applyBorder="1" applyAlignment="1">
      <alignment horizontal="center"/>
    </xf>
    <xf numFmtId="14" fontId="88" fillId="6" borderId="8" xfId="0" applyNumberFormat="1" applyFont="1" applyFill="1" applyBorder="1" applyAlignment="1">
      <alignment horizontal="left"/>
    </xf>
    <xf numFmtId="14" fontId="88" fillId="6" borderId="13" xfId="0" applyNumberFormat="1" applyFont="1" applyFill="1" applyBorder="1" applyAlignment="1">
      <alignment horizontal="left"/>
    </xf>
    <xf numFmtId="0" fontId="85" fillId="4" borderId="8" xfId="0" applyFont="1" applyFill="1" applyBorder="1" applyAlignment="1" applyProtection="1">
      <alignment horizontal="left"/>
      <protection locked="0"/>
    </xf>
    <xf numFmtId="0" fontId="85" fillId="4" borderId="14" xfId="0" applyFont="1" applyFill="1" applyBorder="1" applyAlignment="1" applyProtection="1">
      <alignment horizontal="left"/>
      <protection locked="0"/>
    </xf>
    <xf numFmtId="0" fontId="85" fillId="4" borderId="13" xfId="0" applyFont="1" applyFill="1" applyBorder="1" applyAlignment="1" applyProtection="1">
      <alignment horizontal="left"/>
      <protection locked="0"/>
    </xf>
    <xf numFmtId="0" fontId="84" fillId="7" borderId="8" xfId="0" applyFont="1" applyFill="1" applyBorder="1" applyAlignment="1" applyProtection="1">
      <alignment horizontal="center"/>
      <protection locked="0"/>
    </xf>
    <xf numFmtId="0" fontId="84" fillId="7" borderId="14" xfId="0" applyFont="1" applyFill="1" applyBorder="1" applyAlignment="1" applyProtection="1">
      <alignment horizontal="center"/>
      <protection locked="0"/>
    </xf>
    <xf numFmtId="0" fontId="84" fillId="7" borderId="13" xfId="0" applyFont="1" applyFill="1" applyBorder="1" applyAlignment="1" applyProtection="1">
      <alignment horizontal="center"/>
      <protection locked="0"/>
    </xf>
    <xf numFmtId="0" fontId="95" fillId="5" borderId="8" xfId="0" applyFont="1" applyFill="1" applyBorder="1" applyAlignment="1">
      <alignment horizontal="right"/>
    </xf>
    <xf numFmtId="0" fontId="95" fillId="5" borderId="13" xfId="0" applyFont="1" applyFill="1" applyBorder="1" applyAlignment="1">
      <alignment horizontal="right"/>
    </xf>
    <xf numFmtId="0" fontId="84" fillId="7" borderId="22" xfId="0" applyFont="1" applyFill="1" applyBorder="1" applyAlignment="1" applyProtection="1">
      <alignment horizontal="center"/>
      <protection locked="0"/>
    </xf>
    <xf numFmtId="0" fontId="84"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6"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21" fillId="13" borderId="0" xfId="0" applyFont="1" applyFill="1" applyAlignment="1">
      <alignment horizontal="center"/>
    </xf>
    <xf numFmtId="0" fontId="44" fillId="0" borderId="0" xfId="0" applyFont="1" applyAlignment="1">
      <alignment horizontal="center"/>
    </xf>
    <xf numFmtId="0" fontId="120" fillId="0" borderId="0" xfId="0" applyFont="1" applyAlignment="1">
      <alignment horizontal="left" vertical="top" wrapText="1"/>
    </xf>
    <xf numFmtId="0" fontId="45" fillId="0" borderId="0" xfId="0" applyFont="1" applyAlignment="1">
      <alignment horizontal="center"/>
    </xf>
    <xf numFmtId="0" fontId="129" fillId="0" borderId="0" xfId="0" applyFont="1" applyAlignment="1">
      <alignment horizontal="left" vertical="top"/>
    </xf>
    <xf numFmtId="0" fontId="124"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21"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21" fillId="13" borderId="15" xfId="0" applyFont="1" applyFill="1" applyBorder="1" applyAlignment="1">
      <alignment horizontal="center"/>
    </xf>
    <xf numFmtId="0" fontId="121" fillId="13" borderId="16" xfId="0" applyFont="1" applyFill="1" applyBorder="1" applyAlignment="1">
      <alignment horizontal="center"/>
    </xf>
    <xf numFmtId="0" fontId="121" fillId="13" borderId="17" xfId="0" applyFont="1" applyFill="1" applyBorder="1" applyAlignment="1">
      <alignment horizontal="center"/>
    </xf>
    <xf numFmtId="0" fontId="0" fillId="0" borderId="0" xfId="0" applyAlignment="1">
      <alignment horizontal="center"/>
    </xf>
    <xf numFmtId="0" fontId="130" fillId="0" borderId="22" xfId="0" applyFont="1" applyBorder="1" applyAlignment="1">
      <alignment horizontal="center"/>
    </xf>
    <xf numFmtId="0" fontId="120" fillId="0" borderId="0" xfId="0" applyFont="1" applyAlignment="1">
      <alignment horizontal="left"/>
    </xf>
    <xf numFmtId="0" fontId="120" fillId="0" borderId="16" xfId="0" applyFont="1" applyBorder="1" applyAlignment="1">
      <alignment horizontal="left"/>
    </xf>
    <xf numFmtId="0" fontId="120" fillId="0" borderId="22" xfId="0" applyFont="1" applyBorder="1" applyAlignment="1">
      <alignment horizontal="left"/>
    </xf>
    <xf numFmtId="0" fontId="122"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41" fillId="0" borderId="8" xfId="0" applyFont="1" applyBorder="1" applyAlignment="1">
      <alignment horizontal="center"/>
    </xf>
    <xf numFmtId="0" fontId="141" fillId="0" borderId="14" xfId="0" applyFont="1" applyBorder="1" applyAlignment="1">
      <alignment horizontal="center"/>
    </xf>
    <xf numFmtId="0" fontId="141"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41" fillId="0" borderId="8" xfId="0" applyFont="1" applyBorder="1" applyAlignment="1">
      <alignment horizontal="center" vertical="top" wrapText="1"/>
    </xf>
    <xf numFmtId="0" fontId="141" fillId="0" borderId="14" xfId="0" applyFont="1" applyBorder="1" applyAlignment="1">
      <alignment horizontal="center" vertical="top" wrapText="1"/>
    </xf>
    <xf numFmtId="0" fontId="141"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41" fillId="0" borderId="8" xfId="0" applyNumberFormat="1" applyFont="1" applyBorder="1" applyAlignment="1">
      <alignment horizontal="center"/>
    </xf>
    <xf numFmtId="164" fontId="141" fillId="0" borderId="14" xfId="0" applyNumberFormat="1" applyFont="1" applyBorder="1" applyAlignment="1">
      <alignment horizontal="center"/>
    </xf>
    <xf numFmtId="164" fontId="141"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42">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B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B1:E723" totalsRowShown="0">
  <autoFilter ref="B1:E723" xr:uid="{00000000-0009-0000-0100-000001000000}"/>
  <tableColumns count="4">
    <tableColumn id="1" xr3:uid="{00000000-0010-0000-0000-000001000000}" name="account__r.name"/>
    <tableColumn id="2" xr3:uid="{00000000-0010-0000-0000-000002000000}" name="account__c"/>
    <tableColumn id="3" xr3:uid="{00000000-0010-0000-0000-000003000000}" name="name"/>
    <tableColumn id="4" xr3:uid="{00000000-0010-0000-0000-000004000000}" name="id"/>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N1:O14" totalsRowShown="0">
  <autoFilter ref="N1:O14" xr:uid="{00000000-0009-0000-0100-000002000000}"/>
  <tableColumns count="2">
    <tableColumn id="1" xr3:uid="{00000000-0010-0000-0100-000001000000}" name="id"/>
    <tableColumn id="2" xr3:uid="{00000000-0010-0000-0100-000002000000}" name="Inspectors_Name__c"/>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Q1:V81" totalsRowShown="0">
  <autoFilter ref="Q1:V81" xr:uid="{00000000-0009-0000-0100-000003000000}"/>
  <tableColumns count="6">
    <tableColumn id="1" xr3:uid="{00000000-0010-0000-0200-000001000000}" name="id"/>
    <tableColumn id="2" xr3:uid="{00000000-0010-0000-0200-000002000000}" name="name"/>
    <tableColumn id="3" xr3:uid="{00000000-0010-0000-0200-000003000000}" name="model_number__c"/>
    <tableColumn id="4" xr3:uid="{00000000-0010-0000-0200-000004000000}" name="item__c"/>
    <tableColumn id="5" xr3:uid="{00000000-0010-0000-0200-000005000000}" name="Unit_Number__c"/>
    <tableColumn id="6" xr3:uid="{00000000-0010-0000-0200-000006000000}" name="Serial_Number__c"/>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X1:Y3" totalsRowShown="0">
  <autoFilter ref="X1:Y3" xr:uid="{00000000-0009-0000-0100-000004000000}"/>
  <tableColumns count="2">
    <tableColumn id="1" xr3:uid="{00000000-0010-0000-0300-000001000000}" name="id"/>
    <tableColumn id="2" xr3:uid="{00000000-0010-0000-0300-000002000000}" name="name"/>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AA1:AB2" totalsRowShown="0">
  <autoFilter ref="AA1:AB2" xr:uid="{00000000-0009-0000-0100-000005000000}"/>
  <tableColumns count="2">
    <tableColumn id="1" xr3:uid="{00000000-0010-0000-0400-000001000000}" name="id"/>
    <tableColumn id="2" xr3:uid="{00000000-0010-0000-0400-000002000000}" name="name"/>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AD1:AH2" totalsRowShown="0">
  <autoFilter ref="AD1:AH2" xr:uid="{00000000-0009-0000-0100-000006000000}"/>
  <tableColumns count="5">
    <tableColumn id="1" xr3:uid="{00000000-0010-0000-0500-000001000000}" name="id"/>
    <tableColumn id="2" xr3:uid="{00000000-0010-0000-0500-000002000000}" name="name"/>
    <tableColumn id="3" xr3:uid="{00000000-0010-0000-0500-000003000000}" name="Revision_Date__c"/>
    <tableColumn id="4" xr3:uid="{00000000-0010-0000-0500-000004000000}" name="Current_Revision__c"/>
    <tableColumn id="5" xr3:uid="{00000000-0010-0000-0500-000005000000}" name="Tool__c"/>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 Id="rId5" Type="http://schemas.openxmlformats.org/officeDocument/2006/relationships/comments" Target="../comments1.xml"/><Relationship Id="rId4"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12.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trlProp" Target="../ctrlProps/ctrlProp9.xml"/><Relationship Id="rId5" Type="http://schemas.openxmlformats.org/officeDocument/2006/relationships/vmlDrawing" Target="../drawings/vmlDrawing4.vml"/><Relationship Id="rId4" Type="http://schemas.openxmlformats.org/officeDocument/2006/relationships/drawing" Target="../drawings/drawing3.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16.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customProperty" Target="../customProperty31.bin"/><Relationship Id="rId7" Type="http://schemas.openxmlformats.org/officeDocument/2006/relationships/table" Target="../tables/table1.xml"/><Relationship Id="rId12" Type="http://schemas.openxmlformats.org/officeDocument/2006/relationships/table" Target="../tables/table6.xml"/><Relationship Id="rId2" Type="http://schemas.openxmlformats.org/officeDocument/2006/relationships/customProperty" Target="../customProperty30.bin"/><Relationship Id="rId1" Type="http://schemas.openxmlformats.org/officeDocument/2006/relationships/printerSettings" Target="../printerSettings/printerSettings15.bin"/><Relationship Id="rId6" Type="http://schemas.openxmlformats.org/officeDocument/2006/relationships/customProperty" Target="../customProperty34.bin"/><Relationship Id="rId11" Type="http://schemas.openxmlformats.org/officeDocument/2006/relationships/table" Target="../tables/table5.xml"/><Relationship Id="rId5" Type="http://schemas.openxmlformats.org/officeDocument/2006/relationships/customProperty" Target="../customProperty33.bin"/><Relationship Id="rId10" Type="http://schemas.openxmlformats.org/officeDocument/2006/relationships/table" Target="../tables/table4.xml"/><Relationship Id="rId4" Type="http://schemas.openxmlformats.org/officeDocument/2006/relationships/customProperty" Target="../customProperty32.bin"/><Relationship Id="rId9"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7.bin"/><Relationship Id="rId6" Type="http://schemas.openxmlformats.org/officeDocument/2006/relationships/customProperty" Target="../customProperty41.bin"/><Relationship Id="rId5" Type="http://schemas.openxmlformats.org/officeDocument/2006/relationships/customProperty" Target="../customProperty40.bin"/><Relationship Id="rId4" Type="http://schemas.openxmlformats.org/officeDocument/2006/relationships/customProperty" Target="../customProperty39.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43.bin"/><Relationship Id="rId2" Type="http://schemas.openxmlformats.org/officeDocument/2006/relationships/customProperty" Target="../customProperty42.bin"/><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45.bin"/><Relationship Id="rId2" Type="http://schemas.openxmlformats.org/officeDocument/2006/relationships/customProperty" Target="../customProperty44.bin"/><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workbookViewId="0">
      <pane ySplit="1" topLeftCell="A2" activePane="bottomLeft" state="frozen"/>
      <selection pane="bottomLeft" activeCell="L22" sqref="L22"/>
    </sheetView>
  </sheetViews>
  <sheetFormatPr defaultColWidth="9.140625" defaultRowHeight="12.75" x14ac:dyDescent="0.2"/>
  <cols>
    <col min="1" max="1" width="16.85546875" style="335" customWidth="1"/>
    <col min="2" max="2" width="12.85546875" style="312" customWidth="1"/>
    <col min="3" max="3" width="16.5703125" style="324" customWidth="1"/>
    <col min="4" max="4" width="10.42578125" style="214" customWidth="1"/>
    <col min="5" max="5" width="10.28515625" style="214" customWidth="1"/>
    <col min="6" max="6" width="12.85546875" style="214" customWidth="1"/>
    <col min="7" max="7" width="17.7109375" style="214" customWidth="1"/>
    <col min="8" max="8" width="10.140625" style="214" bestFit="1" customWidth="1"/>
    <col min="9" max="9" width="10.140625" style="214" customWidth="1"/>
    <col min="10" max="11" width="10.140625" style="214" bestFit="1" customWidth="1"/>
    <col min="12" max="12" width="11.7109375" style="214" bestFit="1" customWidth="1"/>
    <col min="13" max="13" width="10.85546875" style="214" customWidth="1"/>
    <col min="14" max="15" width="9.140625" style="214"/>
    <col min="16" max="16" width="16" style="214" customWidth="1"/>
    <col min="17" max="17" width="14.7109375" style="214" customWidth="1"/>
    <col min="18" max="18" width="10.140625" style="214" customWidth="1"/>
    <col min="19" max="19" width="12.140625" style="214" customWidth="1"/>
    <col min="20" max="20" width="3.5703125" style="214" customWidth="1"/>
    <col min="21" max="21" width="15.85546875" style="214" customWidth="1"/>
    <col min="22" max="22" width="13.5703125" style="214" customWidth="1"/>
    <col min="23" max="23" width="11.140625" style="214" customWidth="1"/>
    <col min="24" max="16384" width="9.140625" style="214"/>
  </cols>
  <sheetData>
    <row r="1" spans="1:29" s="213" customFormat="1" ht="23.25" x14ac:dyDescent="0.35">
      <c r="A1" s="340" t="s">
        <v>4983</v>
      </c>
      <c r="B1" s="210"/>
      <c r="C1" s="580" t="s">
        <v>66</v>
      </c>
      <c r="D1" s="581"/>
      <c r="E1" s="581"/>
      <c r="F1" s="581"/>
      <c r="G1" s="211" t="str">
        <f>CONCATENATE(D9,Comparison_Report!S24,"0",D24)</f>
        <v>0100000</v>
      </c>
      <c r="H1" s="211"/>
      <c r="I1" s="212"/>
      <c r="L1" s="214"/>
    </row>
    <row r="2" spans="1:29" ht="12.75" customHeight="1" x14ac:dyDescent="0.2">
      <c r="A2" s="215"/>
      <c r="B2" s="216"/>
      <c r="C2" s="213"/>
      <c r="D2" s="213"/>
      <c r="E2" s="217"/>
      <c r="F2" s="217"/>
      <c r="G2" s="216"/>
      <c r="H2" s="213"/>
      <c r="I2" s="213"/>
      <c r="J2" s="213"/>
      <c r="K2" s="213"/>
      <c r="L2" s="218"/>
      <c r="M2" s="218"/>
      <c r="N2" s="218"/>
      <c r="O2" s="218"/>
      <c r="P2" s="218"/>
      <c r="Q2" s="218"/>
      <c r="R2" s="219"/>
      <c r="S2" s="219"/>
      <c r="T2" s="219"/>
      <c r="U2" s="219"/>
      <c r="V2" s="219"/>
    </row>
    <row r="3" spans="1:29" x14ac:dyDescent="0.2">
      <c r="A3" s="215"/>
      <c r="B3" s="220"/>
      <c r="C3" s="221" t="s">
        <v>99</v>
      </c>
      <c r="D3" s="432"/>
      <c r="E3" s="213"/>
      <c r="F3" s="213"/>
      <c r="G3" s="213"/>
      <c r="H3" s="213"/>
      <c r="I3" s="213"/>
      <c r="J3" s="582" t="s">
        <v>133</v>
      </c>
      <c r="K3" s="583"/>
      <c r="L3" s="584"/>
      <c r="M3" s="213"/>
      <c r="N3" s="601" t="s">
        <v>122</v>
      </c>
      <c r="O3" s="601"/>
      <c r="P3" s="601"/>
      <c r="Q3" s="601"/>
      <c r="R3" s="601"/>
      <c r="S3" s="601"/>
      <c r="T3" s="219"/>
      <c r="U3" s="219"/>
      <c r="V3" s="219"/>
      <c r="W3" s="222"/>
      <c r="X3" s="222"/>
      <c r="Y3" s="222"/>
      <c r="Z3" s="222"/>
      <c r="AA3" s="222"/>
      <c r="AB3" s="222"/>
      <c r="AC3" s="222"/>
    </row>
    <row r="4" spans="1:29" x14ac:dyDescent="0.2">
      <c r="A4" s="215"/>
      <c r="B4" s="220"/>
      <c r="C4" s="221" t="s">
        <v>1630</v>
      </c>
      <c r="D4" s="363" t="s">
        <v>1762</v>
      </c>
      <c r="E4" s="213"/>
      <c r="F4" s="213"/>
      <c r="G4" s="213"/>
      <c r="H4" s="213"/>
      <c r="I4" s="213"/>
      <c r="J4" s="587" t="s">
        <v>4</v>
      </c>
      <c r="K4" s="588"/>
      <c r="L4" s="223">
        <f ca="1">IF(ISERROR(Access_Data!$D$33),0,Access_Data!$D$33)</f>
        <v>0</v>
      </c>
      <c r="M4" s="213"/>
      <c r="N4" s="224" t="s">
        <v>121</v>
      </c>
      <c r="O4" s="225" t="s">
        <v>120</v>
      </c>
      <c r="P4" s="585" t="s">
        <v>131</v>
      </c>
      <c r="Q4" s="586"/>
      <c r="R4" s="226" t="s">
        <v>215</v>
      </c>
      <c r="S4" s="226" t="s">
        <v>219</v>
      </c>
      <c r="T4" s="219"/>
      <c r="U4" s="505"/>
      <c r="V4" s="505"/>
      <c r="W4" s="505"/>
      <c r="X4" s="505"/>
      <c r="Y4" s="505"/>
      <c r="Z4" s="505"/>
      <c r="AA4" s="505"/>
      <c r="AB4" s="505"/>
      <c r="AC4" s="222"/>
    </row>
    <row r="5" spans="1:29" x14ac:dyDescent="0.2">
      <c r="A5" s="215"/>
      <c r="B5" s="220"/>
      <c r="C5" s="221" t="s">
        <v>56</v>
      </c>
      <c r="D5" s="558"/>
      <c r="E5" s="559"/>
      <c r="F5" s="559"/>
      <c r="G5" s="559"/>
      <c r="H5" s="560"/>
      <c r="I5" s="227"/>
      <c r="J5" s="587" t="s">
        <v>5</v>
      </c>
      <c r="K5" s="588"/>
      <c r="L5" s="223">
        <f ca="1">IF(ISERROR(Access_Data!$D$33),0,Access_Data!$H$33)</f>
        <v>0</v>
      </c>
      <c r="M5" s="213"/>
      <c r="N5" s="224">
        <v>1</v>
      </c>
      <c r="O5" s="228"/>
      <c r="P5" s="229" t="str">
        <f>IF(Access_Data!$K37=0,"",Access_Data!$K37)</f>
        <v/>
      </c>
      <c r="Q5" s="230"/>
      <c r="R5" s="231" t="str">
        <f>IF(Access_Data!$K37&lt;&gt;0,IF(RIGHT($P5,3)="Low",Access_Data!$L37,IF(RIGHT($P5,4)="High",Access_Data!$J37,"")),"")</f>
        <v/>
      </c>
      <c r="S5" s="232" t="str">
        <f>IF(Access_Data!$M37&lt;&gt;0,Access_Data!$M37,"")</f>
        <v/>
      </c>
      <c r="T5" s="219"/>
      <c r="U5" s="505"/>
      <c r="V5" s="505"/>
      <c r="W5" s="505"/>
      <c r="X5" s="505" t="str">
        <f t="shared" ref="X5:X7" si="0">IF(O5="","",1)</f>
        <v/>
      </c>
      <c r="Y5" s="505"/>
      <c r="Z5" s="505"/>
      <c r="AA5" s="505"/>
      <c r="AB5" s="505"/>
      <c r="AC5" s="222"/>
    </row>
    <row r="6" spans="1:29" x14ac:dyDescent="0.2">
      <c r="A6" s="215"/>
      <c r="B6" s="220"/>
      <c r="C6" s="221" t="s">
        <v>55</v>
      </c>
      <c r="D6" s="604"/>
      <c r="E6" s="605"/>
      <c r="F6" s="605"/>
      <c r="G6" s="605"/>
      <c r="H6" s="606"/>
      <c r="I6" s="227"/>
      <c r="J6" s="587" t="s">
        <v>132</v>
      </c>
      <c r="K6" s="588"/>
      <c r="L6" s="223">
        <f>IF(ISERROR(Access_Data!$A$52),0,Access_Data!$A$52)</f>
        <v>1.5</v>
      </c>
      <c r="M6" s="213"/>
      <c r="N6" s="224">
        <v>2</v>
      </c>
      <c r="O6" s="228"/>
      <c r="P6" s="229" t="str">
        <f>IF(Access_Data!$K38=0,"",Access_Data!$K38)</f>
        <v/>
      </c>
      <c r="Q6" s="233"/>
      <c r="R6" s="231" t="str">
        <f>IF(Access_Data!$K38&lt;&gt;0,IF(RIGHT($P6,3)="Low",Access_Data!$L38,IF(RIGHT($P6,4)="High",Access_Data!$J38,"")),"")</f>
        <v/>
      </c>
      <c r="S6" s="232" t="str">
        <f>IF(Access_Data!$M38&lt;&gt;0,Access_Data!$M38,"")</f>
        <v/>
      </c>
      <c r="T6" s="219"/>
      <c r="U6" s="505"/>
      <c r="V6" s="505"/>
      <c r="W6" s="505"/>
      <c r="X6" s="505" t="str">
        <f t="shared" si="0"/>
        <v/>
      </c>
      <c r="Y6" s="505"/>
      <c r="Z6" s="505"/>
      <c r="AA6" s="505"/>
      <c r="AB6" s="505"/>
      <c r="AC6" s="222"/>
    </row>
    <row r="7" spans="1:29" x14ac:dyDescent="0.2">
      <c r="A7" s="215"/>
      <c r="B7" s="234"/>
      <c r="C7" s="235" t="s">
        <v>42</v>
      </c>
      <c r="D7" s="236"/>
      <c r="E7" s="213"/>
      <c r="F7" s="213"/>
      <c r="G7" s="213"/>
      <c r="H7" s="213"/>
      <c r="I7" s="213"/>
      <c r="J7" s="237"/>
      <c r="K7" s="237"/>
      <c r="L7" s="237"/>
      <c r="M7" s="213"/>
      <c r="N7" s="224">
        <v>3</v>
      </c>
      <c r="O7" s="228"/>
      <c r="P7" s="229" t="str">
        <f>IF(Access_Data!$K39=0,"",Access_Data!$K39)</f>
        <v/>
      </c>
      <c r="Q7" s="230"/>
      <c r="R7" s="231" t="str">
        <f>IF(Access_Data!$K39&lt;&gt;0,IF(RIGHT($P7,3)="Low",Access_Data!$L39,IF(RIGHT($P7,4)="High",Access_Data!$J39,"")),"")</f>
        <v/>
      </c>
      <c r="S7" s="232" t="str">
        <f>IF(Access_Data!$M39&lt;&gt;0,Access_Data!$M39,"")</f>
        <v/>
      </c>
      <c r="T7" s="219"/>
      <c r="U7" s="505"/>
      <c r="V7" s="505"/>
      <c r="W7" s="505"/>
      <c r="X7" s="505" t="str">
        <f t="shared" si="0"/>
        <v/>
      </c>
      <c r="Y7" s="505"/>
      <c r="Z7" s="505"/>
      <c r="AA7" s="505"/>
      <c r="AB7" s="505"/>
      <c r="AC7" s="222"/>
    </row>
    <row r="8" spans="1:29" x14ac:dyDescent="0.2">
      <c r="A8" s="215"/>
      <c r="B8" s="238"/>
      <c r="C8" s="239"/>
      <c r="D8" s="240"/>
      <c r="E8" s="213"/>
      <c r="F8" s="478" t="e">
        <f>IF(N49="","CHECK TUNING CONSTANTS","")</f>
        <v>#N/A</v>
      </c>
      <c r="G8" s="213"/>
      <c r="H8" s="213"/>
      <c r="I8" s="213"/>
      <c r="J8" s="213"/>
      <c r="K8" s="213"/>
      <c r="L8" s="213"/>
      <c r="M8" s="213"/>
      <c r="N8" s="224">
        <v>4</v>
      </c>
      <c r="O8" s="228"/>
      <c r="P8" s="229" t="str">
        <f>IF(Access_Data!$K40=0,"",Access_Data!$K40)</f>
        <v/>
      </c>
      <c r="Q8" s="233"/>
      <c r="R8" s="231" t="str">
        <f>IF(Access_Data!$K40&lt;&gt;0,IF(RIGHT($P8,3)="Low",Access_Data!$L40,IF(RIGHT($P8,4)="High",Access_Data!$J40,"")),"")</f>
        <v/>
      </c>
      <c r="S8" s="232" t="str">
        <f>IF(Access_Data!$M40&lt;&gt;0,Access_Data!$M40,"")</f>
        <v/>
      </c>
      <c r="T8" s="219"/>
      <c r="U8" s="505"/>
      <c r="V8" s="505"/>
      <c r="W8" s="505"/>
      <c r="X8" s="505" t="str">
        <f>IF(O8="","",1)</f>
        <v/>
      </c>
      <c r="Y8" s="505"/>
      <c r="Z8" s="505"/>
      <c r="AA8" s="505"/>
      <c r="AB8" s="505"/>
      <c r="AC8" s="222"/>
    </row>
    <row r="9" spans="1:29" ht="12.75" customHeight="1" x14ac:dyDescent="0.2">
      <c r="A9" s="215"/>
      <c r="B9" s="220"/>
      <c r="C9" s="241" t="s">
        <v>89</v>
      </c>
      <c r="D9" s="357"/>
      <c r="E9" s="213"/>
      <c r="F9" s="213"/>
      <c r="G9" s="213"/>
      <c r="H9" s="213"/>
      <c r="I9" s="213"/>
      <c r="J9" s="213"/>
      <c r="K9" s="213"/>
      <c r="L9" s="213"/>
      <c r="M9" s="213"/>
      <c r="N9" s="224">
        <v>5</v>
      </c>
      <c r="O9" s="228"/>
      <c r="P9" s="229" t="str">
        <f>IF(Access_Data!$K41=0,"",Access_Data!$K41)</f>
        <v/>
      </c>
      <c r="Q9" s="230"/>
      <c r="R9" s="231" t="str">
        <f>IF(Access_Data!$K41&lt;&gt;0,IF(RIGHT($P9,3)="Low",Access_Data!$L41,IF(RIGHT($P9,4)="High",Access_Data!$J41,"")),"")</f>
        <v/>
      </c>
      <c r="S9" s="232" t="str">
        <f>IF(Access_Data!$M41&lt;&gt;0,Access_Data!$M41,"")</f>
        <v/>
      </c>
      <c r="T9" s="219"/>
      <c r="U9" s="505"/>
      <c r="V9" s="505"/>
      <c r="W9" s="505"/>
      <c r="X9" s="505" t="str">
        <f t="shared" ref="X9:X44" si="1">IF(O9="","",1)</f>
        <v/>
      </c>
      <c r="Y9" s="505"/>
      <c r="Z9" s="505"/>
      <c r="AA9" s="505"/>
      <c r="AB9" s="505"/>
      <c r="AC9" s="222"/>
    </row>
    <row r="10" spans="1:29" x14ac:dyDescent="0.2">
      <c r="A10" s="215"/>
      <c r="E10" s="213"/>
      <c r="F10" s="213"/>
      <c r="G10" s="218" t="str">
        <f ca="1">IF(OR(ISNA(Access_Data!D33),ISBLANK(D19),ISBLANK(D16)),"",IF(OR(ABS(Access_Data!D33)&gt;D19,ABS(Access_Data!H33)&gt;D19),"!!!!! OVEN IS OOT !!!!!",""))</f>
        <v/>
      </c>
      <c r="H10" s="213"/>
      <c r="I10" s="213"/>
      <c r="J10" s="213"/>
      <c r="K10" s="213"/>
      <c r="L10" s="213"/>
      <c r="M10" s="213"/>
      <c r="N10" s="224">
        <v>6</v>
      </c>
      <c r="O10" s="228"/>
      <c r="P10" s="229" t="str">
        <f>IF(Access_Data!$K42=0,"",Access_Data!$K42)</f>
        <v/>
      </c>
      <c r="Q10" s="233"/>
      <c r="R10" s="231" t="str">
        <f>IF(Access_Data!$K42&lt;&gt;0,IF(RIGHT($P10,3)="Low",Access_Data!$L42,IF(RIGHT($P10,4)="High",Access_Data!$J42,"")),"")</f>
        <v/>
      </c>
      <c r="S10" s="232" t="str">
        <f>IF(Access_Data!$M42&lt;&gt;0,Access_Data!$M42,"")</f>
        <v/>
      </c>
      <c r="T10" s="219"/>
      <c r="U10" s="505"/>
      <c r="V10" s="505"/>
      <c r="W10" s="505"/>
      <c r="X10" s="505" t="str">
        <f t="shared" si="1"/>
        <v/>
      </c>
      <c r="Y10" s="505"/>
      <c r="Z10" s="505"/>
      <c r="AA10" s="505"/>
      <c r="AB10" s="505"/>
      <c r="AC10" s="222"/>
    </row>
    <row r="11" spans="1:29" x14ac:dyDescent="0.2">
      <c r="A11" s="215"/>
      <c r="B11" s="242"/>
      <c r="C11" s="243" t="s">
        <v>73</v>
      </c>
      <c r="D11" s="244" t="e">
        <f>VLOOKUP(D9,Standards_Info!A2:C11,3)</f>
        <v>#N/A</v>
      </c>
      <c r="E11" s="245"/>
      <c r="F11" s="213"/>
      <c r="G11" s="218" t="str">
        <f>IF(OR(ISBLANK(D3),ISBLANK(D13)),"",IF(D13&lt;D3,"!!!!! DAQBOOK IS OUT OF CERTIFICATION !!!!!",""))</f>
        <v/>
      </c>
      <c r="H11" s="213"/>
      <c r="I11" s="213"/>
      <c r="J11" s="213"/>
      <c r="K11" s="213"/>
      <c r="L11" s="213"/>
      <c r="M11" s="213"/>
      <c r="N11" s="224">
        <v>7</v>
      </c>
      <c r="O11" s="228"/>
      <c r="P11" s="229" t="str">
        <f>IF(Access_Data!$K43=0,"",Access_Data!$K43)</f>
        <v/>
      </c>
      <c r="Q11" s="233"/>
      <c r="R11" s="231" t="str">
        <f>IF(Access_Data!$K43&lt;&gt;0,IF(RIGHT($P11,3)="Low",Access_Data!$L43,IF(RIGHT($P11,4)="High",Access_Data!$J43,"")),"")</f>
        <v/>
      </c>
      <c r="S11" s="232" t="str">
        <f>IF(Access_Data!$M43&lt;&gt;0,Access_Data!$M43,"")</f>
        <v/>
      </c>
      <c r="T11" s="219"/>
      <c r="U11" s="505"/>
      <c r="V11" s="505"/>
      <c r="W11" s="505"/>
      <c r="X11" s="505" t="str">
        <f t="shared" si="1"/>
        <v/>
      </c>
      <c r="Y11" s="505"/>
      <c r="Z11" s="505"/>
      <c r="AA11" s="505"/>
      <c r="AB11" s="505"/>
      <c r="AC11" s="222"/>
    </row>
    <row r="12" spans="1:29" x14ac:dyDescent="0.2">
      <c r="A12" s="215"/>
      <c r="B12" s="220"/>
      <c r="C12" s="241" t="s">
        <v>118</v>
      </c>
      <c r="D12" s="447"/>
      <c r="E12" s="213"/>
      <c r="F12" s="213"/>
      <c r="G12" s="218" t="str">
        <f>IF(Access_Data!$B$52=1,"!!!!! OVEN OVERSHOT IN POINTS 1-14 !!!!!","")</f>
        <v/>
      </c>
      <c r="H12" s="213"/>
      <c r="I12" s="213"/>
      <c r="J12" s="237"/>
      <c r="K12" s="237"/>
      <c r="L12" s="237"/>
      <c r="M12" s="213"/>
      <c r="N12" s="224">
        <v>8</v>
      </c>
      <c r="O12" s="228"/>
      <c r="P12" s="229" t="str">
        <f>IF(Access_Data!$K44=0,"",Access_Data!$K44)</f>
        <v/>
      </c>
      <c r="Q12" s="233"/>
      <c r="R12" s="231" t="str">
        <f>IF(Access_Data!$K44&lt;&gt;0,IF(RIGHT($P12,3)="Low",Access_Data!$L44,IF(RIGHT($P12,4)="High",Access_Data!$J44,"")),"")</f>
        <v/>
      </c>
      <c r="S12" s="232" t="str">
        <f>IF(Access_Data!$M44&lt;&gt;0,Access_Data!$M44,"")</f>
        <v/>
      </c>
      <c r="T12" s="219"/>
      <c r="U12" s="505"/>
      <c r="V12" s="505"/>
      <c r="W12" s="505"/>
      <c r="X12" s="505" t="str">
        <f t="shared" si="1"/>
        <v/>
      </c>
      <c r="Y12" s="505"/>
      <c r="Z12" s="505"/>
      <c r="AA12" s="505"/>
      <c r="AB12" s="505"/>
      <c r="AC12" s="222"/>
    </row>
    <row r="13" spans="1:29" x14ac:dyDescent="0.2">
      <c r="A13" s="215"/>
      <c r="B13" s="242"/>
      <c r="C13" s="243" t="s">
        <v>117</v>
      </c>
      <c r="D13" s="448"/>
      <c r="E13" s="213"/>
      <c r="F13" s="246"/>
      <c r="G13" s="247" t="str">
        <f>IF(Access_Data!$C$52=1,"!!!!! OVEN OVERSHOT IN POINTS 15-28 !!!!!","")</f>
        <v/>
      </c>
      <c r="H13" s="213"/>
      <c r="I13" s="213"/>
      <c r="J13" s="433" t="s">
        <v>3826</v>
      </c>
      <c r="K13" s="599"/>
      <c r="L13" s="600"/>
      <c r="M13" s="213"/>
      <c r="N13" s="224">
        <v>9</v>
      </c>
      <c r="O13" s="228"/>
      <c r="P13" s="229" t="str">
        <f>IF(Access_Data!$K45=0,"",Access_Data!$K45)</f>
        <v/>
      </c>
      <c r="Q13" s="230"/>
      <c r="R13" s="231" t="str">
        <f>IF(Access_Data!$K45&lt;&gt;0,IF(RIGHT($P13,3)="Low",Access_Data!$L45,IF(RIGHT($P13,4)="High",Access_Data!$J45,"")),"")</f>
        <v/>
      </c>
      <c r="S13" s="232" t="str">
        <f>IF(Access_Data!$M45&lt;&gt;0,Access_Data!$M45,"")</f>
        <v/>
      </c>
      <c r="T13" s="219"/>
      <c r="U13" s="505"/>
      <c r="V13" s="505"/>
      <c r="W13" s="505"/>
      <c r="X13" s="505" t="str">
        <f t="shared" si="1"/>
        <v/>
      </c>
      <c r="Y13" s="505"/>
      <c r="Z13" s="505"/>
      <c r="AA13" s="505"/>
      <c r="AB13" s="505"/>
      <c r="AC13" s="222"/>
    </row>
    <row r="14" spans="1:29" x14ac:dyDescent="0.2">
      <c r="A14" s="215"/>
      <c r="B14" s="220"/>
      <c r="C14" s="241" t="s">
        <v>119</v>
      </c>
      <c r="D14" s="602" t="str">
        <f>IF(MONTH(D13-D12)=1,D9&amp;TEXT(D12,"mmddyy"),CONCATENATE(D9&amp;"_"&amp;TEXT(D12,"mmyy")))</f>
        <v>010000</v>
      </c>
      <c r="E14" s="603"/>
      <c r="F14" s="213"/>
      <c r="G14" s="218" t="str">
        <f>IF(Access_Data!$D$52=1,"!!!!! OVEN OVERSHOT IN POINTS 29-40","")</f>
        <v/>
      </c>
      <c r="H14" s="213"/>
      <c r="I14" s="213"/>
      <c r="J14" s="248" t="s">
        <v>211</v>
      </c>
      <c r="K14" s="593"/>
      <c r="L14" s="594"/>
      <c r="M14" s="213"/>
      <c r="N14" s="224">
        <v>10</v>
      </c>
      <c r="O14" s="228"/>
      <c r="P14" s="229" t="str">
        <f>IF(Access_Data!$K46=0,"",Access_Data!$K46)</f>
        <v/>
      </c>
      <c r="Q14" s="233"/>
      <c r="R14" s="231" t="str">
        <f>IF(Access_Data!$K46&lt;&gt;0,IF(RIGHT($P14,3)="Low",Access_Data!$L46,IF(RIGHT($P14,4)="High",Access_Data!$J46,"")),"")</f>
        <v/>
      </c>
      <c r="S14" s="232" t="str">
        <f>IF(Access_Data!$M46&lt;&gt;0,Access_Data!$M46,"")</f>
        <v/>
      </c>
      <c r="T14" s="219"/>
      <c r="U14" s="505"/>
      <c r="V14" s="505"/>
      <c r="W14" s="505"/>
      <c r="X14" s="505" t="str">
        <f t="shared" si="1"/>
        <v/>
      </c>
      <c r="Y14" s="505"/>
      <c r="Z14" s="505"/>
      <c r="AA14" s="505"/>
      <c r="AB14" s="505"/>
      <c r="AC14" s="222"/>
    </row>
    <row r="15" spans="1:29" x14ac:dyDescent="0.2">
      <c r="A15" s="215"/>
      <c r="B15" s="368"/>
      <c r="C15" s="365" t="s">
        <v>88</v>
      </c>
      <c r="D15" s="367"/>
      <c r="E15" s="364"/>
      <c r="F15" s="213"/>
      <c r="G15" s="213"/>
      <c r="H15" s="475" t="b">
        <v>1</v>
      </c>
      <c r="I15" s="213"/>
      <c r="J15" s="249" t="s">
        <v>205</v>
      </c>
      <c r="K15" s="591"/>
      <c r="L15" s="592"/>
      <c r="M15" s="213"/>
      <c r="N15" s="224">
        <v>11</v>
      </c>
      <c r="O15" s="228"/>
      <c r="P15" s="229" t="str">
        <f>IF(Access_Data!$K47=0,"",Access_Data!$K47)</f>
        <v/>
      </c>
      <c r="Q15" s="230"/>
      <c r="R15" s="231" t="str">
        <f>IF(Access_Data!$K47&lt;&gt;0,IF(RIGHT($P15,3)="Low",Access_Data!$L47,IF(RIGHT($P15,4)="High",Access_Data!$J47,"")),"")</f>
        <v/>
      </c>
      <c r="S15" s="232" t="str">
        <f>IF(Access_Data!$M47&lt;&gt;0,Access_Data!$M47,"")</f>
        <v/>
      </c>
      <c r="T15" s="219"/>
      <c r="U15" s="505"/>
      <c r="V15" s="505"/>
      <c r="W15" s="505"/>
      <c r="X15" s="505" t="str">
        <f t="shared" si="1"/>
        <v/>
      </c>
      <c r="Y15" s="505"/>
      <c r="Z15" s="505"/>
      <c r="AA15" s="505"/>
      <c r="AB15" s="505"/>
      <c r="AC15" s="222"/>
    </row>
    <row r="16" spans="1:29" x14ac:dyDescent="0.2">
      <c r="A16" s="215"/>
      <c r="B16" s="250"/>
      <c r="C16" s="366" t="s">
        <v>1883</v>
      </c>
      <c r="D16" s="449"/>
      <c r="E16" s="213"/>
      <c r="F16" s="248" t="s">
        <v>108</v>
      </c>
      <c r="G16" s="358" t="s">
        <v>1951</v>
      </c>
      <c r="H16" s="252"/>
      <c r="I16" s="213"/>
      <c r="J16" s="610" t="s">
        <v>256</v>
      </c>
      <c r="K16" s="611"/>
      <c r="L16" s="253"/>
      <c r="M16" s="213"/>
      <c r="N16" s="224">
        <v>12</v>
      </c>
      <c r="O16" s="228"/>
      <c r="P16" s="229" t="str">
        <f>IF(Access_Data!$K48=0,"",Access_Data!$K48)</f>
        <v/>
      </c>
      <c r="Q16" s="233"/>
      <c r="R16" s="231" t="str">
        <f>IF(Access_Data!$K48&lt;&gt;0,IF(RIGHT($P16,3)="Low",Access_Data!$L48,IF(RIGHT($P16,4)="High",Access_Data!$J48,"")),"")</f>
        <v/>
      </c>
      <c r="S16" s="232" t="str">
        <f>IF(Access_Data!$M48&lt;&gt;0,Access_Data!$M48,"")</f>
        <v/>
      </c>
      <c r="T16" s="219"/>
      <c r="U16" s="505"/>
      <c r="V16" s="505"/>
      <c r="W16" s="505"/>
      <c r="X16" s="505" t="str">
        <f t="shared" si="1"/>
        <v/>
      </c>
      <c r="Y16" s="505"/>
      <c r="Z16" s="505"/>
      <c r="AA16" s="505"/>
      <c r="AB16" s="505"/>
      <c r="AC16" s="222"/>
    </row>
    <row r="17" spans="1:29" x14ac:dyDescent="0.2">
      <c r="A17" s="215"/>
      <c r="B17" s="220"/>
      <c r="C17" s="221" t="s">
        <v>87</v>
      </c>
      <c r="D17" s="450"/>
      <c r="E17" s="213"/>
      <c r="F17" s="249" t="s">
        <v>127</v>
      </c>
      <c r="G17" s="474" t="e">
        <f>'Header Info'!CC2</f>
        <v>#N/A</v>
      </c>
      <c r="I17" s="218"/>
      <c r="J17" s="610" t="s">
        <v>257</v>
      </c>
      <c r="K17" s="611"/>
      <c r="L17" s="254" t="str">
        <f>IF(K15="SIM Load Hot",TEXT(D26,"hh:mm"),"")</f>
        <v/>
      </c>
      <c r="M17" s="213"/>
      <c r="N17" s="224">
        <v>13</v>
      </c>
      <c r="O17" s="228"/>
      <c r="P17" s="229" t="str">
        <f>IF(Access_Data!$K49=0,"",Access_Data!$K49)</f>
        <v/>
      </c>
      <c r="Q17" s="230"/>
      <c r="R17" s="231" t="str">
        <f>IF(Access_Data!$K49&lt;&gt;0,IF(RIGHT($P17,3)="Low",Access_Data!$L49,IF(RIGHT($P17,4)="High",Access_Data!$J49,"")),"")</f>
        <v/>
      </c>
      <c r="S17" s="232" t="str">
        <f>IF(Access_Data!$M49&lt;&gt;0,Access_Data!$M49,"")</f>
        <v/>
      </c>
      <c r="T17" s="219"/>
      <c r="U17" s="505"/>
      <c r="V17" s="505"/>
      <c r="W17" s="505"/>
      <c r="X17" s="505" t="str">
        <f t="shared" si="1"/>
        <v/>
      </c>
      <c r="Y17" s="505"/>
      <c r="Z17" s="505"/>
      <c r="AA17" s="505"/>
      <c r="AB17" s="505"/>
      <c r="AC17" s="222"/>
    </row>
    <row r="18" spans="1:29" x14ac:dyDescent="0.2">
      <c r="A18" s="215"/>
      <c r="B18" s="242"/>
      <c r="C18" s="255" t="s">
        <v>90</v>
      </c>
      <c r="D18" s="451"/>
      <c r="E18" s="213"/>
      <c r="F18" s="257" t="s">
        <v>109</v>
      </c>
      <c r="G18" s="358" t="s">
        <v>31</v>
      </c>
      <c r="H18" s="258"/>
      <c r="I18" s="218"/>
      <c r="J18" s="259"/>
      <c r="K18" s="213"/>
      <c r="L18" s="218"/>
      <c r="M18" s="213"/>
      <c r="N18" s="224">
        <v>14</v>
      </c>
      <c r="O18" s="228"/>
      <c r="P18" s="229" t="str">
        <f>IF(Access_Data!$K50=0,"",Access_Data!$K50)</f>
        <v/>
      </c>
      <c r="Q18" s="233"/>
      <c r="R18" s="231" t="str">
        <f>IF(Access_Data!$K50&lt;&gt;0,IF(RIGHT($P18,3)="Low",Access_Data!$L50,IF(RIGHT($P18,4)="High",Access_Data!$J50,"")),"")</f>
        <v/>
      </c>
      <c r="S18" s="232" t="str">
        <f>IF(Access_Data!$M50&lt;&gt;0,Access_Data!$M50,"")</f>
        <v/>
      </c>
      <c r="T18" s="219"/>
      <c r="U18" s="505"/>
      <c r="V18" s="505"/>
      <c r="W18" s="505"/>
      <c r="X18" s="505" t="str">
        <f t="shared" si="1"/>
        <v/>
      </c>
      <c r="Y18" s="505"/>
      <c r="Z18" s="505"/>
      <c r="AA18" s="505"/>
      <c r="AB18" s="505"/>
      <c r="AC18" s="222"/>
    </row>
    <row r="19" spans="1:29" x14ac:dyDescent="0.2">
      <c r="A19" s="215"/>
      <c r="B19" s="220"/>
      <c r="C19" s="221" t="s">
        <v>22</v>
      </c>
      <c r="D19" s="452"/>
      <c r="E19" s="213"/>
      <c r="F19" s="249" t="s">
        <v>110</v>
      </c>
      <c r="G19" s="589" t="str">
        <f>IF(K15="Salt",0, IF(OR(K15="Hot",K15="SIM Load Hot"),IF(OR(D26="",D28=""),"N/A",IF(ISBLANK(D26),"N/A",D28-D26)),"N/A"))</f>
        <v>N/A</v>
      </c>
      <c r="H19" s="590"/>
      <c r="I19" s="260" t="str">
        <f>IF(G19="N/A","N/A",IF(G19=0,"&lt;2",ROUND(IF(LEN(G19)&gt;3,G19*1440,RIGHT(TEXT(G19,"hh:mm"),2)),0))&amp;" MINUTES")</f>
        <v>N/A</v>
      </c>
      <c r="J19" s="259"/>
      <c r="K19" s="213"/>
      <c r="L19" s="218"/>
      <c r="M19" s="213"/>
      <c r="N19" s="224">
        <v>15</v>
      </c>
      <c r="O19" s="228"/>
      <c r="P19" s="229" t="str">
        <f>IF(Access_Data!$K51=0,"",Access_Data!$K51)</f>
        <v/>
      </c>
      <c r="Q19" s="230"/>
      <c r="R19" s="231" t="str">
        <f>IF(Access_Data!$K51&lt;&gt;0,IF(RIGHT($P19,3)="Low",Access_Data!$L51,IF(RIGHT($P19,4)="High",Access_Data!$J51,"")),"")</f>
        <v/>
      </c>
      <c r="S19" s="232" t="str">
        <f>IF(Access_Data!$M51&lt;&gt;0,Access_Data!$M51,"")</f>
        <v/>
      </c>
      <c r="T19" s="219"/>
      <c r="U19" s="505"/>
      <c r="V19" s="505"/>
      <c r="W19" s="505"/>
      <c r="X19" s="505" t="str">
        <f t="shared" si="1"/>
        <v/>
      </c>
      <c r="Y19" s="505"/>
      <c r="Z19" s="505"/>
      <c r="AA19" s="505"/>
      <c r="AB19" s="505"/>
      <c r="AC19" s="222"/>
    </row>
    <row r="20" spans="1:29" ht="13.7" customHeight="1" x14ac:dyDescent="0.2">
      <c r="A20" s="215"/>
      <c r="B20" s="595" t="str">
        <f>IF(I94=TRUE,"SAT Tolerance (per AMS2750):","SAT Tolerance (per BAC5621):")</f>
        <v>SAT Tolerance (per AMS2750):</v>
      </c>
      <c r="C20" s="596"/>
      <c r="D20" s="261" t="e">
        <f>G94</f>
        <v>#N/A</v>
      </c>
      <c r="E20" s="218"/>
      <c r="I20" s="218"/>
      <c r="J20" s="213"/>
      <c r="K20" s="213"/>
      <c r="L20" s="218"/>
      <c r="M20" s="213"/>
      <c r="N20" s="224">
        <v>16</v>
      </c>
      <c r="O20" s="228"/>
      <c r="P20" s="229" t="str">
        <f>IF(Access_Data!$K52=0,"",Access_Data!$K52)</f>
        <v/>
      </c>
      <c r="Q20" s="233"/>
      <c r="R20" s="231" t="str">
        <f>IF(Access_Data!$K52&lt;&gt;0,IF(RIGHT($P20,3)="Low",Access_Data!$L52,IF(RIGHT($P20,4)="High",Access_Data!$J52,"")),"")</f>
        <v/>
      </c>
      <c r="S20" s="232" t="str">
        <f>IF(Access_Data!$M52&lt;&gt;0,Access_Data!$M52,"")</f>
        <v/>
      </c>
      <c r="T20" s="219"/>
      <c r="U20" s="505"/>
      <c r="V20" s="505"/>
      <c r="W20" s="505"/>
      <c r="X20" s="505" t="str">
        <f t="shared" si="1"/>
        <v/>
      </c>
      <c r="Y20" s="505"/>
      <c r="Z20" s="505"/>
      <c r="AA20" s="505"/>
      <c r="AB20" s="505"/>
      <c r="AC20" s="222"/>
    </row>
    <row r="21" spans="1:29" x14ac:dyDescent="0.2">
      <c r="A21" s="215"/>
      <c r="B21" s="238"/>
      <c r="C21" s="262"/>
      <c r="D21" s="240"/>
      <c r="E21" s="213"/>
      <c r="F21" s="213"/>
      <c r="G21" s="213"/>
      <c r="H21" s="213"/>
      <c r="I21" s="218"/>
      <c r="J21" s="213"/>
      <c r="K21" s="213"/>
      <c r="L21" s="218"/>
      <c r="M21" s="213"/>
      <c r="N21" s="224">
        <v>17</v>
      </c>
      <c r="O21" s="228"/>
      <c r="P21" s="229" t="str">
        <f>IF(Access_Data!$K53=0,"",Access_Data!$K53)</f>
        <v/>
      </c>
      <c r="Q21" s="230"/>
      <c r="R21" s="231" t="str">
        <f>IF(Access_Data!$K53&lt;&gt;0,IF(RIGHT($P21,3)="Low",Access_Data!$L53,IF(RIGHT($P21,4)="High",Access_Data!$J53,"")),"")</f>
        <v/>
      </c>
      <c r="S21" s="232" t="str">
        <f>IF(Access_Data!$M53&lt;&gt;0,Access_Data!$M53,"")</f>
        <v/>
      </c>
      <c r="T21" s="219"/>
      <c r="U21" s="505"/>
      <c r="V21" s="505"/>
      <c r="W21" s="505"/>
      <c r="X21" s="505" t="str">
        <f t="shared" si="1"/>
        <v/>
      </c>
      <c r="Y21" s="505"/>
      <c r="Z21" s="505"/>
      <c r="AA21" s="505"/>
      <c r="AB21" s="505"/>
      <c r="AC21" s="222"/>
    </row>
    <row r="22" spans="1:29" x14ac:dyDescent="0.2">
      <c r="A22" s="215"/>
      <c r="B22" s="250"/>
      <c r="C22" s="251" t="s">
        <v>57</v>
      </c>
      <c r="D22" s="453"/>
      <c r="E22" s="213"/>
      <c r="F22" s="263"/>
      <c r="G22" s="213"/>
      <c r="H22" s="213"/>
      <c r="I22" s="218"/>
      <c r="J22" s="213"/>
      <c r="K22" s="213"/>
      <c r="L22" s="218"/>
      <c r="M22" s="213"/>
      <c r="N22" s="224">
        <v>18</v>
      </c>
      <c r="O22" s="228"/>
      <c r="P22" s="229" t="str">
        <f>IF(Access_Data!$K54=0,"",Access_Data!$K54)</f>
        <v/>
      </c>
      <c r="Q22" s="233"/>
      <c r="R22" s="231" t="str">
        <f>IF(Access_Data!$K54&lt;&gt;0,IF(RIGHT($P22,3)="Low",Access_Data!$L54,IF(RIGHT($P22,4)="High",Access_Data!$J54,"")),"")</f>
        <v/>
      </c>
      <c r="S22" s="232" t="str">
        <f>IF(Access_Data!$M54&lt;&gt;0,Access_Data!$M54,"")</f>
        <v/>
      </c>
      <c r="T22" s="219"/>
      <c r="U22" s="505"/>
      <c r="V22" s="505"/>
      <c r="W22" s="505"/>
      <c r="X22" s="505" t="str">
        <f t="shared" si="1"/>
        <v/>
      </c>
      <c r="Y22" s="505"/>
      <c r="Z22" s="505"/>
      <c r="AA22" s="505"/>
      <c r="AB22" s="505"/>
      <c r="AC22" s="222"/>
    </row>
    <row r="23" spans="1:29" x14ac:dyDescent="0.2">
      <c r="A23" s="215"/>
      <c r="B23" s="220"/>
      <c r="C23" s="221" t="s">
        <v>91</v>
      </c>
      <c r="D23" s="451"/>
      <c r="E23" s="213"/>
      <c r="F23" s="264" t="s">
        <v>128</v>
      </c>
      <c r="G23" s="376" t="s">
        <v>5470</v>
      </c>
      <c r="H23" s="266"/>
      <c r="I23" s="266"/>
      <c r="J23" s="266"/>
      <c r="K23" s="252"/>
      <c r="L23" s="218"/>
      <c r="M23" s="213"/>
      <c r="N23" s="224">
        <v>19</v>
      </c>
      <c r="O23" s="228"/>
      <c r="P23" s="229" t="str">
        <f>IF(Access_Data!$K55=0,"",Access_Data!$K55)</f>
        <v/>
      </c>
      <c r="Q23" s="230"/>
      <c r="R23" s="231" t="str">
        <f>IF(Access_Data!$K55&lt;&gt;0,IF(RIGHT($P23,3)="Low",Access_Data!$L55,IF(RIGHT($P23,4)="High",Access_Data!$J55,"")),"")</f>
        <v/>
      </c>
      <c r="S23" s="232" t="str">
        <f>IF(Access_Data!$M55&lt;&gt;0,Access_Data!$M55,"")</f>
        <v/>
      </c>
      <c r="T23" s="219"/>
      <c r="U23" s="505" t="str">
        <f>IF(X45=10,Z23,IF(X45=11,Z24,IF(X45=12,Z25,IF(X45=13,Z26,IF(X45=14,Z27,"")))))</f>
        <v/>
      </c>
      <c r="V23" s="505"/>
      <c r="W23" s="505"/>
      <c r="X23" s="505" t="str">
        <f t="shared" si="1"/>
        <v/>
      </c>
      <c r="Y23" s="505">
        <v>10</v>
      </c>
      <c r="Z23" s="505" t="s">
        <v>5465</v>
      </c>
      <c r="AA23" s="505"/>
      <c r="AB23" s="505"/>
      <c r="AC23" s="222"/>
    </row>
    <row r="24" spans="1:29" x14ac:dyDescent="0.2">
      <c r="A24" s="215"/>
      <c r="B24" s="597" t="s">
        <v>5322</v>
      </c>
      <c r="C24" s="598"/>
      <c r="D24" s="350"/>
      <c r="E24" s="213"/>
      <c r="F24" s="264" t="s">
        <v>129</v>
      </c>
      <c r="G24" s="265"/>
      <c r="H24" s="266"/>
      <c r="I24" s="266"/>
      <c r="J24" s="266"/>
      <c r="K24" s="252"/>
      <c r="L24" s="218"/>
      <c r="M24" s="213"/>
      <c r="N24" s="224">
        <v>20</v>
      </c>
      <c r="O24" s="228"/>
      <c r="P24" s="229" t="str">
        <f>IF(Access_Data!$K56=0,"",Access_Data!$K56)</f>
        <v/>
      </c>
      <c r="Q24" s="233"/>
      <c r="R24" s="231" t="str">
        <f>IF(Access_Data!$K56&lt;&gt;0,IF(RIGHT($P24,3)="Low",Access_Data!$L56,IF(RIGHT($P24,4)="High",Access_Data!$J56,"")),"")</f>
        <v/>
      </c>
      <c r="S24" s="232" t="str">
        <f>IF(Access_Data!$M56&lt;&gt;0,Access_Data!$M56,"")</f>
        <v/>
      </c>
      <c r="T24" s="219"/>
      <c r="U24" s="505" t="b">
        <v>0</v>
      </c>
      <c r="V24" s="505"/>
      <c r="W24" s="505"/>
      <c r="X24" s="505" t="str">
        <f t="shared" si="1"/>
        <v/>
      </c>
      <c r="Y24" s="505">
        <v>11</v>
      </c>
      <c r="Z24" s="505" t="s">
        <v>5466</v>
      </c>
      <c r="AA24" s="505"/>
      <c r="AB24" s="505"/>
      <c r="AC24" s="222"/>
    </row>
    <row r="25" spans="1:29" x14ac:dyDescent="0.2">
      <c r="A25" s="215"/>
      <c r="B25" s="238"/>
      <c r="C25" s="247"/>
      <c r="D25" s="240"/>
      <c r="E25" s="213"/>
      <c r="F25" s="264" t="s">
        <v>130</v>
      </c>
      <c r="G25" s="267"/>
      <c r="H25" s="268"/>
      <c r="I25" s="268"/>
      <c r="J25" s="268"/>
      <c r="K25" s="269"/>
      <c r="L25" s="218"/>
      <c r="M25" s="213"/>
      <c r="N25" s="224">
        <v>21</v>
      </c>
      <c r="O25" s="228"/>
      <c r="P25" s="229" t="str">
        <f>IF(Access_Data!$K57=0,"",Access_Data!$K57)</f>
        <v/>
      </c>
      <c r="Q25" s="230"/>
      <c r="R25" s="231" t="str">
        <f>IF(Access_Data!$K57&lt;&gt;0,IF(RIGHT($P25,3)="Low",Access_Data!$L57,IF(RIGHT($P25,4)="High",Access_Data!$J57,"")),"")</f>
        <v/>
      </c>
      <c r="S25" s="232" t="str">
        <f>IF(Access_Data!$M57&lt;&gt;0,Access_Data!$M57,"")</f>
        <v/>
      </c>
      <c r="T25" s="219"/>
      <c r="U25" s="505" t="str">
        <f>IF(U24=TRUE,U23,IF(U30=TRUE,U29,""))</f>
        <v/>
      </c>
      <c r="V25" s="505"/>
      <c r="W25" s="505"/>
      <c r="X25" s="505" t="str">
        <f t="shared" si="1"/>
        <v/>
      </c>
      <c r="Y25" s="505">
        <v>12</v>
      </c>
      <c r="Z25" s="505" t="s">
        <v>5467</v>
      </c>
      <c r="AA25" s="505"/>
      <c r="AB25" s="505"/>
      <c r="AC25" s="222"/>
    </row>
    <row r="26" spans="1:29" x14ac:dyDescent="0.2">
      <c r="A26" s="215"/>
      <c r="B26" s="250"/>
      <c r="C26" s="251" t="s">
        <v>83</v>
      </c>
      <c r="D26" s="454"/>
      <c r="E26" s="271" t="str">
        <f>TEXT(D26,"hh:mm")</f>
        <v>00:00</v>
      </c>
      <c r="F26" s="218"/>
      <c r="G26" s="218"/>
      <c r="H26" s="218"/>
      <c r="I26" s="218"/>
      <c r="J26" s="218"/>
      <c r="K26" s="218"/>
      <c r="L26" s="218"/>
      <c r="M26" s="213"/>
      <c r="N26" s="224">
        <v>22</v>
      </c>
      <c r="O26" s="228"/>
      <c r="P26" s="229" t="str">
        <f>IF(Access_Data!$K58=0,"",Access_Data!$K58)</f>
        <v/>
      </c>
      <c r="Q26" s="233"/>
      <c r="R26" s="231" t="str">
        <f>IF(Access_Data!$K58&lt;&gt;0,IF(RIGHT($P26,3)="Low",Access_Data!$L58,IF(RIGHT($P26,4)="High",Access_Data!$J58,"")),"")</f>
        <v/>
      </c>
      <c r="S26" s="232" t="str">
        <f>IF(Access_Data!$M58&lt;&gt;0,Access_Data!$M58,"")</f>
        <v/>
      </c>
      <c r="T26" s="219"/>
      <c r="U26" s="505"/>
      <c r="V26" s="505"/>
      <c r="W26" s="505"/>
      <c r="X26" s="505" t="str">
        <f t="shared" si="1"/>
        <v/>
      </c>
      <c r="Y26" s="505">
        <v>13</v>
      </c>
      <c r="Z26" s="505" t="s">
        <v>5468</v>
      </c>
      <c r="AA26" s="505"/>
      <c r="AB26" s="505"/>
      <c r="AC26" s="222"/>
    </row>
    <row r="27" spans="1:29" x14ac:dyDescent="0.2">
      <c r="A27" s="215"/>
      <c r="B27" s="272">
        <v>10</v>
      </c>
      <c r="C27" s="221" t="s">
        <v>84</v>
      </c>
      <c r="D27" s="454"/>
      <c r="E27" s="271"/>
      <c r="F27" s="433" t="s">
        <v>2180</v>
      </c>
      <c r="G27" s="431" t="e">
        <f>IF('Header Info'!CB$2="y","Cal by Customer",D$3)</f>
        <v>#N/A</v>
      </c>
      <c r="H27" s="616" t="str">
        <f>IF(ISBLANK(D6),"",IF('Header Info'!CB2="x","CHECK INSTRUMENT CAL DATES!!!!             CHECK INSTRUMENT CAL DATES!!!!",""))</f>
        <v/>
      </c>
      <c r="I27" s="617"/>
      <c r="J27" s="617"/>
      <c r="K27" s="617"/>
      <c r="L27" s="218"/>
      <c r="M27" s="213"/>
      <c r="N27" s="224">
        <v>23</v>
      </c>
      <c r="O27" s="228"/>
      <c r="P27" s="229" t="str">
        <f>IF(Access_Data!$K59=0,"",Access_Data!$K59)</f>
        <v/>
      </c>
      <c r="Q27" s="230"/>
      <c r="R27" s="231" t="str">
        <f>IF(Access_Data!$K59&lt;&gt;0,IF(RIGHT($P27,3)="Low",Access_Data!$L59,IF(RIGHT($P27,4)="High",Access_Data!$J59,"")),"")</f>
        <v/>
      </c>
      <c r="S27" s="232" t="str">
        <f>IF(Access_Data!$M59&lt;&gt;0,Access_Data!$M59,"")</f>
        <v/>
      </c>
      <c r="T27" s="219"/>
      <c r="U27" s="505"/>
      <c r="V27" s="505"/>
      <c r="W27" s="505"/>
      <c r="X27" s="505" t="str">
        <f t="shared" si="1"/>
        <v/>
      </c>
      <c r="Y27" s="505">
        <v>14</v>
      </c>
      <c r="Z27" s="505" t="s">
        <v>5469</v>
      </c>
      <c r="AA27" s="505"/>
      <c r="AB27" s="505"/>
      <c r="AC27" s="222"/>
    </row>
    <row r="28" spans="1:29" x14ac:dyDescent="0.2">
      <c r="A28" s="215"/>
      <c r="B28" s="273">
        <v>30</v>
      </c>
      <c r="C28" s="255" t="s">
        <v>85</v>
      </c>
      <c r="D28" s="454"/>
      <c r="E28" s="271"/>
      <c r="F28" s="433" t="s">
        <v>2181</v>
      </c>
      <c r="G28" s="431" t="e">
        <f>IF('Header Info'!CB$2="y","Cal by Customer",D$3)</f>
        <v>#N/A</v>
      </c>
      <c r="H28" s="616"/>
      <c r="I28" s="617"/>
      <c r="J28" s="617"/>
      <c r="K28" s="617"/>
      <c r="L28" s="218"/>
      <c r="M28" s="213"/>
      <c r="N28" s="224">
        <v>24</v>
      </c>
      <c r="O28" s="228"/>
      <c r="P28" s="229" t="str">
        <f>IF(Access_Data!$K60=0,"",Access_Data!$K60)</f>
        <v/>
      </c>
      <c r="Q28" s="233"/>
      <c r="R28" s="231" t="str">
        <f>IF(Access_Data!$K60&lt;&gt;0,IF(RIGHT($P28,3)="Low",Access_Data!$L60,IF(RIGHT($P28,4)="High",Access_Data!$J60,"")),"")</f>
        <v/>
      </c>
      <c r="S28" s="232" t="str">
        <f>IF(Access_Data!$M60&lt;&gt;0,Access_Data!$M60,"")</f>
        <v/>
      </c>
      <c r="T28" s="219"/>
      <c r="U28" s="505"/>
      <c r="V28" s="505"/>
      <c r="W28" s="505"/>
      <c r="X28" s="505" t="str">
        <f t="shared" si="1"/>
        <v/>
      </c>
      <c r="Y28" s="505"/>
      <c r="Z28" s="505"/>
      <c r="AA28" s="505"/>
      <c r="AB28" s="505"/>
      <c r="AC28" s="222"/>
    </row>
    <row r="29" spans="1:29" x14ac:dyDescent="0.2">
      <c r="A29" s="215"/>
      <c r="B29" s="272">
        <v>40</v>
      </c>
      <c r="C29" s="221" t="s">
        <v>104</v>
      </c>
      <c r="D29" s="274" t="str">
        <f>(IF(OR(D27="",D28=""),"",IF(ISBLANK(D27),"",D28-D27)))</f>
        <v/>
      </c>
      <c r="E29" s="275" t="e">
        <f>IF(D29=0,"&lt;2",ROUND(IF(LEN(D29)&gt;3,D29*1440,TEXT(D29,"hh:mm")),0)) &amp;" MINUTES"</f>
        <v>#VALUE!</v>
      </c>
      <c r="F29" s="382" t="s">
        <v>2182</v>
      </c>
      <c r="G29" s="218"/>
      <c r="H29" s="218"/>
      <c r="I29" s="218"/>
      <c r="J29" s="218"/>
      <c r="K29" s="218"/>
      <c r="L29" s="218"/>
      <c r="M29" s="213"/>
      <c r="N29" s="224">
        <v>25</v>
      </c>
      <c r="O29" s="228"/>
      <c r="P29" s="229" t="str">
        <f>IF(Access_Data!$K61=0,"",Access_Data!$K61)</f>
        <v/>
      </c>
      <c r="Q29" s="230"/>
      <c r="R29" s="231" t="str">
        <f>IF(Access_Data!$K61&lt;&gt;0,IF(RIGHT($P29,3)="Low",Access_Data!$L61,IF(RIGHT($P29,4)="High",Access_Data!$J61,"")),"")</f>
        <v/>
      </c>
      <c r="S29" s="232" t="str">
        <f>IF(Access_Data!$M61&lt;&gt;0,Access_Data!$M61,"")</f>
        <v/>
      </c>
      <c r="T29" s="219"/>
      <c r="U29" s="505" t="str">
        <f>IF(X45=10,Z29,IF(X45=11,Z30,IF(X45=12,Z31,"")))</f>
        <v/>
      </c>
      <c r="V29" s="505"/>
      <c r="W29" s="505"/>
      <c r="X29" s="505" t="str">
        <f t="shared" si="1"/>
        <v/>
      </c>
      <c r="Y29" s="505">
        <v>10</v>
      </c>
      <c r="Z29" s="505" t="s">
        <v>5471</v>
      </c>
      <c r="AA29" s="505"/>
      <c r="AB29" s="505"/>
      <c r="AC29" s="222"/>
    </row>
    <row r="30" spans="1:29" x14ac:dyDescent="0.2">
      <c r="A30" s="215"/>
      <c r="B30" s="506">
        <v>45</v>
      </c>
      <c r="C30" s="255" t="s">
        <v>86</v>
      </c>
      <c r="D30" s="270"/>
      <c r="E30" s="276" t="str">
        <f>IF(ISBLANK(D30),"",HOUR(D30)&amp;":"&amp;MINUTE(D30))</f>
        <v/>
      </c>
      <c r="G30" s="486">
        <f>IF(D29="",0,D29)</f>
        <v>0</v>
      </c>
      <c r="H30" s="485">
        <f>D28-D26</f>
        <v>0</v>
      </c>
      <c r="I30" s="218"/>
      <c r="J30" s="218"/>
      <c r="K30" s="218"/>
      <c r="L30" s="482"/>
      <c r="M30" s="213"/>
      <c r="N30" s="224">
        <v>26</v>
      </c>
      <c r="O30" s="228"/>
      <c r="P30" s="229" t="str">
        <f>IF(Access_Data!$K62=0,"",Access_Data!$K62)</f>
        <v/>
      </c>
      <c r="Q30" s="233"/>
      <c r="R30" s="231" t="str">
        <f>IF(Access_Data!$K62&lt;&gt;0,IF(RIGHT($P30,3)="Low",Access_Data!$L62,IF(RIGHT($P30,4)="High",Access_Data!$J62,"")),"")</f>
        <v/>
      </c>
      <c r="S30" s="232" t="str">
        <f>IF(Access_Data!$M62&lt;&gt;0,Access_Data!$M62,"")</f>
        <v/>
      </c>
      <c r="T30" s="219"/>
      <c r="U30" s="505" t="b">
        <v>0</v>
      </c>
      <c r="V30" s="505"/>
      <c r="W30" s="505"/>
      <c r="X30" s="505" t="str">
        <f t="shared" si="1"/>
        <v/>
      </c>
      <c r="Y30" s="505">
        <v>11</v>
      </c>
      <c r="Z30" s="505" t="s">
        <v>5472</v>
      </c>
      <c r="AA30" s="505"/>
      <c r="AB30" s="505"/>
      <c r="AC30" s="222"/>
    </row>
    <row r="31" spans="1:29" x14ac:dyDescent="0.2">
      <c r="A31" s="215"/>
      <c r="B31" s="220"/>
      <c r="C31" s="221" t="s">
        <v>72</v>
      </c>
      <c r="D31" s="277">
        <f>D30+TIME(0,D32,0)</f>
        <v>2.0833333333333332E-2</v>
      </c>
      <c r="E31" s="213"/>
      <c r="F31" s="481" t="e">
        <f>IF(AND(L31&gt;0,G30&gt;L31),"LAG TIME TOO HIGH!!!","")</f>
        <v>#N/A</v>
      </c>
      <c r="G31" s="218"/>
      <c r="H31" s="484" t="e">
        <f>IF(AND(M31&gt;0,H30&gt;M31),"RECOVERY TIME TOO HIGH!!!!","")</f>
        <v>#N/A</v>
      </c>
      <c r="I31" s="218"/>
      <c r="J31" s="218"/>
      <c r="K31" s="218"/>
      <c r="L31" s="483" t="e">
        <f>'Header Info'!CD2</f>
        <v>#N/A</v>
      </c>
      <c r="M31" s="483" t="e">
        <f>'Header Info'!CE2</f>
        <v>#N/A</v>
      </c>
      <c r="N31" s="224">
        <v>27</v>
      </c>
      <c r="O31" s="228"/>
      <c r="P31" s="229" t="str">
        <f>IF(Access_Data!$K63=0,"",Access_Data!$K63)</f>
        <v/>
      </c>
      <c r="Q31" s="230"/>
      <c r="R31" s="231" t="str">
        <f>IF(Access_Data!$K63&lt;&gt;0,IF(RIGHT($P31,3)="Low",Access_Data!$L63,IF(RIGHT($P31,4)="High",Access_Data!$J63,"")),"")</f>
        <v/>
      </c>
      <c r="S31" s="232" t="str">
        <f>IF(Access_Data!$M63&lt;&gt;0,Access_Data!$M63,"")</f>
        <v/>
      </c>
      <c r="T31" s="219"/>
      <c r="U31" s="505"/>
      <c r="V31" s="505"/>
      <c r="W31" s="505"/>
      <c r="X31" s="505" t="str">
        <f t="shared" si="1"/>
        <v/>
      </c>
      <c r="Y31" s="505">
        <v>12</v>
      </c>
      <c r="Z31" s="505" t="s">
        <v>5473</v>
      </c>
      <c r="AA31" s="505"/>
      <c r="AB31" s="505"/>
      <c r="AC31" s="222"/>
    </row>
    <row r="32" spans="1:29" x14ac:dyDescent="0.2">
      <c r="A32" s="262"/>
      <c r="B32" s="278"/>
      <c r="C32" s="279" t="s">
        <v>112</v>
      </c>
      <c r="D32" s="256">
        <v>30</v>
      </c>
      <c r="E32" s="213"/>
      <c r="F32" s="218" t="str">
        <f ca="1">IF(OR(Comparison_Report!R1=1,Comparison_Report!R2=1,Comparison_Report!R3=1,Comparison_Report!R4=1,Comparison_Report!R5=1,Comparison_Report!R6=1,Comparison_Report!R7=1,Comparison_Report!R8=1),"CHECK COMPARISON REPORT!!!","")</f>
        <v/>
      </c>
      <c r="G32" s="218"/>
      <c r="H32" s="218"/>
      <c r="I32" s="218"/>
      <c r="J32" s="218"/>
      <c r="K32" s="218"/>
      <c r="L32" s="218"/>
      <c r="M32" s="213"/>
      <c r="N32" s="224">
        <v>28</v>
      </c>
      <c r="O32" s="228"/>
      <c r="P32" s="229" t="str">
        <f>IF(Access_Data!$K64=0,"",Access_Data!$K64)</f>
        <v/>
      </c>
      <c r="Q32" s="233"/>
      <c r="R32" s="231" t="str">
        <f>IF(Access_Data!$K64&lt;&gt;0,IF(RIGHT($P32,3)="Low",Access_Data!$L64,IF(RIGHT($P32,4)="High",Access_Data!$J64,"")),"")</f>
        <v/>
      </c>
      <c r="S32" s="232" t="str">
        <f>IF(Access_Data!$M64&lt;&gt;0,Access_Data!$M64,"")</f>
        <v/>
      </c>
      <c r="T32" s="219"/>
      <c r="U32" s="505"/>
      <c r="V32" s="505"/>
      <c r="W32" s="505"/>
      <c r="X32" s="505" t="str">
        <f t="shared" si="1"/>
        <v/>
      </c>
      <c r="Y32" s="505"/>
      <c r="Z32" s="505"/>
      <c r="AA32" s="505"/>
      <c r="AB32" s="505"/>
      <c r="AC32" s="222"/>
    </row>
    <row r="33" spans="1:29" x14ac:dyDescent="0.2">
      <c r="A33" s="215"/>
      <c r="B33" s="238"/>
      <c r="C33" s="280"/>
      <c r="D33" s="281"/>
      <c r="E33" s="281"/>
      <c r="F33" s="218"/>
      <c r="G33" s="218"/>
      <c r="H33" s="218"/>
      <c r="I33" s="218"/>
      <c r="J33" s="218"/>
      <c r="K33" s="218"/>
      <c r="L33" s="218"/>
      <c r="M33" s="213"/>
      <c r="N33" s="224">
        <v>29</v>
      </c>
      <c r="O33" s="228"/>
      <c r="P33" s="229" t="str">
        <f>IF(Access_Data!$K65=0,"",Access_Data!$K65)</f>
        <v/>
      </c>
      <c r="Q33" s="230"/>
      <c r="R33" s="231" t="str">
        <f>IF(Access_Data!$K65&lt;&gt;0,IF(RIGHT($P33,3)="Low",Access_Data!$L65,IF(RIGHT($P33,4)="High",Access_Data!$J65,"")),"")</f>
        <v/>
      </c>
      <c r="S33" s="232" t="str">
        <f>IF(Access_Data!$M65&lt;&gt;0,Access_Data!$M65,"")</f>
        <v/>
      </c>
      <c r="T33" s="219"/>
      <c r="U33" s="505"/>
      <c r="V33" s="505"/>
      <c r="W33" s="505"/>
      <c r="X33" s="505" t="str">
        <f t="shared" si="1"/>
        <v/>
      </c>
      <c r="Y33" s="505"/>
      <c r="Z33" s="505"/>
      <c r="AA33" s="505"/>
      <c r="AB33" s="505"/>
      <c r="AC33" s="222"/>
    </row>
    <row r="34" spans="1:29" ht="12.75" customHeight="1" x14ac:dyDescent="0.2">
      <c r="A34" s="215"/>
      <c r="B34" s="582" t="s">
        <v>65</v>
      </c>
      <c r="C34" s="583"/>
      <c r="D34" s="583"/>
      <c r="E34" s="583"/>
      <c r="F34" s="583"/>
      <c r="G34" s="583"/>
      <c r="H34" s="583"/>
      <c r="I34" s="583"/>
      <c r="J34" s="583"/>
      <c r="K34" s="583"/>
      <c r="L34" s="584"/>
      <c r="M34" s="213"/>
      <c r="N34" s="224">
        <v>30</v>
      </c>
      <c r="O34" s="228"/>
      <c r="P34" s="229" t="str">
        <f>IF(Access_Data!$K66=0,"",Access_Data!$K66)</f>
        <v/>
      </c>
      <c r="Q34" s="233"/>
      <c r="R34" s="231" t="str">
        <f>IF(Access_Data!$K66&lt;&gt;0,IF(RIGHT($P34,3)="Low",Access_Data!$L66,IF(RIGHT($P34,4)="High",Access_Data!$J66,"")),"")</f>
        <v/>
      </c>
      <c r="S34" s="232" t="str">
        <f>IF(Access_Data!$M66&lt;&gt;0,Access_Data!$M66,"")</f>
        <v/>
      </c>
      <c r="T34" s="222"/>
      <c r="U34" s="505"/>
      <c r="V34" s="505"/>
      <c r="W34" s="505"/>
      <c r="X34" s="505" t="str">
        <f t="shared" si="1"/>
        <v/>
      </c>
      <c r="Y34" s="505"/>
      <c r="Z34" s="505"/>
      <c r="AA34" s="505"/>
      <c r="AB34" s="505"/>
      <c r="AC34" s="222"/>
    </row>
    <row r="35" spans="1:29" ht="12.75" customHeight="1" x14ac:dyDescent="0.2">
      <c r="A35" s="215"/>
      <c r="B35" s="282"/>
      <c r="C35" s="283"/>
      <c r="D35" s="284" t="str">
        <f>IF(ISBLANK(D30),"",D30)</f>
        <v/>
      </c>
      <c r="E35" s="285" t="str">
        <f>IF(ISBLANK($D$30),"",IF($D$18=4,D35+TIME(0,4,0),D35+TIME(0,10,0)))</f>
        <v/>
      </c>
      <c r="F35" s="285" t="str">
        <f>IF(ISBLANK(D30),"",IF($D$18=4,E35+TIME(0,4,0),E35+TIME(0,10,0)))</f>
        <v/>
      </c>
      <c r="G35" s="285" t="str">
        <f>IF(ISBLANK(D30),"",IF($D$18=4,F35+TIME(0,4,0),F35+TIME(0,10,0)))</f>
        <v/>
      </c>
      <c r="H35" s="285" t="str">
        <f>IF(ISBLANK(D30),"",IF($D$18=4,G35+TIME(0,4,0),""))</f>
        <v/>
      </c>
      <c r="I35" s="285" t="str">
        <f>IF(ISBLANK(D30),"",IF($D$18=4,H35+TIME(0,4,0),""))</f>
        <v/>
      </c>
      <c r="J35" s="285" t="str">
        <f>IF(ISBLANK(D30),"",IF($D$18=4,I35+TIME(0,4,0),""))</f>
        <v/>
      </c>
      <c r="K35" s="285" t="str">
        <f>IF(ISBLANK(D30),"",IF($D$18=4,J35+TIME(0,4,0),""))</f>
        <v/>
      </c>
      <c r="L35" s="285" t="str">
        <f>IF(ISBLANK(D30),"",IF($D$18=4,K35+TIME(0,2,0),""))</f>
        <v/>
      </c>
      <c r="M35" s="213"/>
      <c r="N35" s="224">
        <v>31</v>
      </c>
      <c r="O35" s="228"/>
      <c r="P35" s="229" t="str">
        <f>IF(Access_Data!$K67=0,"",Access_Data!$K67)</f>
        <v/>
      </c>
      <c r="Q35" s="230"/>
      <c r="R35" s="231" t="str">
        <f>IF(Access_Data!$K67&lt;&gt;0,IF(RIGHT($P35,3)="Low",Access_Data!$L67,IF(RIGHT($P35,4)="High",Access_Data!$J67,"")),"")</f>
        <v/>
      </c>
      <c r="S35" s="232" t="str">
        <f>IF(Access_Data!$M67&lt;&gt;0,Access_Data!$M67,"")</f>
        <v/>
      </c>
      <c r="T35" s="222"/>
      <c r="U35" s="505"/>
      <c r="V35" s="505"/>
      <c r="W35" s="505"/>
      <c r="X35" s="505" t="str">
        <f t="shared" si="1"/>
        <v/>
      </c>
      <c r="Y35" s="505"/>
      <c r="Z35" s="505"/>
      <c r="AA35" s="505"/>
      <c r="AB35" s="505"/>
      <c r="AC35" s="222"/>
    </row>
    <row r="36" spans="1:29" ht="13.5" thickBot="1" x14ac:dyDescent="0.25">
      <c r="A36" s="286"/>
      <c r="B36" s="287" t="s">
        <v>24</v>
      </c>
      <c r="C36" s="288" t="s">
        <v>63</v>
      </c>
      <c r="D36" s="289" t="s">
        <v>58</v>
      </c>
      <c r="E36" s="289" t="s">
        <v>59</v>
      </c>
      <c r="F36" s="289" t="s">
        <v>60</v>
      </c>
      <c r="G36" s="289" t="s">
        <v>61</v>
      </c>
      <c r="H36" s="289" t="str">
        <f>IF(D18=4,"Reading 5","")</f>
        <v/>
      </c>
      <c r="I36" s="289" t="str">
        <f>IF(D18=4,"Reading 6","")</f>
        <v/>
      </c>
      <c r="J36" s="289" t="str">
        <f>IF(D18=4,"Reading 7","")</f>
        <v/>
      </c>
      <c r="K36" s="289" t="str">
        <f>IF(D18=4,"Reading 8","")</f>
        <v/>
      </c>
      <c r="L36" s="289" t="str">
        <f>IF(D18=4,"Reading 9","")</f>
        <v/>
      </c>
      <c r="M36" s="213"/>
      <c r="N36" s="224">
        <v>32</v>
      </c>
      <c r="O36" s="228"/>
      <c r="P36" s="229" t="str">
        <f>IF(Access_Data!$K68=0,"",Access_Data!$K68)</f>
        <v/>
      </c>
      <c r="Q36" s="233"/>
      <c r="R36" s="231" t="str">
        <f>IF(Access_Data!$K68&lt;&gt;0,IF(RIGHT($P36,3)="Low",Access_Data!$L68,IF(RIGHT($P36,4)="High",Access_Data!$J68,"")),"")</f>
        <v/>
      </c>
      <c r="S36" s="232" t="str">
        <f>IF(Access_Data!$M68&lt;&gt;0,Access_Data!$M68,"")</f>
        <v/>
      </c>
      <c r="T36" s="222"/>
      <c r="U36" s="505"/>
      <c r="V36" s="505"/>
      <c r="W36" s="505"/>
      <c r="X36" s="505" t="str">
        <f t="shared" si="1"/>
        <v/>
      </c>
      <c r="Y36" s="505"/>
      <c r="Z36" s="505"/>
      <c r="AA36" s="505"/>
      <c r="AB36" s="505"/>
      <c r="AC36" s="222"/>
    </row>
    <row r="37" spans="1:29" x14ac:dyDescent="0.2">
      <c r="A37" s="215"/>
      <c r="B37" s="378"/>
      <c r="C37" s="359"/>
      <c r="D37" s="379"/>
      <c r="E37" s="379"/>
      <c r="F37" s="379"/>
      <c r="G37" s="379"/>
      <c r="H37" s="379"/>
      <c r="I37" s="290"/>
      <c r="J37" s="290"/>
      <c r="K37" s="290"/>
      <c r="L37" s="290"/>
      <c r="M37" s="213"/>
      <c r="N37" s="224">
        <v>33</v>
      </c>
      <c r="O37" s="228"/>
      <c r="P37" s="229" t="str">
        <f>IF(Access_Data!$K69=0,"",Access_Data!$K69)</f>
        <v/>
      </c>
      <c r="Q37" s="230"/>
      <c r="R37" s="231" t="str">
        <f>IF(Access_Data!$K69&lt;&gt;0,IF(RIGHT($P37,3)="Low",Access_Data!$L69,IF(RIGHT($P37,4)="High",Access_Data!$J69,"")),"")</f>
        <v/>
      </c>
      <c r="S37" s="232" t="str">
        <f>IF(Access_Data!$M69&lt;&gt;0,Access_Data!$M69,"")</f>
        <v/>
      </c>
      <c r="T37" s="222"/>
      <c r="U37" s="505"/>
      <c r="V37" s="505"/>
      <c r="W37" s="505"/>
      <c r="X37" s="505" t="str">
        <f t="shared" si="1"/>
        <v/>
      </c>
      <c r="Y37" s="505"/>
      <c r="Z37" s="505"/>
      <c r="AA37" s="505"/>
      <c r="AB37" s="505"/>
      <c r="AC37" s="222"/>
    </row>
    <row r="38" spans="1:29" x14ac:dyDescent="0.2">
      <c r="A38" s="215"/>
      <c r="B38" s="380"/>
      <c r="C38" s="360"/>
      <c r="D38" s="379"/>
      <c r="E38" s="379"/>
      <c r="F38" s="379"/>
      <c r="G38" s="379"/>
      <c r="H38" s="379"/>
      <c r="I38" s="290"/>
      <c r="J38" s="290"/>
      <c r="K38" s="290"/>
      <c r="L38" s="290"/>
      <c r="M38" s="213"/>
      <c r="N38" s="224">
        <v>34</v>
      </c>
      <c r="O38" s="228"/>
      <c r="P38" s="229" t="str">
        <f>IF(Access_Data!$K70=0,"",Access_Data!$K70)</f>
        <v/>
      </c>
      <c r="Q38" s="233"/>
      <c r="R38" s="231" t="str">
        <f>IF(Access_Data!$K70&lt;&gt;0,IF(RIGHT($P38,3)="Low",Access_Data!$L70,IF(RIGHT($P38,4)="High",Access_Data!$J70,"")),"")</f>
        <v/>
      </c>
      <c r="S38" s="232" t="str">
        <f>IF(Access_Data!$M70&lt;&gt;0,Access_Data!$M70,"")</f>
        <v/>
      </c>
      <c r="T38" s="222"/>
      <c r="U38" s="505"/>
      <c r="V38" s="505"/>
      <c r="W38" s="505"/>
      <c r="X38" s="505" t="str">
        <f t="shared" si="1"/>
        <v/>
      </c>
      <c r="Y38" s="505"/>
      <c r="Z38" s="505"/>
      <c r="AA38" s="505"/>
      <c r="AB38" s="505"/>
      <c r="AC38" s="222"/>
    </row>
    <row r="39" spans="1:29" x14ac:dyDescent="0.2">
      <c r="A39" s="215"/>
      <c r="B39" s="380"/>
      <c r="C39" s="360"/>
      <c r="D39" s="379"/>
      <c r="E39" s="379"/>
      <c r="F39" s="379"/>
      <c r="G39" s="379"/>
      <c r="H39" s="290"/>
      <c r="I39" s="290"/>
      <c r="J39" s="290"/>
      <c r="K39" s="290"/>
      <c r="L39" s="290"/>
      <c r="M39" s="213"/>
      <c r="N39" s="224">
        <v>35</v>
      </c>
      <c r="O39" s="228"/>
      <c r="P39" s="229" t="str">
        <f>IF(Access_Data!$K71=0,"",Access_Data!$K71)</f>
        <v/>
      </c>
      <c r="Q39" s="230"/>
      <c r="R39" s="231" t="str">
        <f>IF(Access_Data!$K71&lt;&gt;0,IF(RIGHT($P39,3)="Low",Access_Data!$L71,IF(RIGHT($P39,4)="High",Access_Data!$J71,"")),"")</f>
        <v/>
      </c>
      <c r="S39" s="232" t="str">
        <f>IF(Access_Data!$M71&lt;&gt;0,Access_Data!$M71,"")</f>
        <v/>
      </c>
      <c r="T39" s="222"/>
      <c r="U39" s="505"/>
      <c r="V39" s="505"/>
      <c r="W39" s="505"/>
      <c r="X39" s="505" t="str">
        <f t="shared" si="1"/>
        <v/>
      </c>
      <c r="Y39" s="505"/>
      <c r="Z39" s="505"/>
      <c r="AA39" s="505"/>
      <c r="AB39" s="505"/>
      <c r="AC39" s="222"/>
    </row>
    <row r="40" spans="1:29" x14ac:dyDescent="0.2">
      <c r="A40" s="215"/>
      <c r="B40" s="380"/>
      <c r="C40" s="360"/>
      <c r="D40" s="379"/>
      <c r="E40" s="379"/>
      <c r="F40" s="379"/>
      <c r="G40" s="379"/>
      <c r="H40" s="290"/>
      <c r="I40" s="290"/>
      <c r="J40" s="290"/>
      <c r="K40" s="290"/>
      <c r="L40" s="290"/>
      <c r="M40" s="213"/>
      <c r="N40" s="224">
        <v>36</v>
      </c>
      <c r="O40" s="228"/>
      <c r="P40" s="229" t="str">
        <f>IF(Access_Data!$K72=0,"",Access_Data!$K72)</f>
        <v/>
      </c>
      <c r="Q40" s="233"/>
      <c r="R40" s="231" t="str">
        <f>IF(Access_Data!$K72&lt;&gt;0,IF(RIGHT($P40,3)="Low",Access_Data!$L72,IF(RIGHT($P40,4)="High",Access_Data!$J72,"")),"")</f>
        <v/>
      </c>
      <c r="S40" s="232" t="str">
        <f>IF(Access_Data!$M72&lt;&gt;0,Access_Data!$M72,"")</f>
        <v/>
      </c>
      <c r="T40" s="222"/>
      <c r="U40" s="505"/>
      <c r="V40" s="505"/>
      <c r="W40" s="505"/>
      <c r="X40" s="505" t="str">
        <f t="shared" si="1"/>
        <v/>
      </c>
      <c r="Y40" s="505"/>
      <c r="Z40" s="505"/>
      <c r="AA40" s="505"/>
      <c r="AB40" s="505"/>
      <c r="AC40" s="222"/>
    </row>
    <row r="41" spans="1:29" x14ac:dyDescent="0.2">
      <c r="A41" s="215"/>
      <c r="B41" s="291"/>
      <c r="C41" s="292"/>
      <c r="D41" s="293"/>
      <c r="E41" s="293"/>
      <c r="F41" s="293"/>
      <c r="G41" s="293"/>
      <c r="H41" s="293"/>
      <c r="I41" s="293"/>
      <c r="J41" s="293"/>
      <c r="K41" s="293"/>
      <c r="L41" s="293"/>
      <c r="M41" s="213"/>
      <c r="N41" s="224">
        <v>37</v>
      </c>
      <c r="O41" s="228"/>
      <c r="P41" s="229" t="str">
        <f>IF(Access_Data!$K73=0,"",Access_Data!$K73)</f>
        <v/>
      </c>
      <c r="Q41" s="230"/>
      <c r="R41" s="231" t="str">
        <f>IF(Access_Data!$K73&lt;&gt;0,IF(RIGHT($P41,3)="Low",Access_Data!$L73,IF(RIGHT($P41,4)="High",Access_Data!$J73,"")),"")</f>
        <v/>
      </c>
      <c r="S41" s="232" t="str">
        <f>IF(Access_Data!$M73&lt;&gt;0,Access_Data!$M73,"")</f>
        <v/>
      </c>
      <c r="T41" s="222"/>
      <c r="U41" s="505"/>
      <c r="V41" s="505"/>
      <c r="W41" s="505"/>
      <c r="X41" s="505" t="str">
        <f t="shared" si="1"/>
        <v/>
      </c>
      <c r="Y41" s="505"/>
      <c r="Z41" s="505"/>
      <c r="AA41" s="505"/>
      <c r="AB41" s="505"/>
      <c r="AC41" s="222"/>
    </row>
    <row r="42" spans="1:29" x14ac:dyDescent="0.2">
      <c r="A42" s="215"/>
      <c r="B42" s="291"/>
      <c r="C42" s="292"/>
      <c r="D42" s="293"/>
      <c r="E42" s="293"/>
      <c r="F42" s="293"/>
      <c r="G42" s="293"/>
      <c r="H42" s="293"/>
      <c r="I42" s="293"/>
      <c r="J42" s="293"/>
      <c r="K42" s="293"/>
      <c r="L42" s="293"/>
      <c r="M42" s="213"/>
      <c r="N42" s="224">
        <v>38</v>
      </c>
      <c r="O42" s="228"/>
      <c r="P42" s="229" t="str">
        <f>IF(Access_Data!$K74=0,"",Access_Data!$K74)</f>
        <v/>
      </c>
      <c r="Q42" s="233"/>
      <c r="R42" s="231" t="str">
        <f>IF(Access_Data!$K74&lt;&gt;0,IF(RIGHT($P42,3)="Low",Access_Data!$L74,IF(RIGHT($P42,4)="High",Access_Data!$J74,"")),"")</f>
        <v/>
      </c>
      <c r="S42" s="232" t="str">
        <f>IF(Access_Data!$M74&lt;&gt;0,Access_Data!$M74,"")</f>
        <v/>
      </c>
      <c r="T42" s="222"/>
      <c r="U42" s="505"/>
      <c r="V42" s="505"/>
      <c r="W42" s="505"/>
      <c r="X42" s="505" t="str">
        <f t="shared" si="1"/>
        <v/>
      </c>
      <c r="Y42" s="505"/>
      <c r="Z42" s="505"/>
      <c r="AA42" s="505"/>
      <c r="AB42" s="505"/>
      <c r="AC42" s="222"/>
    </row>
    <row r="43" spans="1:29" x14ac:dyDescent="0.2">
      <c r="A43" s="215"/>
      <c r="B43" s="291"/>
      <c r="C43" s="292"/>
      <c r="D43" s="293"/>
      <c r="E43" s="293"/>
      <c r="F43" s="293"/>
      <c r="G43" s="293"/>
      <c r="H43" s="293"/>
      <c r="I43" s="293"/>
      <c r="J43" s="293"/>
      <c r="K43" s="293"/>
      <c r="L43" s="293"/>
      <c r="M43" s="213"/>
      <c r="N43" s="224">
        <v>39</v>
      </c>
      <c r="O43" s="228"/>
      <c r="P43" s="229" t="str">
        <f>IF(Access_Data!$K75=0,"",Access_Data!$K75)</f>
        <v/>
      </c>
      <c r="Q43" s="230"/>
      <c r="R43" s="231" t="str">
        <f>IF(Access_Data!$K75&lt;&gt;0,IF(RIGHT($P43,3)="Low",Access_Data!$L75,IF(RIGHT($P43,4)="High",Access_Data!$J75,"")),"")</f>
        <v/>
      </c>
      <c r="S43" s="232" t="str">
        <f>IF(Access_Data!$M75&lt;&gt;0,Access_Data!$M75,"")</f>
        <v/>
      </c>
      <c r="T43" s="222"/>
      <c r="U43" s="505"/>
      <c r="V43" s="505"/>
      <c r="W43" s="505"/>
      <c r="X43" s="505" t="str">
        <f t="shared" si="1"/>
        <v/>
      </c>
      <c r="Y43" s="505"/>
      <c r="Z43" s="505"/>
      <c r="AA43" s="505"/>
      <c r="AB43" s="505"/>
      <c r="AC43" s="222"/>
    </row>
    <row r="44" spans="1:29" x14ac:dyDescent="0.2">
      <c r="A44" s="215"/>
      <c r="B44" s="291"/>
      <c r="C44" s="292"/>
      <c r="D44" s="293"/>
      <c r="E44" s="293"/>
      <c r="F44" s="293"/>
      <c r="G44" s="293"/>
      <c r="H44" s="293"/>
      <c r="I44" s="293"/>
      <c r="J44" s="293"/>
      <c r="K44" s="293"/>
      <c r="L44" s="293"/>
      <c r="M44" s="213"/>
      <c r="N44" s="224">
        <v>40</v>
      </c>
      <c r="O44" s="228"/>
      <c r="P44" s="229" t="str">
        <f>IF(Access_Data!$K76=0,"",Access_Data!$K76)</f>
        <v/>
      </c>
      <c r="Q44" s="233"/>
      <c r="R44" s="231" t="str">
        <f>IF(Access_Data!$K76&lt;&gt;0,IF(RIGHT($P44,3)="Low",Access_Data!$L76,IF(RIGHT($P44,4)="High",Access_Data!$J76,"")),"")</f>
        <v/>
      </c>
      <c r="S44" s="232" t="str">
        <f>IF(Access_Data!$M76&lt;&gt;0,Access_Data!$M76,"")</f>
        <v/>
      </c>
      <c r="T44" s="222"/>
      <c r="U44" s="505"/>
      <c r="V44" s="505"/>
      <c r="W44" s="505"/>
      <c r="X44" s="505" t="str">
        <f t="shared" si="1"/>
        <v/>
      </c>
      <c r="Y44" s="505"/>
      <c r="Z44" s="505"/>
      <c r="AA44" s="505"/>
      <c r="AB44" s="505"/>
      <c r="AC44" s="222"/>
    </row>
    <row r="45" spans="1:29" x14ac:dyDescent="0.2">
      <c r="A45" s="215"/>
      <c r="B45" s="294"/>
      <c r="C45" s="295"/>
      <c r="D45" s="213"/>
      <c r="E45" s="213"/>
      <c r="F45" s="213"/>
      <c r="G45" s="213"/>
      <c r="H45" s="213"/>
      <c r="I45" s="213"/>
      <c r="J45" s="213"/>
      <c r="K45" s="351"/>
      <c r="L45" s="213"/>
      <c r="M45" s="213"/>
      <c r="N45" s="271"/>
      <c r="O45" s="271"/>
      <c r="P45" s="271"/>
      <c r="Q45" s="271"/>
      <c r="R45" s="222"/>
      <c r="S45" s="222"/>
      <c r="T45" s="222"/>
      <c r="U45" s="505"/>
      <c r="V45" s="505"/>
      <c r="W45" s="505"/>
      <c r="X45" s="505">
        <f>SUM(X5:X44)</f>
        <v>0</v>
      </c>
      <c r="Y45" s="505"/>
      <c r="Z45" s="505"/>
      <c r="AA45" s="505"/>
      <c r="AB45" s="505"/>
      <c r="AC45" s="222"/>
    </row>
    <row r="46" spans="1:29" x14ac:dyDescent="0.2">
      <c r="A46" s="239"/>
      <c r="B46" s="296"/>
      <c r="C46" s="297"/>
      <c r="D46" s="607" t="s">
        <v>48</v>
      </c>
      <c r="E46" s="608"/>
      <c r="F46" s="608"/>
      <c r="G46" s="608"/>
      <c r="H46" s="608"/>
      <c r="I46" s="609"/>
      <c r="J46" s="434"/>
      <c r="K46" s="434"/>
      <c r="L46" s="434"/>
      <c r="M46" s="561" t="s">
        <v>3905</v>
      </c>
      <c r="N46" s="562"/>
      <c r="O46" s="563"/>
      <c r="P46" s="564"/>
      <c r="Q46" s="382"/>
      <c r="R46" s="382"/>
      <c r="S46" s="435"/>
      <c r="T46" s="435"/>
      <c r="U46" s="435"/>
    </row>
    <row r="47" spans="1:29" x14ac:dyDescent="0.2">
      <c r="A47" s="239"/>
      <c r="B47" s="296"/>
      <c r="C47" s="442" t="s">
        <v>82</v>
      </c>
      <c r="D47" s="361"/>
      <c r="E47" s="361"/>
      <c r="F47" s="361"/>
      <c r="G47" s="361"/>
      <c r="H47" s="361"/>
      <c r="I47" s="361"/>
      <c r="J47" s="434" t="str">
        <f>IF(ISBLANK(D$47),"",VLOOKUP($D$47,Standards_Info!$G$2:$H$4,2))</f>
        <v/>
      </c>
      <c r="K47" s="434" t="str">
        <f ca="1">IF(ISBLANK(Main!D48),"",INDEX(OFFSET(Furnace_Data!$V:$V,,-5),MATCH(Main!D48,Furnace_Data!$V:$V,0)))</f>
        <v/>
      </c>
      <c r="L47" s="434"/>
      <c r="M47" s="437" t="s">
        <v>3906</v>
      </c>
      <c r="N47" s="459" t="s">
        <v>3907</v>
      </c>
      <c r="O47" s="460"/>
      <c r="P47" s="614" t="s">
        <v>3908</v>
      </c>
      <c r="Q47" s="614"/>
      <c r="R47" s="439" t="s">
        <v>3909</v>
      </c>
      <c r="S47" s="435"/>
      <c r="T47" s="435"/>
      <c r="U47" s="435"/>
    </row>
    <row r="48" spans="1:29" x14ac:dyDescent="0.2">
      <c r="A48" s="215"/>
      <c r="B48" s="296"/>
      <c r="C48" s="442" t="s">
        <v>49</v>
      </c>
      <c r="D48" s="362"/>
      <c r="E48" s="362"/>
      <c r="F48" s="362"/>
      <c r="G48" s="362"/>
      <c r="H48" s="362"/>
      <c r="I48" s="362"/>
      <c r="J48" s="434" t="str">
        <f>IF(ISBLANK(Main!E$47),"",VLOOKUP($D$47,Standards_Info!$G$2:$H$4,2))</f>
        <v/>
      </c>
      <c r="K48" s="434" t="str">
        <f ca="1">IF(ISBLANK(Main!E48),"",INDEX(OFFSET(Furnace_Data!$V:$V,,-5),MATCH(Main!E48,Furnace_Data!$V:$V,0)))</f>
        <v/>
      </c>
      <c r="L48" s="434"/>
      <c r="M48" s="615" t="s">
        <v>3910</v>
      </c>
      <c r="N48" s="615"/>
      <c r="O48" s="461"/>
      <c r="P48" s="577" t="s">
        <v>5711</v>
      </c>
      <c r="Q48" s="578"/>
      <c r="R48" s="579"/>
      <c r="S48" s="511"/>
      <c r="T48" s="515"/>
      <c r="U48" s="577" t="s">
        <v>5714</v>
      </c>
      <c r="V48" s="578"/>
      <c r="W48" s="579"/>
    </row>
    <row r="49" spans="1:24" x14ac:dyDescent="0.2">
      <c r="A49" s="215"/>
      <c r="B49" s="298"/>
      <c r="C49" s="442" t="s">
        <v>50</v>
      </c>
      <c r="D49" s="381"/>
      <c r="E49" s="381"/>
      <c r="F49" s="381"/>
      <c r="G49" s="381"/>
      <c r="H49" s="381"/>
      <c r="I49" s="381"/>
      <c r="J49" s="434" t="str">
        <f>IF(ISBLANK(Main!F$47),"",VLOOKUP($D$47,Standards_Info!$G$2:$H$4,2))</f>
        <v/>
      </c>
      <c r="K49" s="434" t="str">
        <f ca="1">IF(ISBLANK(Main!F48),"",INDEX(OFFSET(Furnace_Data!$V:$V,,-5),MATCH(Main!F48,Furnace_Data!$V:$V,0)))</f>
        <v/>
      </c>
      <c r="L49" s="434"/>
      <c r="M49" s="437" t="s">
        <v>3911</v>
      </c>
      <c r="N49" s="440" t="e">
        <f>IF('Header Info'!BV2="","",'Header Info'!BV2)</f>
        <v>#N/A</v>
      </c>
      <c r="O49" s="353"/>
      <c r="P49" s="565" t="s">
        <v>5716</v>
      </c>
      <c r="Q49" s="566"/>
      <c r="R49" s="567"/>
      <c r="S49" s="535"/>
      <c r="T49" s="517"/>
      <c r="U49" s="565" t="s">
        <v>5715</v>
      </c>
      <c r="V49" s="566"/>
      <c r="W49" s="567"/>
      <c r="X49" s="462"/>
    </row>
    <row r="50" spans="1:24" x14ac:dyDescent="0.2">
      <c r="A50" s="215"/>
      <c r="B50" s="299"/>
      <c r="C50" s="442" t="s">
        <v>51</v>
      </c>
      <c r="D50" s="381"/>
      <c r="E50" s="381"/>
      <c r="F50" s="381"/>
      <c r="G50" s="381"/>
      <c r="H50" s="381"/>
      <c r="I50" s="381"/>
      <c r="J50" s="434" t="str">
        <f>IF(ISBLANK(Main!G$47),"",VLOOKUP($D$47,Standards_Info!$G$2:$H$4,2))</f>
        <v/>
      </c>
      <c r="K50" s="434" t="str">
        <f ca="1">IF(ISBLANK(Main!G48),"",INDEX(OFFSET(Furnace_Data!$V:$V,,-5),MATCH(Main!G48,Furnace_Data!$V:$V,0)))</f>
        <v/>
      </c>
      <c r="L50" s="434"/>
      <c r="M50" s="437" t="s">
        <v>3912</v>
      </c>
      <c r="N50" s="440" t="e">
        <f>IF('Header Info'!BW2="","",'Header Info'!BW2)</f>
        <v>#N/A</v>
      </c>
      <c r="O50" s="353"/>
      <c r="P50" s="568" t="s">
        <v>3913</v>
      </c>
      <c r="Q50" s="569"/>
      <c r="R50" s="570"/>
      <c r="S50" s="514"/>
      <c r="T50" s="518"/>
      <c r="U50" s="568" t="s">
        <v>3913</v>
      </c>
      <c r="V50" s="569"/>
      <c r="W50" s="570"/>
      <c r="X50" s="435"/>
    </row>
    <row r="51" spans="1:24" x14ac:dyDescent="0.2">
      <c r="A51" s="215"/>
      <c r="B51" s="300"/>
      <c r="C51" s="442" t="s">
        <v>80</v>
      </c>
      <c r="D51" s="362"/>
      <c r="E51" s="362"/>
      <c r="F51" s="362"/>
      <c r="G51" s="362"/>
      <c r="H51" s="362"/>
      <c r="I51" s="362"/>
      <c r="J51" s="434" t="str">
        <f>IF(ISBLANK(Main!H$47),"",VLOOKUP($D$47,Standards_Info!$G$2:$H$4,2))</f>
        <v/>
      </c>
      <c r="K51" s="503" t="str">
        <f ca="1">IF(ISBLANK(Main!H48),"",INDEX(OFFSET(Furnace_Data!$V:$V,,-5),MATCH(Main!H48,Furnace_Data!$V:$V,0)))</f>
        <v/>
      </c>
      <c r="L51" s="434"/>
      <c r="M51" s="441" t="s">
        <v>3914</v>
      </c>
      <c r="N51" s="440" t="e">
        <f>IF('Header Info'!BX2="","",'Header Info'!BX2)</f>
        <v>#N/A</v>
      </c>
      <c r="P51" s="565" t="s">
        <v>5712</v>
      </c>
      <c r="Q51" s="566"/>
      <c r="R51" s="567"/>
      <c r="S51" s="535"/>
      <c r="T51" s="520"/>
      <c r="U51" s="565" t="s">
        <v>5717</v>
      </c>
      <c r="V51" s="566"/>
      <c r="W51" s="567"/>
      <c r="X51" s="462"/>
    </row>
    <row r="52" spans="1:24" x14ac:dyDescent="0.2">
      <c r="A52" s="215"/>
      <c r="B52" s="296"/>
      <c r="C52" s="442" t="s">
        <v>3920</v>
      </c>
      <c r="D52" s="362"/>
      <c r="E52" s="362"/>
      <c r="F52" s="362"/>
      <c r="G52" s="362"/>
      <c r="H52" s="362"/>
      <c r="I52" s="362"/>
      <c r="J52" s="434" t="str">
        <f>IF(ISBLANK(I$47),"",VLOOKUP($D$47,Standards_Info!$G$2:$H$4,2))</f>
        <v/>
      </c>
      <c r="K52" s="503" t="str">
        <f ca="1">IF(ISBLANK(Main!I48),"",INDEX(OFFSET(Furnace_Data!$V:$V,,-5),MATCH(Main!I48,Furnace_Data!$V:$V,0)))</f>
        <v/>
      </c>
      <c r="L52" s="434"/>
      <c r="M52" s="441" t="s">
        <v>3915</v>
      </c>
      <c r="N52" s="440" t="e">
        <f>IF('Header Info'!BY2="","",'Header Info'!BY2)</f>
        <v>#N/A</v>
      </c>
      <c r="O52" s="353"/>
      <c r="P52" s="568" t="s">
        <v>3913</v>
      </c>
      <c r="Q52" s="569"/>
      <c r="R52" s="570"/>
      <c r="S52" s="514"/>
      <c r="T52" s="519"/>
      <c r="U52" s="568" t="s">
        <v>3913</v>
      </c>
      <c r="V52" s="569"/>
      <c r="W52" s="570"/>
      <c r="X52" s="435"/>
    </row>
    <row r="53" spans="1:24" ht="12.75" customHeight="1" x14ac:dyDescent="0.2">
      <c r="A53" s="215"/>
      <c r="B53" s="296"/>
      <c r="C53" s="442" t="s">
        <v>81</v>
      </c>
      <c r="D53" s="446"/>
      <c r="E53" s="446"/>
      <c r="F53" s="446"/>
      <c r="G53" s="446"/>
      <c r="H53" s="446"/>
      <c r="I53" s="446"/>
      <c r="J53" s="434"/>
      <c r="K53" s="504"/>
      <c r="L53" s="504"/>
      <c r="M53" s="488" t="s">
        <v>3915</v>
      </c>
      <c r="N53" s="440" t="e">
        <f>IF('Header Info'!BZ2="","",'Header Info'!BZ2)</f>
        <v>#N/A</v>
      </c>
      <c r="O53" s="353"/>
      <c r="P53" s="571" t="s">
        <v>5713</v>
      </c>
      <c r="Q53" s="572"/>
      <c r="R53" s="573"/>
      <c r="S53" s="536"/>
      <c r="T53" s="516"/>
      <c r="U53" s="571" t="s">
        <v>5718</v>
      </c>
      <c r="V53" s="572"/>
      <c r="W53" s="573"/>
      <c r="X53" s="463"/>
    </row>
    <row r="54" spans="1:24" x14ac:dyDescent="0.2">
      <c r="A54" s="215"/>
      <c r="B54" s="296"/>
      <c r="C54" s="443" t="s">
        <v>113</v>
      </c>
      <c r="D54" s="362"/>
      <c r="E54" s="362"/>
      <c r="F54" s="362"/>
      <c r="G54" s="362"/>
      <c r="H54" s="362"/>
      <c r="I54" s="362"/>
      <c r="J54" s="354"/>
      <c r="K54" s="489"/>
      <c r="L54" s="490"/>
      <c r="M54" s="491" t="s">
        <v>5114</v>
      </c>
      <c r="N54" s="500" t="s">
        <v>5118</v>
      </c>
      <c r="O54" s="271"/>
      <c r="P54" s="574"/>
      <c r="Q54" s="575"/>
      <c r="R54" s="576"/>
      <c r="S54" s="513"/>
      <c r="T54" s="510"/>
      <c r="U54" s="574"/>
      <c r="V54" s="575"/>
      <c r="W54" s="576"/>
    </row>
    <row r="55" spans="1:24" x14ac:dyDescent="0.2">
      <c r="A55" s="215"/>
      <c r="B55" s="296"/>
      <c r="C55" s="443" t="s">
        <v>238</v>
      </c>
      <c r="D55" s="362"/>
      <c r="E55" s="362"/>
      <c r="F55" s="362"/>
      <c r="G55" s="362"/>
      <c r="H55" s="362"/>
      <c r="I55" s="362"/>
      <c r="J55" s="355"/>
      <c r="K55" s="492"/>
      <c r="L55" s="493"/>
      <c r="M55" s="494" t="s">
        <v>5115</v>
      </c>
      <c r="N55" s="501" t="s">
        <v>5118</v>
      </c>
      <c r="O55" s="271"/>
      <c r="P55" s="464" t="s">
        <v>3916</v>
      </c>
      <c r="Q55" s="464" t="s">
        <v>26</v>
      </c>
      <c r="R55" s="521" t="s">
        <v>3917</v>
      </c>
      <c r="S55" s="525"/>
      <c r="T55" s="523"/>
      <c r="U55" s="467" t="s">
        <v>3918</v>
      </c>
      <c r="V55" s="464" t="s">
        <v>26</v>
      </c>
      <c r="W55" s="464" t="s">
        <v>3919</v>
      </c>
    </row>
    <row r="56" spans="1:24" x14ac:dyDescent="0.2">
      <c r="A56" s="215"/>
      <c r="B56" s="301"/>
      <c r="C56" s="443" t="s">
        <v>239</v>
      </c>
      <c r="D56" s="362"/>
      <c r="E56" s="362"/>
      <c r="F56" s="362"/>
      <c r="G56" s="362"/>
      <c r="H56" s="362"/>
      <c r="I56" s="362"/>
      <c r="J56" s="352"/>
      <c r="K56" s="495"/>
      <c r="L56" s="496"/>
      <c r="M56" s="494" t="s">
        <v>5116</v>
      </c>
      <c r="N56" s="501" t="s">
        <v>5118</v>
      </c>
      <c r="O56" s="271"/>
      <c r="P56" s="465"/>
      <c r="Q56" s="466"/>
      <c r="R56" s="522"/>
      <c r="S56" s="526"/>
      <c r="T56" s="524"/>
      <c r="U56" s="468"/>
      <c r="V56" s="466"/>
      <c r="W56" s="465"/>
    </row>
    <row r="57" spans="1:24" x14ac:dyDescent="0.2">
      <c r="A57" s="215"/>
      <c r="B57" s="294"/>
      <c r="C57" s="433" t="s">
        <v>3921</v>
      </c>
      <c r="D57" s="438"/>
      <c r="E57" s="438"/>
      <c r="F57" s="438"/>
      <c r="G57" s="438"/>
      <c r="H57" s="438"/>
      <c r="I57" s="438"/>
      <c r="J57" s="213"/>
      <c r="K57" s="497"/>
      <c r="L57" s="498"/>
      <c r="M57" s="499" t="s">
        <v>5117</v>
      </c>
      <c r="N57" s="501" t="s">
        <v>5118</v>
      </c>
      <c r="O57" s="271"/>
    </row>
    <row r="58" spans="1:24" x14ac:dyDescent="0.2">
      <c r="A58" s="215"/>
      <c r="B58" s="294"/>
      <c r="C58" s="607" t="s">
        <v>249</v>
      </c>
      <c r="D58" s="608"/>
      <c r="E58" s="608"/>
      <c r="F58" s="608"/>
      <c r="G58" s="608"/>
      <c r="H58" s="608"/>
      <c r="I58" s="608"/>
      <c r="J58" s="608"/>
      <c r="K58" s="612"/>
      <c r="L58" s="613"/>
      <c r="M58" s="382"/>
      <c r="N58" s="382"/>
      <c r="O58" s="382"/>
      <c r="P58" s="382"/>
      <c r="Q58" s="382"/>
      <c r="R58" s="435"/>
      <c r="S58" s="435"/>
      <c r="T58" s="435"/>
      <c r="U58" s="435"/>
    </row>
    <row r="59" spans="1:24" x14ac:dyDescent="0.2">
      <c r="A59" s="215"/>
      <c r="B59" s="294"/>
      <c r="C59" s="607" t="s">
        <v>254</v>
      </c>
      <c r="D59" s="608"/>
      <c r="E59" s="608"/>
      <c r="F59" s="608"/>
      <c r="G59" s="608"/>
      <c r="H59" s="608"/>
      <c r="I59" s="608"/>
      <c r="J59" s="608"/>
      <c r="K59" s="608"/>
      <c r="L59" s="609"/>
      <c r="M59" s="382"/>
      <c r="N59" s="353" t="str">
        <f>"DOORS OPENED FOR " &amp;L16&amp; " SECONDS TO SIMULATE LOAD ENTRY AT " &amp;L17&amp; "."</f>
        <v>DOORS OPENED FOR  SECONDS TO SIMULATE LOAD ENTRY AT .</v>
      </c>
      <c r="O59" s="353"/>
      <c r="P59" s="353"/>
      <c r="Q59" s="353"/>
      <c r="R59" s="455"/>
      <c r="S59" s="455"/>
      <c r="T59" s="455"/>
      <c r="U59" s="455"/>
      <c r="V59" s="455"/>
    </row>
    <row r="60" spans="1:24" x14ac:dyDescent="0.2">
      <c r="A60" s="302"/>
      <c r="B60" s="303"/>
      <c r="C60" s="304"/>
      <c r="D60" s="305" t="s">
        <v>252</v>
      </c>
      <c r="E60" s="306"/>
      <c r="F60" s="307" t="s">
        <v>250</v>
      </c>
      <c r="G60" s="308"/>
      <c r="H60" s="308"/>
      <c r="I60" s="308"/>
      <c r="J60" s="309"/>
      <c r="K60" s="306"/>
      <c r="L60" s="310" t="s">
        <v>251</v>
      </c>
      <c r="M60" s="436"/>
      <c r="N60" s="456" t="str">
        <f>"AFTER TUS, HIGH LIMIT SET AT " &amp;E60&amp; "°F AND OVEN SETPOINT RAISED UNTIL HIGH LIMIT SYSTEM ACTIVATED AT " &amp;K60&amp; "°F."</f>
        <v>AFTER TUS, HIGH LIMIT SET AT °F AND OVEN SETPOINT RAISED UNTIL HIGH LIMIT SYSTEM ACTIVATED AT °F.</v>
      </c>
      <c r="O60" s="456"/>
      <c r="P60" s="353"/>
      <c r="Q60" s="353"/>
      <c r="R60" s="455"/>
      <c r="S60" s="455"/>
      <c r="T60" s="455"/>
      <c r="U60" s="455"/>
      <c r="V60" s="455"/>
    </row>
    <row r="61" spans="1:24" x14ac:dyDescent="0.2">
      <c r="A61" s="311"/>
      <c r="C61" s="305"/>
      <c r="D61" s="305" t="s">
        <v>253</v>
      </c>
      <c r="E61" s="306"/>
      <c r="F61" s="313" t="s">
        <v>255</v>
      </c>
      <c r="G61" s="314"/>
      <c r="H61" s="314"/>
      <c r="I61" s="315"/>
      <c r="J61" s="306"/>
      <c r="K61" s="316" t="s">
        <v>251</v>
      </c>
      <c r="M61" s="435"/>
      <c r="N61" s="456" t="str">
        <f>"AFTER TUS, HIGH LIMIT READING " &amp;E61&amp; "°F AND HIGH LIMIT SETPOINT LOWERED UNTIL ACTIVATION AT " &amp;J61&amp; "°F."</f>
        <v>AFTER TUS, HIGH LIMIT READING °F AND HIGH LIMIT SETPOINT LOWERED UNTIL ACTIVATION AT °F.</v>
      </c>
      <c r="O61" s="457"/>
      <c r="P61" s="455"/>
      <c r="Q61" s="455"/>
      <c r="R61" s="455"/>
      <c r="S61" s="455"/>
      <c r="T61" s="455"/>
      <c r="U61" s="455"/>
      <c r="V61" s="455"/>
    </row>
    <row r="62" spans="1:24" x14ac:dyDescent="0.2">
      <c r="A62" s="311"/>
      <c r="F62" s="382" t="s">
        <v>4423</v>
      </c>
      <c r="G62" s="281"/>
      <c r="H62" s="318"/>
      <c r="I62" s="318"/>
      <c r="M62" s="469"/>
      <c r="N62" s="457"/>
      <c r="O62" s="457"/>
      <c r="P62" s="455"/>
      <c r="Q62" s="455"/>
      <c r="R62" s="455"/>
      <c r="S62" s="455"/>
      <c r="T62" s="455"/>
      <c r="U62" s="455"/>
      <c r="V62" s="455"/>
    </row>
    <row r="63" spans="1:24" x14ac:dyDescent="0.2">
      <c r="A63" s="311"/>
      <c r="C63" s="317"/>
      <c r="D63" s="318"/>
      <c r="E63" s="318"/>
      <c r="F63" s="318"/>
      <c r="G63" s="318"/>
      <c r="H63" s="318"/>
      <c r="I63" s="318"/>
      <c r="M63" s="435"/>
      <c r="N63" s="434"/>
      <c r="O63" s="434"/>
      <c r="P63" s="435"/>
      <c r="Q63" s="435"/>
      <c r="R63" s="435"/>
      <c r="S63" s="435"/>
      <c r="T63" s="435"/>
      <c r="U63" s="435"/>
    </row>
    <row r="64" spans="1:24" x14ac:dyDescent="0.2">
      <c r="A64" s="320"/>
      <c r="C64" s="317"/>
      <c r="D64" s="318"/>
      <c r="E64" s="318"/>
      <c r="F64" s="318"/>
      <c r="G64" s="318"/>
      <c r="H64" s="318"/>
      <c r="I64" s="318"/>
      <c r="M64" s="435"/>
      <c r="N64" s="434"/>
      <c r="O64" s="434"/>
      <c r="P64" s="435"/>
      <c r="Q64" s="435"/>
      <c r="R64" s="435"/>
      <c r="S64" s="435"/>
      <c r="T64" s="435"/>
      <c r="U64" s="435"/>
    </row>
    <row r="65" spans="1:17" x14ac:dyDescent="0.2">
      <c r="A65" s="321"/>
      <c r="C65" s="317"/>
      <c r="D65" s="318"/>
      <c r="E65" s="318"/>
      <c r="F65" s="318"/>
      <c r="G65" s="318"/>
      <c r="H65" s="318"/>
      <c r="I65" s="318"/>
      <c r="N65" s="319"/>
      <c r="O65" s="319"/>
    </row>
    <row r="66" spans="1:17" x14ac:dyDescent="0.2">
      <c r="A66" s="322"/>
      <c r="C66" s="317"/>
      <c r="D66" s="318"/>
      <c r="E66" s="318"/>
      <c r="F66" s="318"/>
      <c r="G66" s="318"/>
      <c r="H66" s="318"/>
      <c r="I66" s="318"/>
      <c r="N66" s="323"/>
      <c r="O66" s="323"/>
    </row>
    <row r="67" spans="1:17" x14ac:dyDescent="0.2">
      <c r="A67" s="311"/>
      <c r="C67" s="317"/>
      <c r="D67" s="318"/>
      <c r="E67" s="318"/>
      <c r="F67" s="318"/>
      <c r="G67" s="318"/>
      <c r="H67" s="318"/>
      <c r="I67" s="318"/>
      <c r="N67" s="323"/>
      <c r="O67" s="323"/>
    </row>
    <row r="68" spans="1:17" x14ac:dyDescent="0.2">
      <c r="A68" s="311"/>
      <c r="C68" s="317"/>
      <c r="D68" s="318"/>
      <c r="E68" s="318"/>
      <c r="F68" s="318"/>
      <c r="G68" s="318"/>
      <c r="H68" s="318"/>
      <c r="I68" s="318"/>
      <c r="N68" s="323"/>
      <c r="O68" s="323"/>
    </row>
    <row r="69" spans="1:17" ht="24.75" customHeight="1" x14ac:dyDescent="0.2">
      <c r="A69" s="311"/>
      <c r="C69" s="317"/>
      <c r="D69" s="318"/>
      <c r="E69" s="318"/>
      <c r="F69" s="318"/>
      <c r="G69" s="318"/>
      <c r="H69" s="318"/>
      <c r="I69" s="318"/>
      <c r="N69" s="323"/>
      <c r="O69" s="323"/>
    </row>
    <row r="70" spans="1:17" x14ac:dyDescent="0.2">
      <c r="A70" s="311"/>
      <c r="N70" s="297"/>
      <c r="O70" s="297"/>
    </row>
    <row r="71" spans="1:17" x14ac:dyDescent="0.2">
      <c r="A71" s="325"/>
      <c r="O71" s="297"/>
    </row>
    <row r="72" spans="1:17" x14ac:dyDescent="0.2">
      <c r="A72" s="326"/>
      <c r="B72" s="327" t="str">
        <f>TUS_Worksheet!C$13</f>
        <v/>
      </c>
      <c r="C72" s="328">
        <v>1</v>
      </c>
      <c r="D72" s="329" t="str">
        <f>IF(B72="","",C72)</f>
        <v/>
      </c>
      <c r="E72" s="329"/>
      <c r="F72" s="329"/>
      <c r="G72" s="329"/>
      <c r="H72" s="329"/>
      <c r="I72" s="329"/>
      <c r="J72" s="329"/>
      <c r="K72" s="329"/>
      <c r="L72" s="329"/>
      <c r="M72" s="329"/>
      <c r="N72" s="330">
        <f ca="1">IF(Access_Data!B$27="",0,Access_Data!B$27)</f>
        <v>0</v>
      </c>
      <c r="O72" s="330">
        <f ca="1">IF(Access_Data!$B$29="",0,Access_Data!$B$29)</f>
        <v>0</v>
      </c>
      <c r="P72" s="330" t="str">
        <f ca="1">IF(ISERROR(Access_Data!$B$31),0,Access_Data!$B$31)</f>
        <v/>
      </c>
      <c r="Q72" s="329"/>
    </row>
    <row r="73" spans="1:17" x14ac:dyDescent="0.2">
      <c r="A73" s="326"/>
      <c r="B73" s="327" t="str">
        <f>TUS_Worksheet!D$13</f>
        <v/>
      </c>
      <c r="C73" s="328">
        <v>2</v>
      </c>
      <c r="D73" s="329" t="str">
        <f t="shared" ref="D73:D111" si="2">IF(B73="","",C73)</f>
        <v/>
      </c>
      <c r="E73" s="329"/>
      <c r="F73" s="329"/>
      <c r="G73" s="329"/>
      <c r="H73" s="329"/>
      <c r="I73" s="329"/>
      <c r="J73" s="329"/>
      <c r="K73" s="329"/>
      <c r="L73" s="329"/>
      <c r="M73" s="329"/>
      <c r="N73" s="330">
        <f ca="1">IF(Access_Data!C$27="",0,Access_Data!C$27)</f>
        <v>0</v>
      </c>
      <c r="O73" s="330">
        <f ca="1">IF(Access_Data!$C$29="",0,Access_Data!$C$29)</f>
        <v>0</v>
      </c>
      <c r="P73" s="330" t="str">
        <f ca="1">IF(ISERROR(Access_Data!$C$31),0,Access_Data!$C$31)</f>
        <v/>
      </c>
      <c r="Q73" s="329"/>
    </row>
    <row r="74" spans="1:17" x14ac:dyDescent="0.2">
      <c r="A74" s="326"/>
      <c r="B74" s="327" t="str">
        <f>TUS_Worksheet!E$13</f>
        <v/>
      </c>
      <c r="C74" s="328">
        <v>3</v>
      </c>
      <c r="D74" s="329" t="str">
        <f t="shared" si="2"/>
        <v/>
      </c>
      <c r="E74" s="329"/>
      <c r="F74" s="329"/>
      <c r="G74" s="329"/>
      <c r="H74" s="329"/>
      <c r="I74" s="329"/>
      <c r="J74" s="329"/>
      <c r="K74" s="329"/>
      <c r="L74" s="329"/>
      <c r="M74" s="329"/>
      <c r="N74" s="330">
        <f ca="1">IF(Access_Data!D$27="",0,Access_Data!D$27)</f>
        <v>0</v>
      </c>
      <c r="O74" s="330">
        <f ca="1">IF(Access_Data!$D$29="",0,Access_Data!$D$29)</f>
        <v>0</v>
      </c>
      <c r="P74" s="330" t="str">
        <f ca="1">IF(ISERROR(Access_Data!$D$31),0,Access_Data!$D$31)</f>
        <v/>
      </c>
      <c r="Q74" s="329"/>
    </row>
    <row r="75" spans="1:17" x14ac:dyDescent="0.2">
      <c r="A75" s="326"/>
      <c r="B75" s="327" t="str">
        <f>TUS_Worksheet!F$13</f>
        <v/>
      </c>
      <c r="C75" s="328">
        <v>4</v>
      </c>
      <c r="D75" s="329" t="str">
        <f t="shared" si="2"/>
        <v/>
      </c>
      <c r="E75" s="329"/>
      <c r="F75" s="329"/>
      <c r="G75" s="329"/>
      <c r="H75" s="329"/>
      <c r="I75" s="329"/>
      <c r="J75" s="329"/>
      <c r="K75" s="329"/>
      <c r="L75" s="329"/>
      <c r="M75" s="329"/>
      <c r="N75" s="330">
        <f ca="1">IF(Access_Data!E$27="",0,Access_Data!E$27)</f>
        <v>0</v>
      </c>
      <c r="O75" s="330">
        <f ca="1">IF(Access_Data!$E$29="",0,Access_Data!$E$29)</f>
        <v>0</v>
      </c>
      <c r="P75" s="330" t="str">
        <f ca="1">IF(ISERROR(Access_Data!$E$31),0,Access_Data!$E$31)</f>
        <v/>
      </c>
      <c r="Q75" s="329"/>
    </row>
    <row r="76" spans="1:17" x14ac:dyDescent="0.2">
      <c r="A76" s="326"/>
      <c r="B76" s="327" t="str">
        <f>TUS_Worksheet!G$13</f>
        <v/>
      </c>
      <c r="C76" s="328">
        <v>5</v>
      </c>
      <c r="D76" s="329" t="str">
        <f t="shared" si="2"/>
        <v/>
      </c>
      <c r="E76" s="329"/>
      <c r="F76" s="329"/>
      <c r="G76" s="329"/>
      <c r="H76" s="329"/>
      <c r="I76" s="329"/>
      <c r="J76" s="329"/>
      <c r="K76" s="329"/>
      <c r="L76" s="329"/>
      <c r="M76" s="329"/>
      <c r="N76" s="330">
        <f ca="1">IF(Access_Data!F$27="",0,Access_Data!F$27)</f>
        <v>0</v>
      </c>
      <c r="O76" s="330">
        <f ca="1">IF(Access_Data!$F$29="",0,Access_Data!$F$29)</f>
        <v>0</v>
      </c>
      <c r="P76" s="330" t="str">
        <f ca="1">IF(ISERROR(Access_Data!$F$31),0,Access_Data!$F$31)</f>
        <v/>
      </c>
      <c r="Q76" s="329"/>
    </row>
    <row r="77" spans="1:17" x14ac:dyDescent="0.2">
      <c r="A77" s="326"/>
      <c r="B77" s="327" t="str">
        <f>TUS_Worksheet!H$13</f>
        <v/>
      </c>
      <c r="C77" s="328">
        <v>6</v>
      </c>
      <c r="D77" s="329" t="str">
        <f t="shared" si="2"/>
        <v/>
      </c>
      <c r="E77" s="329"/>
      <c r="F77" s="329"/>
      <c r="G77" s="329"/>
      <c r="H77" s="329"/>
      <c r="I77" s="329"/>
      <c r="J77" s="329"/>
      <c r="K77" s="329"/>
      <c r="L77" s="329"/>
      <c r="M77" s="329"/>
      <c r="N77" s="330">
        <f ca="1">IF(Access_Data!G$27="",0,Access_Data!G$27)</f>
        <v>0</v>
      </c>
      <c r="O77" s="330">
        <f ca="1">IF(Access_Data!$G$29="",0,Access_Data!$G$29)</f>
        <v>0</v>
      </c>
      <c r="P77" s="330" t="str">
        <f ca="1">IF(ISERROR(Access_Data!$G$31),0,Access_Data!$G$31)</f>
        <v/>
      </c>
      <c r="Q77" s="329"/>
    </row>
    <row r="78" spans="1:17" x14ac:dyDescent="0.2">
      <c r="A78" s="326"/>
      <c r="B78" s="327" t="str">
        <f>TUS_Worksheet!I$13</f>
        <v/>
      </c>
      <c r="C78" s="328">
        <v>7</v>
      </c>
      <c r="D78" s="329" t="str">
        <f t="shared" si="2"/>
        <v/>
      </c>
      <c r="E78" s="329"/>
      <c r="F78" s="329"/>
      <c r="G78" s="329"/>
      <c r="H78" s="329"/>
      <c r="I78" s="329"/>
      <c r="J78" s="329"/>
      <c r="K78" s="329"/>
      <c r="L78" s="329"/>
      <c r="M78" s="329"/>
      <c r="N78" s="330">
        <f ca="1">IF(Access_Data!H$27="",0,Access_Data!H$27)</f>
        <v>0</v>
      </c>
      <c r="O78" s="330">
        <f ca="1">IF(Access_Data!$H$29="",0,Access_Data!$H$29)</f>
        <v>0</v>
      </c>
      <c r="P78" s="330" t="str">
        <f ca="1">IF(ISERROR(Access_Data!$H$31),0,Access_Data!$H$31)</f>
        <v/>
      </c>
      <c r="Q78" s="329"/>
    </row>
    <row r="79" spans="1:17" x14ac:dyDescent="0.2">
      <c r="A79" s="326"/>
      <c r="B79" s="327" t="str">
        <f>TUS_Worksheet!J$13</f>
        <v/>
      </c>
      <c r="C79" s="328">
        <v>8</v>
      </c>
      <c r="D79" s="329" t="str">
        <f t="shared" si="2"/>
        <v/>
      </c>
      <c r="E79" s="329"/>
      <c r="F79" s="329"/>
      <c r="G79" s="329"/>
      <c r="H79" s="329"/>
      <c r="I79" s="329"/>
      <c r="J79" s="329"/>
      <c r="K79" s="329"/>
      <c r="L79" s="329"/>
      <c r="M79" s="329"/>
      <c r="N79" s="330">
        <f ca="1">IF(Access_Data!I$27="",0,Access_Data!I$27)</f>
        <v>0</v>
      </c>
      <c r="O79" s="330">
        <f ca="1">IF(Access_Data!$I$29="",0,Access_Data!$I$29)</f>
        <v>0</v>
      </c>
      <c r="P79" s="330" t="str">
        <f ca="1">IF(ISERROR(Access_Data!$I$31),0,Access_Data!$I$31)</f>
        <v/>
      </c>
      <c r="Q79" s="329"/>
    </row>
    <row r="80" spans="1:17" x14ac:dyDescent="0.2">
      <c r="A80" s="326"/>
      <c r="B80" s="327" t="str">
        <f>TUS_Worksheet!K$13</f>
        <v/>
      </c>
      <c r="C80" s="328">
        <v>9</v>
      </c>
      <c r="D80" s="329" t="str">
        <f t="shared" si="2"/>
        <v/>
      </c>
      <c r="E80" s="329"/>
      <c r="F80" s="329"/>
      <c r="G80" s="329"/>
      <c r="H80" s="329"/>
      <c r="I80" s="329"/>
      <c r="J80" s="329"/>
      <c r="K80" s="329"/>
      <c r="L80" s="329"/>
      <c r="M80" s="329"/>
      <c r="N80" s="330">
        <f ca="1">IF(Access_Data!J$27="",0,Access_Data!J$27)</f>
        <v>0</v>
      </c>
      <c r="O80" s="330">
        <f ca="1">IF(Access_Data!$J$29="",0,Access_Data!$J$29)</f>
        <v>0</v>
      </c>
      <c r="P80" s="330" t="str">
        <f ca="1">IF(ISERROR(Access_Data!$J$31),0,Access_Data!$J$31)</f>
        <v/>
      </c>
      <c r="Q80" s="329"/>
    </row>
    <row r="81" spans="1:17" x14ac:dyDescent="0.2">
      <c r="A81" s="326"/>
      <c r="B81" s="327" t="str">
        <f>TUS_Worksheet!L$13</f>
        <v/>
      </c>
      <c r="C81" s="328">
        <v>10</v>
      </c>
      <c r="D81" s="329" t="str">
        <f t="shared" si="2"/>
        <v/>
      </c>
      <c r="E81" s="329"/>
      <c r="F81" s="329"/>
      <c r="G81" s="329"/>
      <c r="H81" s="329"/>
      <c r="I81" s="329"/>
      <c r="J81" s="329"/>
      <c r="K81" s="329"/>
      <c r="L81" s="329"/>
      <c r="M81" s="329"/>
      <c r="N81" s="330">
        <f ca="1">IF(Access_Data!K$27="",0,Access_Data!K$27)</f>
        <v>0</v>
      </c>
      <c r="O81" s="330">
        <f ca="1">IF(Access_Data!$K$29="",0,Access_Data!$K$29)</f>
        <v>0</v>
      </c>
      <c r="P81" s="330" t="str">
        <f ca="1">IF(ISERROR(Access_Data!$K$31),0,Access_Data!$K$31)</f>
        <v/>
      </c>
      <c r="Q81" s="329"/>
    </row>
    <row r="82" spans="1:17" x14ac:dyDescent="0.2">
      <c r="A82" s="326"/>
      <c r="B82" s="327" t="str">
        <f>TUS_Worksheet!M$13</f>
        <v/>
      </c>
      <c r="C82" s="328">
        <v>11</v>
      </c>
      <c r="D82" s="329" t="str">
        <f t="shared" si="2"/>
        <v/>
      </c>
      <c r="E82" s="329"/>
      <c r="F82" s="329"/>
      <c r="G82" s="329"/>
      <c r="H82" s="329"/>
      <c r="I82" s="329"/>
      <c r="J82" s="329"/>
      <c r="K82" s="329"/>
      <c r="L82" s="329"/>
      <c r="M82" s="329"/>
      <c r="N82" s="330">
        <f ca="1">IF(Access_Data!L$27="",0,Access_Data!L$27)</f>
        <v>0</v>
      </c>
      <c r="O82" s="330">
        <f ca="1">IF(Access_Data!$L$29="",0,Access_Data!$L$29)</f>
        <v>0</v>
      </c>
      <c r="P82" s="330" t="str">
        <f ca="1">IF(ISERROR(Access_Data!$L$31),0,Access_Data!$L$31)</f>
        <v/>
      </c>
      <c r="Q82" s="329"/>
    </row>
    <row r="83" spans="1:17" x14ac:dyDescent="0.2">
      <c r="A83" s="326"/>
      <c r="B83" s="327" t="str">
        <f>TUS_Worksheet!N$13</f>
        <v/>
      </c>
      <c r="C83" s="328">
        <v>12</v>
      </c>
      <c r="D83" s="329" t="str">
        <f t="shared" si="2"/>
        <v/>
      </c>
      <c r="E83" s="336"/>
      <c r="F83" s="337"/>
      <c r="G83" s="338"/>
      <c r="H83" s="339"/>
      <c r="I83" s="336"/>
      <c r="J83" s="337"/>
      <c r="K83" s="338"/>
      <c r="L83" s="339"/>
      <c r="M83" s="329"/>
      <c r="N83" s="330">
        <f ca="1">IF(Access_Data!M$27="",0,Access_Data!M$27)</f>
        <v>0</v>
      </c>
      <c r="O83" s="330">
        <f ca="1">IF(Access_Data!$M$29="",0,Access_Data!$M$29)</f>
        <v>0</v>
      </c>
      <c r="P83" s="330" t="str">
        <f ca="1">IF(ISERROR(Access_Data!$M$31),0,Access_Data!$M$31)</f>
        <v/>
      </c>
      <c r="Q83" s="329"/>
    </row>
    <row r="84" spans="1:17" x14ac:dyDescent="0.2">
      <c r="A84" s="326"/>
      <c r="B84" s="327" t="str">
        <f>TUS_Worksheet!O$13</f>
        <v/>
      </c>
      <c r="C84" s="328">
        <v>13</v>
      </c>
      <c r="D84" s="329" t="str">
        <f t="shared" si="2"/>
        <v/>
      </c>
      <c r="E84" s="341"/>
      <c r="F84" s="345" t="s">
        <v>234</v>
      </c>
      <c r="G84" s="346"/>
      <c r="H84" s="347"/>
      <c r="I84" s="348"/>
      <c r="J84" s="337"/>
      <c r="K84" s="338"/>
      <c r="L84" s="339"/>
      <c r="M84" s="329"/>
      <c r="N84" s="330">
        <f ca="1">IF(Access_Data!N$27="",0,Access_Data!N$27)</f>
        <v>0</v>
      </c>
      <c r="O84" s="330">
        <f ca="1">IF(Access_Data!$N$29="",0,Access_Data!$N$29)</f>
        <v>0</v>
      </c>
      <c r="P84" s="330" t="str">
        <f ca="1">IF(ISERROR(Access_Data!$N$31),0,Access_Data!$N$31)</f>
        <v/>
      </c>
      <c r="Q84" s="329"/>
    </row>
    <row r="85" spans="1:17" x14ac:dyDescent="0.2">
      <c r="A85" s="326"/>
      <c r="B85" s="327" t="str">
        <f>TUS_Worksheet!P$13</f>
        <v/>
      </c>
      <c r="C85" s="328">
        <v>14</v>
      </c>
      <c r="D85" s="329" t="str">
        <f t="shared" si="2"/>
        <v/>
      </c>
      <c r="E85" s="341"/>
      <c r="F85" s="345" t="s">
        <v>235</v>
      </c>
      <c r="G85" s="346" t="s">
        <v>233</v>
      </c>
      <c r="H85" s="347" t="s">
        <v>232</v>
      </c>
      <c r="I85" s="348"/>
      <c r="J85" s="337"/>
      <c r="K85" s="338"/>
      <c r="L85" s="339"/>
      <c r="M85" s="329"/>
      <c r="N85" s="330">
        <f ca="1">IF(Access_Data!O$27="",0,Access_Data!O$27)</f>
        <v>0</v>
      </c>
      <c r="O85" s="330">
        <f ca="1">IF(Access_Data!$O$29="",0,Access_Data!$O$29)</f>
        <v>0</v>
      </c>
      <c r="P85" s="330" t="str">
        <f ca="1">IF(ISERROR(Access_Data!$O$31),0,Access_Data!$O$31)</f>
        <v/>
      </c>
      <c r="Q85" s="329"/>
    </row>
    <row r="86" spans="1:17" x14ac:dyDescent="0.2">
      <c r="A86" s="326"/>
      <c r="B86" s="327" t="str">
        <f>TUS_Worksheet!C$19</f>
        <v/>
      </c>
      <c r="C86" s="328">
        <v>15</v>
      </c>
      <c r="D86" s="329" t="str">
        <f t="shared" si="2"/>
        <v/>
      </c>
      <c r="E86" s="341"/>
      <c r="F86" s="345">
        <v>1</v>
      </c>
      <c r="G86" s="346">
        <v>5</v>
      </c>
      <c r="H86" s="477">
        <f>MAX(I86:J86)</f>
        <v>2</v>
      </c>
      <c r="I86" s="348">
        <f>D16*0.002</f>
        <v>0</v>
      </c>
      <c r="J86" s="476">
        <v>2</v>
      </c>
      <c r="K86" s="338"/>
      <c r="L86" s="339"/>
      <c r="M86" s="329"/>
      <c r="N86" s="330">
        <f ca="1">IF(Access_Data!V$27="",0,Access_Data!V$27)</f>
        <v>0</v>
      </c>
      <c r="O86" s="330">
        <f ca="1">IF(Access_Data!$V$29="",0,Access_Data!$V$29)</f>
        <v>0</v>
      </c>
      <c r="P86" s="330" t="str">
        <f ca="1">IF(ISERROR(Access_Data!$V$31),0,Access_Data!$V$31)</f>
        <v/>
      </c>
      <c r="Q86" s="329"/>
    </row>
    <row r="87" spans="1:17" x14ac:dyDescent="0.2">
      <c r="A87" s="326"/>
      <c r="B87" s="327" t="str">
        <f>TUS_Worksheet!D$19</f>
        <v/>
      </c>
      <c r="C87" s="328">
        <v>16</v>
      </c>
      <c r="D87" s="329" t="str">
        <f t="shared" si="2"/>
        <v/>
      </c>
      <c r="E87" s="341"/>
      <c r="F87" s="345">
        <v>2</v>
      </c>
      <c r="G87" s="346">
        <v>10</v>
      </c>
      <c r="H87" s="477">
        <f t="shared" ref="H87:H91" si="3">MAX(I87:J87)</f>
        <v>3</v>
      </c>
      <c r="I87" s="348">
        <f>D16*0.003</f>
        <v>0</v>
      </c>
      <c r="J87" s="476">
        <v>3</v>
      </c>
      <c r="K87" s="338"/>
      <c r="L87" s="339"/>
      <c r="M87" s="329"/>
      <c r="N87" s="330">
        <f ca="1">IF(Access_Data!W$27="",0,Access_Data!W$27)</f>
        <v>0</v>
      </c>
      <c r="O87" s="330">
        <f ca="1">IF(Access_Data!$W$29="",0,Access_Data!$W$29)</f>
        <v>0</v>
      </c>
      <c r="P87" s="330" t="str">
        <f ca="1">IF(ISERROR(Access_Data!$W$31),0,Access_Data!$W$31)</f>
        <v/>
      </c>
      <c r="Q87" s="329"/>
    </row>
    <row r="88" spans="1:17" x14ac:dyDescent="0.2">
      <c r="A88" s="326"/>
      <c r="B88" s="327" t="str">
        <f>TUS_Worksheet!E$19</f>
        <v/>
      </c>
      <c r="C88" s="328">
        <v>17</v>
      </c>
      <c r="D88" s="329" t="str">
        <f t="shared" si="2"/>
        <v/>
      </c>
      <c r="E88" s="341"/>
      <c r="F88" s="345">
        <v>3</v>
      </c>
      <c r="G88" s="346">
        <v>15</v>
      </c>
      <c r="H88" s="477">
        <f t="shared" si="3"/>
        <v>4</v>
      </c>
      <c r="I88" s="348">
        <f>D16*0.004</f>
        <v>0</v>
      </c>
      <c r="J88" s="476">
        <v>4</v>
      </c>
      <c r="K88" s="338"/>
      <c r="L88" s="339"/>
      <c r="M88" s="329"/>
      <c r="N88" s="330">
        <f ca="1">IF(Access_Data!X$27="",0,Access_Data!X$27)</f>
        <v>0</v>
      </c>
      <c r="O88" s="330">
        <f ca="1">IF(Access_Data!$X$29="",0,Access_Data!$X$29)</f>
        <v>0</v>
      </c>
      <c r="P88" s="330" t="str">
        <f ca="1">IF(ISERROR(Access_Data!$X$31),0,Access_Data!$X$31)</f>
        <v/>
      </c>
      <c r="Q88" s="329"/>
    </row>
    <row r="89" spans="1:17" x14ac:dyDescent="0.2">
      <c r="A89" s="326"/>
      <c r="B89" s="327" t="str">
        <f>TUS_Worksheet!F$19</f>
        <v/>
      </c>
      <c r="C89" s="328">
        <v>18</v>
      </c>
      <c r="D89" s="329" t="str">
        <f t="shared" si="2"/>
        <v/>
      </c>
      <c r="E89" s="341"/>
      <c r="F89" s="345">
        <v>4</v>
      </c>
      <c r="G89" s="346">
        <v>20</v>
      </c>
      <c r="H89" s="477">
        <f t="shared" si="3"/>
        <v>4</v>
      </c>
      <c r="I89" s="348">
        <f>D16*0.004</f>
        <v>0</v>
      </c>
      <c r="J89" s="476">
        <v>4</v>
      </c>
      <c r="K89" s="338"/>
      <c r="L89" s="339"/>
      <c r="M89" s="329"/>
      <c r="N89" s="330">
        <f ca="1">IF(Access_Data!Y$27="",0,Access_Data!Y$27)</f>
        <v>0</v>
      </c>
      <c r="O89" s="330">
        <f ca="1">IF(Access_Data!$Y$29="",0,Access_Data!$Y$29)</f>
        <v>0</v>
      </c>
      <c r="P89" s="330" t="str">
        <f ca="1">IF(ISERROR(Access_Data!$Y$31),0,Access_Data!$Y$31)</f>
        <v/>
      </c>
      <c r="Q89" s="329"/>
    </row>
    <row r="90" spans="1:17" x14ac:dyDescent="0.2">
      <c r="A90" s="326"/>
      <c r="B90" s="327" t="str">
        <f>TUS_Worksheet!G$19</f>
        <v/>
      </c>
      <c r="C90" s="328">
        <v>19</v>
      </c>
      <c r="D90" s="329" t="str">
        <f t="shared" si="2"/>
        <v/>
      </c>
      <c r="E90" s="341"/>
      <c r="F90" s="345">
        <v>5</v>
      </c>
      <c r="G90" s="346">
        <v>25</v>
      </c>
      <c r="H90" s="477">
        <f t="shared" si="3"/>
        <v>5</v>
      </c>
      <c r="I90" s="348">
        <f>D16*0.005</f>
        <v>0</v>
      </c>
      <c r="J90" s="476">
        <v>5</v>
      </c>
      <c r="K90" s="338"/>
      <c r="L90" s="339"/>
      <c r="M90" s="329"/>
      <c r="N90" s="330">
        <f ca="1">IF(Access_Data!Z$27="",0,Access_Data!Z$27)</f>
        <v>0</v>
      </c>
      <c r="O90" s="330">
        <f ca="1">IF(Access_Data!$Z$29="",0,Access_Data!$Z$29)</f>
        <v>0</v>
      </c>
      <c r="P90" s="330" t="str">
        <f ca="1">IF(ISERROR(Access_Data!$Z$31),0,Access_Data!$Z$31)</f>
        <v/>
      </c>
      <c r="Q90" s="329"/>
    </row>
    <row r="91" spans="1:17" x14ac:dyDescent="0.2">
      <c r="A91" s="326"/>
      <c r="B91" s="327" t="str">
        <f>TUS_Worksheet!H$19</f>
        <v/>
      </c>
      <c r="C91" s="328">
        <v>20</v>
      </c>
      <c r="D91" s="329" t="str">
        <f t="shared" si="2"/>
        <v/>
      </c>
      <c r="E91" s="341"/>
      <c r="F91" s="345">
        <v>6</v>
      </c>
      <c r="G91" s="346">
        <v>50</v>
      </c>
      <c r="H91" s="477">
        <f t="shared" si="3"/>
        <v>10</v>
      </c>
      <c r="I91" s="348">
        <f>D16*0.01</f>
        <v>0</v>
      </c>
      <c r="J91" s="476">
        <v>10</v>
      </c>
      <c r="K91" s="338"/>
      <c r="L91" s="339"/>
      <c r="M91" s="329"/>
      <c r="N91" s="330">
        <f ca="1">IF(Access_Data!AA$27="",0,Access_Data!AA$27)</f>
        <v>0</v>
      </c>
      <c r="O91" s="330">
        <f ca="1">IF(Access_Data!$AA$29="",0,Access_Data!$AA$29)</f>
        <v>0</v>
      </c>
      <c r="P91" s="330" t="str">
        <f ca="1">IF(ISERROR(Access_Data!$AA$31),0,Access_Data!$AA$31)</f>
        <v/>
      </c>
      <c r="Q91" s="329"/>
    </row>
    <row r="92" spans="1:17" x14ac:dyDescent="0.2">
      <c r="A92" s="326"/>
      <c r="B92" s="327" t="str">
        <f>TUS_Worksheet!I$19</f>
        <v/>
      </c>
      <c r="C92" s="328">
        <v>21</v>
      </c>
      <c r="D92" s="329" t="str">
        <f t="shared" si="2"/>
        <v/>
      </c>
      <c r="E92" s="341"/>
      <c r="F92" s="345"/>
      <c r="G92" s="346"/>
      <c r="H92" s="347"/>
      <c r="I92" s="348"/>
      <c r="J92" s="337"/>
      <c r="K92" s="338"/>
      <c r="L92" s="339"/>
      <c r="M92" s="329"/>
      <c r="N92" s="330">
        <f ca="1">IF(Access_Data!AB$27="",0,Access_Data!AB$27)</f>
        <v>0</v>
      </c>
      <c r="O92" s="330">
        <f ca="1">IF(Access_Data!$AB$29="",0,Access_Data!$AB$29)</f>
        <v>0</v>
      </c>
      <c r="P92" s="330" t="str">
        <f ca="1">IF(ISERROR(Access_Data!$AB$31),0,Access_Data!$AB$31)</f>
        <v/>
      </c>
      <c r="Q92" s="329"/>
    </row>
    <row r="93" spans="1:17" x14ac:dyDescent="0.2">
      <c r="A93" s="326"/>
      <c r="B93" s="327" t="str">
        <f>TUS_Worksheet!J$19</f>
        <v/>
      </c>
      <c r="C93" s="328">
        <v>22</v>
      </c>
      <c r="D93" s="329" t="str">
        <f t="shared" si="2"/>
        <v/>
      </c>
      <c r="E93" s="341"/>
      <c r="F93" s="345" t="s">
        <v>1922</v>
      </c>
      <c r="G93" s="346" t="e">
        <f>VLOOKUP(D19,G86:H91,2,FALSE)</f>
        <v>#N/A</v>
      </c>
      <c r="H93" s="347" t="s">
        <v>1923</v>
      </c>
      <c r="I93" s="348"/>
      <c r="J93" s="337"/>
      <c r="K93" s="338"/>
      <c r="L93" s="339"/>
      <c r="M93" s="329"/>
      <c r="N93" s="330">
        <f ca="1">IF(Access_Data!AC$27="",0,Access_Data!AC$27)</f>
        <v>0</v>
      </c>
      <c r="O93" s="330">
        <f ca="1">IF(Access_Data!$AC$29="",0,Access_Data!$AC$29)</f>
        <v>0</v>
      </c>
      <c r="P93" s="330" t="str">
        <f ca="1">IF(ISERROR(Access_Data!$AC$31),0,Access_Data!$AC$31)</f>
        <v/>
      </c>
      <c r="Q93" s="329"/>
    </row>
    <row r="94" spans="1:17" x14ac:dyDescent="0.2">
      <c r="A94" s="326"/>
      <c r="B94" s="327" t="str">
        <f>TUS_Worksheet!K$19</f>
        <v/>
      </c>
      <c r="C94" s="328">
        <v>23</v>
      </c>
      <c r="D94" s="329" t="str">
        <f t="shared" si="2"/>
        <v/>
      </c>
      <c r="E94" s="341"/>
      <c r="F94" s="342"/>
      <c r="G94" s="343" t="e">
        <f>CONCATENATE(F93,G93,H93)</f>
        <v>#N/A</v>
      </c>
      <c r="H94" s="344"/>
      <c r="I94" s="341" t="b">
        <v>1</v>
      </c>
      <c r="J94" s="337"/>
      <c r="K94" s="338"/>
      <c r="L94" s="339"/>
      <c r="M94" s="329"/>
      <c r="N94" s="330">
        <f ca="1">IF(Access_Data!AD$27="",0,Access_Data!AD$27)</f>
        <v>0</v>
      </c>
      <c r="O94" s="330">
        <f ca="1">IF(Access_Data!$AD27="",0,Access_Data!$AD$29)</f>
        <v>0</v>
      </c>
      <c r="P94" s="330" t="str">
        <f ca="1">IF(ISERROR(Access_Data!$AD31),0,Access_Data!$AD$31)</f>
        <v/>
      </c>
      <c r="Q94" s="329"/>
    </row>
    <row r="95" spans="1:17" x14ac:dyDescent="0.2">
      <c r="A95" s="326"/>
      <c r="B95" s="327" t="str">
        <f>TUS_Worksheet!L$19</f>
        <v/>
      </c>
      <c r="C95" s="328">
        <v>24</v>
      </c>
      <c r="D95" s="329" t="str">
        <f t="shared" si="2"/>
        <v/>
      </c>
      <c r="E95" s="336"/>
      <c r="F95" s="337"/>
      <c r="G95" s="338" t="e">
        <f>ROUNDDOWN(G93,2-(1+INT(LOG10(ABS(G93)))))</f>
        <v>#N/A</v>
      </c>
      <c r="H95" s="339"/>
      <c r="I95" s="336"/>
      <c r="J95" s="337"/>
      <c r="K95" s="338"/>
      <c r="L95" s="339"/>
      <c r="M95" s="329"/>
      <c r="N95" s="330">
        <f ca="1">IF(Access_Data!AE$27="",0,Access_Data!AE$27)</f>
        <v>0</v>
      </c>
      <c r="O95" s="330">
        <f ca="1">IF(Access_Data!$AE$29="",0,Access_Data!$AE$29)</f>
        <v>0</v>
      </c>
      <c r="P95" s="330" t="str">
        <f ca="1">IF(ISERROR(Access_Data!$AE$31),0,Access_Data!$AE$31)</f>
        <v/>
      </c>
      <c r="Q95" s="329"/>
    </row>
    <row r="96" spans="1:17" x14ac:dyDescent="0.2">
      <c r="A96" s="326"/>
      <c r="B96" s="327" t="str">
        <f>TUS_Worksheet!M$19</f>
        <v/>
      </c>
      <c r="C96" s="328">
        <v>25</v>
      </c>
      <c r="D96" s="329" t="str">
        <f t="shared" si="2"/>
        <v/>
      </c>
      <c r="E96" s="326"/>
      <c r="F96" s="327"/>
      <c r="G96" s="328"/>
      <c r="H96" s="329"/>
      <c r="I96" s="326"/>
      <c r="J96" s="327"/>
      <c r="K96" s="328"/>
      <c r="L96" s="329"/>
      <c r="M96" s="329"/>
      <c r="N96" s="330">
        <f ca="1">IF(Access_Data!AF$27="",0,Access_Data!AF$27)</f>
        <v>0</v>
      </c>
      <c r="O96" s="330">
        <f ca="1">IF(Access_Data!$AF$29="",0,Access_Data!$AF$29)</f>
        <v>0</v>
      </c>
      <c r="P96" s="330" t="str">
        <f ca="1">IF(ISERROR(Access_Data!$AF$31),0,Access_Data!$AF$31)</f>
        <v/>
      </c>
      <c r="Q96" s="329"/>
    </row>
    <row r="97" spans="1:17" x14ac:dyDescent="0.2">
      <c r="A97" s="326"/>
      <c r="B97" s="327" t="str">
        <f>TUS_Worksheet!N$19</f>
        <v/>
      </c>
      <c r="C97" s="328">
        <v>26</v>
      </c>
      <c r="D97" s="329" t="str">
        <f t="shared" si="2"/>
        <v/>
      </c>
      <c r="E97" s="326"/>
      <c r="F97" s="327"/>
      <c r="G97" s="328"/>
      <c r="H97" s="329"/>
      <c r="I97" s="326"/>
      <c r="J97" s="327"/>
      <c r="K97" s="328"/>
      <c r="L97" s="329"/>
      <c r="M97" s="329"/>
      <c r="N97" s="330">
        <f ca="1">IF(Access_Data!AG$27="",0,Access_Data!AG$27)</f>
        <v>0</v>
      </c>
      <c r="O97" s="330">
        <f ca="1">IF(Access_Data!$AG$29="",0,Access_Data!$AG$29)</f>
        <v>0</v>
      </c>
      <c r="P97" s="330" t="str">
        <f ca="1">IF(ISERROR(Access_Data!$AG$31),0,Access_Data!$AG$31)</f>
        <v/>
      </c>
      <c r="Q97" s="329"/>
    </row>
    <row r="98" spans="1:17" x14ac:dyDescent="0.2">
      <c r="A98" s="326"/>
      <c r="B98" s="327" t="str">
        <f>TUS_Worksheet!O$19</f>
        <v/>
      </c>
      <c r="C98" s="328">
        <v>27</v>
      </c>
      <c r="D98" s="329" t="str">
        <f t="shared" si="2"/>
        <v/>
      </c>
      <c r="E98" s="329"/>
      <c r="F98" s="329"/>
      <c r="G98" s="329"/>
      <c r="H98" s="329"/>
      <c r="I98" s="329"/>
      <c r="J98" s="329"/>
      <c r="K98" s="329"/>
      <c r="L98" s="329"/>
      <c r="M98" s="329"/>
      <c r="N98" s="330">
        <f ca="1">IF(Access_Data!AH$27="",0,Access_Data!AH$27)</f>
        <v>0</v>
      </c>
      <c r="O98" s="330">
        <f ca="1">IF(Access_Data!$AH$29="",0,Access_Data!$AH$29)</f>
        <v>0</v>
      </c>
      <c r="P98" s="330" t="str">
        <f ca="1">IF(ISERROR(Access_Data!$AH$31),0,Access_Data!$AH$31)</f>
        <v/>
      </c>
      <c r="Q98" s="329"/>
    </row>
    <row r="99" spans="1:17" x14ac:dyDescent="0.2">
      <c r="A99" s="326"/>
      <c r="B99" s="327" t="str">
        <f>TUS_Worksheet!P$19</f>
        <v/>
      </c>
      <c r="C99" s="328">
        <v>28</v>
      </c>
      <c r="D99" s="329" t="str">
        <f t="shared" si="2"/>
        <v/>
      </c>
      <c r="E99" s="329"/>
      <c r="F99" s="329"/>
      <c r="G99" s="329"/>
      <c r="H99" s="329"/>
      <c r="I99" s="329"/>
      <c r="J99" s="329"/>
      <c r="K99" s="329"/>
      <c r="L99" s="329"/>
      <c r="M99" s="329"/>
      <c r="N99" s="330">
        <f ca="1">IF(Access_Data!AI$27="",0,Access_Data!AI$27)</f>
        <v>0</v>
      </c>
      <c r="O99" s="330">
        <f ca="1">IF(Access_Data!$AI$29="",0,Access_Data!$AI$29)</f>
        <v>0</v>
      </c>
      <c r="P99" s="330" t="str">
        <f ca="1">IF(ISERROR(Access_Data!$AI$31),0,Access_Data!$AI$31)</f>
        <v/>
      </c>
      <c r="Q99" s="329"/>
    </row>
    <row r="100" spans="1:17" x14ac:dyDescent="0.2">
      <c r="A100" s="326"/>
      <c r="B100" s="327" t="str">
        <f>TUS_Worksheet!C$25</f>
        <v/>
      </c>
      <c r="C100" s="328">
        <v>29</v>
      </c>
      <c r="D100" s="329" t="str">
        <f t="shared" si="2"/>
        <v/>
      </c>
      <c r="E100" s="329"/>
      <c r="F100" s="329"/>
      <c r="G100" s="329"/>
      <c r="H100" s="329"/>
      <c r="I100" s="329"/>
      <c r="J100" s="329"/>
      <c r="K100" s="329"/>
      <c r="L100" s="329"/>
      <c r="M100" s="329"/>
      <c r="N100" s="330">
        <f ca="1">IF(Access_Data!AP$27="",0,Access_Data!AP$27)</f>
        <v>0</v>
      </c>
      <c r="O100" s="330">
        <f ca="1">IF(Access_Data!$AP$29="",0,Access_Data!$AP$29)</f>
        <v>0</v>
      </c>
      <c r="P100" s="330" t="str">
        <f ca="1">IF(ISERROR(Access_Data!$AP$31),0,Access_Data!$AP$31)</f>
        <v/>
      </c>
      <c r="Q100" s="329"/>
    </row>
    <row r="101" spans="1:17" x14ac:dyDescent="0.2">
      <c r="A101" s="326"/>
      <c r="B101" s="327" t="str">
        <f>TUS_Worksheet!D$25</f>
        <v/>
      </c>
      <c r="C101" s="328">
        <v>30</v>
      </c>
      <c r="D101" s="329" t="str">
        <f t="shared" si="2"/>
        <v/>
      </c>
      <c r="E101" s="329"/>
      <c r="F101" s="329"/>
      <c r="G101" s="329"/>
      <c r="H101" s="329"/>
      <c r="I101" s="329"/>
      <c r="J101" s="329"/>
      <c r="K101" s="329"/>
      <c r="L101" s="329"/>
      <c r="M101" s="329"/>
      <c r="N101" s="330">
        <f ca="1">IF(Access_Data!AQ$27="",0,Access_Data!AQ$27)</f>
        <v>0</v>
      </c>
      <c r="O101" s="330">
        <f ca="1">IF(Access_Data!$AQ$29="",0,Access_Data!$AQ$29)</f>
        <v>0</v>
      </c>
      <c r="P101" s="330">
        <f ca="1">IF(ISERROR(Access_Data!$AQ$31),0,Access_Data!$AQ$31)</f>
        <v>0</v>
      </c>
      <c r="Q101" s="329"/>
    </row>
    <row r="102" spans="1:17" x14ac:dyDescent="0.2">
      <c r="A102" s="326"/>
      <c r="B102" s="327" t="str">
        <f>TUS_Worksheet!E$25</f>
        <v/>
      </c>
      <c r="C102" s="328">
        <v>31</v>
      </c>
      <c r="D102" s="329" t="str">
        <f t="shared" si="2"/>
        <v/>
      </c>
      <c r="E102" s="329"/>
      <c r="F102" s="329"/>
      <c r="G102" s="329"/>
      <c r="H102" s="329"/>
      <c r="I102" s="329"/>
      <c r="J102" s="329"/>
      <c r="K102" s="329"/>
      <c r="L102" s="329"/>
      <c r="M102" s="329"/>
      <c r="N102" s="330">
        <f ca="1">IF(Access_Data!AR$27="",0,Access_Data!AR$27)</f>
        <v>0</v>
      </c>
      <c r="O102" s="330">
        <f ca="1">IF(Access_Data!$AR$29="",0,Access_Data!$AR$29)</f>
        <v>0</v>
      </c>
      <c r="P102" s="330">
        <f ca="1">IF(ISERROR(Access_Data!$AR$31),0,Access_Data!$AR$31)</f>
        <v>0</v>
      </c>
      <c r="Q102" s="329"/>
    </row>
    <row r="103" spans="1:17" x14ac:dyDescent="0.2">
      <c r="A103" s="326"/>
      <c r="B103" s="327" t="str">
        <f>TUS_Worksheet!F$25</f>
        <v/>
      </c>
      <c r="C103" s="328">
        <v>32</v>
      </c>
      <c r="D103" s="329" t="str">
        <f t="shared" si="2"/>
        <v/>
      </c>
      <c r="E103" s="329"/>
      <c r="F103" s="329"/>
      <c r="G103" s="329"/>
      <c r="H103" s="329"/>
      <c r="I103" s="329"/>
      <c r="J103" s="329"/>
      <c r="K103" s="329"/>
      <c r="L103" s="329"/>
      <c r="M103" s="329"/>
      <c r="N103" s="330">
        <f ca="1">IF(Access_Data!AS$27="",0,Access_Data!AS$27)</f>
        <v>0</v>
      </c>
      <c r="O103" s="330">
        <f ca="1">IF(Access_Data!$AS$29="",0,Access_Data!$AS$29)</f>
        <v>0</v>
      </c>
      <c r="P103" s="330">
        <f ca="1">IF(ISERROR(Access_Data!$AS$31),0,Access_Data!$AS$31)</f>
        <v>0</v>
      </c>
      <c r="Q103" s="329"/>
    </row>
    <row r="104" spans="1:17" x14ac:dyDescent="0.2">
      <c r="A104" s="326"/>
      <c r="B104" s="327" t="str">
        <f>TUS_Worksheet!G$25</f>
        <v/>
      </c>
      <c r="C104" s="328">
        <v>33</v>
      </c>
      <c r="D104" s="329" t="str">
        <f t="shared" si="2"/>
        <v/>
      </c>
      <c r="E104" s="329"/>
      <c r="F104" s="329"/>
      <c r="G104" s="329"/>
      <c r="H104" s="329"/>
      <c r="I104" s="329"/>
      <c r="J104" s="329"/>
      <c r="K104" s="329"/>
      <c r="L104" s="329"/>
      <c r="M104" s="329"/>
      <c r="N104" s="330">
        <f ca="1">IF(Access_Data!AT$27="",0,Access_Data!AT$27)</f>
        <v>0</v>
      </c>
      <c r="O104" s="330">
        <f ca="1">IF(Access_Data!$AT$29="",0,Access_Data!$AT$29)</f>
        <v>0</v>
      </c>
      <c r="P104" s="330">
        <f ca="1">IF(ISERROR(Access_Data!$AT$31),0,Access_Data!$AT$31)</f>
        <v>0</v>
      </c>
      <c r="Q104" s="329"/>
    </row>
    <row r="105" spans="1:17" x14ac:dyDescent="0.2">
      <c r="A105" s="326"/>
      <c r="B105" s="327" t="str">
        <f>TUS_Worksheet!H$25</f>
        <v/>
      </c>
      <c r="C105" s="328">
        <v>34</v>
      </c>
      <c r="D105" s="329" t="str">
        <f t="shared" si="2"/>
        <v/>
      </c>
      <c r="E105" s="329"/>
      <c r="F105" s="329"/>
      <c r="G105" s="329"/>
      <c r="H105" s="329"/>
      <c r="I105" s="329"/>
      <c r="J105" s="329"/>
      <c r="K105" s="329"/>
      <c r="L105" s="329"/>
      <c r="M105" s="329"/>
      <c r="N105" s="330">
        <f ca="1">IF(Access_Data!AU$27="",0,Access_Data!AU$27)</f>
        <v>0</v>
      </c>
      <c r="O105" s="330">
        <f ca="1">IF(Access_Data!$AU$29="",0,Access_Data!$AU$29)</f>
        <v>0</v>
      </c>
      <c r="P105" s="330">
        <f ca="1">IF(ISERROR(Access_Data!$AU$31),0,Access_Data!$AU$31)</f>
        <v>0</v>
      </c>
      <c r="Q105" s="329"/>
    </row>
    <row r="106" spans="1:17" x14ac:dyDescent="0.2">
      <c r="A106" s="326"/>
      <c r="B106" s="327" t="str">
        <f>TUS_Worksheet!I$25</f>
        <v/>
      </c>
      <c r="C106" s="328">
        <v>35</v>
      </c>
      <c r="D106" s="329" t="str">
        <f t="shared" si="2"/>
        <v/>
      </c>
      <c r="E106" s="329"/>
      <c r="F106" s="329"/>
      <c r="G106" s="329"/>
      <c r="H106" s="329"/>
      <c r="I106" s="329"/>
      <c r="J106" s="329"/>
      <c r="K106" s="329"/>
      <c r="L106" s="329"/>
      <c r="M106" s="329"/>
      <c r="N106" s="330">
        <f ca="1">IF(Access_Data!AV$27="",0,Access_Data!AV$27)</f>
        <v>0</v>
      </c>
      <c r="O106" s="330">
        <f ca="1">IF(Access_Data!$AV$29="",0,Access_Data!$AV$29)</f>
        <v>0</v>
      </c>
      <c r="P106" s="330">
        <f ca="1">IF(ISERROR(Access_Data!$AV$31),0,Access_Data!$AV$31)</f>
        <v>0</v>
      </c>
      <c r="Q106" s="329"/>
    </row>
    <row r="107" spans="1:17" x14ac:dyDescent="0.2">
      <c r="A107" s="326"/>
      <c r="B107" s="327" t="str">
        <f>TUS_Worksheet!J$25</f>
        <v/>
      </c>
      <c r="C107" s="328">
        <v>36</v>
      </c>
      <c r="D107" s="329" t="str">
        <f t="shared" si="2"/>
        <v/>
      </c>
      <c r="E107" s="329"/>
      <c r="F107" s="329"/>
      <c r="G107" s="329"/>
      <c r="H107" s="329"/>
      <c r="I107" s="329"/>
      <c r="J107" s="329"/>
      <c r="K107" s="329"/>
      <c r="L107" s="329"/>
      <c r="M107" s="329"/>
      <c r="N107" s="330">
        <f ca="1">IF(Access_Data!AW$27="",0,Access_Data!AW$27)</f>
        <v>0</v>
      </c>
      <c r="O107" s="330">
        <f ca="1">IF(Access_Data!$AW$29="",0,Access_Data!$AW$29)</f>
        <v>0</v>
      </c>
      <c r="P107" s="330">
        <f ca="1">IF(ISERROR(Access_Data!$AW$31),0,Access_Data!$AW$31)</f>
        <v>0</v>
      </c>
      <c r="Q107" s="329"/>
    </row>
    <row r="108" spans="1:17" x14ac:dyDescent="0.2">
      <c r="A108" s="326"/>
      <c r="B108" s="327" t="str">
        <f>TUS_Worksheet!K$25</f>
        <v/>
      </c>
      <c r="C108" s="328">
        <v>37</v>
      </c>
      <c r="D108" s="329" t="str">
        <f t="shared" si="2"/>
        <v/>
      </c>
      <c r="E108" s="329"/>
      <c r="F108" s="329"/>
      <c r="G108" s="329"/>
      <c r="H108" s="329"/>
      <c r="I108" s="329"/>
      <c r="J108" s="329"/>
      <c r="K108" s="329"/>
      <c r="L108" s="329"/>
      <c r="M108" s="329"/>
      <c r="N108" s="330">
        <f ca="1">IF(Access_Data!AX$27="",0,Access_Data!AX$27)</f>
        <v>0</v>
      </c>
      <c r="O108" s="330">
        <f ca="1">IF(Access_Data!$AX$29="",0,Access_Data!$AX$29)</f>
        <v>0</v>
      </c>
      <c r="P108" s="330">
        <f ca="1">IF(ISERROR(Access_Data!$AX$31),0,Access_Data!$AX$31)</f>
        <v>0</v>
      </c>
      <c r="Q108" s="329"/>
    </row>
    <row r="109" spans="1:17" x14ac:dyDescent="0.2">
      <c r="A109" s="326"/>
      <c r="B109" s="327" t="str">
        <f>TUS_Worksheet!L$25</f>
        <v/>
      </c>
      <c r="C109" s="328">
        <v>38</v>
      </c>
      <c r="D109" s="329" t="str">
        <f t="shared" si="2"/>
        <v/>
      </c>
      <c r="E109" s="329"/>
      <c r="F109" s="329"/>
      <c r="G109" s="329"/>
      <c r="H109" s="329"/>
      <c r="I109" s="329"/>
      <c r="J109" s="329"/>
      <c r="K109" s="329"/>
      <c r="L109" s="329"/>
      <c r="M109" s="329"/>
      <c r="N109" s="330">
        <f ca="1">IF(Access_Data!AY$27="",0,Access_Data!AY$27)</f>
        <v>0</v>
      </c>
      <c r="O109" s="330">
        <f ca="1">IF(Access_Data!$AY$29="",0,Access_Data!$AY$29)</f>
        <v>0</v>
      </c>
      <c r="P109" s="330">
        <f ca="1">IF(ISERROR(Access_Data!$AY$31),0,Access_Data!$AY$31)</f>
        <v>0</v>
      </c>
      <c r="Q109" s="329"/>
    </row>
    <row r="110" spans="1:17" x14ac:dyDescent="0.2">
      <c r="A110" s="326"/>
      <c r="B110" s="327" t="str">
        <f>TUS_Worksheet!M$25</f>
        <v/>
      </c>
      <c r="C110" s="328">
        <v>39</v>
      </c>
      <c r="D110" s="329" t="str">
        <f t="shared" si="2"/>
        <v/>
      </c>
      <c r="E110" s="329"/>
      <c r="F110" s="329"/>
      <c r="G110" s="329"/>
      <c r="H110" s="329"/>
      <c r="I110" s="329"/>
      <c r="J110" s="329"/>
      <c r="K110" s="329"/>
      <c r="L110" s="329"/>
      <c r="M110" s="329"/>
      <c r="N110" s="330">
        <f ca="1">IF(Access_Data!AZ$27="",0,Access_Data!AZ$27)</f>
        <v>0</v>
      </c>
      <c r="O110" s="330">
        <f ca="1">IF(Access_Data!$AZ$29="",0,Access_Data!$AZ$29)</f>
        <v>0</v>
      </c>
      <c r="P110" s="330">
        <f ca="1">IF(ISERROR(Access_Data!$AZ$31),0,Access_Data!$AZ$31)</f>
        <v>0</v>
      </c>
      <c r="Q110" s="329"/>
    </row>
    <row r="111" spans="1:17" x14ac:dyDescent="0.2">
      <c r="A111" s="326"/>
      <c r="B111" s="327" t="str">
        <f>TUS_Worksheet!N$25</f>
        <v/>
      </c>
      <c r="C111" s="328">
        <v>40</v>
      </c>
      <c r="D111" s="329" t="str">
        <f t="shared" si="2"/>
        <v/>
      </c>
      <c r="E111" s="329"/>
      <c r="F111" s="329"/>
      <c r="G111" s="329"/>
      <c r="H111" s="329"/>
      <c r="I111" s="329"/>
      <c r="J111" s="329"/>
      <c r="K111" s="329"/>
      <c r="L111" s="329"/>
      <c r="M111" s="329"/>
      <c r="N111" s="330">
        <f ca="1">IF(Access_Data!BA$27="",0,Access_Data!BA$27)</f>
        <v>0</v>
      </c>
      <c r="O111" s="330">
        <f ca="1">IF(Access_Data!$BA$29="",0,Access_Data!$BA$29)</f>
        <v>0</v>
      </c>
      <c r="P111" s="330">
        <f ca="1">IF(ISERROR(Access_Data!$BA$31),0,Access_Data!$BA$31)</f>
        <v>0</v>
      </c>
      <c r="Q111" s="329"/>
    </row>
    <row r="112" spans="1:17" x14ac:dyDescent="0.2">
      <c r="A112" s="326"/>
      <c r="B112" s="327"/>
      <c r="C112" s="328"/>
      <c r="D112" s="329"/>
      <c r="E112" s="329"/>
      <c r="F112" s="329"/>
      <c r="G112" s="329"/>
      <c r="H112" s="329"/>
      <c r="I112" s="329"/>
      <c r="J112" s="329"/>
      <c r="K112" s="329"/>
      <c r="L112" s="329"/>
      <c r="M112" s="329"/>
      <c r="N112" s="331"/>
      <c r="O112" s="331"/>
      <c r="P112" s="331"/>
      <c r="Q112" s="329"/>
    </row>
    <row r="113" spans="1:17" x14ac:dyDescent="0.2">
      <c r="A113" s="326"/>
      <c r="B113" s="327"/>
      <c r="C113" s="328"/>
      <c r="D113" s="329"/>
      <c r="E113" s="329"/>
      <c r="F113" s="329"/>
      <c r="G113" s="329"/>
      <c r="H113" s="329"/>
      <c r="I113" s="329"/>
      <c r="J113" s="329"/>
      <c r="K113" s="329"/>
      <c r="L113" s="329"/>
      <c r="M113" s="329"/>
      <c r="N113" s="331"/>
      <c r="O113" s="331"/>
      <c r="P113" s="331"/>
      <c r="Q113" s="329"/>
    </row>
    <row r="114" spans="1:17" x14ac:dyDescent="0.2">
      <c r="A114" s="326"/>
      <c r="B114" s="327"/>
      <c r="C114" s="328"/>
      <c r="D114" s="329"/>
      <c r="E114" s="329"/>
      <c r="F114" s="329"/>
      <c r="G114" s="329"/>
      <c r="H114" s="329"/>
      <c r="I114" s="329"/>
      <c r="J114" s="329"/>
      <c r="K114" s="329"/>
      <c r="L114" s="329"/>
      <c r="M114" s="329"/>
      <c r="N114" s="331"/>
      <c r="O114" s="331"/>
      <c r="P114" s="331"/>
      <c r="Q114" s="329"/>
    </row>
    <row r="115" spans="1:17" x14ac:dyDescent="0.2">
      <c r="A115" s="326"/>
      <c r="B115" s="327"/>
      <c r="C115" s="328"/>
      <c r="D115" s="329"/>
      <c r="E115" s="329"/>
      <c r="F115" s="329"/>
      <c r="G115" s="329"/>
      <c r="H115" s="329"/>
      <c r="I115" s="329"/>
      <c r="J115" s="329"/>
      <c r="K115" s="329"/>
      <c r="L115" s="329"/>
      <c r="M115" s="329"/>
      <c r="N115" s="331"/>
      <c r="O115" s="331"/>
      <c r="P115" s="331"/>
      <c r="Q115" s="329"/>
    </row>
    <row r="116" spans="1:17" x14ac:dyDescent="0.2">
      <c r="A116" s="326"/>
      <c r="B116" s="327"/>
      <c r="C116" s="328"/>
      <c r="D116" s="329"/>
      <c r="E116" s="329"/>
      <c r="F116" s="329"/>
      <c r="G116" s="329"/>
      <c r="H116" s="329"/>
      <c r="I116" s="329"/>
      <c r="J116" s="329"/>
      <c r="K116" s="329"/>
      <c r="L116" s="329"/>
      <c r="M116" s="329"/>
      <c r="N116" s="329"/>
      <c r="O116" s="329"/>
      <c r="P116" s="329"/>
      <c r="Q116" s="329"/>
    </row>
    <row r="117" spans="1:17" x14ac:dyDescent="0.2">
      <c r="A117" s="332"/>
      <c r="B117" s="333"/>
      <c r="C117" s="334"/>
      <c r="D117" s="222"/>
      <c r="E117" s="222"/>
      <c r="F117" s="222"/>
      <c r="G117" s="222"/>
      <c r="H117" s="222"/>
      <c r="I117" s="222"/>
    </row>
    <row r="118" spans="1:17" x14ac:dyDescent="0.2">
      <c r="A118" s="332"/>
      <c r="B118" s="333"/>
      <c r="C118" s="334"/>
      <c r="D118" s="222"/>
      <c r="E118" s="222"/>
      <c r="F118" s="222"/>
      <c r="G118" s="222"/>
      <c r="H118" s="222"/>
      <c r="I118" s="222"/>
    </row>
    <row r="119" spans="1:17" x14ac:dyDescent="0.2">
      <c r="A119" s="332"/>
      <c r="B119" s="333"/>
      <c r="C119" s="334"/>
      <c r="D119" s="222"/>
      <c r="E119" s="222"/>
      <c r="F119" s="222"/>
      <c r="G119" s="222"/>
      <c r="H119" s="222"/>
      <c r="I119" s="222"/>
    </row>
  </sheetData>
  <sheetProtection selectLockedCells="1"/>
  <mergeCells count="38">
    <mergeCell ref="C59:L59"/>
    <mergeCell ref="J16:K16"/>
    <mergeCell ref="J17:K17"/>
    <mergeCell ref="C58:L58"/>
    <mergeCell ref="P47:Q47"/>
    <mergeCell ref="M48:N48"/>
    <mergeCell ref="P48:R48"/>
    <mergeCell ref="P49:R49"/>
    <mergeCell ref="P50:R50"/>
    <mergeCell ref="D46:I46"/>
    <mergeCell ref="H27:K28"/>
    <mergeCell ref="C1:F1"/>
    <mergeCell ref="B34:L34"/>
    <mergeCell ref="P4:Q4"/>
    <mergeCell ref="J3:L3"/>
    <mergeCell ref="J4:K4"/>
    <mergeCell ref="J5:K5"/>
    <mergeCell ref="G19:H19"/>
    <mergeCell ref="K15:L15"/>
    <mergeCell ref="K14:L14"/>
    <mergeCell ref="B20:C20"/>
    <mergeCell ref="B24:C24"/>
    <mergeCell ref="K13:L13"/>
    <mergeCell ref="N3:S3"/>
    <mergeCell ref="D14:E14"/>
    <mergeCell ref="J6:K6"/>
    <mergeCell ref="D6:H6"/>
    <mergeCell ref="U53:W54"/>
    <mergeCell ref="U48:W48"/>
    <mergeCell ref="U49:W49"/>
    <mergeCell ref="U50:W50"/>
    <mergeCell ref="U51:W51"/>
    <mergeCell ref="U52:W52"/>
    <mergeCell ref="D5:H5"/>
    <mergeCell ref="M46:P46"/>
    <mergeCell ref="P51:R51"/>
    <mergeCell ref="P52:R52"/>
    <mergeCell ref="P53:R54"/>
  </mergeCells>
  <phoneticPr fontId="23" type="noConversion"/>
  <dataValidations count="10">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type="list" allowBlank="1" showInputMessage="1" showErrorMessage="1" sqref="D4" xr:uid="{1D47EE32-C3DC-420C-AD77-FD3885D0E15A}">
      <formula1>Condition</formula1>
    </dataValidation>
    <dataValidation type="list" allowBlank="1" showInputMessage="1" sqref="D7" xr:uid="{2CAEF333-6B84-48D9-95C6-05F8D19A24BF}">
      <formula1>InspectorList</formula1>
    </dataValidation>
    <dataValidation type="list" allowBlank="1" showInputMessage="1" showErrorMessage="1" sqref="D6" xr:uid="{F763DFB6-A2F2-4F03-AA7C-A27AA0D522F2}">
      <formula1>FurnaceList</formula1>
    </dataValidation>
  </dataValidations>
  <printOptions headings="1" gridLines="1"/>
  <pageMargins left="0.75" right="0.75" top="1" bottom="1" header="0.5" footer="0.5"/>
  <pageSetup scale="72"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5099F9D0-2083-4427-8360-A8C7E04511BC}">
          <x14:formula1>
            <xm:f>'Header Info'!$CH$2:$CH$36</xm:f>
          </x14:formula1>
          <xm:sqref>E6:H6</xm:sqref>
        </x14:dataValidation>
        <x14:dataValidation type="list" allowBlank="1" showInputMessage="1" showErrorMessage="1" xr:uid="{F5F7F647-41C0-46F7-B6A4-4821594C7E87}">
          <x14:formula1>
            <xm:f>Standards_Info!$AE$2:$AE$4</xm:f>
          </x14:formula1>
          <xm:sqref>N47</xm:sqref>
        </x14:dataValidation>
        <x14:dataValidation type="list" allowBlank="1" showInputMessage="1" xr:uid="{7C68FC14-C0B8-4478-9D0C-D28543945500}">
          <x14:formula1>
            <xm:f>OFFSET('Header Info'!$CG$2,0,0,COUNTA('Header Info'!$CG:$CG),1)</xm:f>
          </x14:formula1>
          <xm:sqref>D5:H5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showFormulas="1" zoomScaleNormal="100" workbookViewId="0">
      <selection activeCell="U1" sqref="U1"/>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80" bestFit="1" customWidth="1"/>
    <col min="17" max="17" width="8.28515625" style="77" bestFit="1" customWidth="1"/>
    <col min="18" max="22" width="6" style="77" bestFit="1" customWidth="1"/>
    <col min="23" max="23" width="4.5703125" style="77" customWidth="1"/>
    <col min="24" max="31" width="6" style="77" bestFit="1" customWidth="1"/>
    <col min="32" max="32" width="9.85546875" style="83"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100</v>
      </c>
      <c r="F1" s="74"/>
      <c r="G1" s="74"/>
      <c r="H1" s="74"/>
      <c r="I1" s="74"/>
      <c r="J1" s="74"/>
      <c r="K1" s="74"/>
      <c r="L1" s="74"/>
      <c r="M1" s="74"/>
      <c r="N1" s="70"/>
      <c r="O1" s="75"/>
      <c r="P1" s="81" t="s">
        <v>103</v>
      </c>
      <c r="Q1" s="73"/>
      <c r="R1" s="74"/>
      <c r="S1" s="74"/>
      <c r="T1" s="74"/>
      <c r="U1" s="74" t="s">
        <v>101</v>
      </c>
      <c r="V1" s="74"/>
      <c r="W1" s="74"/>
      <c r="X1" s="74"/>
      <c r="Y1" s="74"/>
      <c r="Z1" s="74"/>
      <c r="AA1" s="74"/>
      <c r="AB1" s="74"/>
      <c r="AC1" s="74"/>
      <c r="AD1" s="74"/>
      <c r="AE1" s="75"/>
      <c r="AF1" s="81" t="s">
        <v>103</v>
      </c>
      <c r="AG1" s="73"/>
      <c r="AH1" s="74"/>
      <c r="AI1" s="74"/>
      <c r="AJ1" s="74" t="s">
        <v>102</v>
      </c>
      <c r="AK1" s="74"/>
      <c r="AL1" s="74"/>
      <c r="AM1" s="74"/>
      <c r="AN1" s="74"/>
      <c r="AO1" s="74"/>
      <c r="AP1" s="74"/>
      <c r="AQ1" s="74"/>
      <c r="AR1" s="74"/>
      <c r="AS1" s="75"/>
    </row>
    <row r="2" spans="1:45" s="71" customFormat="1" ht="15" x14ac:dyDescent="0.25">
      <c r="A2" s="191"/>
      <c r="B2" s="191"/>
      <c r="C2" s="191"/>
      <c r="D2" s="191"/>
      <c r="E2" s="191"/>
      <c r="F2" s="191"/>
      <c r="G2" s="191"/>
      <c r="H2" s="191"/>
      <c r="I2" s="191"/>
      <c r="J2" s="191"/>
      <c r="K2" s="188"/>
      <c r="L2"/>
      <c r="M2"/>
      <c r="N2"/>
      <c r="O2" s="62"/>
      <c r="P2" s="78"/>
      <c r="Q2"/>
      <c r="R2"/>
      <c r="S2"/>
      <c r="T2"/>
      <c r="U2"/>
      <c r="V2"/>
      <c r="W2"/>
      <c r="X2"/>
      <c r="Y2"/>
      <c r="Z2"/>
      <c r="AA2"/>
      <c r="AB2" s="124"/>
      <c r="AC2" s="124"/>
      <c r="AD2" s="62"/>
      <c r="AE2" s="62"/>
      <c r="AF2" s="82"/>
      <c r="AG2" s="124"/>
      <c r="AH2" s="124"/>
      <c r="AI2" s="124"/>
      <c r="AJ2" s="124"/>
      <c r="AK2" s="124"/>
      <c r="AL2" s="124"/>
      <c r="AM2" s="124"/>
      <c r="AN2" s="124"/>
      <c r="AO2" s="124"/>
      <c r="AP2" s="124"/>
      <c r="AQ2" s="124"/>
      <c r="AR2" s="124"/>
      <c r="AS2" s="124"/>
    </row>
    <row r="3" spans="1:45" x14ac:dyDescent="0.2">
      <c r="A3" s="188"/>
      <c r="B3" s="188"/>
      <c r="C3" s="188"/>
      <c r="D3" s="188"/>
      <c r="E3" s="188"/>
      <c r="F3" s="188"/>
      <c r="G3" s="188"/>
      <c r="H3" s="188"/>
      <c r="I3" s="188"/>
      <c r="J3" s="188"/>
      <c r="K3" s="188"/>
      <c r="L3"/>
      <c r="M3"/>
      <c r="N3"/>
      <c r="O3" s="62"/>
      <c r="P3" s="78"/>
      <c r="Q3"/>
      <c r="R3"/>
      <c r="S3"/>
      <c r="T3"/>
      <c r="U3"/>
      <c r="V3"/>
      <c r="W3"/>
      <c r="X3"/>
      <c r="Y3"/>
      <c r="Z3"/>
      <c r="AA3"/>
      <c r="AB3" s="124"/>
      <c r="AC3" s="124"/>
      <c r="AD3" s="69"/>
      <c r="AE3" s="62"/>
      <c r="AF3" s="82"/>
      <c r="AG3" s="124"/>
      <c r="AH3" s="124"/>
      <c r="AI3" s="124"/>
      <c r="AJ3" s="124"/>
      <c r="AK3" s="124"/>
      <c r="AL3" s="124"/>
      <c r="AM3" s="124"/>
      <c r="AN3" s="124"/>
      <c r="AO3" s="124"/>
      <c r="AP3" s="124"/>
      <c r="AQ3" s="124"/>
      <c r="AR3" s="124"/>
      <c r="AS3" s="124"/>
    </row>
    <row r="4" spans="1:45" ht="15" x14ac:dyDescent="0.25">
      <c r="A4" s="192"/>
      <c r="B4" s="193"/>
      <c r="C4" s="193"/>
      <c r="D4" s="193"/>
      <c r="E4" s="193"/>
      <c r="F4" s="193"/>
      <c r="G4" s="193"/>
      <c r="H4" s="193"/>
      <c r="I4" s="193"/>
      <c r="J4" s="193"/>
      <c r="K4" s="193"/>
      <c r="L4" s="193"/>
      <c r="M4" s="193"/>
      <c r="N4" s="6"/>
      <c r="O4" s="124"/>
      <c r="P4" s="79"/>
      <c r="Q4" s="176"/>
      <c r="R4" s="6"/>
      <c r="S4" s="6"/>
      <c r="T4" s="6"/>
      <c r="U4" s="6"/>
      <c r="V4" s="6"/>
      <c r="W4" s="6"/>
      <c r="X4" s="6"/>
      <c r="Y4" s="6"/>
      <c r="Z4" s="6"/>
      <c r="AA4" s="6"/>
      <c r="AB4" s="63"/>
      <c r="AC4" s="63"/>
      <c r="AD4" s="63"/>
      <c r="AE4" s="63"/>
      <c r="AF4" s="82"/>
      <c r="AG4" s="124"/>
      <c r="AH4" s="63"/>
      <c r="AI4" s="63"/>
      <c r="AJ4" s="63"/>
      <c r="AK4" s="63"/>
      <c r="AL4" s="63"/>
      <c r="AM4" s="63"/>
      <c r="AN4" s="63"/>
      <c r="AO4" s="63"/>
      <c r="AP4" s="63"/>
      <c r="AQ4" s="63"/>
      <c r="AR4" s="63"/>
      <c r="AS4" s="63"/>
    </row>
    <row r="5" spans="1:45" ht="15" x14ac:dyDescent="0.25">
      <c r="A5" s="191"/>
      <c r="B5" s="193"/>
      <c r="C5" s="193"/>
      <c r="D5" s="193"/>
      <c r="E5" s="193"/>
      <c r="F5" s="193"/>
      <c r="G5" s="193"/>
      <c r="H5" s="193"/>
      <c r="I5" s="193"/>
      <c r="J5" s="193"/>
      <c r="K5" s="193"/>
      <c r="L5" s="193"/>
      <c r="M5" s="193"/>
      <c r="N5" s="6"/>
      <c r="O5" s="124"/>
      <c r="P5" s="78"/>
      <c r="Q5" s="176"/>
      <c r="R5" s="6"/>
      <c r="S5" s="6"/>
      <c r="T5" s="6"/>
      <c r="U5" s="6"/>
      <c r="V5" s="6"/>
      <c r="W5" s="6"/>
      <c r="X5" s="6"/>
      <c r="Y5" s="6"/>
      <c r="Z5" s="6"/>
      <c r="AA5" s="6"/>
      <c r="AB5" s="63"/>
      <c r="AC5" s="63"/>
      <c r="AD5" s="63"/>
      <c r="AE5" s="63"/>
      <c r="AF5" s="82"/>
      <c r="AG5" s="126"/>
      <c r="AH5" s="63"/>
      <c r="AI5" s="63"/>
      <c r="AJ5" s="63"/>
      <c r="AK5" s="63"/>
      <c r="AL5" s="63"/>
      <c r="AM5" s="63"/>
      <c r="AN5" s="63"/>
      <c r="AO5" s="63"/>
      <c r="AP5" s="63"/>
      <c r="AQ5" s="63"/>
      <c r="AR5" s="63"/>
      <c r="AS5" s="63"/>
    </row>
    <row r="6" spans="1:45" ht="15" x14ac:dyDescent="0.25">
      <c r="A6" s="192"/>
      <c r="B6" s="193"/>
      <c r="C6" s="193"/>
      <c r="D6" s="193"/>
      <c r="E6" s="193"/>
      <c r="F6" s="193"/>
      <c r="G6" s="193"/>
      <c r="H6" s="193"/>
      <c r="I6" s="193"/>
      <c r="J6" s="193"/>
      <c r="K6" s="193"/>
      <c r="L6" s="193"/>
      <c r="M6" s="193"/>
      <c r="N6" s="6"/>
      <c r="O6" s="124"/>
      <c r="P6" s="78"/>
      <c r="Q6" s="176"/>
      <c r="R6" s="6"/>
      <c r="S6" s="6"/>
      <c r="T6" s="6"/>
      <c r="U6" s="6"/>
      <c r="V6" s="6"/>
      <c r="W6" s="6"/>
      <c r="X6" s="6"/>
      <c r="Y6" s="6"/>
      <c r="Z6" s="6"/>
      <c r="AA6" s="6"/>
      <c r="AB6" s="63"/>
      <c r="AC6" s="63"/>
      <c r="AD6" s="63"/>
      <c r="AE6" s="63"/>
      <c r="AF6" s="82"/>
      <c r="AG6" s="126"/>
      <c r="AH6" s="63"/>
      <c r="AI6" s="63"/>
      <c r="AJ6" s="63"/>
      <c r="AK6" s="63"/>
      <c r="AL6" s="63"/>
      <c r="AM6" s="63"/>
      <c r="AN6" s="63"/>
      <c r="AO6" s="63"/>
      <c r="AP6" s="63"/>
      <c r="AQ6" s="63"/>
      <c r="AR6" s="63"/>
      <c r="AS6" s="63"/>
    </row>
    <row r="7" spans="1:45" ht="15" x14ac:dyDescent="0.25">
      <c r="A7" s="191"/>
      <c r="B7" s="193"/>
      <c r="C7" s="193"/>
      <c r="D7" s="193"/>
      <c r="E7" s="193"/>
      <c r="F7" s="193"/>
      <c r="G7" s="193"/>
      <c r="H7" s="193"/>
      <c r="I7" s="193"/>
      <c r="J7" s="193"/>
      <c r="K7" s="193"/>
      <c r="L7" s="193"/>
      <c r="M7" s="193"/>
      <c r="N7" s="6"/>
      <c r="O7" s="124"/>
      <c r="P7" s="78"/>
      <c r="Q7" s="176"/>
      <c r="R7" s="6"/>
      <c r="S7" s="6"/>
      <c r="T7" s="6"/>
      <c r="U7" s="6"/>
      <c r="V7" s="6"/>
      <c r="W7" s="6"/>
      <c r="X7" s="6"/>
      <c r="Y7" s="6"/>
      <c r="Z7" s="6"/>
      <c r="AA7" s="6"/>
      <c r="AB7" s="63"/>
      <c r="AC7" s="63"/>
      <c r="AD7" s="63"/>
      <c r="AE7" s="63"/>
      <c r="AF7" s="82"/>
      <c r="AG7" s="124"/>
      <c r="AH7" s="63"/>
      <c r="AI7" s="63"/>
      <c r="AJ7" s="63"/>
      <c r="AK7" s="63"/>
      <c r="AL7" s="63"/>
      <c r="AM7" s="63"/>
      <c r="AN7" s="63"/>
      <c r="AO7" s="63"/>
      <c r="AP7" s="63"/>
      <c r="AQ7" s="63"/>
      <c r="AR7" s="63"/>
      <c r="AS7" s="63"/>
    </row>
    <row r="8" spans="1:45" ht="15" x14ac:dyDescent="0.25">
      <c r="A8" s="192"/>
      <c r="B8" s="193"/>
      <c r="C8" s="193"/>
      <c r="D8" s="193"/>
      <c r="E8" s="193"/>
      <c r="F8" s="193"/>
      <c r="G8" s="193"/>
      <c r="H8" s="193"/>
      <c r="I8" s="193"/>
      <c r="J8" s="193"/>
      <c r="K8" s="193"/>
      <c r="L8" s="193"/>
      <c r="M8" s="193"/>
      <c r="N8" s="6"/>
      <c r="O8" s="124"/>
      <c r="P8" s="78"/>
      <c r="Q8" s="176"/>
      <c r="R8" s="6"/>
      <c r="S8" s="6"/>
      <c r="T8" s="6"/>
      <c r="U8" s="6"/>
      <c r="V8" s="6"/>
      <c r="W8" s="6"/>
      <c r="X8" s="6"/>
      <c r="Y8" s="6"/>
      <c r="Z8" s="6"/>
      <c r="AA8" s="6"/>
      <c r="AB8" s="63"/>
      <c r="AC8" s="63"/>
      <c r="AD8" s="63"/>
      <c r="AE8" s="63"/>
      <c r="AF8" s="82"/>
      <c r="AG8" s="124"/>
      <c r="AH8" s="63"/>
      <c r="AI8" s="63"/>
      <c r="AJ8" s="63"/>
      <c r="AK8" s="63"/>
      <c r="AL8" s="63"/>
      <c r="AM8" s="63"/>
      <c r="AN8" s="63"/>
      <c r="AO8" s="63"/>
      <c r="AP8" s="63"/>
      <c r="AQ8" s="63"/>
      <c r="AR8" s="63"/>
      <c r="AS8" s="63"/>
    </row>
    <row r="9" spans="1:45" ht="15" x14ac:dyDescent="0.25">
      <c r="A9" s="191"/>
      <c r="B9" s="193"/>
      <c r="C9" s="193"/>
      <c r="D9" s="193"/>
      <c r="E9" s="193"/>
      <c r="F9" s="193"/>
      <c r="G9" s="193"/>
      <c r="H9" s="193"/>
      <c r="I9" s="193"/>
      <c r="J9" s="193"/>
      <c r="K9" s="193"/>
      <c r="L9" s="193"/>
      <c r="M9" s="193"/>
      <c r="N9" s="6"/>
      <c r="O9" s="124"/>
      <c r="P9" s="78"/>
      <c r="Q9" s="176"/>
      <c r="R9" s="6"/>
      <c r="S9" s="6"/>
      <c r="T9" s="6"/>
      <c r="U9" s="6"/>
      <c r="V9" s="6"/>
      <c r="W9" s="6"/>
      <c r="X9" s="6"/>
      <c r="Y9" s="6"/>
      <c r="Z9" s="6"/>
      <c r="AA9" s="6"/>
      <c r="AB9" s="63"/>
      <c r="AC9" s="63"/>
      <c r="AD9" s="63"/>
      <c r="AE9" s="63"/>
      <c r="AF9" s="82"/>
      <c r="AG9" s="126"/>
      <c r="AH9" s="63"/>
      <c r="AI9" s="63"/>
      <c r="AJ9" s="63"/>
      <c r="AK9" s="63"/>
      <c r="AL9" s="63"/>
      <c r="AM9" s="63"/>
      <c r="AN9" s="63"/>
      <c r="AO9" s="63"/>
      <c r="AP9" s="63"/>
      <c r="AQ9" s="63"/>
      <c r="AR9" s="63"/>
      <c r="AS9" s="63"/>
    </row>
    <row r="10" spans="1:45" ht="15" x14ac:dyDescent="0.25">
      <c r="A10" s="192"/>
      <c r="B10" s="193"/>
      <c r="C10" s="193"/>
      <c r="D10" s="193"/>
      <c r="E10" s="193"/>
      <c r="F10" s="193"/>
      <c r="G10" s="193"/>
      <c r="H10" s="193"/>
      <c r="I10" s="193"/>
      <c r="J10" s="193"/>
      <c r="K10" s="193"/>
      <c r="L10" s="193"/>
      <c r="M10" s="193"/>
      <c r="N10" s="6"/>
      <c r="O10" s="124"/>
      <c r="P10" s="78"/>
      <c r="Q10" s="176"/>
      <c r="R10" s="6"/>
      <c r="S10" s="6"/>
      <c r="T10" s="6"/>
      <c r="U10" s="6"/>
      <c r="V10" s="6"/>
      <c r="W10" s="6"/>
      <c r="X10" s="6"/>
      <c r="Y10" s="6"/>
      <c r="Z10" s="6"/>
      <c r="AA10" s="6"/>
      <c r="AB10" s="63"/>
      <c r="AC10" s="63"/>
      <c r="AD10" s="63"/>
      <c r="AE10" s="63"/>
      <c r="AF10" s="82"/>
      <c r="AG10" s="124"/>
      <c r="AH10" s="63"/>
      <c r="AI10" s="63"/>
      <c r="AJ10" s="63"/>
      <c r="AK10" s="63"/>
      <c r="AL10" s="63"/>
      <c r="AM10" s="63"/>
      <c r="AN10" s="63"/>
      <c r="AO10" s="63"/>
      <c r="AP10" s="63"/>
      <c r="AQ10" s="63"/>
      <c r="AR10" s="63"/>
      <c r="AS10" s="63"/>
    </row>
    <row r="11" spans="1:45" ht="15" x14ac:dyDescent="0.25">
      <c r="A11" s="191"/>
      <c r="B11" s="193"/>
      <c r="C11" s="193"/>
      <c r="D11" s="193"/>
      <c r="E11" s="193"/>
      <c r="F11" s="193"/>
      <c r="G11" s="193"/>
      <c r="H11" s="193"/>
      <c r="I11" s="193"/>
      <c r="J11" s="193"/>
      <c r="K11" s="193"/>
      <c r="L11" s="193"/>
      <c r="M11" s="193"/>
      <c r="N11" s="6"/>
      <c r="O11" s="124"/>
      <c r="P11" s="78"/>
      <c r="Q11" s="176"/>
      <c r="R11" s="6"/>
      <c r="S11" s="6"/>
      <c r="T11" s="6"/>
      <c r="U11" s="6"/>
      <c r="V11" s="6"/>
      <c r="W11" s="6"/>
      <c r="X11" s="6"/>
      <c r="Y11" s="6"/>
      <c r="Z11" s="6"/>
      <c r="AA11" s="6"/>
      <c r="AB11" s="63"/>
      <c r="AC11" s="63"/>
      <c r="AD11" s="63"/>
      <c r="AE11" s="63"/>
      <c r="AF11" s="82"/>
      <c r="AG11" s="124"/>
      <c r="AH11" s="63"/>
      <c r="AI11" s="63"/>
      <c r="AJ11" s="63"/>
      <c r="AK11" s="63"/>
      <c r="AL11" s="63"/>
      <c r="AM11" s="63"/>
      <c r="AN11" s="63"/>
      <c r="AO11" s="63"/>
      <c r="AP11" s="63"/>
      <c r="AQ11" s="63"/>
      <c r="AR11" s="63"/>
      <c r="AS11" s="63"/>
    </row>
    <row r="12" spans="1:45" ht="15" x14ac:dyDescent="0.25">
      <c r="A12" s="192"/>
      <c r="B12" s="193"/>
      <c r="C12" s="193"/>
      <c r="D12" s="193"/>
      <c r="E12" s="193"/>
      <c r="F12" s="193"/>
      <c r="G12" s="193"/>
      <c r="H12" s="193"/>
      <c r="I12" s="193"/>
      <c r="J12" s="193"/>
      <c r="K12" s="193"/>
      <c r="L12" s="193"/>
      <c r="M12" s="193"/>
      <c r="N12" s="6"/>
      <c r="O12" s="124"/>
      <c r="P12" s="78"/>
      <c r="Q12" s="176"/>
      <c r="R12" s="6"/>
      <c r="S12" s="6"/>
      <c r="T12" s="6"/>
      <c r="U12" s="6"/>
      <c r="V12" s="6"/>
      <c r="W12" s="6"/>
      <c r="X12" s="6"/>
      <c r="Y12" s="6"/>
      <c r="Z12" s="6"/>
      <c r="AA12" s="6"/>
      <c r="AB12" s="63"/>
      <c r="AC12" s="63"/>
      <c r="AD12" s="63"/>
      <c r="AE12" s="63"/>
      <c r="AF12" s="82"/>
      <c r="AG12" s="124"/>
      <c r="AH12" s="63"/>
      <c r="AI12" s="63"/>
      <c r="AJ12" s="63"/>
      <c r="AK12" s="63"/>
      <c r="AL12" s="63"/>
      <c r="AM12" s="63"/>
      <c r="AN12" s="63"/>
      <c r="AO12" s="63"/>
      <c r="AP12" s="63"/>
      <c r="AQ12" s="63"/>
      <c r="AR12" s="63"/>
      <c r="AS12" s="63"/>
    </row>
    <row r="13" spans="1:45" ht="15" x14ac:dyDescent="0.25">
      <c r="A13" s="191"/>
      <c r="B13" s="193"/>
      <c r="C13" s="193"/>
      <c r="D13" s="193"/>
      <c r="E13" s="193"/>
      <c r="F13" s="193"/>
      <c r="G13" s="193"/>
      <c r="H13" s="193"/>
      <c r="I13" s="193"/>
      <c r="J13" s="193"/>
      <c r="K13" s="193"/>
      <c r="L13" s="193"/>
      <c r="M13" s="193"/>
      <c r="N13" s="6"/>
      <c r="O13" s="124"/>
      <c r="P13" s="78"/>
      <c r="Q13" s="176"/>
      <c r="R13" s="6"/>
      <c r="S13" s="6"/>
      <c r="T13" s="6"/>
      <c r="U13" s="6"/>
      <c r="V13" s="6"/>
      <c r="W13" s="6"/>
      <c r="X13" s="6"/>
      <c r="Y13" s="6"/>
      <c r="Z13" s="6"/>
      <c r="AA13" s="6"/>
      <c r="AB13" s="63"/>
      <c r="AC13" s="63"/>
      <c r="AD13" s="63"/>
      <c r="AE13" s="63"/>
      <c r="AF13" s="82"/>
      <c r="AG13" s="124"/>
      <c r="AH13" s="63"/>
      <c r="AI13" s="63"/>
      <c r="AJ13" s="63"/>
      <c r="AK13" s="63"/>
      <c r="AL13" s="63"/>
      <c r="AM13" s="63"/>
      <c r="AN13" s="63"/>
      <c r="AO13" s="63"/>
      <c r="AP13" s="63"/>
      <c r="AQ13" s="63"/>
      <c r="AR13" s="63"/>
      <c r="AS13" s="63"/>
    </row>
    <row r="14" spans="1:45" ht="15" x14ac:dyDescent="0.25">
      <c r="A14" s="192"/>
      <c r="B14" s="193"/>
      <c r="C14" s="193"/>
      <c r="D14" s="193"/>
      <c r="E14" s="193"/>
      <c r="F14" s="193"/>
      <c r="G14" s="193"/>
      <c r="H14" s="193"/>
      <c r="I14" s="193"/>
      <c r="J14" s="193"/>
      <c r="K14" s="193"/>
      <c r="L14" s="193"/>
      <c r="M14" s="193"/>
      <c r="N14" s="6"/>
      <c r="O14" s="124"/>
      <c r="P14" s="78"/>
      <c r="Q14" s="176"/>
      <c r="R14" s="6"/>
      <c r="S14" s="6"/>
      <c r="T14" s="6"/>
      <c r="U14" s="6"/>
      <c r="V14" s="6"/>
      <c r="W14" s="6"/>
      <c r="X14" s="6"/>
      <c r="Y14" s="6"/>
      <c r="Z14" s="6"/>
      <c r="AA14" s="6"/>
      <c r="AB14" s="63"/>
      <c r="AC14" s="63"/>
      <c r="AD14" s="63"/>
      <c r="AE14" s="63"/>
      <c r="AF14" s="82"/>
      <c r="AG14" s="124"/>
      <c r="AH14" s="63"/>
      <c r="AI14" s="63"/>
      <c r="AJ14" s="63"/>
      <c r="AK14" s="63"/>
      <c r="AL14" s="63"/>
      <c r="AM14" s="63"/>
      <c r="AN14" s="63"/>
      <c r="AO14" s="63"/>
      <c r="AP14" s="63"/>
      <c r="AQ14" s="63"/>
      <c r="AR14" s="63"/>
      <c r="AS14" s="63"/>
    </row>
    <row r="15" spans="1:45" ht="15" x14ac:dyDescent="0.25">
      <c r="A15" s="191"/>
      <c r="B15" s="193"/>
      <c r="C15" s="193"/>
      <c r="D15" s="193"/>
      <c r="E15" s="193"/>
      <c r="F15" s="193"/>
      <c r="G15" s="193"/>
      <c r="H15" s="193"/>
      <c r="I15" s="193"/>
      <c r="J15" s="193"/>
      <c r="K15" s="193"/>
      <c r="L15" s="193"/>
      <c r="M15" s="193"/>
      <c r="N15" s="6"/>
      <c r="O15" s="124"/>
      <c r="P15" s="78"/>
      <c r="Q15" s="176"/>
      <c r="R15" s="6"/>
      <c r="S15" s="6"/>
      <c r="T15" s="6"/>
      <c r="U15" s="6"/>
      <c r="V15" s="6"/>
      <c r="W15" s="6"/>
      <c r="X15" s="6"/>
      <c r="Y15" s="6"/>
      <c r="Z15" s="6"/>
      <c r="AA15" s="6"/>
      <c r="AB15" s="63"/>
      <c r="AC15" s="63"/>
      <c r="AD15" s="63"/>
      <c r="AE15" s="63"/>
      <c r="AF15" s="82"/>
      <c r="AG15" s="126"/>
      <c r="AH15" s="63"/>
      <c r="AI15" s="63"/>
      <c r="AJ15" s="63"/>
      <c r="AK15" s="63"/>
      <c r="AL15" s="63"/>
      <c r="AM15" s="63"/>
      <c r="AN15" s="63"/>
      <c r="AO15" s="63"/>
      <c r="AP15" s="63"/>
      <c r="AQ15" s="63"/>
      <c r="AR15" s="63"/>
      <c r="AS15" s="63"/>
    </row>
    <row r="16" spans="1:45" ht="15" x14ac:dyDescent="0.25">
      <c r="A16" s="192"/>
      <c r="B16" s="193"/>
      <c r="C16" s="193"/>
      <c r="D16" s="193"/>
      <c r="E16" s="193"/>
      <c r="F16" s="193"/>
      <c r="G16" s="193"/>
      <c r="H16" s="193"/>
      <c r="I16" s="193"/>
      <c r="J16" s="193"/>
      <c r="K16" s="193"/>
      <c r="L16" s="193"/>
      <c r="M16" s="193"/>
      <c r="N16" s="6"/>
      <c r="O16" s="124"/>
      <c r="P16" s="78"/>
      <c r="Q16" s="176"/>
      <c r="R16" s="6"/>
      <c r="S16" s="6"/>
      <c r="T16" s="6"/>
      <c r="U16" s="6"/>
      <c r="V16" s="6"/>
      <c r="W16" s="6"/>
      <c r="X16" s="6"/>
      <c r="Y16" s="6"/>
      <c r="Z16" s="6"/>
      <c r="AA16" s="6"/>
      <c r="AB16" s="63"/>
      <c r="AC16" s="63"/>
      <c r="AD16" s="63"/>
      <c r="AE16" s="63"/>
      <c r="AF16" s="82"/>
      <c r="AG16" s="124"/>
      <c r="AH16" s="63"/>
      <c r="AI16" s="63"/>
      <c r="AJ16" s="63"/>
      <c r="AK16" s="63"/>
      <c r="AL16" s="63"/>
      <c r="AM16" s="63"/>
      <c r="AN16" s="63"/>
      <c r="AO16" s="63"/>
      <c r="AP16" s="63"/>
      <c r="AQ16" s="63"/>
      <c r="AR16" s="63"/>
      <c r="AS16" s="63"/>
    </row>
    <row r="17" spans="1:45" ht="15" x14ac:dyDescent="0.25">
      <c r="A17" s="191"/>
      <c r="B17" s="193"/>
      <c r="C17" s="193"/>
      <c r="D17" s="193"/>
      <c r="E17" s="193"/>
      <c r="F17" s="193"/>
      <c r="G17" s="193"/>
      <c r="H17" s="193"/>
      <c r="I17" s="193"/>
      <c r="J17" s="193"/>
      <c r="K17" s="193"/>
      <c r="L17" s="193"/>
      <c r="M17" s="193"/>
      <c r="N17" s="6"/>
      <c r="O17" s="124"/>
      <c r="P17" s="78"/>
      <c r="Q17" s="176"/>
      <c r="R17" s="6"/>
      <c r="S17" s="6"/>
      <c r="T17" s="6"/>
      <c r="U17" s="6"/>
      <c r="V17" s="6"/>
      <c r="W17" s="6"/>
      <c r="X17" s="6"/>
      <c r="Y17" s="6"/>
      <c r="Z17" s="6"/>
      <c r="AA17" s="6"/>
      <c r="AB17" s="63"/>
      <c r="AC17" s="63"/>
      <c r="AD17" s="63"/>
      <c r="AE17" s="63"/>
      <c r="AF17" s="82"/>
      <c r="AG17" s="124"/>
      <c r="AH17" s="63"/>
      <c r="AI17" s="63"/>
      <c r="AJ17" s="63"/>
      <c r="AK17" s="63"/>
      <c r="AL17" s="63"/>
      <c r="AM17" s="63"/>
      <c r="AN17" s="63"/>
      <c r="AO17" s="63"/>
      <c r="AP17" s="63"/>
      <c r="AQ17" s="63"/>
      <c r="AR17" s="63"/>
      <c r="AS17" s="63"/>
    </row>
    <row r="18" spans="1:45" ht="15" x14ac:dyDescent="0.25">
      <c r="A18" s="192"/>
      <c r="B18" s="193"/>
      <c r="C18" s="193"/>
      <c r="D18" s="193"/>
      <c r="E18" s="193"/>
      <c r="F18" s="193"/>
      <c r="G18" s="193"/>
      <c r="H18" s="193"/>
      <c r="I18" s="193"/>
      <c r="J18" s="193"/>
      <c r="K18" s="193"/>
      <c r="L18" s="193"/>
      <c r="M18" s="193"/>
      <c r="N18" s="6"/>
      <c r="O18" s="124"/>
      <c r="P18" s="78"/>
      <c r="Q18" s="176"/>
      <c r="R18" s="6"/>
      <c r="S18" s="6"/>
      <c r="T18" s="6"/>
      <c r="U18" s="6"/>
      <c r="V18" s="6"/>
      <c r="W18" s="6"/>
      <c r="X18" s="6"/>
      <c r="Y18" s="6"/>
      <c r="Z18" s="6"/>
      <c r="AA18" s="6"/>
      <c r="AB18" s="63"/>
      <c r="AC18" s="63"/>
      <c r="AD18" s="63"/>
      <c r="AE18" s="63"/>
      <c r="AF18" s="82"/>
      <c r="AG18" s="124"/>
      <c r="AH18" s="63"/>
      <c r="AI18" s="63"/>
      <c r="AJ18" s="63"/>
      <c r="AK18" s="63"/>
      <c r="AL18" s="63"/>
      <c r="AM18" s="63"/>
      <c r="AN18" s="63"/>
      <c r="AO18" s="63"/>
      <c r="AP18" s="63"/>
      <c r="AQ18" s="63"/>
      <c r="AR18" s="63"/>
      <c r="AS18" s="63"/>
    </row>
    <row r="19" spans="1:45" ht="15" x14ac:dyDescent="0.25">
      <c r="A19" s="191"/>
      <c r="B19" s="193"/>
      <c r="C19" s="193"/>
      <c r="D19" s="193"/>
      <c r="E19" s="193"/>
      <c r="F19" s="193"/>
      <c r="G19" s="193"/>
      <c r="H19" s="193"/>
      <c r="I19" s="193"/>
      <c r="J19" s="193"/>
      <c r="K19" s="193"/>
      <c r="L19" s="193"/>
      <c r="M19" s="193"/>
      <c r="N19" s="6"/>
      <c r="O19" s="124"/>
      <c r="P19" s="78"/>
      <c r="Q19" s="176"/>
      <c r="R19" s="6"/>
      <c r="S19" s="6"/>
      <c r="T19" s="6"/>
      <c r="U19" s="6"/>
      <c r="V19" s="6"/>
      <c r="W19" s="6"/>
      <c r="X19" s="6"/>
      <c r="Y19" s="6"/>
      <c r="Z19" s="6"/>
      <c r="AA19" s="6"/>
      <c r="AB19" s="63"/>
      <c r="AC19" s="63"/>
      <c r="AD19" s="63"/>
      <c r="AE19" s="63"/>
      <c r="AF19" s="82"/>
      <c r="AG19" s="124"/>
      <c r="AH19" s="63"/>
      <c r="AI19" s="63"/>
      <c r="AJ19" s="63"/>
      <c r="AK19" s="63"/>
      <c r="AL19" s="63"/>
      <c r="AM19" s="63"/>
      <c r="AN19" s="63"/>
      <c r="AO19" s="63"/>
      <c r="AP19" s="63"/>
      <c r="AQ19" s="63"/>
      <c r="AR19" s="63"/>
      <c r="AS19" s="63"/>
    </row>
    <row r="20" spans="1:45" ht="15" x14ac:dyDescent="0.25">
      <c r="A20" s="189"/>
      <c r="B20" s="193"/>
      <c r="C20" s="193"/>
      <c r="D20" s="193"/>
      <c r="E20" s="193"/>
      <c r="F20" s="193"/>
      <c r="G20" s="193"/>
      <c r="H20" s="193"/>
      <c r="I20" s="193"/>
      <c r="J20" s="193"/>
      <c r="K20" s="193"/>
      <c r="L20" s="193"/>
      <c r="M20" s="193"/>
      <c r="N20" s="124"/>
      <c r="O20" s="124"/>
      <c r="P20" s="78"/>
      <c r="Q20" s="124"/>
      <c r="R20" s="124"/>
      <c r="S20" s="124"/>
      <c r="T20" s="124"/>
      <c r="U20" s="124"/>
      <c r="V20" s="124"/>
      <c r="W20" s="124"/>
      <c r="X20" s="124"/>
      <c r="Y20" s="124"/>
      <c r="Z20" s="124"/>
      <c r="AA20" s="124"/>
      <c r="AB20" s="63"/>
      <c r="AC20" s="63"/>
      <c r="AD20" s="63"/>
      <c r="AE20" s="63"/>
      <c r="AF20" s="82"/>
      <c r="AG20" s="124"/>
      <c r="AH20" s="63"/>
      <c r="AI20" s="63"/>
      <c r="AJ20" s="63"/>
      <c r="AK20" s="63"/>
      <c r="AL20" s="63"/>
      <c r="AM20" s="63"/>
      <c r="AN20" s="63"/>
      <c r="AO20" s="63"/>
      <c r="AP20" s="63"/>
      <c r="AQ20" s="63"/>
      <c r="AR20" s="63"/>
      <c r="AS20" s="63"/>
    </row>
    <row r="21" spans="1:45" ht="15" x14ac:dyDescent="0.25">
      <c r="A21" s="189"/>
      <c r="B21" s="193"/>
      <c r="C21" s="193"/>
      <c r="D21" s="193"/>
      <c r="E21" s="193"/>
      <c r="F21" s="193"/>
      <c r="G21" s="193"/>
      <c r="H21" s="193"/>
      <c r="I21" s="193"/>
      <c r="J21" s="193"/>
      <c r="K21" s="193"/>
      <c r="L21" s="193"/>
      <c r="M21" s="193"/>
      <c r="N21" s="124"/>
      <c r="O21" s="124"/>
      <c r="P21" s="78"/>
      <c r="Q21" s="124"/>
      <c r="R21" s="124"/>
      <c r="S21" s="124"/>
      <c r="T21" s="124"/>
      <c r="U21" s="124"/>
      <c r="V21" s="124"/>
      <c r="W21" s="124"/>
      <c r="X21" s="124"/>
      <c r="Y21" s="124"/>
      <c r="Z21" s="124"/>
      <c r="AA21" s="124"/>
      <c r="AB21" s="63"/>
      <c r="AC21" s="63"/>
      <c r="AD21" s="63"/>
      <c r="AE21" s="63"/>
      <c r="AF21" s="82"/>
      <c r="AG21" s="124"/>
      <c r="AH21" s="63"/>
      <c r="AI21" s="63"/>
      <c r="AJ21" s="63"/>
      <c r="AK21" s="63"/>
      <c r="AL21" s="63"/>
      <c r="AM21" s="63"/>
      <c r="AN21" s="63"/>
      <c r="AO21" s="63"/>
      <c r="AP21" s="63"/>
      <c r="AQ21" s="63"/>
      <c r="AR21" s="63"/>
      <c r="AS21" s="63"/>
    </row>
    <row r="22" spans="1:45" ht="15" x14ac:dyDescent="0.25">
      <c r="A22" s="189"/>
      <c r="B22" s="193"/>
      <c r="C22" s="193"/>
      <c r="D22" s="193"/>
      <c r="E22" s="193"/>
      <c r="F22" s="193"/>
      <c r="G22" s="193"/>
      <c r="H22" s="193"/>
      <c r="I22" s="193"/>
      <c r="J22" s="193"/>
      <c r="K22" s="193"/>
      <c r="L22" s="193"/>
      <c r="M22" s="193"/>
      <c r="N22" s="124"/>
      <c r="O22" s="124"/>
      <c r="P22" s="78"/>
      <c r="Q22" s="124"/>
      <c r="R22" s="124"/>
      <c r="S22" s="124"/>
      <c r="T22" s="124"/>
      <c r="U22" s="124"/>
      <c r="V22" s="124"/>
      <c r="W22" s="124"/>
      <c r="X22" s="124"/>
      <c r="Y22" s="124"/>
      <c r="Z22" s="124"/>
      <c r="AA22" s="124"/>
      <c r="AB22" s="63"/>
      <c r="AC22" s="63"/>
      <c r="AD22" s="63"/>
      <c r="AE22" s="63"/>
      <c r="AF22" s="82"/>
      <c r="AG22" s="124"/>
      <c r="AH22" s="63"/>
      <c r="AI22" s="63"/>
      <c r="AJ22" s="63"/>
      <c r="AK22" s="63"/>
      <c r="AL22" s="63"/>
      <c r="AM22" s="63"/>
      <c r="AN22" s="63"/>
      <c r="AO22" s="63"/>
      <c r="AP22" s="63"/>
      <c r="AQ22" s="63"/>
      <c r="AR22" s="63"/>
      <c r="AS22" s="63"/>
    </row>
    <row r="23" spans="1:45" ht="15" x14ac:dyDescent="0.25">
      <c r="A23" s="189"/>
      <c r="B23" s="193"/>
      <c r="C23" s="193"/>
      <c r="D23" s="193"/>
      <c r="E23" s="193"/>
      <c r="F23" s="193"/>
      <c r="G23" s="193"/>
      <c r="H23" s="193"/>
      <c r="I23" s="193"/>
      <c r="J23" s="193"/>
      <c r="K23" s="193"/>
      <c r="L23" s="193"/>
      <c r="M23" s="193"/>
      <c r="N23" s="124"/>
      <c r="O23" s="124"/>
      <c r="P23" s="78"/>
      <c r="Q23" s="124"/>
      <c r="R23" s="124"/>
      <c r="S23" s="124"/>
      <c r="T23" s="124"/>
      <c r="U23" s="124"/>
      <c r="V23" s="124"/>
      <c r="W23" s="124"/>
      <c r="X23" s="124"/>
      <c r="Y23" s="124"/>
      <c r="Z23" s="124"/>
      <c r="AA23" s="124"/>
      <c r="AB23" s="63"/>
      <c r="AC23" s="63"/>
      <c r="AD23" s="63"/>
      <c r="AE23" s="63"/>
      <c r="AF23" s="82"/>
      <c r="AG23" s="124"/>
      <c r="AH23" s="63"/>
      <c r="AI23" s="63"/>
      <c r="AJ23" s="63"/>
      <c r="AK23" s="63"/>
      <c r="AL23" s="63"/>
      <c r="AM23" s="63"/>
      <c r="AN23" s="63"/>
      <c r="AO23" s="63"/>
      <c r="AP23" s="63"/>
      <c r="AQ23" s="63"/>
      <c r="AR23" s="63"/>
      <c r="AS23" s="63"/>
    </row>
    <row r="24" spans="1:45" ht="15" x14ac:dyDescent="0.25">
      <c r="A24" s="189"/>
      <c r="B24" s="193"/>
      <c r="C24" s="193"/>
      <c r="D24" s="193"/>
      <c r="E24" s="193"/>
      <c r="F24" s="193"/>
      <c r="G24" s="193"/>
      <c r="H24" s="193"/>
      <c r="I24" s="193"/>
      <c r="J24" s="193"/>
      <c r="K24" s="193"/>
      <c r="L24" s="193"/>
      <c r="M24" s="193"/>
      <c r="N24" s="124"/>
      <c r="O24" s="124"/>
      <c r="P24" s="78"/>
      <c r="Q24" s="124"/>
      <c r="R24" s="124"/>
      <c r="S24" s="124"/>
      <c r="T24" s="124"/>
      <c r="U24" s="124"/>
      <c r="V24" s="124"/>
      <c r="W24" s="124"/>
      <c r="X24" s="124"/>
      <c r="Y24" s="124"/>
      <c r="Z24" s="124"/>
      <c r="AA24" s="124"/>
      <c r="AB24" s="63"/>
      <c r="AC24" s="63"/>
      <c r="AD24" s="63"/>
      <c r="AE24" s="63"/>
      <c r="AF24" s="82"/>
      <c r="AG24" s="124"/>
      <c r="AH24" s="63"/>
      <c r="AI24" s="63"/>
      <c r="AJ24" s="63"/>
      <c r="AK24" s="63"/>
      <c r="AL24" s="63"/>
      <c r="AM24" s="63"/>
      <c r="AN24" s="63"/>
      <c r="AO24" s="63"/>
      <c r="AP24" s="63"/>
      <c r="AQ24" s="63"/>
      <c r="AR24" s="63"/>
      <c r="AS24" s="63"/>
    </row>
    <row r="25" spans="1:45" ht="15" x14ac:dyDescent="0.25">
      <c r="A25" s="190"/>
      <c r="B25" s="193"/>
      <c r="C25" s="193"/>
      <c r="D25" s="193"/>
      <c r="E25" s="193"/>
      <c r="F25" s="193"/>
      <c r="G25" s="193"/>
      <c r="H25" s="193"/>
      <c r="I25" s="193"/>
      <c r="J25" s="193"/>
      <c r="K25" s="193"/>
      <c r="L25" s="193"/>
      <c r="M25" s="193"/>
      <c r="N25" s="124"/>
      <c r="O25" s="124"/>
      <c r="P25" s="78"/>
      <c r="Q25" s="127"/>
      <c r="R25" s="124"/>
      <c r="S25" s="124"/>
      <c r="T25" s="124"/>
      <c r="U25" s="124"/>
      <c r="V25" s="124"/>
      <c r="W25" s="124"/>
      <c r="X25" s="124"/>
      <c r="Y25" s="124"/>
      <c r="Z25" s="124"/>
      <c r="AA25" s="124"/>
      <c r="AB25" s="63"/>
      <c r="AC25" s="63"/>
      <c r="AD25" s="63"/>
      <c r="AE25" s="63"/>
      <c r="AF25" s="82"/>
      <c r="AG25" s="124"/>
      <c r="AH25" s="63"/>
      <c r="AI25" s="63"/>
      <c r="AJ25" s="63"/>
      <c r="AK25" s="63"/>
      <c r="AL25" s="63"/>
      <c r="AM25" s="63"/>
      <c r="AN25" s="63"/>
      <c r="AO25" s="63"/>
      <c r="AP25" s="63"/>
      <c r="AQ25" s="63"/>
      <c r="AR25" s="63"/>
      <c r="AS25" s="63"/>
    </row>
    <row r="26" spans="1:45" ht="15" x14ac:dyDescent="0.25">
      <c r="A26" s="190"/>
      <c r="B26" s="193"/>
      <c r="C26" s="193"/>
      <c r="D26" s="193"/>
      <c r="E26" s="193"/>
      <c r="F26" s="193"/>
      <c r="G26" s="193"/>
      <c r="H26" s="193"/>
      <c r="I26" s="193"/>
      <c r="J26" s="193"/>
      <c r="K26" s="193"/>
      <c r="L26" s="193"/>
      <c r="M26" s="193"/>
      <c r="N26" s="124"/>
      <c r="O26" s="124"/>
      <c r="P26" s="78"/>
      <c r="Q26" s="127"/>
      <c r="R26" s="124"/>
      <c r="S26" s="124"/>
      <c r="T26" s="124"/>
      <c r="U26" s="124"/>
      <c r="V26" s="124"/>
      <c r="W26" s="124"/>
      <c r="X26" s="124"/>
      <c r="Y26" s="124"/>
      <c r="Z26" s="124"/>
      <c r="AA26" s="124"/>
      <c r="AB26" s="63"/>
      <c r="AC26" s="63"/>
      <c r="AD26" s="63"/>
      <c r="AE26" s="63"/>
      <c r="AF26" s="82"/>
      <c r="AG26" s="124"/>
      <c r="AH26" s="63"/>
      <c r="AI26" s="63"/>
      <c r="AJ26" s="63"/>
      <c r="AK26" s="63"/>
      <c r="AL26" s="63"/>
      <c r="AM26" s="63"/>
      <c r="AN26" s="63"/>
      <c r="AO26" s="63"/>
      <c r="AP26" s="63"/>
      <c r="AQ26" s="63"/>
      <c r="AR26" s="63"/>
      <c r="AS26" s="63"/>
    </row>
    <row r="27" spans="1:45" ht="15" x14ac:dyDescent="0.25">
      <c r="A27" s="189"/>
      <c r="B27" s="189"/>
      <c r="C27" s="189"/>
      <c r="D27" s="189"/>
      <c r="E27" s="189"/>
      <c r="F27" s="189"/>
      <c r="G27" s="189"/>
      <c r="H27" s="189"/>
      <c r="I27" s="189"/>
      <c r="J27" s="189"/>
      <c r="K27" s="189"/>
      <c r="L27" s="124"/>
      <c r="M27" s="124"/>
      <c r="N27" s="69"/>
      <c r="O27" s="124"/>
      <c r="P27" s="78"/>
      <c r="Q27" s="124"/>
      <c r="R27" s="124"/>
      <c r="S27" s="124"/>
      <c r="T27" s="124"/>
      <c r="U27" s="124"/>
      <c r="V27" s="124"/>
      <c r="W27" s="124"/>
      <c r="X27" s="124"/>
      <c r="Y27" s="124"/>
      <c r="Z27" s="124"/>
      <c r="AA27" s="124"/>
      <c r="AB27" s="63"/>
      <c r="AC27" s="63"/>
      <c r="AD27" s="63"/>
      <c r="AE27" s="63"/>
      <c r="AF27" s="82"/>
      <c r="AG27" s="127"/>
      <c r="AH27" s="63"/>
      <c r="AI27" s="63"/>
      <c r="AJ27" s="63"/>
      <c r="AK27" s="63"/>
      <c r="AL27" s="63"/>
      <c r="AM27" s="63"/>
      <c r="AN27" s="63"/>
      <c r="AO27" s="63"/>
      <c r="AP27" s="63"/>
      <c r="AQ27" s="63"/>
      <c r="AR27" s="63"/>
      <c r="AS27" s="63"/>
    </row>
    <row r="28" spans="1:45" ht="15" x14ac:dyDescent="0.25">
      <c r="A28" s="124"/>
      <c r="B28" s="124"/>
      <c r="C28" s="124"/>
      <c r="D28" s="124"/>
      <c r="E28" s="124"/>
      <c r="F28" s="124"/>
      <c r="G28" s="124"/>
      <c r="H28" s="124"/>
      <c r="I28" s="124"/>
      <c r="J28" s="124"/>
      <c r="K28" s="124"/>
      <c r="L28" s="124"/>
      <c r="M28" s="124"/>
      <c r="N28" s="69"/>
      <c r="O28" s="124"/>
      <c r="P28" s="78"/>
      <c r="Q28" s="124"/>
      <c r="R28" s="124"/>
      <c r="S28" s="124"/>
      <c r="T28" s="124"/>
      <c r="U28" s="124"/>
      <c r="V28" s="124"/>
      <c r="W28" s="124"/>
      <c r="X28" s="124"/>
      <c r="Y28" s="124"/>
      <c r="Z28" s="124"/>
      <c r="AA28" s="124"/>
      <c r="AB28" s="63"/>
      <c r="AC28" s="63"/>
      <c r="AD28" s="63"/>
      <c r="AE28" s="63"/>
      <c r="AF28" s="82"/>
      <c r="AG28" s="127"/>
      <c r="AH28" s="63"/>
      <c r="AI28" s="63"/>
      <c r="AJ28" s="63"/>
      <c r="AK28" s="63"/>
      <c r="AL28" s="63"/>
      <c r="AM28" s="63"/>
      <c r="AN28" s="63"/>
      <c r="AO28" s="63"/>
      <c r="AP28" s="63"/>
      <c r="AQ28" s="63"/>
      <c r="AR28" s="63"/>
      <c r="AS28" s="63"/>
    </row>
    <row r="29" spans="1:45" ht="15" x14ac:dyDescent="0.25">
      <c r="A29" s="124"/>
      <c r="B29" s="124"/>
      <c r="C29" s="124"/>
      <c r="D29" s="124"/>
      <c r="E29" s="124"/>
      <c r="F29" s="124"/>
      <c r="G29" s="124"/>
      <c r="H29" s="124"/>
      <c r="I29" s="124"/>
      <c r="J29" s="124"/>
      <c r="K29" s="124"/>
      <c r="L29" s="124"/>
      <c r="M29" s="124"/>
      <c r="N29" s="69"/>
      <c r="O29" s="124"/>
      <c r="P29" s="78"/>
      <c r="Q29" s="124"/>
      <c r="R29" s="124"/>
      <c r="S29" s="124"/>
      <c r="T29" s="124"/>
      <c r="U29" s="124"/>
      <c r="V29" s="124"/>
      <c r="W29" s="124"/>
      <c r="X29" s="124"/>
      <c r="Y29" s="124"/>
      <c r="Z29" s="124"/>
      <c r="AA29" s="124"/>
      <c r="AB29" s="63"/>
      <c r="AC29" s="63"/>
      <c r="AD29" s="63"/>
      <c r="AE29" s="63"/>
      <c r="AF29" s="82"/>
      <c r="AG29" s="124"/>
      <c r="AH29" s="63"/>
      <c r="AI29" s="63"/>
      <c r="AJ29" s="63"/>
      <c r="AK29" s="63"/>
      <c r="AL29" s="63"/>
      <c r="AM29" s="63"/>
      <c r="AN29" s="63"/>
      <c r="AO29" s="63"/>
      <c r="AP29" s="63"/>
      <c r="AQ29" s="63"/>
      <c r="AR29" s="63"/>
      <c r="AS29" s="63"/>
    </row>
    <row r="30" spans="1:45" ht="15" x14ac:dyDescent="0.25">
      <c r="A30" s="124"/>
      <c r="B30" s="124"/>
      <c r="C30" s="124"/>
      <c r="D30" s="124"/>
      <c r="E30" s="124"/>
      <c r="F30" s="124"/>
      <c r="G30" s="124"/>
      <c r="H30" s="124"/>
      <c r="I30" s="124"/>
      <c r="J30" s="124"/>
      <c r="K30" s="124"/>
      <c r="L30" s="124"/>
      <c r="M30" s="124"/>
      <c r="N30" s="69"/>
      <c r="O30" s="124"/>
      <c r="P30" s="78"/>
      <c r="Q30" s="124"/>
      <c r="R30" s="124"/>
      <c r="S30" s="124"/>
      <c r="T30" s="124"/>
      <c r="U30" s="124"/>
      <c r="V30" s="124"/>
      <c r="W30" s="124"/>
      <c r="X30" s="124"/>
      <c r="Y30" s="124"/>
      <c r="Z30" s="124"/>
      <c r="AA30" s="124"/>
      <c r="AB30" s="63"/>
      <c r="AC30" s="63"/>
      <c r="AD30" s="63"/>
      <c r="AE30" s="63"/>
      <c r="AF30" s="82"/>
      <c r="AG30" s="124"/>
      <c r="AH30" s="63"/>
      <c r="AI30" s="63"/>
      <c r="AJ30" s="63"/>
      <c r="AK30" s="63"/>
      <c r="AL30" s="63"/>
      <c r="AM30" s="63"/>
      <c r="AN30" s="63"/>
      <c r="AO30" s="63"/>
      <c r="AP30" s="63"/>
      <c r="AQ30" s="63"/>
      <c r="AR30" s="63"/>
      <c r="AS30" s="63"/>
    </row>
    <row r="31" spans="1:45" ht="15" x14ac:dyDescent="0.25">
      <c r="A31" s="124"/>
      <c r="B31" s="124"/>
      <c r="C31" s="124"/>
      <c r="D31" s="124"/>
      <c r="E31" s="124"/>
      <c r="F31" s="124"/>
      <c r="G31" s="124"/>
      <c r="H31" s="124"/>
      <c r="I31" s="124"/>
      <c r="J31" s="124"/>
      <c r="K31" s="124"/>
      <c r="L31" s="124"/>
      <c r="M31" s="124"/>
      <c r="N31" s="69"/>
      <c r="O31" s="62"/>
      <c r="P31" s="78"/>
      <c r="Q31" s="124"/>
      <c r="R31" s="124"/>
      <c r="S31" s="124"/>
      <c r="T31" s="124"/>
      <c r="U31" s="124"/>
      <c r="V31" s="124"/>
      <c r="W31" s="124"/>
      <c r="X31" s="124"/>
      <c r="Y31" s="124"/>
      <c r="Z31" s="124"/>
      <c r="AA31" s="124"/>
      <c r="AB31" s="62"/>
      <c r="AC31" s="62"/>
      <c r="AD31" s="62"/>
      <c r="AE31" s="62"/>
      <c r="AF31" s="82"/>
      <c r="AG31" s="63"/>
      <c r="AH31" s="63"/>
      <c r="AI31" s="63"/>
      <c r="AJ31" s="63"/>
      <c r="AK31" s="63"/>
      <c r="AL31" s="63"/>
      <c r="AM31" s="63"/>
      <c r="AN31" s="63"/>
      <c r="AO31" s="63"/>
      <c r="AP31" s="63"/>
      <c r="AQ31" s="63"/>
      <c r="AR31" s="62"/>
      <c r="AS31" s="62"/>
    </row>
    <row r="32" spans="1:45" ht="15" x14ac:dyDescent="0.25">
      <c r="A32" s="124"/>
      <c r="B32" s="124"/>
      <c r="C32" s="124"/>
      <c r="D32" s="124"/>
      <c r="E32" s="124"/>
      <c r="F32" s="124"/>
      <c r="G32" s="124"/>
      <c r="H32" s="124"/>
      <c r="I32" s="124"/>
      <c r="J32" s="124"/>
      <c r="K32" s="124"/>
      <c r="L32" s="124"/>
      <c r="M32" s="124"/>
      <c r="N32" s="69"/>
      <c r="O32" s="62"/>
      <c r="P32" s="78"/>
      <c r="Q32" s="63"/>
      <c r="R32" s="63"/>
      <c r="S32" s="63"/>
      <c r="T32" s="63"/>
      <c r="U32" s="63"/>
      <c r="V32" s="63"/>
      <c r="W32" s="63"/>
      <c r="X32" s="63"/>
      <c r="Y32" s="63"/>
      <c r="Z32" s="63"/>
      <c r="AA32" s="63"/>
      <c r="AB32" s="62"/>
      <c r="AC32" s="62"/>
      <c r="AD32" s="62"/>
      <c r="AE32" s="62"/>
      <c r="AF32" s="82"/>
      <c r="AG32" s="63"/>
      <c r="AH32" s="63"/>
      <c r="AI32" s="63"/>
      <c r="AJ32" s="63"/>
      <c r="AK32" s="63"/>
      <c r="AL32" s="63"/>
      <c r="AM32" s="63"/>
      <c r="AN32" s="63"/>
      <c r="AO32" s="63"/>
      <c r="AP32" s="63"/>
      <c r="AQ32" s="63"/>
      <c r="AR32" s="62"/>
      <c r="AS32" s="62"/>
    </row>
    <row r="33" spans="1:45" ht="15" x14ac:dyDescent="0.25">
      <c r="A33" s="124"/>
      <c r="B33" s="124"/>
      <c r="C33" s="124"/>
      <c r="D33" s="124"/>
      <c r="E33" s="124"/>
      <c r="F33" s="124"/>
      <c r="G33" s="124"/>
      <c r="H33" s="124"/>
      <c r="I33" s="124"/>
      <c r="J33" s="124"/>
      <c r="K33" s="124"/>
      <c r="L33" s="124"/>
      <c r="M33" s="124"/>
      <c r="N33" s="69"/>
      <c r="O33" s="62"/>
      <c r="P33" s="78"/>
      <c r="Q33" s="63"/>
      <c r="R33" s="63"/>
      <c r="S33" s="63"/>
      <c r="T33" s="63"/>
      <c r="U33" s="63"/>
      <c r="V33" s="63"/>
      <c r="W33" s="63"/>
      <c r="X33" s="63"/>
      <c r="Y33" s="63"/>
      <c r="Z33" s="63"/>
      <c r="AA33" s="63"/>
      <c r="AB33" s="62"/>
      <c r="AC33" s="62"/>
      <c r="AD33" s="62"/>
      <c r="AE33" s="62"/>
      <c r="AF33" s="82"/>
      <c r="AG33" s="63"/>
      <c r="AH33" s="63"/>
      <c r="AI33" s="63"/>
      <c r="AJ33" s="63"/>
      <c r="AK33" s="63"/>
      <c r="AL33" s="63"/>
      <c r="AM33" s="63"/>
      <c r="AN33" s="63"/>
      <c r="AO33" s="63"/>
      <c r="AP33" s="63"/>
      <c r="AQ33" s="63"/>
      <c r="AR33" s="62"/>
      <c r="AS33" s="62"/>
    </row>
    <row r="34" spans="1:45" ht="15" x14ac:dyDescent="0.25">
      <c r="A34" s="124"/>
      <c r="B34" s="124"/>
      <c r="C34" s="124"/>
      <c r="D34" s="124"/>
      <c r="E34" s="124"/>
      <c r="F34" s="124"/>
      <c r="G34" s="124"/>
      <c r="H34" s="124"/>
      <c r="I34" s="124"/>
      <c r="J34" s="124"/>
      <c r="K34" s="124"/>
      <c r="L34" s="124"/>
      <c r="M34" s="124"/>
      <c r="N34" s="69"/>
      <c r="O34" s="62"/>
      <c r="P34" s="78"/>
      <c r="Q34" s="63"/>
      <c r="R34" s="63"/>
      <c r="S34" s="63"/>
      <c r="T34" s="63"/>
      <c r="U34" s="63"/>
      <c r="V34" s="63"/>
      <c r="W34" s="63"/>
      <c r="X34" s="63"/>
      <c r="Y34" s="63"/>
      <c r="Z34" s="63"/>
      <c r="AA34" s="63"/>
      <c r="AB34" s="62"/>
      <c r="AC34" s="62"/>
      <c r="AD34" s="62"/>
      <c r="AE34" s="62"/>
      <c r="AF34" s="82"/>
      <c r="AG34" s="63"/>
      <c r="AH34" s="63"/>
      <c r="AI34" s="63"/>
      <c r="AJ34" s="63"/>
      <c r="AK34" s="63"/>
      <c r="AL34" s="63"/>
      <c r="AM34" s="63"/>
      <c r="AN34" s="63"/>
      <c r="AO34" s="63"/>
      <c r="AP34" s="63"/>
      <c r="AQ34" s="63"/>
      <c r="AR34" s="62"/>
      <c r="AS34" s="62"/>
    </row>
    <row r="35" spans="1:45" ht="15" x14ac:dyDescent="0.25">
      <c r="A35" s="124"/>
      <c r="B35" s="124"/>
      <c r="C35" s="124"/>
      <c r="D35" s="124"/>
      <c r="E35" s="124"/>
      <c r="F35" s="124"/>
      <c r="G35" s="124"/>
      <c r="H35" s="124"/>
      <c r="I35" s="124"/>
      <c r="J35" s="124"/>
      <c r="K35" s="124"/>
      <c r="L35" s="124"/>
      <c r="M35" s="124"/>
      <c r="N35" s="69"/>
      <c r="O35" s="62"/>
      <c r="P35" s="78"/>
      <c r="Q35" s="63"/>
      <c r="R35" s="63"/>
      <c r="S35" s="63"/>
      <c r="T35" s="63"/>
      <c r="U35" s="63"/>
      <c r="V35" s="63"/>
      <c r="W35" s="63"/>
      <c r="X35" s="63"/>
      <c r="Y35" s="63"/>
      <c r="Z35" s="63"/>
      <c r="AA35" s="63"/>
      <c r="AB35" s="62"/>
      <c r="AC35" s="62"/>
      <c r="AD35" s="62"/>
      <c r="AE35" s="62"/>
      <c r="AF35" s="82"/>
      <c r="AG35" s="63"/>
      <c r="AH35" s="63"/>
      <c r="AI35" s="63"/>
      <c r="AJ35" s="63"/>
      <c r="AK35" s="63"/>
      <c r="AL35" s="63"/>
      <c r="AM35" s="63"/>
      <c r="AN35" s="63"/>
      <c r="AO35" s="63"/>
      <c r="AP35" s="63"/>
      <c r="AQ35" s="63"/>
      <c r="AR35" s="62"/>
      <c r="AS35" s="62"/>
    </row>
    <row r="36" spans="1:45" ht="15" x14ac:dyDescent="0.25">
      <c r="A36" s="124"/>
      <c r="B36" s="124"/>
      <c r="C36" s="124"/>
      <c r="D36" s="124"/>
      <c r="E36" s="124"/>
      <c r="F36" s="124"/>
      <c r="G36" s="124"/>
      <c r="H36" s="124"/>
      <c r="I36" s="124"/>
      <c r="J36" s="124"/>
      <c r="K36" s="124"/>
      <c r="L36" s="124"/>
      <c r="M36" s="124"/>
      <c r="N36" s="69"/>
      <c r="O36" s="62"/>
      <c r="P36" s="78"/>
      <c r="Q36" s="63"/>
      <c r="R36" s="63"/>
      <c r="S36" s="63"/>
      <c r="T36" s="63"/>
      <c r="U36" s="63"/>
      <c r="V36" s="63"/>
      <c r="W36" s="63"/>
      <c r="X36" s="63"/>
      <c r="Y36" s="63"/>
      <c r="Z36" s="63"/>
      <c r="AA36" s="63"/>
      <c r="AB36" s="62"/>
      <c r="AC36" s="62"/>
      <c r="AD36" s="62"/>
      <c r="AE36" s="62"/>
      <c r="AF36" s="82"/>
      <c r="AG36" s="63"/>
      <c r="AH36" s="63"/>
      <c r="AI36" s="63"/>
      <c r="AJ36" s="63"/>
      <c r="AK36" s="63"/>
      <c r="AL36" s="63"/>
      <c r="AM36" s="63"/>
      <c r="AN36" s="63"/>
      <c r="AO36" s="63"/>
      <c r="AP36" s="63"/>
      <c r="AQ36" s="63"/>
      <c r="AR36" s="62"/>
      <c r="AS36" s="62"/>
    </row>
    <row r="37" spans="1:45" ht="15" x14ac:dyDescent="0.25">
      <c r="A37" s="124"/>
      <c r="B37" s="124"/>
      <c r="C37" s="124"/>
      <c r="D37" s="124"/>
      <c r="E37" s="124"/>
      <c r="F37" s="124"/>
      <c r="G37" s="124"/>
      <c r="H37" s="124"/>
      <c r="I37" s="124"/>
      <c r="J37" s="124"/>
      <c r="K37" s="124"/>
      <c r="L37" s="124"/>
      <c r="M37" s="124"/>
      <c r="N37" s="69"/>
      <c r="O37" s="62"/>
      <c r="P37" s="78"/>
      <c r="Q37" s="63"/>
      <c r="R37" s="63"/>
      <c r="S37" s="63"/>
      <c r="T37" s="63"/>
      <c r="U37" s="63"/>
      <c r="V37" s="63"/>
      <c r="W37" s="63"/>
      <c r="X37" s="63"/>
      <c r="Y37" s="63"/>
      <c r="Z37" s="63"/>
      <c r="AA37" s="63"/>
      <c r="AB37" s="62"/>
      <c r="AC37" s="62"/>
      <c r="AD37" s="62"/>
      <c r="AE37" s="62"/>
      <c r="AF37" s="82"/>
      <c r="AG37" s="63"/>
      <c r="AH37" s="63"/>
      <c r="AI37" s="63"/>
      <c r="AJ37" s="63"/>
      <c r="AK37" s="63"/>
      <c r="AL37" s="63"/>
      <c r="AM37" s="63"/>
      <c r="AN37" s="63"/>
      <c r="AO37" s="63"/>
      <c r="AP37" s="63"/>
      <c r="AQ37" s="63"/>
      <c r="AR37" s="62"/>
      <c r="AS37" s="62"/>
    </row>
    <row r="38" spans="1:45" ht="15" x14ac:dyDescent="0.25">
      <c r="A38" s="124"/>
      <c r="B38" s="124"/>
      <c r="C38" s="124"/>
      <c r="D38" s="124"/>
      <c r="E38" s="124"/>
      <c r="F38" s="124"/>
      <c r="G38" s="124"/>
      <c r="H38" s="124"/>
      <c r="I38" s="124"/>
      <c r="J38" s="124"/>
      <c r="K38" s="124"/>
      <c r="L38" s="124"/>
      <c r="M38" s="124"/>
      <c r="N38" s="69"/>
      <c r="O38" s="62"/>
      <c r="P38" s="78"/>
      <c r="Q38" s="63"/>
      <c r="R38" s="63"/>
      <c r="S38" s="63"/>
      <c r="T38" s="63"/>
      <c r="U38" s="63"/>
      <c r="V38" s="63"/>
      <c r="W38" s="63"/>
      <c r="X38" s="63"/>
      <c r="Y38" s="63"/>
      <c r="Z38" s="63"/>
      <c r="AA38" s="63"/>
      <c r="AB38" s="62"/>
      <c r="AC38" s="62"/>
      <c r="AD38" s="62"/>
      <c r="AE38" s="62"/>
      <c r="AF38" s="82"/>
      <c r="AG38" s="63"/>
      <c r="AH38" s="63"/>
      <c r="AI38" s="63"/>
      <c r="AJ38" s="63"/>
      <c r="AK38" s="63"/>
      <c r="AL38" s="63"/>
      <c r="AM38" s="63"/>
      <c r="AN38" s="63"/>
      <c r="AO38" s="63"/>
      <c r="AP38" s="63"/>
      <c r="AQ38" s="63"/>
      <c r="AR38" s="62"/>
      <c r="AS38" s="62"/>
    </row>
    <row r="39" spans="1:45" ht="15" x14ac:dyDescent="0.25">
      <c r="A39" s="124"/>
      <c r="B39" s="124"/>
      <c r="C39" s="124"/>
      <c r="D39" s="124"/>
      <c r="E39" s="124"/>
      <c r="F39" s="124"/>
      <c r="G39" s="124"/>
      <c r="H39" s="124"/>
      <c r="I39" s="124"/>
      <c r="J39" s="124"/>
      <c r="K39" s="124"/>
      <c r="L39" s="124"/>
      <c r="M39" s="124"/>
      <c r="N39" s="69"/>
      <c r="O39" s="62"/>
      <c r="P39" s="78"/>
      <c r="Q39" s="63"/>
      <c r="R39" s="63"/>
      <c r="S39" s="63"/>
      <c r="T39" s="63"/>
      <c r="U39" s="63"/>
      <c r="V39" s="63"/>
      <c r="W39" s="63"/>
      <c r="X39" s="63"/>
      <c r="Y39" s="63"/>
      <c r="Z39" s="63"/>
      <c r="AA39" s="63"/>
      <c r="AB39" s="62"/>
      <c r="AC39" s="62"/>
      <c r="AD39" s="62"/>
      <c r="AE39" s="62"/>
      <c r="AF39" s="82"/>
      <c r="AG39" s="63"/>
      <c r="AH39" s="63"/>
      <c r="AI39" s="63"/>
      <c r="AJ39" s="63"/>
      <c r="AK39" s="63"/>
      <c r="AL39" s="63"/>
      <c r="AM39" s="63"/>
      <c r="AN39" s="63"/>
      <c r="AO39" s="63"/>
      <c r="AP39" s="63"/>
      <c r="AQ39" s="63"/>
      <c r="AR39" s="62"/>
      <c r="AS39" s="62"/>
    </row>
    <row r="40" spans="1:45" ht="15" x14ac:dyDescent="0.25">
      <c r="A40" s="124"/>
      <c r="B40" s="124"/>
      <c r="C40" s="124"/>
      <c r="D40" s="124"/>
      <c r="E40" s="124"/>
      <c r="F40" s="124"/>
      <c r="G40" s="124"/>
      <c r="H40" s="124"/>
      <c r="I40" s="124"/>
      <c r="J40" s="124"/>
      <c r="K40" s="124"/>
      <c r="L40" s="124"/>
      <c r="M40" s="124"/>
      <c r="N40" s="69"/>
      <c r="O40" s="62"/>
      <c r="P40" s="78"/>
      <c r="Q40" s="63"/>
      <c r="R40" s="63"/>
      <c r="S40" s="63"/>
      <c r="T40" s="63"/>
      <c r="U40" s="63"/>
      <c r="V40" s="63"/>
      <c r="W40" s="63"/>
      <c r="X40" s="63"/>
      <c r="Y40" s="63"/>
      <c r="Z40" s="63"/>
      <c r="AA40" s="63"/>
      <c r="AB40" s="62"/>
      <c r="AC40" s="62"/>
      <c r="AD40" s="62"/>
      <c r="AE40" s="62"/>
      <c r="AF40" s="82"/>
      <c r="AG40" s="63"/>
      <c r="AH40" s="63"/>
      <c r="AI40" s="63"/>
      <c r="AJ40" s="63"/>
      <c r="AK40" s="63"/>
      <c r="AL40" s="63"/>
      <c r="AM40" s="63"/>
      <c r="AN40" s="63"/>
      <c r="AO40" s="63"/>
      <c r="AP40" s="63"/>
      <c r="AQ40" s="63"/>
      <c r="AR40" s="62"/>
      <c r="AS40" s="62"/>
    </row>
    <row r="41" spans="1:45" ht="15" x14ac:dyDescent="0.25">
      <c r="A41" s="124"/>
      <c r="B41" s="124"/>
      <c r="C41" s="124"/>
      <c r="D41" s="124"/>
      <c r="E41" s="124"/>
      <c r="F41" s="124"/>
      <c r="G41" s="124"/>
      <c r="H41" s="124"/>
      <c r="I41" s="124"/>
      <c r="J41" s="124"/>
      <c r="K41" s="124"/>
      <c r="L41" s="124"/>
      <c r="M41" s="124"/>
      <c r="N41" s="69"/>
      <c r="O41" s="62"/>
      <c r="P41" s="78"/>
      <c r="Q41" s="63"/>
      <c r="R41" s="63"/>
      <c r="S41" s="63"/>
      <c r="T41" s="63"/>
      <c r="U41" s="63"/>
      <c r="V41" s="63"/>
      <c r="W41" s="63"/>
      <c r="X41" s="63"/>
      <c r="Y41" s="63"/>
      <c r="Z41" s="63"/>
      <c r="AA41" s="63"/>
      <c r="AB41" s="62"/>
      <c r="AC41" s="62"/>
      <c r="AD41" s="62"/>
      <c r="AE41" s="62"/>
      <c r="AF41" s="82"/>
      <c r="AG41" s="63"/>
      <c r="AH41" s="63"/>
      <c r="AI41" s="63"/>
      <c r="AJ41" s="63"/>
      <c r="AK41" s="63"/>
      <c r="AL41" s="63"/>
      <c r="AM41" s="63"/>
      <c r="AN41" s="63"/>
      <c r="AO41" s="63"/>
      <c r="AP41" s="63"/>
      <c r="AQ41" s="63"/>
      <c r="AR41" s="62"/>
      <c r="AS41" s="62"/>
    </row>
    <row r="42" spans="1:45" ht="15" x14ac:dyDescent="0.25">
      <c r="A42" s="124"/>
      <c r="B42" s="124"/>
      <c r="C42" s="124"/>
      <c r="D42" s="124"/>
      <c r="E42" s="124"/>
      <c r="F42" s="124"/>
      <c r="G42" s="124"/>
      <c r="H42" s="124"/>
      <c r="I42" s="124"/>
      <c r="J42" s="124"/>
      <c r="K42" s="124"/>
      <c r="L42" s="124"/>
      <c r="M42" s="124"/>
      <c r="N42" s="69"/>
      <c r="O42" s="62"/>
      <c r="P42" s="78"/>
      <c r="Q42" s="63"/>
      <c r="R42" s="63"/>
      <c r="S42" s="63"/>
      <c r="T42" s="63"/>
      <c r="U42" s="63"/>
      <c r="V42" s="63"/>
      <c r="W42" s="63"/>
      <c r="X42" s="63"/>
      <c r="Y42" s="63"/>
      <c r="Z42" s="63"/>
      <c r="AA42" s="63"/>
      <c r="AB42" s="62"/>
      <c r="AC42" s="62"/>
      <c r="AD42" s="62"/>
      <c r="AE42" s="62"/>
      <c r="AF42" s="82"/>
      <c r="AG42" s="63"/>
      <c r="AH42" s="63"/>
      <c r="AI42" s="63"/>
      <c r="AJ42" s="63"/>
      <c r="AK42" s="63"/>
      <c r="AL42" s="63"/>
      <c r="AM42" s="63"/>
      <c r="AN42" s="63"/>
      <c r="AO42" s="63"/>
      <c r="AP42" s="63"/>
      <c r="AQ42" s="63"/>
      <c r="AR42" s="62"/>
      <c r="AS42" s="62"/>
    </row>
    <row r="43" spans="1:45" ht="15" x14ac:dyDescent="0.25">
      <c r="O43" s="62"/>
      <c r="P43" s="78"/>
      <c r="Q43" s="63"/>
      <c r="R43" s="63"/>
      <c r="S43" s="63"/>
      <c r="T43" s="63"/>
      <c r="U43" s="63"/>
      <c r="V43" s="63"/>
      <c r="W43" s="63"/>
      <c r="X43" s="63"/>
      <c r="Y43" s="63"/>
      <c r="Z43" s="63"/>
      <c r="AA43" s="63"/>
      <c r="AB43" s="62"/>
      <c r="AC43" s="62"/>
      <c r="AD43" s="62"/>
      <c r="AE43" s="62"/>
      <c r="AF43" s="82"/>
      <c r="AG43" s="63"/>
      <c r="AH43" s="63"/>
      <c r="AI43" s="63"/>
      <c r="AJ43" s="63"/>
      <c r="AK43" s="63"/>
      <c r="AL43" s="63"/>
      <c r="AM43" s="63"/>
      <c r="AN43" s="63"/>
      <c r="AO43" s="63"/>
      <c r="AP43" s="63"/>
      <c r="AQ43" s="63"/>
      <c r="AR43" s="62"/>
      <c r="AS43" s="62"/>
    </row>
    <row r="44" spans="1:45" ht="15" x14ac:dyDescent="0.25">
      <c r="O44" s="62"/>
      <c r="P44" s="78"/>
      <c r="Q44" s="63"/>
      <c r="R44" s="63"/>
      <c r="S44" s="63"/>
      <c r="T44" s="63"/>
      <c r="U44" s="63"/>
      <c r="V44" s="63"/>
      <c r="W44" s="63"/>
      <c r="X44" s="63"/>
      <c r="Y44" s="63"/>
      <c r="Z44" s="63"/>
      <c r="AA44" s="63"/>
      <c r="AB44" s="62"/>
      <c r="AC44" s="62"/>
      <c r="AD44" s="62"/>
      <c r="AE44" s="62"/>
      <c r="AF44" s="82"/>
      <c r="AG44" s="63"/>
      <c r="AH44" s="63"/>
      <c r="AI44" s="63"/>
      <c r="AJ44" s="63"/>
      <c r="AK44" s="63"/>
      <c r="AL44" s="63"/>
      <c r="AM44" s="63"/>
      <c r="AN44" s="63"/>
      <c r="AO44" s="63"/>
      <c r="AP44" s="63"/>
      <c r="AQ44" s="63"/>
      <c r="AR44" s="62"/>
      <c r="AS44" s="62"/>
    </row>
    <row r="45" spans="1:45" ht="15" x14ac:dyDescent="0.25">
      <c r="O45" s="62"/>
      <c r="P45" s="78"/>
      <c r="Q45" s="63"/>
      <c r="R45" s="63"/>
      <c r="S45" s="63"/>
      <c r="T45" s="63"/>
      <c r="U45" s="63"/>
      <c r="V45" s="63"/>
      <c r="W45" s="63"/>
      <c r="X45" s="63"/>
      <c r="Y45" s="63"/>
      <c r="Z45" s="63"/>
      <c r="AA45" s="63"/>
      <c r="AB45" s="62"/>
      <c r="AC45" s="62"/>
      <c r="AD45" s="62"/>
      <c r="AE45" s="62"/>
      <c r="AF45" s="82"/>
      <c r="AG45" s="63"/>
      <c r="AH45" s="63"/>
      <c r="AI45" s="63"/>
      <c r="AJ45" s="63"/>
      <c r="AK45" s="63"/>
      <c r="AL45" s="63"/>
      <c r="AM45" s="63"/>
      <c r="AN45" s="63"/>
      <c r="AO45" s="63"/>
      <c r="AP45" s="63"/>
      <c r="AQ45" s="63"/>
      <c r="AR45" s="62"/>
      <c r="AS45" s="62"/>
    </row>
    <row r="46" spans="1:45" ht="15" x14ac:dyDescent="0.25">
      <c r="O46" s="62"/>
      <c r="P46" s="78"/>
      <c r="Q46" s="63"/>
      <c r="R46" s="63"/>
      <c r="S46" s="63"/>
      <c r="T46" s="63"/>
      <c r="U46" s="63"/>
      <c r="V46" s="63"/>
      <c r="W46" s="63"/>
      <c r="X46" s="63"/>
      <c r="Y46" s="63"/>
      <c r="Z46" s="63"/>
      <c r="AA46" s="63"/>
      <c r="AB46" s="62"/>
      <c r="AC46" s="62"/>
      <c r="AD46" s="62"/>
      <c r="AE46" s="62"/>
      <c r="AF46" s="82"/>
      <c r="AG46" s="63"/>
      <c r="AH46" s="63"/>
      <c r="AI46" s="63"/>
      <c r="AJ46" s="63"/>
      <c r="AK46" s="63"/>
      <c r="AL46" s="63"/>
      <c r="AM46" s="63"/>
      <c r="AN46" s="63"/>
      <c r="AO46" s="63"/>
      <c r="AP46" s="63"/>
      <c r="AQ46" s="63"/>
      <c r="AR46" s="62"/>
      <c r="AS46" s="62"/>
    </row>
    <row r="47" spans="1:45" ht="15" x14ac:dyDescent="0.25">
      <c r="A47" s="124"/>
      <c r="B47" s="124"/>
      <c r="C47" s="124"/>
      <c r="D47" s="124"/>
      <c r="E47" s="124"/>
      <c r="F47" s="124"/>
      <c r="G47" s="124"/>
      <c r="H47" s="124"/>
      <c r="I47" s="124"/>
      <c r="J47" s="124"/>
      <c r="K47" s="124"/>
      <c r="L47" s="124"/>
      <c r="M47" s="124"/>
      <c r="N47" s="69"/>
      <c r="O47" s="62"/>
      <c r="P47" s="78"/>
      <c r="Q47" s="63"/>
      <c r="R47" s="63"/>
      <c r="S47" s="63"/>
      <c r="T47" s="63"/>
      <c r="U47" s="63"/>
      <c r="V47" s="63"/>
      <c r="W47" s="63"/>
      <c r="X47" s="63"/>
      <c r="Y47" s="63"/>
      <c r="Z47" s="63"/>
      <c r="AA47" s="63"/>
      <c r="AB47" s="62"/>
      <c r="AC47" s="62"/>
      <c r="AD47" s="62"/>
      <c r="AE47" s="62"/>
      <c r="AF47" s="82"/>
      <c r="AG47" s="63"/>
      <c r="AH47" s="63"/>
      <c r="AI47" s="63"/>
      <c r="AJ47" s="63"/>
      <c r="AK47" s="63"/>
      <c r="AL47" s="63"/>
      <c r="AM47" s="63"/>
      <c r="AN47" s="63"/>
      <c r="AO47" s="63"/>
      <c r="AP47" s="63"/>
      <c r="AQ47" s="63"/>
      <c r="AR47" s="62"/>
      <c r="AS47" s="62"/>
    </row>
    <row r="48" spans="1:45" ht="15" x14ac:dyDescent="0.25">
      <c r="A48" s="124"/>
      <c r="B48" s="124"/>
      <c r="C48" s="124"/>
      <c r="D48" s="124"/>
      <c r="E48" s="124"/>
      <c r="F48" s="124"/>
      <c r="G48" s="124"/>
      <c r="H48" s="124"/>
      <c r="I48" s="124"/>
      <c r="J48" s="124"/>
      <c r="K48" s="124"/>
      <c r="L48" s="124"/>
      <c r="M48" s="124"/>
      <c r="N48" s="69"/>
      <c r="O48" s="62"/>
      <c r="P48" s="78"/>
      <c r="Q48" s="63"/>
      <c r="R48" s="63"/>
      <c r="S48" s="63"/>
      <c r="T48" s="63"/>
      <c r="U48" s="63"/>
      <c r="V48" s="63"/>
      <c r="W48" s="63"/>
      <c r="X48" s="63"/>
      <c r="Y48" s="63"/>
      <c r="Z48" s="63"/>
      <c r="AA48" s="63"/>
      <c r="AB48" s="62"/>
      <c r="AC48" s="62"/>
      <c r="AD48" s="62"/>
      <c r="AE48" s="62"/>
      <c r="AF48" s="82"/>
      <c r="AG48" s="63"/>
      <c r="AH48" s="63"/>
      <c r="AI48" s="63"/>
      <c r="AJ48" s="63"/>
      <c r="AK48" s="63"/>
      <c r="AL48" s="63"/>
      <c r="AM48" s="63"/>
      <c r="AN48" s="63"/>
      <c r="AO48" s="63"/>
      <c r="AP48" s="63"/>
      <c r="AQ48" s="63"/>
      <c r="AR48" s="62"/>
      <c r="AS48" s="62"/>
    </row>
    <row r="49" spans="1:45" ht="15" x14ac:dyDescent="0.25">
      <c r="A49" s="124"/>
      <c r="B49" s="124"/>
      <c r="C49" s="124"/>
      <c r="D49" s="124"/>
      <c r="E49" s="124"/>
      <c r="F49" s="124"/>
      <c r="G49" s="124"/>
      <c r="H49" s="124"/>
      <c r="I49" s="124"/>
      <c r="J49" s="124"/>
      <c r="K49" s="124"/>
      <c r="L49" s="124"/>
      <c r="M49" s="124"/>
      <c r="N49" s="69"/>
      <c r="O49" s="62"/>
      <c r="P49" s="78"/>
      <c r="Q49" s="63"/>
      <c r="R49" s="63"/>
      <c r="S49" s="63"/>
      <c r="T49" s="63"/>
      <c r="U49" s="63"/>
      <c r="V49" s="63"/>
      <c r="W49" s="63"/>
      <c r="X49" s="63"/>
      <c r="Y49" s="63"/>
      <c r="Z49" s="63"/>
      <c r="AA49" s="63"/>
      <c r="AB49" s="62"/>
      <c r="AC49" s="62"/>
      <c r="AD49" s="62"/>
      <c r="AE49" s="62"/>
      <c r="AF49" s="82"/>
      <c r="AG49" s="63"/>
      <c r="AH49" s="63"/>
      <c r="AI49" s="63"/>
      <c r="AJ49" s="63"/>
      <c r="AK49" s="63"/>
      <c r="AL49" s="63"/>
      <c r="AM49" s="63"/>
      <c r="AN49" s="63"/>
      <c r="AO49" s="63"/>
      <c r="AP49" s="63"/>
      <c r="AQ49" s="63"/>
      <c r="AR49" s="62"/>
      <c r="AS49" s="62"/>
    </row>
    <row r="50" spans="1:45" ht="15" x14ac:dyDescent="0.25">
      <c r="A50" s="124"/>
      <c r="B50" s="124"/>
      <c r="C50" s="124"/>
      <c r="D50" s="124"/>
      <c r="E50" s="124"/>
      <c r="F50" s="124"/>
      <c r="G50" s="124"/>
      <c r="H50" s="124"/>
      <c r="I50" s="124"/>
      <c r="J50" s="124"/>
      <c r="K50" s="124"/>
      <c r="L50" s="124"/>
      <c r="M50" s="124"/>
      <c r="N50" s="69"/>
      <c r="O50" s="62"/>
      <c r="P50" s="78"/>
      <c r="Q50" s="63"/>
      <c r="R50" s="63"/>
      <c r="S50" s="63"/>
      <c r="T50" s="63"/>
      <c r="U50" s="63"/>
      <c r="V50" s="63"/>
      <c r="W50" s="63"/>
      <c r="X50" s="63"/>
      <c r="Y50" s="63"/>
      <c r="Z50" s="63"/>
      <c r="AA50" s="63"/>
      <c r="AB50" s="62"/>
      <c r="AC50" s="62"/>
      <c r="AD50" s="62"/>
      <c r="AE50" s="62"/>
      <c r="AF50" s="82"/>
      <c r="AG50" s="63"/>
      <c r="AH50" s="63"/>
      <c r="AI50" s="63"/>
      <c r="AJ50" s="63"/>
      <c r="AK50" s="63"/>
      <c r="AL50" s="63"/>
      <c r="AM50" s="63"/>
      <c r="AN50" s="63"/>
      <c r="AO50" s="63"/>
      <c r="AP50" s="63"/>
      <c r="AQ50" s="63"/>
      <c r="AR50" s="62"/>
      <c r="AS50" s="62"/>
    </row>
    <row r="51" spans="1:45" ht="15" x14ac:dyDescent="0.25">
      <c r="A51" s="124"/>
      <c r="B51" s="124"/>
      <c r="C51" s="124"/>
      <c r="D51" s="124"/>
      <c r="E51" s="124"/>
      <c r="F51" s="124"/>
      <c r="G51" s="124"/>
      <c r="H51" s="124"/>
      <c r="I51" s="124"/>
      <c r="J51" s="124"/>
      <c r="K51" s="124"/>
      <c r="L51" s="124"/>
      <c r="M51" s="124"/>
      <c r="N51" s="69"/>
      <c r="O51" s="62"/>
      <c r="P51" s="78"/>
      <c r="Q51" s="63"/>
      <c r="R51" s="63"/>
      <c r="S51" s="63"/>
      <c r="T51" s="63"/>
      <c r="U51" s="63"/>
      <c r="V51" s="63"/>
      <c r="W51" s="63"/>
      <c r="X51" s="63"/>
      <c r="Y51" s="63"/>
      <c r="Z51" s="63"/>
      <c r="AA51" s="63"/>
      <c r="AB51" s="62"/>
      <c r="AC51" s="62"/>
      <c r="AD51" s="62"/>
      <c r="AE51" s="62"/>
      <c r="AF51" s="82"/>
      <c r="AG51" s="63"/>
      <c r="AH51" s="63"/>
      <c r="AI51" s="63"/>
      <c r="AJ51" s="63"/>
      <c r="AK51" s="63"/>
      <c r="AL51" s="63"/>
      <c r="AM51" s="63"/>
      <c r="AN51" s="63"/>
      <c r="AO51" s="63"/>
      <c r="AP51" s="63"/>
      <c r="AQ51" s="63"/>
      <c r="AR51" s="62"/>
      <c r="AS51" s="62"/>
    </row>
    <row r="52" spans="1:45" ht="15" x14ac:dyDescent="0.25">
      <c r="A52" s="127"/>
      <c r="B52" s="124"/>
      <c r="C52" s="124"/>
      <c r="D52" s="124"/>
      <c r="E52" s="124"/>
      <c r="F52" s="124"/>
      <c r="G52" s="124"/>
      <c r="H52" s="124"/>
      <c r="I52" s="124"/>
      <c r="J52" s="124"/>
      <c r="K52" s="124"/>
      <c r="L52" s="124"/>
      <c r="M52" s="124"/>
      <c r="N52" s="69"/>
      <c r="O52" s="62"/>
      <c r="P52" s="78"/>
      <c r="Q52" s="63"/>
      <c r="R52" s="63"/>
      <c r="S52" s="63"/>
      <c r="T52" s="63"/>
      <c r="U52" s="63"/>
      <c r="V52" s="63"/>
      <c r="W52" s="63"/>
      <c r="X52" s="63"/>
      <c r="Y52" s="63"/>
      <c r="Z52" s="63"/>
      <c r="AA52" s="63"/>
      <c r="AB52" s="62"/>
      <c r="AC52" s="62"/>
      <c r="AD52" s="62"/>
      <c r="AE52" s="62"/>
      <c r="AF52" s="82"/>
      <c r="AG52" s="63"/>
      <c r="AH52" s="63"/>
      <c r="AI52" s="63"/>
      <c r="AJ52" s="63"/>
      <c r="AK52" s="63"/>
      <c r="AL52" s="63"/>
      <c r="AM52" s="63"/>
      <c r="AN52" s="63"/>
      <c r="AO52" s="63"/>
      <c r="AP52" s="63"/>
      <c r="AQ52" s="63"/>
      <c r="AR52" s="62"/>
      <c r="AS52" s="62"/>
    </row>
    <row r="53" spans="1:45" ht="15" x14ac:dyDescent="0.25">
      <c r="A53" s="127"/>
      <c r="B53" s="124"/>
      <c r="C53" s="124"/>
      <c r="D53" s="124"/>
      <c r="E53" s="124"/>
      <c r="F53" s="124"/>
      <c r="G53" s="124"/>
      <c r="H53" s="124"/>
      <c r="I53" s="124"/>
      <c r="J53" s="124"/>
      <c r="K53" s="124"/>
      <c r="L53" s="125"/>
      <c r="M53" s="125"/>
      <c r="N53" s="69"/>
      <c r="O53" s="62"/>
      <c r="P53" s="78"/>
      <c r="Q53" s="63"/>
      <c r="R53" s="63"/>
      <c r="S53" s="63"/>
      <c r="T53" s="63"/>
      <c r="U53" s="63"/>
      <c r="V53" s="63"/>
      <c r="W53" s="63"/>
      <c r="X53" s="63"/>
      <c r="Y53" s="63"/>
      <c r="Z53" s="63"/>
      <c r="AA53" s="63"/>
      <c r="AB53" s="62"/>
      <c r="AC53" s="62"/>
      <c r="AD53" s="62"/>
      <c r="AE53" s="62"/>
      <c r="AF53" s="82"/>
      <c r="AG53" s="63"/>
      <c r="AH53" s="63"/>
      <c r="AI53" s="63"/>
      <c r="AJ53" s="63"/>
      <c r="AK53" s="63"/>
      <c r="AL53" s="63"/>
      <c r="AM53" s="63"/>
      <c r="AN53" s="63"/>
      <c r="AO53" s="63"/>
      <c r="AP53" s="63"/>
      <c r="AQ53" s="63"/>
      <c r="AR53" s="62"/>
      <c r="AS53" s="62"/>
    </row>
    <row r="54" spans="1:45" x14ac:dyDescent="0.2">
      <c r="A54" s="125"/>
      <c r="B54" s="125"/>
      <c r="C54" s="125"/>
      <c r="D54" s="125"/>
      <c r="E54" s="125"/>
      <c r="F54" s="125"/>
      <c r="G54" s="125"/>
      <c r="H54" s="125"/>
      <c r="I54" s="125"/>
      <c r="J54" s="125"/>
      <c r="K54" s="125"/>
      <c r="L54" s="125"/>
      <c r="M54" s="125"/>
      <c r="N54" s="69"/>
      <c r="O54" s="62"/>
      <c r="P54" s="78"/>
      <c r="Q54" s="64"/>
      <c r="R54" s="61"/>
      <c r="S54" s="61"/>
      <c r="T54" s="61"/>
      <c r="U54" s="61"/>
      <c r="V54" s="61"/>
      <c r="W54" s="61"/>
      <c r="X54" s="61"/>
      <c r="Y54" s="61"/>
      <c r="Z54" s="61"/>
      <c r="AA54" s="61"/>
      <c r="AB54" s="62"/>
      <c r="AC54" s="62"/>
      <c r="AD54" s="62"/>
      <c r="AE54" s="62"/>
      <c r="AF54" s="82"/>
      <c r="AG54" s="64"/>
      <c r="AH54" s="61"/>
      <c r="AI54" s="61"/>
      <c r="AJ54" s="61"/>
      <c r="AK54" s="61"/>
      <c r="AL54" s="61"/>
      <c r="AM54" s="61"/>
      <c r="AN54" s="61"/>
      <c r="AO54" s="61"/>
      <c r="AP54" s="61"/>
      <c r="AQ54" s="61"/>
      <c r="AR54" s="62"/>
      <c r="AS54" s="62"/>
    </row>
    <row r="55" spans="1:45" x14ac:dyDescent="0.2">
      <c r="A55" s="125"/>
      <c r="B55" s="125"/>
      <c r="C55" s="125"/>
      <c r="D55" s="125"/>
      <c r="E55" s="125"/>
      <c r="F55" s="125"/>
      <c r="G55" s="125"/>
      <c r="H55" s="125"/>
      <c r="I55" s="125"/>
      <c r="J55" s="125"/>
      <c r="K55" s="125"/>
      <c r="L55" s="125"/>
      <c r="M55" s="125"/>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25"/>
      <c r="B56" s="125"/>
      <c r="C56" s="125"/>
      <c r="D56" s="125"/>
      <c r="E56" s="125"/>
      <c r="F56" s="125"/>
      <c r="G56" s="125"/>
      <c r="H56" s="125"/>
      <c r="I56" s="125"/>
      <c r="J56" s="125"/>
      <c r="K56" s="125"/>
      <c r="L56" s="125"/>
      <c r="M56" s="125"/>
    </row>
    <row r="57" spans="1:45" x14ac:dyDescent="0.2">
      <c r="A57" s="125"/>
      <c r="B57" s="125"/>
      <c r="C57" s="125"/>
      <c r="D57" s="125"/>
      <c r="E57" s="125"/>
      <c r="F57" s="125"/>
      <c r="G57" s="125"/>
      <c r="H57" s="125"/>
      <c r="I57" s="125"/>
      <c r="J57" s="125"/>
      <c r="K57" s="125"/>
      <c r="L57" s="125"/>
      <c r="M57" s="125"/>
    </row>
    <row r="58" spans="1:45" x14ac:dyDescent="0.2">
      <c r="A58" s="125"/>
      <c r="B58" s="125"/>
      <c r="C58" s="125"/>
      <c r="D58" s="125"/>
      <c r="E58" s="125"/>
      <c r="F58" s="125"/>
      <c r="G58" s="125"/>
      <c r="H58" s="125"/>
      <c r="I58" s="125"/>
      <c r="J58" s="125"/>
      <c r="K58" s="125"/>
      <c r="L58" s="125"/>
      <c r="M58" s="125"/>
    </row>
    <row r="59" spans="1:45" x14ac:dyDescent="0.2">
      <c r="A59" s="125"/>
      <c r="B59" s="125"/>
      <c r="C59" s="125"/>
      <c r="D59" s="125"/>
      <c r="E59" s="125"/>
      <c r="F59" s="125"/>
      <c r="G59" s="125"/>
      <c r="H59" s="125"/>
      <c r="I59" s="125"/>
      <c r="J59" s="125"/>
      <c r="K59" s="125"/>
      <c r="L59" s="125"/>
      <c r="M59" s="125"/>
    </row>
    <row r="60" spans="1:45" x14ac:dyDescent="0.2">
      <c r="A60" s="125"/>
      <c r="B60" s="125"/>
      <c r="C60" s="125"/>
      <c r="D60" s="125"/>
      <c r="E60" s="125"/>
      <c r="F60" s="125"/>
      <c r="G60" s="125"/>
      <c r="H60" s="125"/>
      <c r="I60" s="125"/>
      <c r="J60" s="125"/>
      <c r="K60" s="125"/>
      <c r="L60" s="125"/>
      <c r="M60" s="125"/>
    </row>
    <row r="61" spans="1:45" x14ac:dyDescent="0.2">
      <c r="A61" s="125"/>
      <c r="B61" s="125"/>
      <c r="C61" s="125"/>
      <c r="D61" s="125"/>
      <c r="E61" s="125"/>
      <c r="F61" s="125"/>
      <c r="G61" s="125"/>
      <c r="H61" s="125"/>
      <c r="I61" s="125"/>
      <c r="J61" s="125"/>
      <c r="K61" s="125"/>
      <c r="L61" s="125"/>
      <c r="M61" s="125"/>
    </row>
    <row r="62" spans="1:45" x14ac:dyDescent="0.2">
      <c r="A62" s="125"/>
      <c r="B62" s="125"/>
      <c r="C62" s="125"/>
      <c r="D62" s="125"/>
      <c r="E62" s="125"/>
      <c r="F62" s="125"/>
      <c r="G62" s="125"/>
      <c r="H62" s="125"/>
      <c r="I62" s="125"/>
      <c r="J62" s="125"/>
      <c r="K62" s="125"/>
      <c r="L62" s="125"/>
      <c r="M62" s="125"/>
    </row>
    <row r="63" spans="1:45" x14ac:dyDescent="0.2">
      <c r="A63" s="125"/>
      <c r="B63" s="125"/>
      <c r="C63" s="125"/>
      <c r="D63" s="125"/>
      <c r="E63" s="125"/>
      <c r="F63" s="125"/>
      <c r="G63" s="125"/>
      <c r="H63" s="125"/>
      <c r="I63" s="125"/>
      <c r="J63" s="125"/>
      <c r="K63" s="125"/>
      <c r="L63" s="125"/>
      <c r="M63" s="125"/>
    </row>
    <row r="64" spans="1:45" x14ac:dyDescent="0.2">
      <c r="A64" s="125"/>
      <c r="B64" s="125"/>
      <c r="C64" s="125"/>
      <c r="D64" s="125"/>
      <c r="E64" s="125"/>
      <c r="F64" s="125"/>
      <c r="G64" s="125"/>
      <c r="H64" s="125"/>
      <c r="I64" s="125"/>
      <c r="J64" s="125"/>
      <c r="K64" s="125"/>
      <c r="L64" s="125"/>
      <c r="M64" s="125"/>
    </row>
    <row r="65" spans="1:13" x14ac:dyDescent="0.2">
      <c r="A65" s="125"/>
      <c r="B65" s="125"/>
      <c r="C65" s="125"/>
      <c r="D65" s="125"/>
      <c r="E65" s="125"/>
      <c r="F65" s="125"/>
      <c r="G65" s="125"/>
      <c r="H65" s="125"/>
      <c r="I65" s="125"/>
      <c r="J65" s="125"/>
      <c r="K65" s="125"/>
      <c r="L65" s="125"/>
      <c r="M65" s="125"/>
    </row>
    <row r="66" spans="1:13" x14ac:dyDescent="0.2">
      <c r="A66" s="125"/>
      <c r="B66" s="125"/>
      <c r="C66" s="125"/>
      <c r="D66" s="125"/>
      <c r="E66" s="125"/>
      <c r="F66" s="125"/>
      <c r="G66" s="125"/>
      <c r="H66" s="125"/>
      <c r="I66" s="125"/>
      <c r="J66" s="125"/>
      <c r="K66" s="125"/>
      <c r="L66" s="125"/>
      <c r="M66" s="125"/>
    </row>
    <row r="67" spans="1:13" x14ac:dyDescent="0.2">
      <c r="A67" s="125"/>
      <c r="B67" s="125"/>
      <c r="C67" s="125"/>
      <c r="D67" s="125"/>
      <c r="E67" s="125"/>
      <c r="F67" s="125"/>
      <c r="G67" s="125"/>
      <c r="H67" s="125"/>
      <c r="I67" s="125"/>
      <c r="J67" s="125"/>
      <c r="K67" s="125"/>
      <c r="L67" s="125"/>
      <c r="M67" s="125"/>
    </row>
    <row r="68" spans="1:13" x14ac:dyDescent="0.2">
      <c r="A68" s="125"/>
      <c r="B68" s="125"/>
      <c r="C68" s="125"/>
      <c r="D68" s="125"/>
      <c r="E68" s="125"/>
      <c r="F68" s="125"/>
      <c r="G68" s="125"/>
      <c r="H68" s="125"/>
      <c r="I68" s="125"/>
      <c r="J68" s="125"/>
      <c r="K68" s="125"/>
      <c r="L68" s="125"/>
      <c r="M68" s="125"/>
    </row>
    <row r="69" spans="1:13" x14ac:dyDescent="0.2">
      <c r="A69" s="125"/>
      <c r="B69" s="125"/>
      <c r="C69" s="125"/>
      <c r="D69" s="125"/>
      <c r="E69" s="125"/>
      <c r="F69" s="125"/>
      <c r="G69" s="125"/>
      <c r="H69" s="125"/>
      <c r="I69" s="125"/>
      <c r="J69" s="125"/>
      <c r="K69" s="125"/>
      <c r="L69" s="125"/>
      <c r="M69" s="125"/>
    </row>
    <row r="70" spans="1:13" x14ac:dyDescent="0.2">
      <c r="A70" s="125"/>
      <c r="B70" s="125"/>
      <c r="C70" s="125"/>
      <c r="D70" s="125"/>
      <c r="E70" s="125"/>
      <c r="F70" s="125"/>
      <c r="G70" s="125"/>
      <c r="H70" s="125"/>
      <c r="I70" s="125"/>
      <c r="J70" s="125"/>
      <c r="K70" s="125"/>
      <c r="L70" s="125"/>
      <c r="M70" s="125"/>
    </row>
    <row r="71" spans="1:13" x14ac:dyDescent="0.2">
      <c r="A71" s="125"/>
      <c r="B71" s="125"/>
      <c r="C71" s="125"/>
      <c r="D71" s="125"/>
      <c r="E71" s="125"/>
      <c r="F71" s="125"/>
      <c r="G71" s="125"/>
      <c r="H71" s="125"/>
      <c r="I71" s="125"/>
      <c r="J71" s="125"/>
      <c r="K71" s="125"/>
      <c r="L71" s="125"/>
      <c r="M71" s="125"/>
    </row>
    <row r="72" spans="1:13" x14ac:dyDescent="0.2">
      <c r="A72" s="125"/>
      <c r="B72" s="125"/>
      <c r="C72" s="125"/>
      <c r="D72" s="125"/>
      <c r="E72" s="125"/>
      <c r="F72" s="125"/>
      <c r="G72" s="125"/>
      <c r="H72" s="125"/>
      <c r="I72" s="125"/>
      <c r="J72" s="125"/>
      <c r="K72" s="125"/>
      <c r="L72" s="125"/>
      <c r="M72" s="125"/>
    </row>
    <row r="73" spans="1:13" x14ac:dyDescent="0.2">
      <c r="A73" s="125"/>
      <c r="B73" s="125"/>
      <c r="C73" s="125"/>
      <c r="D73" s="125"/>
      <c r="E73" s="125"/>
      <c r="F73" s="125"/>
      <c r="G73" s="125"/>
      <c r="H73" s="125"/>
      <c r="I73" s="125"/>
      <c r="J73" s="125"/>
      <c r="K73" s="125"/>
      <c r="L73" s="125"/>
      <c r="M73" s="125"/>
    </row>
    <row r="74" spans="1:13" x14ac:dyDescent="0.2">
      <c r="A74" s="125"/>
      <c r="B74" s="125"/>
      <c r="C74" s="125"/>
      <c r="D74" s="125"/>
      <c r="E74" s="125"/>
      <c r="F74" s="125"/>
      <c r="G74" s="125"/>
      <c r="H74" s="125"/>
      <c r="I74" s="125"/>
      <c r="J74" s="125"/>
      <c r="K74" s="125"/>
      <c r="L74" s="125"/>
      <c r="M74" s="125"/>
    </row>
    <row r="75" spans="1:13" x14ac:dyDescent="0.2">
      <c r="A75" s="125"/>
      <c r="B75" s="125"/>
      <c r="C75" s="125"/>
      <c r="D75" s="125"/>
      <c r="E75" s="125"/>
      <c r="F75" s="125"/>
      <c r="G75" s="125"/>
      <c r="H75" s="125"/>
      <c r="I75" s="125"/>
      <c r="J75" s="125"/>
      <c r="K75" s="125"/>
      <c r="L75" s="125"/>
      <c r="M75" s="125"/>
    </row>
    <row r="76" spans="1:13" x14ac:dyDescent="0.2">
      <c r="A76" s="125"/>
      <c r="B76" s="125"/>
      <c r="C76" s="125"/>
      <c r="D76" s="125"/>
      <c r="E76" s="125"/>
      <c r="F76" s="125"/>
      <c r="G76" s="125"/>
      <c r="H76" s="125"/>
      <c r="I76" s="125"/>
      <c r="J76" s="125"/>
      <c r="K76" s="125"/>
      <c r="L76" s="125"/>
      <c r="M76" s="125"/>
    </row>
  </sheetData>
  <sheetProtection selectLockedCells="1"/>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J15" sqref="J15"/>
    </sheetView>
  </sheetViews>
  <sheetFormatPr defaultRowHeight="12.75" x14ac:dyDescent="0.2"/>
  <cols>
    <col min="5" max="5" width="13.5703125" customWidth="1"/>
    <col min="8" max="8" width="13" customWidth="1"/>
  </cols>
  <sheetData>
    <row r="1" spans="3:8" ht="18" x14ac:dyDescent="0.25">
      <c r="E1" s="110" t="s">
        <v>190</v>
      </c>
    </row>
    <row r="2" spans="3:8" x14ac:dyDescent="0.2">
      <c r="E2" s="111" t="s">
        <v>191</v>
      </c>
    </row>
    <row r="3" spans="3:8" x14ac:dyDescent="0.2">
      <c r="E3" s="111" t="s">
        <v>192</v>
      </c>
    </row>
    <row r="6" spans="3:8" ht="26.25" x14ac:dyDescent="0.4">
      <c r="E6" s="117" t="s">
        <v>193</v>
      </c>
    </row>
    <row r="8" spans="3:8" ht="20.25" x14ac:dyDescent="0.3">
      <c r="C8" s="122"/>
      <c r="D8" s="114"/>
      <c r="E8" s="114"/>
    </row>
    <row r="9" spans="3:8" ht="15.75" x14ac:dyDescent="0.25">
      <c r="C9" s="115" t="s">
        <v>56</v>
      </c>
      <c r="D9" s="116">
        <f>Main!D5</f>
        <v>0</v>
      </c>
    </row>
    <row r="10" spans="3:8" ht="15.75" x14ac:dyDescent="0.25">
      <c r="C10" s="115" t="s">
        <v>194</v>
      </c>
      <c r="D10" s="620">
        <f>Main!D3</f>
        <v>0</v>
      </c>
      <c r="E10" s="620"/>
      <c r="F10" s="620"/>
    </row>
    <row r="11" spans="3:8" ht="15.75" x14ac:dyDescent="0.25">
      <c r="C11" s="115" t="s">
        <v>1705</v>
      </c>
      <c r="D11" s="118">
        <f>Main!D6</f>
        <v>0</v>
      </c>
    </row>
    <row r="14" spans="3:8" ht="15.75" x14ac:dyDescent="0.25">
      <c r="C14" s="120" t="s">
        <v>195</v>
      </c>
      <c r="E14" s="118"/>
      <c r="F14" s="119" t="s">
        <v>196</v>
      </c>
      <c r="G14" s="118"/>
      <c r="H14" s="118"/>
    </row>
    <row r="15" spans="3:8" ht="15.75" customHeight="1" x14ac:dyDescent="0.2">
      <c r="C15" s="179"/>
      <c r="D15" s="113"/>
      <c r="E15" s="619" t="s">
        <v>5625</v>
      </c>
      <c r="F15" s="619"/>
      <c r="G15" s="619"/>
      <c r="H15" s="619"/>
    </row>
    <row r="16" spans="3:8" ht="15" x14ac:dyDescent="0.2">
      <c r="C16" s="179"/>
      <c r="D16" s="112"/>
      <c r="E16" s="618" t="s">
        <v>198</v>
      </c>
      <c r="F16" s="618"/>
      <c r="G16" s="618"/>
      <c r="H16" s="618"/>
    </row>
    <row r="17" spans="3:8" ht="15" x14ac:dyDescent="0.2">
      <c r="C17" s="179"/>
      <c r="D17" s="112"/>
      <c r="E17" s="618" t="s">
        <v>199</v>
      </c>
      <c r="F17" s="618"/>
      <c r="G17" s="618"/>
      <c r="H17" s="618"/>
    </row>
    <row r="18" spans="3:8" ht="15" x14ac:dyDescent="0.2">
      <c r="C18" s="179"/>
      <c r="D18" s="112"/>
      <c r="E18" s="618" t="s">
        <v>18</v>
      </c>
      <c r="F18" s="618"/>
      <c r="G18" s="618"/>
      <c r="H18" s="618"/>
    </row>
    <row r="19" spans="3:8" ht="15" x14ac:dyDescent="0.2">
      <c r="C19" s="179"/>
      <c r="D19" s="112"/>
      <c r="E19" s="618" t="s">
        <v>204</v>
      </c>
      <c r="F19" s="618"/>
      <c r="G19" s="618"/>
      <c r="H19" s="618"/>
    </row>
    <row r="20" spans="3:8" ht="15" x14ac:dyDescent="0.2">
      <c r="C20" s="179"/>
      <c r="D20" s="112"/>
      <c r="E20" s="618" t="s">
        <v>201</v>
      </c>
      <c r="F20" s="618"/>
      <c r="G20" s="618"/>
      <c r="H20" s="618"/>
    </row>
    <row r="21" spans="3:8" ht="15" x14ac:dyDescent="0.2">
      <c r="C21" s="179"/>
      <c r="D21" s="112"/>
      <c r="E21" s="618" t="s">
        <v>202</v>
      </c>
      <c r="F21" s="618"/>
      <c r="G21" s="618"/>
      <c r="H21" s="618"/>
    </row>
    <row r="22" spans="3:8" ht="15" x14ac:dyDescent="0.2">
      <c r="C22" s="179"/>
      <c r="D22" s="112"/>
      <c r="E22" s="618" t="s">
        <v>137</v>
      </c>
      <c r="F22" s="618"/>
      <c r="G22" s="618"/>
      <c r="H22" s="618"/>
    </row>
    <row r="23" spans="3:8" ht="15" x14ac:dyDescent="0.2">
      <c r="C23" s="179"/>
      <c r="D23" s="112"/>
      <c r="E23" s="618" t="s">
        <v>203</v>
      </c>
      <c r="F23" s="618"/>
      <c r="G23" s="618"/>
      <c r="H23" s="618"/>
    </row>
    <row r="24" spans="3:8" ht="15" x14ac:dyDescent="0.2">
      <c r="C24" s="121"/>
      <c r="D24" s="112"/>
      <c r="E24" s="618" t="s">
        <v>229</v>
      </c>
      <c r="F24" s="618"/>
      <c r="G24" s="618"/>
      <c r="H24" s="618"/>
    </row>
    <row r="25" spans="3:8" ht="15" x14ac:dyDescent="0.2">
      <c r="C25" s="121"/>
      <c r="D25" s="112"/>
      <c r="E25" s="618"/>
      <c r="F25" s="618"/>
      <c r="G25" s="618"/>
      <c r="H25" s="618"/>
    </row>
    <row r="26" spans="3:8" ht="15" x14ac:dyDescent="0.2">
      <c r="C26" s="121"/>
      <c r="D26" s="112"/>
      <c r="E26" s="618"/>
      <c r="F26" s="618"/>
      <c r="G26" s="618"/>
      <c r="H26" s="618"/>
    </row>
    <row r="27" spans="3:8" ht="15" x14ac:dyDescent="0.2">
      <c r="C27" s="121"/>
      <c r="D27" s="112"/>
      <c r="E27" s="618"/>
      <c r="F27" s="618"/>
      <c r="G27" s="618"/>
      <c r="H27" s="618"/>
    </row>
    <row r="28" spans="3:8" ht="15" x14ac:dyDescent="0.2">
      <c r="C28" s="121"/>
      <c r="D28" s="112"/>
      <c r="E28" s="618"/>
      <c r="F28" s="618"/>
      <c r="G28" s="618"/>
      <c r="H28" s="618"/>
    </row>
    <row r="29" spans="3:8" ht="15" x14ac:dyDescent="0.2">
      <c r="C29" s="121"/>
      <c r="D29" s="112"/>
      <c r="E29" s="618"/>
      <c r="F29" s="618"/>
      <c r="G29" s="618"/>
      <c r="H29" s="618"/>
    </row>
    <row r="30" spans="3:8" ht="15" x14ac:dyDescent="0.2">
      <c r="C30" s="121"/>
      <c r="D30" s="112"/>
      <c r="E30" s="618"/>
      <c r="F30" s="618"/>
      <c r="G30" s="618"/>
      <c r="H30" s="618"/>
    </row>
    <row r="31" spans="3:8" ht="15" x14ac:dyDescent="0.2">
      <c r="C31" s="507" t="s">
        <v>5626</v>
      </c>
      <c r="E31" s="618"/>
      <c r="F31" s="618"/>
      <c r="G31" s="618"/>
      <c r="H31" s="618"/>
    </row>
    <row r="32" spans="3:8" ht="15" x14ac:dyDescent="0.2">
      <c r="C32" s="121"/>
      <c r="D32" s="112"/>
      <c r="E32" s="618"/>
      <c r="F32" s="618"/>
      <c r="G32" s="618"/>
      <c r="H32" s="618"/>
    </row>
    <row r="33" spans="3:8" ht="15" x14ac:dyDescent="0.2">
      <c r="C33" s="121"/>
      <c r="D33" s="112"/>
      <c r="E33" s="618"/>
      <c r="F33" s="618"/>
      <c r="G33" s="618"/>
      <c r="H33" s="618"/>
    </row>
    <row r="34" spans="3:8" ht="15" x14ac:dyDescent="0.2">
      <c r="C34" s="121"/>
      <c r="D34" s="112"/>
      <c r="E34" s="618"/>
      <c r="F34" s="618"/>
      <c r="G34" s="618"/>
      <c r="H34" s="618"/>
    </row>
    <row r="35" spans="3:8" ht="15" x14ac:dyDescent="0.2">
      <c r="C35" s="121"/>
      <c r="D35" s="112"/>
      <c r="E35" s="618"/>
      <c r="F35" s="618"/>
      <c r="G35" s="618"/>
      <c r="H35" s="618"/>
    </row>
    <row r="36" spans="3:8" ht="15" x14ac:dyDescent="0.2">
      <c r="C36" s="112"/>
      <c r="D36" s="112"/>
      <c r="E36" s="618"/>
      <c r="F36" s="618"/>
      <c r="G36" s="618"/>
      <c r="H36" s="618"/>
    </row>
    <row r="37" spans="3:8" x14ac:dyDescent="0.2">
      <c r="C37" s="112"/>
      <c r="D37" s="112"/>
      <c r="E37" s="112"/>
    </row>
    <row r="38" spans="3:8" x14ac:dyDescent="0.2">
      <c r="C38" s="112"/>
      <c r="D38" s="112"/>
      <c r="E38" s="112"/>
    </row>
    <row r="39" spans="3:8" x14ac:dyDescent="0.2">
      <c r="C39" s="112"/>
      <c r="D39" s="112"/>
      <c r="E39" s="112"/>
    </row>
    <row r="40" spans="3:8" x14ac:dyDescent="0.2">
      <c r="C40" s="112"/>
      <c r="D40" s="112"/>
      <c r="E40" s="112"/>
    </row>
    <row r="41" spans="3:8" x14ac:dyDescent="0.2">
      <c r="C41" s="112"/>
      <c r="D41" s="112"/>
      <c r="E41" s="112"/>
    </row>
    <row r="42" spans="3:8" x14ac:dyDescent="0.2">
      <c r="D42" s="112"/>
      <c r="E42" s="112"/>
    </row>
    <row r="43" spans="3:8" x14ac:dyDescent="0.2">
      <c r="D43" s="112"/>
      <c r="E43" s="112"/>
    </row>
    <row r="44" spans="3:8" x14ac:dyDescent="0.2">
      <c r="D44" s="112"/>
      <c r="E44" s="112"/>
    </row>
    <row r="45" spans="3:8" x14ac:dyDescent="0.2">
      <c r="D45" s="112"/>
    </row>
    <row r="46" spans="3:8" x14ac:dyDescent="0.2">
      <c r="D46" s="112"/>
    </row>
  </sheetData>
  <sheetProtection selectLockedCells="1"/>
  <mergeCells count="23">
    <mergeCell ref="E20:H20"/>
    <mergeCell ref="E15:H15"/>
    <mergeCell ref="D10:F10"/>
    <mergeCell ref="E16:H16"/>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showFormulas="1" view="pageBreakPreview" topLeftCell="A13" zoomScale="70" zoomScaleNormal="100" zoomScaleSheetLayoutView="70" workbookViewId="0">
      <selection activeCell="I33" sqref="I33:I5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419"/>
      <c r="D1" s="636" t="s">
        <v>190</v>
      </c>
      <c r="E1" s="636"/>
      <c r="F1" s="636"/>
      <c r="G1" s="636"/>
      <c r="H1" s="636"/>
      <c r="I1" s="636"/>
      <c r="J1" s="636"/>
      <c r="K1" s="636"/>
      <c r="L1" s="636"/>
      <c r="M1" s="636"/>
    </row>
    <row r="2" spans="1:18" ht="23.25" customHeight="1" x14ac:dyDescent="0.3">
      <c r="C2" s="420"/>
      <c r="D2" s="420" t="s">
        <v>2256</v>
      </c>
      <c r="E2" s="420"/>
      <c r="F2" s="420"/>
      <c r="G2" s="420"/>
      <c r="H2" s="420"/>
      <c r="I2" s="420"/>
      <c r="J2" s="420"/>
      <c r="K2" s="420"/>
      <c r="L2" s="420"/>
      <c r="M2" s="420"/>
    </row>
    <row r="3" spans="1:18" ht="23.25" x14ac:dyDescent="0.35">
      <c r="C3" s="637"/>
      <c r="D3" s="637"/>
      <c r="E3" s="637"/>
      <c r="F3" s="637"/>
      <c r="G3" s="637"/>
      <c r="H3" s="637"/>
      <c r="I3" s="637"/>
      <c r="J3" s="637"/>
      <c r="K3" s="637"/>
      <c r="L3" s="637"/>
      <c r="M3" s="637"/>
    </row>
    <row r="4" spans="1:18" ht="23.25" x14ac:dyDescent="0.35">
      <c r="C4" s="404"/>
      <c r="D4" s="404"/>
      <c r="E4" s="404"/>
      <c r="F4" s="404"/>
      <c r="G4" s="404"/>
      <c r="H4" s="404"/>
      <c r="I4" s="404"/>
      <c r="J4" s="404"/>
      <c r="K4" s="404"/>
      <c r="L4" s="404"/>
      <c r="M4" s="404"/>
    </row>
    <row r="5" spans="1:18" ht="23.25" x14ac:dyDescent="0.35">
      <c r="C5" s="654" t="s">
        <v>18</v>
      </c>
      <c r="D5" s="654"/>
      <c r="E5" s="654"/>
      <c r="F5" s="654"/>
      <c r="G5" s="654"/>
      <c r="H5" s="654"/>
      <c r="I5" s="654"/>
      <c r="J5" s="654"/>
      <c r="K5" s="654"/>
      <c r="L5" s="654"/>
      <c r="M5" s="654"/>
    </row>
    <row r="6" spans="1:18" ht="23.25" x14ac:dyDescent="0.35">
      <c r="C6" s="405"/>
      <c r="D6" s="405"/>
      <c r="E6" s="621" t="str">
        <f>IF(Main!K14="","",CONCATENATE("Report Number: ",Main!K14,Main!D24))</f>
        <v/>
      </c>
      <c r="F6" s="621"/>
      <c r="G6" s="621"/>
      <c r="H6" s="621"/>
      <c r="I6" s="621"/>
      <c r="J6" s="621"/>
      <c r="K6" s="621"/>
      <c r="L6" s="405"/>
      <c r="M6" s="405"/>
    </row>
    <row r="7" spans="1:18" ht="18.75" customHeight="1" x14ac:dyDescent="0.3">
      <c r="G7" s="633"/>
      <c r="H7" s="633"/>
      <c r="I7" s="377"/>
      <c r="R7" t="str">
        <f>CONCATENATE("Page ",Main!L9," of ",Main!L10)</f>
        <v xml:space="preserve">Page  of </v>
      </c>
    </row>
    <row r="8" spans="1:18" ht="18" customHeight="1" x14ac:dyDescent="0.25">
      <c r="G8" s="649"/>
      <c r="H8" s="649"/>
      <c r="J8" s="118"/>
      <c r="K8" s="406" t="s">
        <v>2253</v>
      </c>
      <c r="L8" s="401" t="e">
        <f>'Header Info'!AX2</f>
        <v>#N/A</v>
      </c>
      <c r="M8" s="401"/>
      <c r="N8" s="401"/>
      <c r="O8" s="401"/>
    </row>
    <row r="9" spans="1:18" ht="18" customHeight="1" x14ac:dyDescent="0.25">
      <c r="A9" s="406" t="s">
        <v>2205</v>
      </c>
      <c r="B9" s="38">
        <f>Main!D5</f>
        <v>0</v>
      </c>
      <c r="J9" s="118"/>
      <c r="K9" s="406" t="s">
        <v>2254</v>
      </c>
      <c r="L9" s="634" t="e">
        <f>'Header Info'!AY2</f>
        <v>#N/A</v>
      </c>
      <c r="M9" s="634"/>
      <c r="N9" s="634"/>
      <c r="O9" s="634"/>
    </row>
    <row r="10" spans="1:18" ht="18" customHeight="1" x14ac:dyDescent="0.25">
      <c r="A10" s="130"/>
      <c r="B10" s="401" t="e">
        <f>IF('Header Info'!AU2=0,"",'Header Info'!AU2)</f>
        <v>#N/A</v>
      </c>
      <c r="J10" s="118"/>
      <c r="K10" s="406"/>
      <c r="L10" s="634"/>
      <c r="M10" s="634"/>
      <c r="N10" s="634"/>
      <c r="O10" s="634"/>
    </row>
    <row r="11" spans="1:18" ht="18" customHeight="1" x14ac:dyDescent="0.25">
      <c r="A11" s="130"/>
      <c r="B11" s="401" t="e">
        <f>IF('Header Info'!AV2=0,"",'Header Info'!AV2)</f>
        <v>#N/A</v>
      </c>
      <c r="J11" s="118"/>
      <c r="K11" s="406" t="s">
        <v>2255</v>
      </c>
      <c r="L11" s="401" t="e">
        <f>'Header Info'!AZ2</f>
        <v>#N/A</v>
      </c>
      <c r="M11" s="401"/>
      <c r="N11" s="401"/>
      <c r="O11" s="401"/>
    </row>
    <row r="12" spans="1:18" ht="18" customHeight="1" x14ac:dyDescent="0.25">
      <c r="A12" s="130"/>
      <c r="B12" s="401" t="e">
        <f>IF('Header Info'!AW2=0,"",'Header Info'!AW2)</f>
        <v>#N/A</v>
      </c>
      <c r="J12" s="118"/>
      <c r="K12" s="406"/>
      <c r="L12" s="407"/>
      <c r="M12" s="407"/>
      <c r="N12" s="407"/>
      <c r="O12" s="407"/>
    </row>
    <row r="13" spans="1:18" ht="8.1" customHeight="1" x14ac:dyDescent="0.2">
      <c r="A13" s="130"/>
      <c r="K13" s="394"/>
    </row>
    <row r="14" spans="1:18" ht="18" customHeight="1" x14ac:dyDescent="0.25">
      <c r="A14" s="411" t="s">
        <v>2206</v>
      </c>
      <c r="B14" s="408" t="e">
        <f>'Header Info'!BA2</f>
        <v>#N/A</v>
      </c>
      <c r="C14" s="409"/>
      <c r="D14" s="409"/>
      <c r="E14" s="409"/>
      <c r="F14" s="383"/>
      <c r="G14" s="397" t="s">
        <v>2211</v>
      </c>
      <c r="H14" s="408" t="e">
        <f>'Header Info'!BF2</f>
        <v>#N/A</v>
      </c>
      <c r="I14" s="383"/>
      <c r="J14" s="383"/>
      <c r="K14" s="383"/>
      <c r="L14" s="383"/>
      <c r="M14" s="397" t="s">
        <v>2216</v>
      </c>
      <c r="N14" s="408">
        <f>Main!D7</f>
        <v>0</v>
      </c>
      <c r="O14" s="384"/>
    </row>
    <row r="15" spans="1:18" ht="18" customHeight="1" x14ac:dyDescent="0.25">
      <c r="A15" s="412" t="s">
        <v>2207</v>
      </c>
      <c r="B15" s="410" t="e">
        <f>'Header Info'!BB2</f>
        <v>#N/A</v>
      </c>
      <c r="C15" s="401"/>
      <c r="D15" s="401"/>
      <c r="E15" s="401"/>
      <c r="G15" s="406" t="s">
        <v>2212</v>
      </c>
      <c r="H15" s="410" t="e">
        <f>'Header Info'!BG2</f>
        <v>#N/A</v>
      </c>
      <c r="M15" s="406" t="s">
        <v>2217</v>
      </c>
      <c r="N15" s="414">
        <f>Main!D3</f>
        <v>0</v>
      </c>
      <c r="O15" s="385"/>
    </row>
    <row r="16" spans="1:18" ht="18" customHeight="1" x14ac:dyDescent="0.25">
      <c r="A16" s="412" t="s">
        <v>2208</v>
      </c>
      <c r="B16" s="651" t="e">
        <f>'Header Info'!BC2</f>
        <v>#N/A</v>
      </c>
      <c r="C16" s="651"/>
      <c r="D16" s="651"/>
      <c r="E16" s="651"/>
      <c r="G16" s="406" t="s">
        <v>2213</v>
      </c>
      <c r="H16" s="410" t="e">
        <f>'Header Info'!BH2</f>
        <v>#N/A</v>
      </c>
      <c r="M16" s="406" t="s">
        <v>2218</v>
      </c>
      <c r="N16" s="414" t="e">
        <f>IF('Header Info'!BK2="M",EDATE(N15,1),IF('Header Info'!BK2="2 Mo",EDATE(N15,2),IF('Header Info'!BK2="Q",EDATE(N15,3),IF('Header Info'!BK2="4 Mo",EDATE(N15,4),IF('Header Info'!BK2="6 Mo",EDATE(N15,6),IF('Header Info'!BK2="A",EDATE(N15,12),IF('Header Info'!BK2="2Yr",EDATE(N15,24),IF('Header Info'!BK2="3Yr",EDATE(N15,36),IF('Header Info'!BK2="N/A","N/A","")))))))))</f>
        <v>#N/A</v>
      </c>
      <c r="O16" s="385"/>
    </row>
    <row r="17" spans="1:19" ht="18" customHeight="1" x14ac:dyDescent="0.25">
      <c r="A17" s="412" t="s">
        <v>2209</v>
      </c>
      <c r="B17" s="473" t="e">
        <f>'Header Info'!BD2</f>
        <v>#N/A</v>
      </c>
      <c r="C17" s="401"/>
      <c r="D17" s="401"/>
      <c r="E17" s="401"/>
      <c r="G17" s="406" t="s">
        <v>2214</v>
      </c>
      <c r="H17" s="410" t="e">
        <f>'Header Info'!BI2</f>
        <v>#N/A</v>
      </c>
      <c r="M17" s="406" t="str">
        <f>IF(Main!K13="","","PO:")</f>
        <v/>
      </c>
      <c r="N17" s="410" t="str">
        <f>IF(Main!K13="","",Main!K13)</f>
        <v/>
      </c>
      <c r="O17" s="385"/>
    </row>
    <row r="18" spans="1:19" ht="18" customHeight="1" x14ac:dyDescent="0.25">
      <c r="A18" s="412" t="s">
        <v>2210</v>
      </c>
      <c r="B18" s="640" t="e">
        <f>'Header Info'!BE2</f>
        <v>#N/A</v>
      </c>
      <c r="C18" s="640"/>
      <c r="D18" s="640"/>
      <c r="E18" s="640"/>
      <c r="G18" s="406" t="s">
        <v>2215</v>
      </c>
      <c r="H18" s="410" t="e">
        <f>'Header Info'!BJ2</f>
        <v>#N/A</v>
      </c>
      <c r="M18" s="406" t="s">
        <v>2219</v>
      </c>
      <c r="N18" s="410" t="str">
        <f>Main!G18</f>
        <v>ACCEPTED</v>
      </c>
      <c r="O18" s="385"/>
    </row>
    <row r="19" spans="1:19" ht="18" customHeight="1" x14ac:dyDescent="0.25">
      <c r="A19" s="396"/>
      <c r="B19" s="641"/>
      <c r="C19" s="641"/>
      <c r="D19" s="641"/>
      <c r="E19" s="641"/>
      <c r="F19" s="386"/>
      <c r="G19" s="398"/>
      <c r="H19" s="413"/>
      <c r="I19" s="386"/>
      <c r="J19" s="386"/>
      <c r="K19" s="386"/>
      <c r="L19" s="386"/>
      <c r="M19" s="398"/>
      <c r="N19" s="413"/>
      <c r="O19" s="387"/>
    </row>
    <row r="20" spans="1:19" ht="8.1" customHeight="1" x14ac:dyDescent="0.2">
      <c r="A20" s="44"/>
      <c r="B20" s="390"/>
      <c r="C20" s="390"/>
      <c r="D20" s="390"/>
      <c r="N20" s="393"/>
    </row>
    <row r="21" spans="1:19" ht="18" customHeight="1" x14ac:dyDescent="0.25">
      <c r="A21" s="411" t="s">
        <v>2224</v>
      </c>
      <c r="B21" s="652" t="e">
        <f>'Header Info'!BL2</f>
        <v>#N/A</v>
      </c>
      <c r="C21" s="652"/>
      <c r="D21" s="652"/>
      <c r="E21" s="652"/>
      <c r="F21" s="397" t="s">
        <v>2226</v>
      </c>
      <c r="G21" s="652" t="e">
        <f>'Header Info'!BM2</f>
        <v>#N/A</v>
      </c>
      <c r="H21" s="652"/>
      <c r="I21" s="652"/>
      <c r="J21" s="397" t="s">
        <v>2227</v>
      </c>
      <c r="K21" s="409" t="e">
        <f>'Header Info'!BN2</f>
        <v>#N/A</v>
      </c>
      <c r="L21" s="383"/>
      <c r="M21" s="397" t="s">
        <v>2228</v>
      </c>
      <c r="N21" s="422" t="e">
        <f>Main!G27</f>
        <v>#N/A</v>
      </c>
      <c r="O21" s="384"/>
    </row>
    <row r="22" spans="1:19" ht="18" customHeight="1" x14ac:dyDescent="0.25">
      <c r="A22" s="415" t="s">
        <v>2225</v>
      </c>
      <c r="B22" s="653" t="e">
        <f>'Header Info'!BO2</f>
        <v>#N/A</v>
      </c>
      <c r="C22" s="653"/>
      <c r="D22" s="653"/>
      <c r="E22" s="653"/>
      <c r="F22" s="398" t="s">
        <v>2226</v>
      </c>
      <c r="G22" s="653" t="e">
        <f>'Header Info'!BP2</f>
        <v>#N/A</v>
      </c>
      <c r="H22" s="653"/>
      <c r="I22" s="653"/>
      <c r="J22" s="398" t="s">
        <v>2227</v>
      </c>
      <c r="K22" s="421" t="e">
        <f>'Header Info'!BQ2</f>
        <v>#N/A</v>
      </c>
      <c r="L22" s="386"/>
      <c r="M22" s="398" t="s">
        <v>2228</v>
      </c>
      <c r="N22" s="423" t="e">
        <f>Main!G28</f>
        <v>#N/A</v>
      </c>
      <c r="O22" s="387"/>
    </row>
    <row r="23" spans="1:19" ht="8.1" customHeight="1" x14ac:dyDescent="0.25">
      <c r="A23" s="118"/>
      <c r="B23" s="401"/>
      <c r="C23" s="401"/>
      <c r="D23" s="401"/>
      <c r="E23" s="390"/>
    </row>
    <row r="24" spans="1:19" ht="18" customHeight="1" x14ac:dyDescent="0.25">
      <c r="A24" s="411" t="s">
        <v>2229</v>
      </c>
      <c r="B24" s="417">
        <f>Main!D16</f>
        <v>0</v>
      </c>
      <c r="C24" s="409"/>
      <c r="D24" s="409"/>
      <c r="E24" s="391"/>
      <c r="F24" s="383"/>
      <c r="G24" s="397" t="s">
        <v>2232</v>
      </c>
      <c r="H24" s="399">
        <f>Main!D26</f>
        <v>0</v>
      </c>
      <c r="I24" s="383"/>
      <c r="J24" s="383"/>
      <c r="K24" s="383"/>
      <c r="L24" s="395"/>
      <c r="M24" s="397" t="s">
        <v>2236</v>
      </c>
      <c r="N24" s="409" t="str">
        <f ca="1">TEXT(Access_Data!D33,"0.0") &amp; "°F / " &amp; TEXT(Access_Data!H33,"0.0") &amp; "°F"</f>
        <v>0.0°F / 0.0°F</v>
      </c>
      <c r="O24" s="384"/>
    </row>
    <row r="25" spans="1:19" ht="18" customHeight="1" x14ac:dyDescent="0.25">
      <c r="A25" s="412" t="s">
        <v>2230</v>
      </c>
      <c r="B25" s="418">
        <f>Main!D15</f>
        <v>0</v>
      </c>
      <c r="C25" s="401"/>
      <c r="D25" s="401"/>
      <c r="E25" s="390"/>
      <c r="G25" s="406" t="s">
        <v>2233</v>
      </c>
      <c r="H25" s="400" t="e">
        <f>Main!E29</f>
        <v>#VALUE!</v>
      </c>
      <c r="L25" s="118"/>
      <c r="M25" s="406" t="s">
        <v>2237</v>
      </c>
      <c r="N25" s="401" t="e">
        <f>IF(Main!H15=TRUE,Main!G17,"VERIFY LOAD!!!")</f>
        <v>#N/A</v>
      </c>
      <c r="O25" s="385"/>
      <c r="R25" s="206"/>
      <c r="S25" s="112"/>
    </row>
    <row r="26" spans="1:19" ht="18" customHeight="1" x14ac:dyDescent="0.25">
      <c r="A26" s="412" t="s">
        <v>2231</v>
      </c>
      <c r="B26" s="401" t="s">
        <v>1951</v>
      </c>
      <c r="C26" s="401"/>
      <c r="D26" s="401"/>
      <c r="E26" s="390"/>
      <c r="G26" s="406" t="s">
        <v>2234</v>
      </c>
      <c r="H26" s="401" t="str">
        <f>Main!I19</f>
        <v>N/A</v>
      </c>
      <c r="L26" s="118"/>
      <c r="M26" s="406" t="s">
        <v>2235</v>
      </c>
      <c r="N26" s="401" t="e">
        <f ca="1">TEXT(Access_Data!K33,"0.0") &amp; "°F"</f>
        <v>#VALUE!</v>
      </c>
      <c r="O26" s="385"/>
    </row>
    <row r="27" spans="1:19" ht="18" customHeight="1" x14ac:dyDescent="0.2">
      <c r="A27" s="416"/>
      <c r="B27" s="386"/>
      <c r="C27" s="650" t="s">
        <v>2238</v>
      </c>
      <c r="D27" s="650"/>
      <c r="E27" s="650"/>
      <c r="F27" s="650"/>
      <c r="G27" s="650"/>
      <c r="H27" s="650"/>
      <c r="I27" s="650"/>
      <c r="J27" s="650"/>
      <c r="K27" s="650"/>
      <c r="L27" s="650"/>
      <c r="M27" s="650"/>
      <c r="N27" s="386"/>
      <c r="O27" s="387"/>
    </row>
    <row r="28" spans="1:19" ht="8.1" customHeight="1" x14ac:dyDescent="0.2"/>
    <row r="29" spans="1:19" ht="18" customHeight="1" x14ac:dyDescent="0.2">
      <c r="A29" s="646" t="s">
        <v>2185</v>
      </c>
      <c r="B29" s="647"/>
      <c r="C29" s="648"/>
      <c r="D29" s="646" t="s">
        <v>2239</v>
      </c>
      <c r="E29" s="647"/>
      <c r="F29" s="647"/>
      <c r="G29" s="648"/>
      <c r="H29" s="646" t="s">
        <v>2186</v>
      </c>
      <c r="I29" s="647"/>
      <c r="J29" s="647"/>
      <c r="K29" s="648"/>
      <c r="L29" s="646" t="s">
        <v>1760</v>
      </c>
      <c r="M29" s="647"/>
      <c r="N29" s="647"/>
      <c r="O29" s="648"/>
    </row>
    <row r="30" spans="1:19" ht="18" customHeight="1" x14ac:dyDescent="0.2">
      <c r="A30" s="402"/>
      <c r="B30" s="392" t="e">
        <f>'Header Info'!BS2</f>
        <v>#N/A</v>
      </c>
      <c r="C30" s="403"/>
      <c r="D30" s="643" t="str">
        <f>CONCATENATE(Main!D22,"°F"," / ",Main!D23,"% RH")</f>
        <v>°F / % RH</v>
      </c>
      <c r="E30" s="644"/>
      <c r="F30" s="644"/>
      <c r="G30" s="645"/>
      <c r="H30" s="643" t="e">
        <f>'Header Info'!BT2</f>
        <v>#N/A</v>
      </c>
      <c r="I30" s="644"/>
      <c r="J30" s="644"/>
      <c r="K30" s="645"/>
      <c r="L30" s="643" t="e">
        <f>'Header Info'!BU2</f>
        <v>#N/A</v>
      </c>
      <c r="M30" s="644"/>
      <c r="N30" s="644"/>
      <c r="O30" s="645"/>
    </row>
    <row r="31" spans="1:19" ht="18" customHeight="1" x14ac:dyDescent="0.2"/>
    <row r="32" spans="1:19" ht="18" customHeight="1" x14ac:dyDescent="0.25">
      <c r="A32" s="425" t="s">
        <v>2240</v>
      </c>
      <c r="B32" s="635" t="s">
        <v>2241</v>
      </c>
      <c r="C32" s="635"/>
      <c r="D32" s="425" t="s">
        <v>2162</v>
      </c>
      <c r="E32" s="425" t="s">
        <v>2161</v>
      </c>
      <c r="F32" s="425" t="s">
        <v>2242</v>
      </c>
      <c r="G32" s="118"/>
      <c r="H32" s="118"/>
      <c r="I32" s="425" t="s">
        <v>2240</v>
      </c>
      <c r="J32" s="635" t="s">
        <v>2241</v>
      </c>
      <c r="K32" s="635"/>
      <c r="L32" s="425" t="s">
        <v>2162</v>
      </c>
      <c r="M32" s="425" t="s">
        <v>2161</v>
      </c>
      <c r="N32" s="425" t="s">
        <v>2242</v>
      </c>
    </row>
    <row r="33" spans="1:14" ht="18" customHeight="1" x14ac:dyDescent="0.2">
      <c r="A33" s="426" t="str">
        <f>IF(B33="","",1)</f>
        <v/>
      </c>
      <c r="B33" s="633" t="str">
        <f>IF(Main!O5="","",Main!O5)</f>
        <v/>
      </c>
      <c r="C33" s="633"/>
      <c r="D33" s="427" t="str">
        <f ca="1">IF(Access_Data!B27="","",Access_Data!B27)</f>
        <v/>
      </c>
      <c r="E33" s="427" t="str">
        <f ca="1">IF(Access_Data!B29="","",Access_Data!B29)</f>
        <v/>
      </c>
      <c r="F33" s="427" t="str">
        <f ca="1">IF(Access_Data!B31="","",Access_Data!B31)</f>
        <v/>
      </c>
      <c r="G33" s="118"/>
      <c r="H33" s="118"/>
      <c r="I33" s="426" t="str">
        <f>IF(J33="","",21)</f>
        <v/>
      </c>
      <c r="J33" s="633" t="str">
        <f>IF(Main!O25="","",Main!O25)</f>
        <v/>
      </c>
      <c r="K33" s="633"/>
      <c r="L33" s="427" t="str">
        <f ca="1">IF(Access_Data!AB27="","",Access_Data!AB27)</f>
        <v/>
      </c>
      <c r="M33" s="427" t="str">
        <f ca="1">IF(Access_Data!AB29="","",Access_Data!AB29)</f>
        <v/>
      </c>
      <c r="N33" s="427" t="str">
        <f ca="1">IF(Access_Data!AB31="","",Access_Data!AB31)</f>
        <v/>
      </c>
    </row>
    <row r="34" spans="1:14" ht="18" customHeight="1" x14ac:dyDescent="0.2">
      <c r="A34" s="426" t="str">
        <f>IF(B34="","",2)</f>
        <v/>
      </c>
      <c r="B34" s="633" t="str">
        <f>IF(Main!O6="","",Main!O6)</f>
        <v/>
      </c>
      <c r="C34" s="633"/>
      <c r="D34" s="427" t="str">
        <f ca="1">IF(Access_Data!C27="","",Access_Data!C27)</f>
        <v/>
      </c>
      <c r="E34" s="427" t="str">
        <f ca="1">IF(Access_Data!C29="","",Access_Data!C29)</f>
        <v/>
      </c>
      <c r="F34" s="427" t="str">
        <f ca="1">IF(Access_Data!C31="","",Access_Data!C31)</f>
        <v/>
      </c>
      <c r="G34" s="118"/>
      <c r="H34" s="118"/>
      <c r="I34" s="426" t="str">
        <f>IF(J34="","",22)</f>
        <v/>
      </c>
      <c r="J34" s="633" t="str">
        <f>IF(Main!O26="","",Main!O26)</f>
        <v/>
      </c>
      <c r="K34" s="633"/>
      <c r="L34" s="427" t="str">
        <f ca="1">IF(Access_Data!AC27="","",Access_Data!AC27)</f>
        <v/>
      </c>
      <c r="M34" s="427" t="str">
        <f ca="1">IF(Access_Data!AC29="","",Access_Data!AC29)</f>
        <v/>
      </c>
      <c r="N34" s="427" t="str">
        <f ca="1">IF(Access_Data!AC31="","",Access_Data!AC31)</f>
        <v/>
      </c>
    </row>
    <row r="35" spans="1:14" ht="18" customHeight="1" x14ac:dyDescent="0.2">
      <c r="A35" s="426" t="str">
        <f>IF(B35="","",3)</f>
        <v/>
      </c>
      <c r="B35" s="633" t="str">
        <f>IF(Main!O7="","",Main!O7)</f>
        <v/>
      </c>
      <c r="C35" s="633"/>
      <c r="D35" s="427" t="str">
        <f ca="1">IF(Access_Data!D27="","",Access_Data!D27)</f>
        <v/>
      </c>
      <c r="E35" s="427" t="str">
        <f ca="1">IF(Access_Data!D29="","",Access_Data!D29)</f>
        <v/>
      </c>
      <c r="F35" s="427" t="str">
        <f ca="1">IF(Access_Data!D31="","",Access_Data!D31)</f>
        <v/>
      </c>
      <c r="G35" s="118"/>
      <c r="H35" s="118"/>
      <c r="I35" s="426" t="str">
        <f>IF(J35="","",23)</f>
        <v/>
      </c>
      <c r="J35" s="633" t="str">
        <f>IF(Main!O27="","",Main!O27)</f>
        <v/>
      </c>
      <c r="K35" s="633"/>
      <c r="L35" s="427" t="str">
        <f ca="1">IF(Access_Data!AD27="","",Access_Data!AD27)</f>
        <v/>
      </c>
      <c r="M35" s="427" t="str">
        <f ca="1">IF(Access_Data!AD29="","",Access_Data!AD29)</f>
        <v/>
      </c>
      <c r="N35" s="427" t="str">
        <f ca="1">IF(Access_Data!AD31="","",Access_Data!AD31)</f>
        <v/>
      </c>
    </row>
    <row r="36" spans="1:14" ht="18" customHeight="1" x14ac:dyDescent="0.2">
      <c r="A36" s="426" t="str">
        <f>IF(B36="","",4)</f>
        <v/>
      </c>
      <c r="B36" s="633" t="str">
        <f>IF(Main!O8="","",Main!O8)</f>
        <v/>
      </c>
      <c r="C36" s="633"/>
      <c r="D36" s="427" t="str">
        <f ca="1">IF(Access_Data!E27="","",Access_Data!E27)</f>
        <v/>
      </c>
      <c r="E36" s="427" t="str">
        <f ca="1">IF(Access_Data!E29="","",Access_Data!E29)</f>
        <v/>
      </c>
      <c r="F36" s="427" t="str">
        <f ca="1">IF(Access_Data!E31="","",Access_Data!E31)</f>
        <v/>
      </c>
      <c r="G36" s="118"/>
      <c r="H36" s="118"/>
      <c r="I36" s="426" t="str">
        <f>IF(J36="","",24)</f>
        <v/>
      </c>
      <c r="J36" s="633" t="str">
        <f>IF(Main!O28="","",Main!O28)</f>
        <v/>
      </c>
      <c r="K36" s="633"/>
      <c r="L36" s="427" t="str">
        <f ca="1">IF(Access_Data!AE27="","",Access_Data!AE27)</f>
        <v/>
      </c>
      <c r="M36" s="427" t="str">
        <f ca="1">IF(Access_Data!AE29="","",Access_Data!AE29)</f>
        <v/>
      </c>
      <c r="N36" s="427" t="str">
        <f ca="1">IF(Access_Data!AE31="","",Access_Data!AE31)</f>
        <v/>
      </c>
    </row>
    <row r="37" spans="1:14" ht="18" customHeight="1" x14ac:dyDescent="0.2">
      <c r="A37" s="426" t="str">
        <f>IF(B37="","",5)</f>
        <v/>
      </c>
      <c r="B37" s="633" t="str">
        <f>IF(Main!O9="","",Main!O9)</f>
        <v/>
      </c>
      <c r="C37" s="633"/>
      <c r="D37" s="427" t="str">
        <f ca="1">IF(Access_Data!F27="","",Access_Data!F27)</f>
        <v/>
      </c>
      <c r="E37" s="427" t="str">
        <f ca="1">IF(Access_Data!F29="","",Access_Data!F29)</f>
        <v/>
      </c>
      <c r="F37" s="427" t="str">
        <f ca="1">IF(Access_Data!F31="","",Access_Data!F31)</f>
        <v/>
      </c>
      <c r="G37" s="118"/>
      <c r="H37" s="118"/>
      <c r="I37" s="426" t="str">
        <f>IF(J37="","",25)</f>
        <v/>
      </c>
      <c r="J37" s="633" t="str">
        <f>IF(Main!O29="","",Main!O29)</f>
        <v/>
      </c>
      <c r="K37" s="633"/>
      <c r="L37" s="427" t="str">
        <f ca="1">IF(Access_Data!AF27="","",Access_Data!AF27)</f>
        <v/>
      </c>
      <c r="M37" s="427" t="str">
        <f ca="1">IF(Access_Data!AF29="","",Access_Data!AF29)</f>
        <v/>
      </c>
      <c r="N37" s="427" t="str">
        <f ca="1">IF(Access_Data!AF31="","",Access_Data!AF31)</f>
        <v/>
      </c>
    </row>
    <row r="38" spans="1:14" ht="18" customHeight="1" x14ac:dyDescent="0.2">
      <c r="A38" s="426" t="str">
        <f>IF(B38="","",6)</f>
        <v/>
      </c>
      <c r="B38" s="633" t="str">
        <f>IF(Main!O10="","",Main!O10)</f>
        <v/>
      </c>
      <c r="C38" s="633"/>
      <c r="D38" s="427" t="str">
        <f ca="1">IF(Access_Data!G27="","",Access_Data!G27)</f>
        <v/>
      </c>
      <c r="E38" s="427" t="str">
        <f ca="1">IF(Access_Data!G29="","",Access_Data!G29)</f>
        <v/>
      </c>
      <c r="F38" s="427" t="str">
        <f ca="1">IF(Access_Data!G31="","",Access_Data!G31)</f>
        <v/>
      </c>
      <c r="G38" s="118"/>
      <c r="H38" s="118"/>
      <c r="I38" s="426" t="str">
        <f>IF(J38="","",26)</f>
        <v/>
      </c>
      <c r="J38" s="633" t="str">
        <f>IF(Main!O30="","",Main!O30)</f>
        <v/>
      </c>
      <c r="K38" s="633"/>
      <c r="L38" s="427" t="str">
        <f ca="1">IF(Access_Data!AG27="","",Access_Data!AG27)</f>
        <v/>
      </c>
      <c r="M38" s="427" t="str">
        <f ca="1">IF(Access_Data!AG29="","",Access_Data!AG29)</f>
        <v/>
      </c>
      <c r="N38" s="427" t="str">
        <f ca="1">IF(Access_Data!AG31="","",Access_Data!AG31)</f>
        <v/>
      </c>
    </row>
    <row r="39" spans="1:14" ht="18" customHeight="1" x14ac:dyDescent="0.2">
      <c r="A39" s="426" t="str">
        <f>IF(B39="","",7)</f>
        <v/>
      </c>
      <c r="B39" s="633" t="str">
        <f>IF(Main!O11="","",Main!O11)</f>
        <v/>
      </c>
      <c r="C39" s="633"/>
      <c r="D39" s="427" t="str">
        <f ca="1">IF(Access_Data!H27="","",Access_Data!H27)</f>
        <v/>
      </c>
      <c r="E39" s="427" t="str">
        <f ca="1">IF(Access_Data!H29="","",Access_Data!H29)</f>
        <v/>
      </c>
      <c r="F39" s="427" t="str">
        <f ca="1">IF(Access_Data!H31="","",Access_Data!H31)</f>
        <v/>
      </c>
      <c r="G39" s="118"/>
      <c r="H39" s="118"/>
      <c r="I39" s="426" t="str">
        <f>IF(J39="","",27)</f>
        <v/>
      </c>
      <c r="J39" s="633" t="str">
        <f>IF(Main!O31="","",Main!O31)</f>
        <v/>
      </c>
      <c r="K39" s="633"/>
      <c r="L39" s="427" t="str">
        <f ca="1">IF(Access_Data!AH27="","",Access_Data!AH27)</f>
        <v/>
      </c>
      <c r="M39" s="427" t="str">
        <f ca="1">IF(Access_Data!AH29="","",Access_Data!AH29)</f>
        <v/>
      </c>
      <c r="N39" s="427" t="str">
        <f ca="1">IF(Access_Data!AH31="","",Access_Data!AH31)</f>
        <v/>
      </c>
    </row>
    <row r="40" spans="1:14" ht="18" customHeight="1" x14ac:dyDescent="0.2">
      <c r="A40" s="426" t="str">
        <f>IF(B40="","",8)</f>
        <v/>
      </c>
      <c r="B40" s="633" t="str">
        <f>IF(Main!O12="","",Main!O12)</f>
        <v/>
      </c>
      <c r="C40" s="633"/>
      <c r="D40" s="427" t="str">
        <f ca="1">IF(Access_Data!I27="","",Access_Data!I27)</f>
        <v/>
      </c>
      <c r="E40" s="427" t="str">
        <f ca="1">IF(Access_Data!I29="","",Access_Data!I29)</f>
        <v/>
      </c>
      <c r="F40" s="427" t="str">
        <f ca="1">IF(Access_Data!I31="","",Access_Data!I31)</f>
        <v/>
      </c>
      <c r="G40" s="118"/>
      <c r="H40" s="118"/>
      <c r="I40" s="426" t="str">
        <f>IF(J40="","",28)</f>
        <v/>
      </c>
      <c r="J40" s="633" t="str">
        <f>IF(Main!O32="","",Main!O32)</f>
        <v/>
      </c>
      <c r="K40" s="633"/>
      <c r="L40" s="427" t="str">
        <f ca="1">IF(Access_Data!AI27="","",Access_Data!AI27)</f>
        <v/>
      </c>
      <c r="M40" s="427" t="str">
        <f ca="1">IF(Access_Data!AI29="","",Access_Data!AI29)</f>
        <v/>
      </c>
      <c r="N40" s="427" t="str">
        <f ca="1">IF(Access_Data!AI31="","",Access_Data!AI31)</f>
        <v/>
      </c>
    </row>
    <row r="41" spans="1:14" ht="18" customHeight="1" x14ac:dyDescent="0.2">
      <c r="A41" s="426" t="str">
        <f>IF(B41="","",9)</f>
        <v/>
      </c>
      <c r="B41" s="633" t="str">
        <f>IF(Main!O13="","",Main!O13)</f>
        <v/>
      </c>
      <c r="C41" s="633"/>
      <c r="D41" s="427" t="str">
        <f ca="1">IF(Access_Data!J27="","",Access_Data!J27)</f>
        <v/>
      </c>
      <c r="E41" s="427" t="str">
        <f ca="1">IF(Access_Data!J29="","",Access_Data!J29)</f>
        <v/>
      </c>
      <c r="F41" s="427" t="str">
        <f ca="1">IF(Access_Data!J31="","",Access_Data!J31)</f>
        <v/>
      </c>
      <c r="G41" s="118"/>
      <c r="H41" s="118"/>
      <c r="I41" s="426" t="str">
        <f>IF(J41="","",29)</f>
        <v/>
      </c>
      <c r="J41" s="633" t="str">
        <f>IF(Main!O33="","",Main!O33)</f>
        <v/>
      </c>
      <c r="K41" s="633"/>
      <c r="L41" s="427" t="str">
        <f ca="1">IF(Access_Data!AP27="","",Access_Data!AP27)</f>
        <v/>
      </c>
      <c r="M41" s="427" t="str">
        <f ca="1">IF(Access_Data!AP29="","",Access_Data!AP29)</f>
        <v/>
      </c>
      <c r="N41" s="427" t="str">
        <f ca="1">IF(Access_Data!AP31="","",Access_Data!AP31)</f>
        <v/>
      </c>
    </row>
    <row r="42" spans="1:14" ht="18" customHeight="1" x14ac:dyDescent="0.2">
      <c r="A42" s="426" t="str">
        <f>IF(B42="","",10)</f>
        <v/>
      </c>
      <c r="B42" s="633" t="str">
        <f>IF(Main!O14="","",Main!O14)</f>
        <v/>
      </c>
      <c r="C42" s="633"/>
      <c r="D42" s="427" t="str">
        <f ca="1">IF(Access_Data!K27="","",Access_Data!K27)</f>
        <v/>
      </c>
      <c r="E42" s="427" t="str">
        <f ca="1">IF(Access_Data!K29="","",Access_Data!K29)</f>
        <v/>
      </c>
      <c r="F42" s="427" t="str">
        <f ca="1">IF(Access_Data!K31="","",Access_Data!K31)</f>
        <v/>
      </c>
      <c r="G42" s="118"/>
      <c r="H42" s="118"/>
      <c r="I42" s="426" t="str">
        <f>IF(J42="","",30)</f>
        <v/>
      </c>
      <c r="J42" s="633" t="str">
        <f>IF(Main!O34="","",Main!O34)</f>
        <v/>
      </c>
      <c r="K42" s="633"/>
      <c r="L42" s="427" t="str">
        <f ca="1">IF(Access_Data!AQ27="","",Access_Data!AQ27)</f>
        <v/>
      </c>
      <c r="M42" s="427" t="str">
        <f ca="1">IF(Access_Data!AQ29="","",Access_Data!AQ29)</f>
        <v/>
      </c>
      <c r="N42" s="427">
        <f ca="1">IF(Access_Data!AQ31="","",Access_Data!AQ31)</f>
        <v>0</v>
      </c>
    </row>
    <row r="43" spans="1:14" ht="18" customHeight="1" x14ac:dyDescent="0.2">
      <c r="A43" s="426" t="str">
        <f>IF(B43="","",11)</f>
        <v/>
      </c>
      <c r="B43" s="633" t="str">
        <f>IF(Main!O15="","",Main!O15)</f>
        <v/>
      </c>
      <c r="C43" s="633"/>
      <c r="D43" s="427" t="str">
        <f ca="1">IF(Access_Data!L27="","",Access_Data!L27)</f>
        <v/>
      </c>
      <c r="E43" s="427" t="str">
        <f ca="1">IF(Access_Data!L29="","",Access_Data!L29)</f>
        <v/>
      </c>
      <c r="F43" s="427" t="str">
        <f ca="1">IF(Access_Data!L31="","",Access_Data!L31)</f>
        <v/>
      </c>
      <c r="G43" s="118"/>
      <c r="H43" s="118"/>
      <c r="I43" s="426" t="str">
        <f>IF(J43="","",31)</f>
        <v/>
      </c>
      <c r="J43" s="633" t="str">
        <f>IF(Main!O35="","",Main!O35)</f>
        <v/>
      </c>
      <c r="K43" s="633"/>
      <c r="L43" s="427" t="str">
        <f ca="1">IF(Access_Data!AR27="","",Access_Data!AR27)</f>
        <v/>
      </c>
      <c r="M43" s="427" t="str">
        <f ca="1">IF(Access_Data!AR29="","",Access_Data!AR29)</f>
        <v/>
      </c>
      <c r="N43" s="427">
        <f ca="1">IF(Access_Data!AR31="","",Access_Data!AR31)</f>
        <v>0</v>
      </c>
    </row>
    <row r="44" spans="1:14" ht="18" customHeight="1" x14ac:dyDescent="0.2">
      <c r="A44" s="426" t="str">
        <f>IF(B44="","",12)</f>
        <v/>
      </c>
      <c r="B44" s="633" t="str">
        <f>IF(Main!O16="","",Main!O16)</f>
        <v/>
      </c>
      <c r="C44" s="633"/>
      <c r="D44" s="427" t="str">
        <f ca="1">IF(Access_Data!M27="","",Access_Data!M27)</f>
        <v/>
      </c>
      <c r="E44" s="427" t="str">
        <f ca="1">IF(Access_Data!M29="","",Access_Data!M29)</f>
        <v/>
      </c>
      <c r="F44" s="427" t="str">
        <f ca="1">IF(Access_Data!M31="","",Access_Data!M31)</f>
        <v/>
      </c>
      <c r="G44" s="118"/>
      <c r="H44" s="118"/>
      <c r="I44" s="426" t="str">
        <f>IF(J44="","",32)</f>
        <v/>
      </c>
      <c r="J44" s="633" t="str">
        <f>IF(Main!O36="","",Main!O36)</f>
        <v/>
      </c>
      <c r="K44" s="633"/>
      <c r="L44" s="427" t="str">
        <f ca="1">IF(Access_Data!AS27="","",Access_Data!AS27)</f>
        <v/>
      </c>
      <c r="M44" s="427" t="str">
        <f ca="1">IF(Access_Data!AS29="","",Access_Data!AS29)</f>
        <v/>
      </c>
      <c r="N44" s="427">
        <f ca="1">IF(Access_Data!AS31="","",Access_Data!AS31)</f>
        <v>0</v>
      </c>
    </row>
    <row r="45" spans="1:14" ht="18" customHeight="1" x14ac:dyDescent="0.2">
      <c r="A45" s="426" t="str">
        <f>IF(B45="","",13)</f>
        <v/>
      </c>
      <c r="B45" s="633" t="str">
        <f>IF(Main!O17="","",Main!O17)</f>
        <v/>
      </c>
      <c r="C45" s="633"/>
      <c r="D45" s="427" t="str">
        <f ca="1">IF(Access_Data!N27="","",Access_Data!N27)</f>
        <v/>
      </c>
      <c r="E45" s="427" t="str">
        <f ca="1">IF(Access_Data!N29="","",Access_Data!N29)</f>
        <v/>
      </c>
      <c r="F45" s="427" t="str">
        <f ca="1">IF(Access_Data!N31="","",Access_Data!N31)</f>
        <v/>
      </c>
      <c r="G45" s="118"/>
      <c r="H45" s="118"/>
      <c r="I45" s="426" t="str">
        <f>IF(J45="","",33)</f>
        <v/>
      </c>
      <c r="J45" s="633" t="str">
        <f>IF(Main!O37="","",Main!O37)</f>
        <v/>
      </c>
      <c r="K45" s="633"/>
      <c r="L45" s="427" t="str">
        <f ca="1">IF(Access_Data!AT27="","",Access_Data!AT27)</f>
        <v/>
      </c>
      <c r="M45" s="427" t="str">
        <f ca="1">IF(Access_Data!AT29="","",Access_Data!AT29)</f>
        <v/>
      </c>
      <c r="N45" s="427">
        <f ca="1">IF(Access_Data!AT31="","",Access_Data!AT31)</f>
        <v>0</v>
      </c>
    </row>
    <row r="46" spans="1:14" ht="18" customHeight="1" x14ac:dyDescent="0.2">
      <c r="A46" s="426" t="str">
        <f>IF(B46="","",14)</f>
        <v/>
      </c>
      <c r="B46" s="633" t="str">
        <f>IF(Main!O18="","",Main!O18)</f>
        <v/>
      </c>
      <c r="C46" s="633"/>
      <c r="D46" s="427" t="str">
        <f ca="1">IF(Access_Data!O27="","",Access_Data!O27)</f>
        <v/>
      </c>
      <c r="E46" s="427" t="str">
        <f ca="1">IF(Access_Data!O29="","",Access_Data!O29)</f>
        <v/>
      </c>
      <c r="F46" s="427" t="str">
        <f ca="1">IF(Access_Data!O31="","",Access_Data!O31)</f>
        <v/>
      </c>
      <c r="G46" s="118"/>
      <c r="H46" s="118"/>
      <c r="I46" s="426" t="str">
        <f>IF(J46="","",34)</f>
        <v/>
      </c>
      <c r="J46" s="633" t="str">
        <f>IF(Main!O38="","",Main!O38)</f>
        <v/>
      </c>
      <c r="K46" s="633"/>
      <c r="L46" s="427" t="str">
        <f ca="1">IF(Access_Data!AU27="","",Access_Data!AU27)</f>
        <v/>
      </c>
      <c r="M46" s="427" t="str">
        <f ca="1">IF(Access_Data!AU29="","",Access_Data!AU29)</f>
        <v/>
      </c>
      <c r="N46" s="427">
        <f ca="1">IF(Access_Data!AU31="","",Access_Data!AU31)</f>
        <v>0</v>
      </c>
    </row>
    <row r="47" spans="1:14" ht="18" customHeight="1" x14ac:dyDescent="0.2">
      <c r="A47" s="426" t="str">
        <f>IF(B47="","",15)</f>
        <v/>
      </c>
      <c r="B47" s="633" t="str">
        <f>IF(Main!O19="","",Main!O19)</f>
        <v/>
      </c>
      <c r="C47" s="633"/>
      <c r="D47" s="427" t="str">
        <f ca="1">IF(Access_Data!V27="","",Access_Data!V27)</f>
        <v/>
      </c>
      <c r="E47" s="427" t="str">
        <f ca="1">IF(Access_Data!V29="","",Access_Data!V29)</f>
        <v/>
      </c>
      <c r="F47" s="427" t="str">
        <f ca="1">IF(Access_Data!V31="","",Access_Data!V31)</f>
        <v/>
      </c>
      <c r="G47" s="118"/>
      <c r="H47" s="118"/>
      <c r="I47" s="426" t="str">
        <f>IF(J47="","",35)</f>
        <v/>
      </c>
      <c r="J47" s="633" t="str">
        <f>IF(Main!O39="","",Main!O39)</f>
        <v/>
      </c>
      <c r="K47" s="633"/>
      <c r="L47" s="427" t="str">
        <f ca="1">IF(Access_Data!AV27="","",Access_Data!AV27)</f>
        <v/>
      </c>
      <c r="M47" s="427" t="str">
        <f ca="1">IF(Access_Data!AV29="","",Access_Data!AV29)</f>
        <v/>
      </c>
      <c r="N47" s="427">
        <f ca="1">IF(Access_Data!AV31="","",Access_Data!AV31)</f>
        <v>0</v>
      </c>
    </row>
    <row r="48" spans="1:14" ht="18" customHeight="1" x14ac:dyDescent="0.2">
      <c r="A48" s="426" t="str">
        <f>IF(B48="","",16)</f>
        <v/>
      </c>
      <c r="B48" s="633" t="str">
        <f>IF(Main!O20="","",Main!O20)</f>
        <v/>
      </c>
      <c r="C48" s="633"/>
      <c r="D48" s="427" t="str">
        <f ca="1">IF(Access_Data!W27="","",Access_Data!W27)</f>
        <v/>
      </c>
      <c r="E48" s="427" t="str">
        <f ca="1">IF(Access_Data!W29="","",Access_Data!W29)</f>
        <v/>
      </c>
      <c r="F48" s="427" t="str">
        <f ca="1">IF(Access_Data!W31="","",Access_Data!W31)</f>
        <v/>
      </c>
      <c r="G48" s="118"/>
      <c r="H48" s="118"/>
      <c r="I48" s="426" t="str">
        <f>IF(J48="","",36)</f>
        <v/>
      </c>
      <c r="J48" s="633" t="str">
        <f>IF(Main!O40="","",Main!O40)</f>
        <v/>
      </c>
      <c r="K48" s="633"/>
      <c r="L48" s="427" t="str">
        <f ca="1">IF(Access_Data!AW27="","",Access_Data!AW27)</f>
        <v/>
      </c>
      <c r="M48" s="427" t="str">
        <f ca="1">IF(Access_Data!AW29="","",Access_Data!AW29)</f>
        <v/>
      </c>
      <c r="N48" s="427">
        <f ca="1">IF(Access_Data!AW31="","",Access_Data!AW31)</f>
        <v>0</v>
      </c>
    </row>
    <row r="49" spans="1:23" ht="18" customHeight="1" x14ac:dyDescent="0.2">
      <c r="A49" s="426" t="str">
        <f>IF(B49="","",17)</f>
        <v/>
      </c>
      <c r="B49" s="633" t="str">
        <f>IF(Main!O21="","",Main!O21)</f>
        <v/>
      </c>
      <c r="C49" s="633"/>
      <c r="D49" s="427" t="str">
        <f ca="1">IF(Access_Data!X27="","",Access_Data!X27)</f>
        <v/>
      </c>
      <c r="E49" s="427" t="str">
        <f ca="1">IF(Access_Data!X29="","",Access_Data!X29)</f>
        <v/>
      </c>
      <c r="F49" s="427" t="str">
        <f ca="1">IF(Access_Data!X31="","",Access_Data!X31)</f>
        <v/>
      </c>
      <c r="G49" s="118"/>
      <c r="H49" s="118"/>
      <c r="I49" s="426" t="str">
        <f>IF(J49="","",37)</f>
        <v/>
      </c>
      <c r="J49" s="633" t="str">
        <f>IF(Main!O41="","",Main!O41)</f>
        <v/>
      </c>
      <c r="K49" s="633"/>
      <c r="L49" s="427" t="str">
        <f ca="1">IF(Access_Data!AX27="","",Access_Data!AX27)</f>
        <v/>
      </c>
      <c r="M49" s="427" t="str">
        <f ca="1">IF(Access_Data!AX29="","",Access_Data!AX29)</f>
        <v/>
      </c>
      <c r="N49" s="427">
        <f ca="1">IF(Access_Data!AX31="","",Access_Data!AX31)</f>
        <v>0</v>
      </c>
    </row>
    <row r="50" spans="1:23" ht="18" customHeight="1" x14ac:dyDescent="0.2">
      <c r="A50" s="426" t="str">
        <f>IF(B50="","",18)</f>
        <v/>
      </c>
      <c r="B50" s="633" t="str">
        <f>IF(Main!O22="","",Main!O22)</f>
        <v/>
      </c>
      <c r="C50" s="633"/>
      <c r="D50" s="427" t="str">
        <f ca="1">IF(Access_Data!Y27="","",Access_Data!Y27)</f>
        <v/>
      </c>
      <c r="E50" s="427" t="str">
        <f ca="1">IF(Access_Data!Y29="","",Access_Data!Y29)</f>
        <v/>
      </c>
      <c r="F50" s="427" t="str">
        <f ca="1">IF(Access_Data!Y31="","",Access_Data!Y31)</f>
        <v/>
      </c>
      <c r="G50" s="118"/>
      <c r="H50" s="118"/>
      <c r="I50" s="426" t="str">
        <f>IF(J50="","",38)</f>
        <v/>
      </c>
      <c r="J50" s="633" t="str">
        <f>IF(Main!O42="","",Main!O42)</f>
        <v/>
      </c>
      <c r="K50" s="633"/>
      <c r="L50" s="427" t="str">
        <f ca="1">IF(Access_Data!AY27="","",Access_Data!AY27)</f>
        <v/>
      </c>
      <c r="M50" s="427" t="str">
        <f ca="1">IF(Access_Data!AY29="","",Access_Data!AY29)</f>
        <v/>
      </c>
      <c r="N50" s="427">
        <f ca="1">IF(Access_Data!AY31="","",Access_Data!AY31)</f>
        <v>0</v>
      </c>
    </row>
    <row r="51" spans="1:23" ht="18" customHeight="1" x14ac:dyDescent="0.2">
      <c r="A51" s="426" t="str">
        <f>IF(B51="","",19)</f>
        <v/>
      </c>
      <c r="B51" s="633" t="str">
        <f>IF(Main!O23="","",Main!O23)</f>
        <v/>
      </c>
      <c r="C51" s="633"/>
      <c r="D51" s="427" t="str">
        <f ca="1">IF(Access_Data!Z27="","",Access_Data!X27)</f>
        <v/>
      </c>
      <c r="E51" s="427" t="str">
        <f ca="1">IF(Access_Data!Z29="","",Access_Data!Z29)</f>
        <v/>
      </c>
      <c r="F51" s="427" t="str">
        <f ca="1">IF(Access_Data!Z31="","",Access_Data!Z31)</f>
        <v/>
      </c>
      <c r="G51" s="118"/>
      <c r="H51" s="118"/>
      <c r="I51" s="426" t="str">
        <f>IF(J51="","",39)</f>
        <v/>
      </c>
      <c r="J51" s="633" t="str">
        <f>IF(Main!O43="","",Main!O43)</f>
        <v/>
      </c>
      <c r="K51" s="633"/>
      <c r="L51" s="427" t="str">
        <f ca="1">IF(Access_Data!AZ27="","",Access_Data!AZ27)</f>
        <v/>
      </c>
      <c r="M51" s="427" t="str">
        <f ca="1">IF(Access_Data!AZ29="","",Access_Data!AZ29)</f>
        <v/>
      </c>
      <c r="N51" s="427">
        <f ca="1">IF(Access_Data!AZ31="","",Access_Data!AZ31)</f>
        <v>0</v>
      </c>
    </row>
    <row r="52" spans="1:23" ht="18" customHeight="1" x14ac:dyDescent="0.2">
      <c r="A52" s="426" t="str">
        <f>IF(B52="","",20)</f>
        <v/>
      </c>
      <c r="B52" s="633" t="str">
        <f>IF(Main!O24="","",Main!O24)</f>
        <v/>
      </c>
      <c r="C52" s="633"/>
      <c r="D52" s="427" t="str">
        <f ca="1">IF(Access_Data!AA27="","",Access_Data!AA27)</f>
        <v/>
      </c>
      <c r="E52" s="427" t="str">
        <f ca="1">IF(Access_Data!AA29="","",Access_Data!AA29)</f>
        <v/>
      </c>
      <c r="F52" s="427" t="str">
        <f ca="1">IF(Access_Data!AA31="","",Access_Data!AA31)</f>
        <v/>
      </c>
      <c r="G52" s="118"/>
      <c r="H52" s="118"/>
      <c r="I52" s="426" t="str">
        <f>IF(J52="","",40)</f>
        <v/>
      </c>
      <c r="J52" s="633" t="str">
        <f>IF(Main!O44="","",Main!O44)</f>
        <v/>
      </c>
      <c r="K52" s="633"/>
      <c r="L52" s="427" t="str">
        <f ca="1">IF(Access_Data!BA27="","",Access_Data!BA27)</f>
        <v/>
      </c>
      <c r="M52" s="427" t="str">
        <f ca="1">IF(Access_Data!BA29="","",Access_Data!BA29)</f>
        <v/>
      </c>
      <c r="N52" s="427">
        <f ca="1">IF(Access_Data!BA31="","",Access_Data!BA31)</f>
        <v>0</v>
      </c>
    </row>
    <row r="53" spans="1:23" ht="18" customHeight="1" x14ac:dyDescent="0.2">
      <c r="B53" s="639" t="s">
        <v>2243</v>
      </c>
      <c r="C53" s="639"/>
      <c r="D53" s="639"/>
      <c r="E53" s="639"/>
      <c r="F53" s="639"/>
      <c r="G53" s="639"/>
      <c r="H53" s="639"/>
      <c r="I53" s="639"/>
      <c r="J53" s="639"/>
      <c r="K53" s="639"/>
      <c r="L53" s="639"/>
      <c r="M53" s="639"/>
      <c r="N53" s="639"/>
    </row>
    <row r="54" spans="1:23" ht="18" customHeight="1" x14ac:dyDescent="0.25">
      <c r="A54" s="428" t="s">
        <v>2244</v>
      </c>
      <c r="B54" s="634" t="e">
        <f>CONCATENATE(Main!G23,"  ",'Header Info'!BR2,Main!U25)</f>
        <v>#N/A</v>
      </c>
      <c r="C54" s="634"/>
      <c r="D54" s="634"/>
      <c r="E54" s="634"/>
      <c r="F54" s="634"/>
      <c r="G54" s="634"/>
      <c r="H54" s="634"/>
      <c r="I54" s="634"/>
      <c r="J54" s="634"/>
      <c r="K54" s="634"/>
      <c r="L54" s="634"/>
      <c r="M54" s="634"/>
      <c r="N54" s="634"/>
      <c r="O54" s="634"/>
    </row>
    <row r="55" spans="1:23" ht="18" customHeight="1" x14ac:dyDescent="0.25">
      <c r="A55" s="115"/>
      <c r="B55" s="634"/>
      <c r="C55" s="634"/>
      <c r="D55" s="634"/>
      <c r="E55" s="634"/>
      <c r="F55" s="634"/>
      <c r="G55" s="634"/>
      <c r="H55" s="634"/>
      <c r="I55" s="634"/>
      <c r="J55" s="634"/>
      <c r="K55" s="634"/>
      <c r="L55" s="634"/>
      <c r="M55" s="634"/>
      <c r="N55" s="634"/>
      <c r="O55" s="634"/>
    </row>
    <row r="56" spans="1:23" ht="18" customHeight="1" x14ac:dyDescent="0.25">
      <c r="A56" s="115"/>
      <c r="B56" s="634"/>
      <c r="C56" s="634"/>
      <c r="D56" s="634"/>
      <c r="E56" s="634"/>
      <c r="F56" s="634"/>
      <c r="G56" s="634"/>
      <c r="H56" s="634"/>
      <c r="I56" s="634"/>
      <c r="J56" s="634"/>
      <c r="K56" s="634"/>
      <c r="L56" s="634"/>
      <c r="M56" s="634"/>
      <c r="N56" s="634"/>
      <c r="O56" s="634"/>
    </row>
    <row r="57" spans="1:23" ht="18" customHeight="1" x14ac:dyDescent="0.25">
      <c r="A57" s="115"/>
      <c r="B57" s="634"/>
      <c r="C57" s="634"/>
      <c r="D57" s="634"/>
      <c r="E57" s="634"/>
      <c r="F57" s="634"/>
      <c r="G57" s="634"/>
      <c r="H57" s="634"/>
      <c r="I57" s="634"/>
      <c r="J57" s="634"/>
      <c r="K57" s="634"/>
      <c r="L57" s="634"/>
      <c r="M57" s="634"/>
      <c r="N57" s="634"/>
      <c r="O57" s="634"/>
    </row>
    <row r="58" spans="1:23" ht="18" customHeight="1" x14ac:dyDescent="0.25">
      <c r="A58" s="115"/>
      <c r="B58" s="634"/>
      <c r="C58" s="634"/>
      <c r="D58" s="634"/>
      <c r="E58" s="634"/>
      <c r="F58" s="634"/>
      <c r="G58" s="634"/>
      <c r="H58" s="634"/>
      <c r="I58" s="634"/>
      <c r="J58" s="634"/>
      <c r="K58" s="634"/>
      <c r="L58" s="634"/>
      <c r="M58" s="634"/>
      <c r="N58" s="634"/>
      <c r="O58" s="634"/>
    </row>
    <row r="59" spans="1:23" ht="18" customHeight="1" x14ac:dyDescent="0.25">
      <c r="A59" s="115"/>
      <c r="B59" s="634"/>
      <c r="C59" s="634"/>
      <c r="D59" s="634"/>
      <c r="E59" s="634"/>
      <c r="F59" s="634"/>
      <c r="G59" s="634"/>
      <c r="H59" s="634"/>
      <c r="I59" s="634"/>
      <c r="J59" s="634"/>
      <c r="K59" s="634"/>
      <c r="L59" s="634"/>
      <c r="M59" s="634"/>
      <c r="N59" s="634"/>
      <c r="O59" s="634"/>
    </row>
    <row r="60" spans="1:23" ht="18" customHeight="1" x14ac:dyDescent="0.2">
      <c r="A60" s="638" t="s">
        <v>2252</v>
      </c>
      <c r="B60" s="638"/>
      <c r="C60" s="638"/>
      <c r="D60" s="638"/>
      <c r="E60" s="638"/>
      <c r="F60" s="638"/>
      <c r="G60" s="638"/>
      <c r="H60" s="638"/>
      <c r="I60" s="638"/>
      <c r="J60" s="638"/>
      <c r="K60" s="638"/>
      <c r="L60" s="638"/>
      <c r="M60" s="638"/>
      <c r="N60" s="638"/>
      <c r="O60" s="638"/>
    </row>
    <row r="61" spans="1:23" ht="18" customHeight="1" x14ac:dyDescent="0.2">
      <c r="A61" s="642" t="s">
        <v>2245</v>
      </c>
      <c r="B61" s="642"/>
      <c r="C61" s="642"/>
      <c r="D61" s="642"/>
      <c r="E61" s="642"/>
      <c r="F61" s="632" t="s">
        <v>2246</v>
      </c>
      <c r="G61" s="632"/>
      <c r="H61" s="632"/>
      <c r="I61" s="632" t="s">
        <v>2247</v>
      </c>
      <c r="J61" s="632"/>
      <c r="K61" s="632" t="s">
        <v>2248</v>
      </c>
      <c r="L61" s="632"/>
      <c r="M61" s="632" t="s">
        <v>2249</v>
      </c>
      <c r="N61" s="632"/>
      <c r="O61" s="632"/>
    </row>
    <row r="62" spans="1:23" ht="18" customHeight="1" x14ac:dyDescent="0.2">
      <c r="A62" s="622" t="str">
        <f t="shared" ref="A62:A68" si="0">IF(Q62="","",CONCATENATE(T62," - ",R62))</f>
        <v/>
      </c>
      <c r="B62" s="623"/>
      <c r="C62" s="623"/>
      <c r="D62" s="623"/>
      <c r="E62" s="624"/>
      <c r="F62" s="622" t="str">
        <f t="shared" ref="F62:F68" si="1">IF(Q62="","",W62)</f>
        <v/>
      </c>
      <c r="G62" s="623"/>
      <c r="H62" s="624"/>
      <c r="I62" s="628" t="str">
        <f>IF(Q62="","",Main!D12)</f>
        <v/>
      </c>
      <c r="J62" s="629"/>
      <c r="K62" s="628" t="str">
        <f>IF(Q62="","",Main!D13)</f>
        <v/>
      </c>
      <c r="L62" s="629"/>
      <c r="M62" s="656" t="str">
        <f>IF(Q62="","",REPLACE(Main!D14,3,1,""))</f>
        <v/>
      </c>
      <c r="N62" s="657"/>
      <c r="O62" s="658"/>
      <c r="Q62" t="str">
        <f>IF(Main!D9="","",1)</f>
        <v/>
      </c>
      <c r="R62" s="383" t="str">
        <f ca="1">IF(ISBLANK(Main!D9),"",INDEX(OFFSET(Furnace_Data!$U:$U,,-2),MATCH(Main!D9,Furnace_Data!$U:$U,0)))</f>
        <v/>
      </c>
      <c r="T62" s="383" t="str">
        <f ca="1">IF(ISBLANK(Main!D9),"",INDEX(OFFSET(Furnace_Data!$U:$U,,-1),MATCH(Main!D9,Furnace_Data!$U:$U,0)))</f>
        <v/>
      </c>
      <c r="W62" s="383" t="str">
        <f ca="1">IF(ISBLANK(Main!D9),"",INDEX(OFFSET(Furnace_Data!$U:$U,,1),MATCH(Main!D9,Furnace_Data!$U:$U,0)))</f>
        <v/>
      </c>
    </row>
    <row r="63" spans="1:23" ht="18" customHeight="1" x14ac:dyDescent="0.2">
      <c r="A63" s="625" t="str">
        <f t="shared" si="0"/>
        <v/>
      </c>
      <c r="B63" s="626"/>
      <c r="C63" s="626"/>
      <c r="D63" s="626"/>
      <c r="E63" s="627"/>
      <c r="F63" s="625" t="str">
        <f t="shared" si="1"/>
        <v/>
      </c>
      <c r="G63" s="626"/>
      <c r="H63" s="627"/>
      <c r="I63" s="630" t="str">
        <f>IF(Q63="","",Main!D49)</f>
        <v/>
      </c>
      <c r="J63" s="631"/>
      <c r="K63" s="630" t="str">
        <f>IF(Q63="","",Main!D50)</f>
        <v/>
      </c>
      <c r="L63" s="631"/>
      <c r="M63" s="625" t="str">
        <f>IF(Q63="","",Main!D54)</f>
        <v/>
      </c>
      <c r="N63" s="626"/>
      <c r="O63" s="627"/>
      <c r="Q63" t="str">
        <f>IF(Main!L47="","",2)</f>
        <v/>
      </c>
      <c r="R63" s="383" t="str">
        <f>IF(Main!$L$47="","",VLOOKUP(Main!$L$47,Furnace_Data!$Q$1:$V$100,3,FALSE))</f>
        <v/>
      </c>
      <c r="T63" s="383" t="str">
        <f>IF(Main!$L$47="","",VLOOKUP(Main!$L$47,Furnace_Data!$Q$1:$V$100,4,FALSE))</f>
        <v/>
      </c>
      <c r="V63" s="383"/>
      <c r="W63" s="383" t="e">
        <f>VLOOKUP(Main!$L$47,Furnace_Data!$Q$1:$V$100,6,FALSE)</f>
        <v>#N/A</v>
      </c>
    </row>
    <row r="64" spans="1:23" ht="18" customHeight="1" x14ac:dyDescent="0.2">
      <c r="A64" s="625" t="str">
        <f t="shared" si="0"/>
        <v/>
      </c>
      <c r="B64" s="626"/>
      <c r="C64" s="626"/>
      <c r="D64" s="626"/>
      <c r="E64" s="627"/>
      <c r="F64" s="625" t="str">
        <f t="shared" si="1"/>
        <v/>
      </c>
      <c r="G64" s="626"/>
      <c r="H64" s="627"/>
      <c r="I64" s="630" t="str">
        <f>IF(Q64="","",Main!E49)</f>
        <v/>
      </c>
      <c r="J64" s="631"/>
      <c r="K64" s="630" t="str">
        <f>IF(Q64="","",Main!E50)</f>
        <v/>
      </c>
      <c r="L64" s="631"/>
      <c r="M64" s="625" t="str">
        <f>IF(Q64="","",Main!E54)</f>
        <v/>
      </c>
      <c r="N64" s="626"/>
      <c r="O64" s="627"/>
      <c r="Q64" t="str">
        <f>IF(Main!L48="","",3)</f>
        <v/>
      </c>
      <c r="R64" s="383" t="str">
        <f>IF(Main!$L$48="","",VLOOKUP(Main!$L$48,Furnace_Data!$Q$1:$V$100,3,FALSE))</f>
        <v/>
      </c>
      <c r="T64" s="383" t="str">
        <f>IF(Main!$L$48="","",VLOOKUP(Main!$L$48,Furnace_Data!$Q$1:$V$100,4,FALSE))</f>
        <v/>
      </c>
      <c r="V64" s="383"/>
      <c r="W64" s="383" t="e">
        <f>VLOOKUP(Main!$L$48,Furnace_Data!$Q$1:$V$100,6,FALSE)</f>
        <v>#N/A</v>
      </c>
    </row>
    <row r="65" spans="1:23" ht="18" customHeight="1" x14ac:dyDescent="0.2">
      <c r="A65" s="625" t="str">
        <f t="shared" si="0"/>
        <v/>
      </c>
      <c r="B65" s="626"/>
      <c r="C65" s="626"/>
      <c r="D65" s="626"/>
      <c r="E65" s="627"/>
      <c r="F65" s="625" t="str">
        <f t="shared" si="1"/>
        <v/>
      </c>
      <c r="G65" s="626"/>
      <c r="H65" s="627"/>
      <c r="I65" s="630" t="str">
        <f>IF(Q65="","",Main!F49)</f>
        <v/>
      </c>
      <c r="J65" s="631"/>
      <c r="K65" s="630" t="str">
        <f>IF(Q65="","",Main!F50)</f>
        <v/>
      </c>
      <c r="L65" s="631"/>
      <c r="M65" s="625" t="str">
        <f>IF(Q65="","",Main!F54)</f>
        <v/>
      </c>
      <c r="N65" s="626"/>
      <c r="O65" s="627"/>
      <c r="Q65" t="str">
        <f>IF(Main!L49="","",4)</f>
        <v/>
      </c>
      <c r="R65" s="383" t="str">
        <f>IF(Main!$L49="","",VLOOKUP(Main!$L49,Furnace_Data!$Q$1:$V$100,3,FALSE))</f>
        <v/>
      </c>
      <c r="T65" s="383" t="str">
        <f>IF(Main!$L49="","",VLOOKUP(Main!$L49,Furnace_Data!$Q$1:$V$100,4,FALSE))</f>
        <v/>
      </c>
      <c r="V65" s="383"/>
      <c r="W65" s="383" t="e">
        <f>VLOOKUP(Main!$L49,Furnace_Data!$Q$1:$V$100,6,FALSE)</f>
        <v>#N/A</v>
      </c>
    </row>
    <row r="66" spans="1:23" ht="18" customHeight="1" x14ac:dyDescent="0.2">
      <c r="A66" s="625" t="str">
        <f t="shared" si="0"/>
        <v/>
      </c>
      <c r="B66" s="626"/>
      <c r="C66" s="626"/>
      <c r="D66" s="626"/>
      <c r="E66" s="627"/>
      <c r="F66" s="625" t="str">
        <f t="shared" si="1"/>
        <v/>
      </c>
      <c r="G66" s="626"/>
      <c r="H66" s="627"/>
      <c r="I66" s="630" t="str">
        <f>IF(Q66="","",Main!G49)</f>
        <v/>
      </c>
      <c r="J66" s="631"/>
      <c r="K66" s="630" t="str">
        <f>IF(Q66="","",Main!G50)</f>
        <v/>
      </c>
      <c r="L66" s="631"/>
      <c r="M66" s="625" t="str">
        <f>IF(Q66="","",Main!G54)</f>
        <v/>
      </c>
      <c r="N66" s="626"/>
      <c r="O66" s="627"/>
      <c r="Q66" t="str">
        <f>IF(Main!L50="","",5)</f>
        <v/>
      </c>
      <c r="R66" s="383" t="str">
        <f>IF(Main!$L50="","",VLOOKUP(Main!$L50,Furnace_Data!$Q$1:$V$100,3,FALSE))</f>
        <v/>
      </c>
      <c r="T66" s="383" t="str">
        <f>IF(Main!$L50="","",VLOOKUP(Main!$L50,Furnace_Data!$Q$1:$V$100,4,FALSE))</f>
        <v/>
      </c>
      <c r="V66" s="383"/>
      <c r="W66" s="383" t="e">
        <f>VLOOKUP(Main!$L50,Furnace_Data!$Q$1:$V$100,6,FALSE)</f>
        <v>#N/A</v>
      </c>
    </row>
    <row r="67" spans="1:23" ht="18" customHeight="1" x14ac:dyDescent="0.2">
      <c r="A67" s="625" t="str">
        <f t="shared" si="0"/>
        <v/>
      </c>
      <c r="B67" s="626"/>
      <c r="C67" s="626"/>
      <c r="D67" s="626"/>
      <c r="E67" s="627"/>
      <c r="F67" s="625" t="str">
        <f t="shared" si="1"/>
        <v/>
      </c>
      <c r="G67" s="626"/>
      <c r="H67" s="627"/>
      <c r="I67" s="630" t="str">
        <f>IF(Q67="","",Main!H49)</f>
        <v/>
      </c>
      <c r="J67" s="631"/>
      <c r="K67" s="630" t="str">
        <f>IF(Q67="","",Main!H50)</f>
        <v/>
      </c>
      <c r="L67" s="631"/>
      <c r="M67" s="625" t="str">
        <f>IF(Q67="","",Main!H54)</f>
        <v/>
      </c>
      <c r="N67" s="626"/>
      <c r="O67" s="627"/>
      <c r="Q67" t="str">
        <f>IF(Main!L51="","",6)</f>
        <v/>
      </c>
      <c r="R67" s="383" t="str">
        <f>IF(Main!$L51="","",VLOOKUP(Main!$L51,Furnace_Data!$Q$1:$V$100,3,FALSE))</f>
        <v/>
      </c>
      <c r="T67" s="383" t="str">
        <f>IF(Main!$L51="","",VLOOKUP(Main!$L51,Furnace_Data!$Q$1:$V$100,4,FALSE))</f>
        <v/>
      </c>
      <c r="V67" s="383"/>
      <c r="W67" s="383" t="e">
        <f>VLOOKUP(Main!$L51,Furnace_Data!$Q$1:$V$100,6,FALSE)</f>
        <v>#N/A</v>
      </c>
    </row>
    <row r="68" spans="1:23" ht="18" customHeight="1" x14ac:dyDescent="0.2">
      <c r="A68" s="625" t="str">
        <f t="shared" si="0"/>
        <v/>
      </c>
      <c r="B68" s="626"/>
      <c r="C68" s="626"/>
      <c r="D68" s="626"/>
      <c r="E68" s="627"/>
      <c r="F68" s="625" t="str">
        <f t="shared" si="1"/>
        <v/>
      </c>
      <c r="G68" s="626"/>
      <c r="H68" s="627"/>
      <c r="I68" s="630" t="str">
        <f>IF(Q68="","",Main!I49)</f>
        <v/>
      </c>
      <c r="J68" s="631"/>
      <c r="K68" s="630" t="str">
        <f>IF(Q68="","",Main!I50)</f>
        <v/>
      </c>
      <c r="L68" s="631"/>
      <c r="M68" s="625" t="str">
        <f>IF(Q68="","",Main!I54)</f>
        <v/>
      </c>
      <c r="N68" s="626"/>
      <c r="O68" s="627"/>
      <c r="Q68" t="str">
        <f>IF(Main!L52="","",7)</f>
        <v/>
      </c>
      <c r="R68" s="383" t="str">
        <f>IF(Main!$L52="","",VLOOKUP(Main!$L52,Furnace_Data!$Q$1:$V$100,3,FALSE))</f>
        <v/>
      </c>
      <c r="T68" s="383" t="str">
        <f>IF(Main!$L52="","",VLOOKUP(Main!$L52,Furnace_Data!$Q$1:$V$100,4,FALSE))</f>
        <v/>
      </c>
      <c r="V68" s="383"/>
      <c r="W68" s="383" t="e">
        <f>VLOOKUP(Main!$L52,Furnace_Data!$Q$1:$V$100,6,FALSE)</f>
        <v>#N/A</v>
      </c>
    </row>
    <row r="69" spans="1:23" ht="18" customHeight="1" x14ac:dyDescent="0.2">
      <c r="A69" s="643" t="str">
        <f>IF(T69="","",CONCATENATE(T69," - ",R69))</f>
        <v/>
      </c>
      <c r="B69" s="644"/>
      <c r="C69" s="644"/>
      <c r="D69" s="644"/>
      <c r="E69" s="645"/>
      <c r="F69" s="643" t="str">
        <f>IF(W69="","",W69)</f>
        <v/>
      </c>
      <c r="G69" s="644"/>
      <c r="H69" s="645"/>
      <c r="I69" s="659"/>
      <c r="J69" s="660"/>
      <c r="K69" s="659"/>
      <c r="L69" s="660"/>
      <c r="M69" s="643"/>
      <c r="N69" s="644"/>
      <c r="O69" s="645"/>
    </row>
    <row r="70" spans="1:23" ht="18" customHeight="1" x14ac:dyDescent="0.2">
      <c r="B70" s="388"/>
      <c r="C70" s="388"/>
      <c r="D70" s="388"/>
      <c r="E70" s="388"/>
      <c r="F70" s="388"/>
      <c r="G70" s="388"/>
      <c r="H70" s="388"/>
      <c r="I70" s="389"/>
      <c r="J70" s="389"/>
      <c r="K70" s="389"/>
      <c r="L70" s="389"/>
      <c r="M70" s="388"/>
      <c r="N70" s="388"/>
      <c r="O70" s="388"/>
    </row>
    <row r="71" spans="1:23" ht="18" customHeight="1" x14ac:dyDescent="0.2">
      <c r="A71" s="655" t="s">
        <v>5231</v>
      </c>
      <c r="B71" s="655"/>
      <c r="C71" s="655"/>
      <c r="D71" s="655"/>
      <c r="E71" s="655"/>
      <c r="F71" s="655"/>
      <c r="G71" s="655"/>
      <c r="H71" s="655"/>
      <c r="I71" s="655"/>
      <c r="J71" s="655"/>
      <c r="K71" s="655"/>
      <c r="L71" s="655"/>
      <c r="M71" s="655"/>
      <c r="N71" s="655"/>
      <c r="O71" s="655"/>
    </row>
    <row r="72" spans="1:23" ht="18" customHeight="1" x14ac:dyDescent="0.2">
      <c r="A72" s="655"/>
      <c r="B72" s="655"/>
      <c r="C72" s="655"/>
      <c r="D72" s="655"/>
      <c r="E72" s="655"/>
      <c r="F72" s="655"/>
      <c r="G72" s="655"/>
      <c r="H72" s="655"/>
      <c r="I72" s="655"/>
      <c r="J72" s="655"/>
      <c r="K72" s="655"/>
      <c r="L72" s="655"/>
      <c r="M72" s="655"/>
      <c r="N72" s="655"/>
      <c r="O72" s="655"/>
    </row>
    <row r="73" spans="1:23" ht="18" customHeight="1" x14ac:dyDescent="0.2">
      <c r="A73" s="655"/>
      <c r="B73" s="655"/>
      <c r="C73" s="655"/>
      <c r="D73" s="655"/>
      <c r="E73" s="655"/>
      <c r="F73" s="655"/>
      <c r="G73" s="655"/>
      <c r="H73" s="655"/>
      <c r="I73" s="655"/>
      <c r="J73" s="655"/>
      <c r="K73" s="655"/>
      <c r="L73" s="655"/>
      <c r="M73" s="655"/>
      <c r="N73" s="655"/>
      <c r="O73" s="655"/>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8"/>
    </row>
    <row r="79" spans="1:23" ht="18" customHeight="1" x14ac:dyDescent="0.2"/>
    <row r="80" spans="1:23" ht="18" customHeight="1" x14ac:dyDescent="0.2">
      <c r="A80" s="424" t="s">
        <v>2250</v>
      </c>
      <c r="N80" s="424" t="s">
        <v>2251</v>
      </c>
    </row>
    <row r="81" ht="15" customHeight="1" x14ac:dyDescent="0.2"/>
    <row r="82" ht="15" customHeight="1" x14ac:dyDescent="0.2"/>
  </sheetData>
  <mergeCells count="11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B903" sqref="B903"/>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62">
        <f>Main!$D$16</f>
        <v>0</v>
      </c>
      <c r="C1" s="156">
        <f>$B$1-$B$2</f>
        <v>0</v>
      </c>
      <c r="D1" s="156"/>
      <c r="E1" s="156">
        <f>B1-D2</f>
        <v>0</v>
      </c>
      <c r="F1" s="164" t="s">
        <v>107</v>
      </c>
      <c r="G1" s="163"/>
      <c r="H1" s="163"/>
      <c r="I1" s="163"/>
      <c r="J1" s="163"/>
      <c r="K1" s="163"/>
      <c r="L1" s="163"/>
      <c r="M1" s="163"/>
      <c r="N1" s="163"/>
      <c r="O1" s="163"/>
      <c r="P1" s="156" t="str">
        <f>IF(Main!$E$30="","A10",ADDRESS(13+(MATCH(Main!$E$30,Data_Sheet!$A$14:$A$903,0)),1,4))</f>
        <v>A10</v>
      </c>
      <c r="Q1" s="147"/>
    </row>
    <row r="2" spans="1:18" x14ac:dyDescent="0.2">
      <c r="B2" s="162">
        <f>Main!$D$19</f>
        <v>0</v>
      </c>
      <c r="C2" s="156">
        <f>$B$1+$B$2</f>
        <v>0</v>
      </c>
      <c r="D2" s="156">
        <f>(Main!$D$19)/2</f>
        <v>0</v>
      </c>
      <c r="E2" s="156">
        <f>B1+D2</f>
        <v>0</v>
      </c>
      <c r="F2" s="163"/>
      <c r="G2" s="163"/>
      <c r="H2" s="163"/>
      <c r="I2" s="196" t="s">
        <v>575</v>
      </c>
      <c r="J2" s="163"/>
      <c r="K2" s="163"/>
      <c r="L2" s="163"/>
      <c r="M2" s="664" t="s">
        <v>134</v>
      </c>
      <c r="N2" s="664"/>
      <c r="O2" s="664"/>
      <c r="P2" s="165" t="str">
        <f>IF(Main!$E$30="","A10",ADDRESS(13+Standards_Info!W2+(MATCH(Main!$E$30,Data_Sheet!$A$14:$A$903,0)),1,4))</f>
        <v>A10</v>
      </c>
      <c r="Q2" s="147"/>
    </row>
    <row r="3" spans="1:18" ht="14.25" x14ac:dyDescent="0.2">
      <c r="B3" s="166" t="s">
        <v>0</v>
      </c>
      <c r="C3" s="161"/>
      <c r="D3" s="147"/>
      <c r="E3" s="147"/>
      <c r="F3" s="147"/>
      <c r="G3" s="147"/>
      <c r="H3" s="147"/>
      <c r="I3" s="147"/>
      <c r="J3" s="147"/>
      <c r="K3" s="147"/>
      <c r="L3" s="147"/>
      <c r="M3" s="665" t="s">
        <v>135</v>
      </c>
      <c r="N3" s="666"/>
      <c r="O3" s="667"/>
      <c r="P3" s="147"/>
      <c r="Q3" s="147"/>
    </row>
    <row r="4" spans="1:18" ht="15" x14ac:dyDescent="0.25">
      <c r="B4" s="158" t="s">
        <v>40</v>
      </c>
      <c r="C4" s="94"/>
      <c r="D4" s="44"/>
      <c r="E4" s="44"/>
      <c r="F4" s="44"/>
      <c r="G4" s="44"/>
      <c r="H4" s="44"/>
      <c r="I4" s="44"/>
      <c r="J4" s="44"/>
      <c r="K4" s="44"/>
      <c r="L4" s="44"/>
      <c r="M4" s="668" t="s">
        <v>223</v>
      </c>
      <c r="N4" s="669"/>
      <c r="O4" s="670"/>
      <c r="P4" s="128"/>
    </row>
    <row r="5" spans="1:18" x14ac:dyDescent="0.2">
      <c r="B5" s="159" t="s">
        <v>41</v>
      </c>
      <c r="C5" s="88">
        <f>Main!D3</f>
        <v>0</v>
      </c>
      <c r="D5" s="44"/>
      <c r="E5" s="44"/>
      <c r="F5" s="44"/>
      <c r="G5" s="44"/>
      <c r="H5" s="44"/>
      <c r="I5" s="86" t="s">
        <v>9</v>
      </c>
      <c r="J5" s="44">
        <f>Main!D5</f>
        <v>0</v>
      </c>
      <c r="L5" s="44"/>
      <c r="M5" s="671" t="s">
        <v>222</v>
      </c>
      <c r="N5" s="672"/>
      <c r="O5" s="673"/>
      <c r="P5" s="178"/>
    </row>
    <row r="6" spans="1:18" ht="13.5" thickBot="1" x14ac:dyDescent="0.25">
      <c r="B6" s="159" t="s">
        <v>7</v>
      </c>
      <c r="C6" s="89">
        <f>Main!D6</f>
        <v>0</v>
      </c>
      <c r="D6" s="44"/>
      <c r="E6" s="44"/>
      <c r="F6" s="44"/>
      <c r="G6" s="44"/>
      <c r="H6" s="44"/>
      <c r="I6" s="86" t="s">
        <v>10</v>
      </c>
      <c r="J6" s="85">
        <f>Main!D16</f>
        <v>0</v>
      </c>
      <c r="L6" s="44"/>
      <c r="M6" s="674" t="s">
        <v>221</v>
      </c>
      <c r="N6" s="675"/>
      <c r="O6" s="676"/>
      <c r="P6" s="129"/>
    </row>
    <row r="7" spans="1:18" ht="13.5" thickBot="1" x14ac:dyDescent="0.25">
      <c r="B7" s="159" t="s">
        <v>42</v>
      </c>
      <c r="C7" s="89">
        <f>Main!D7</f>
        <v>0</v>
      </c>
      <c r="D7" s="44"/>
      <c r="E7" s="44"/>
      <c r="F7" s="44"/>
      <c r="G7" s="44"/>
      <c r="H7" s="44"/>
      <c r="I7" s="91" t="s">
        <v>262</v>
      </c>
      <c r="J7" s="662">
        <f>Main!$D$30</f>
        <v>0</v>
      </c>
      <c r="K7" s="663"/>
      <c r="L7" s="144"/>
      <c r="M7" s="661" t="s">
        <v>220</v>
      </c>
      <c r="N7" s="661"/>
      <c r="O7" s="661"/>
      <c r="P7" s="52"/>
    </row>
    <row r="8" spans="1:18" x14ac:dyDescent="0.2">
      <c r="B8" s="159"/>
      <c r="C8" s="165"/>
      <c r="D8" s="44"/>
      <c r="E8" s="44"/>
      <c r="F8" s="44"/>
      <c r="G8" s="44"/>
      <c r="H8" s="44"/>
      <c r="I8" s="91"/>
      <c r="J8" s="168"/>
      <c r="K8" s="168"/>
      <c r="L8" s="144"/>
      <c r="M8" s="169"/>
      <c r="N8" s="169"/>
      <c r="O8" s="169"/>
      <c r="P8" s="52"/>
    </row>
    <row r="9" spans="1:18" x14ac:dyDescent="0.2">
      <c r="B9" s="159"/>
      <c r="C9" s="89"/>
      <c r="D9" s="44"/>
      <c r="E9" s="44"/>
      <c r="F9" s="44"/>
      <c r="G9" s="44"/>
      <c r="H9" s="44"/>
      <c r="I9" s="172" t="str">
        <f>IF(Main!K15="SIM Load Hot",Main!N59,"")</f>
        <v/>
      </c>
      <c r="J9" s="168"/>
      <c r="K9" s="168"/>
      <c r="L9" s="144"/>
      <c r="M9" s="169"/>
      <c r="N9" s="169"/>
      <c r="O9" s="169"/>
      <c r="P9" s="52"/>
    </row>
    <row r="10" spans="1:18" s="96" customFormat="1" x14ac:dyDescent="0.2">
      <c r="A10" s="145"/>
      <c r="B10" s="182"/>
      <c r="C10" s="183"/>
      <c r="I10" s="172" t="str">
        <f>IF(AND(Main!E60 &lt;&gt; "", Main!K60 &lt;&gt;""),Main!N60,IF(AND(Main!E61&lt;&gt;"",Main!K61&lt;&gt;""),Main!N61,""))</f>
        <v/>
      </c>
      <c r="J10" s="184"/>
      <c r="K10" s="184"/>
      <c r="L10" s="160"/>
      <c r="M10" s="185"/>
      <c r="N10" s="185"/>
      <c r="O10" s="185"/>
      <c r="P10" s="186"/>
    </row>
    <row r="11" spans="1:18" x14ac:dyDescent="0.2">
      <c r="R11" s="53"/>
    </row>
    <row r="12" spans="1:18" x14ac:dyDescent="0.2">
      <c r="B12" s="144">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96" customFormat="1" x14ac:dyDescent="0.2">
      <c r="A13" s="145"/>
      <c r="B13" s="144"/>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96" customFormat="1" x14ac:dyDescent="0.2">
      <c r="A14" s="145" t="str" cm="1">
        <f t="array" ref="A14:A903">TEXT(B14:B903, "h:mm")</f>
        <v/>
      </c>
      <c r="B14" s="144" t="str" cm="1">
        <f t="array" ref="B14:B903">IFERROR(TIMEVALUE(DaqBook_RAW_Data!A4:A893),"")</f>
        <v/>
      </c>
      <c r="C14" s="167" t="str" cm="1">
        <f t="array" ref="C14:P903">IF(DaqBook_RAW_Data!B4:O893="", "", DaqBook_RAW_Data!B4:O893)</f>
        <v/>
      </c>
      <c r="D14" s="167" t="str">
        <v/>
      </c>
      <c r="E14" s="167" t="str">
        <v/>
      </c>
      <c r="F14" s="167" t="str">
        <v/>
      </c>
      <c r="G14" s="167" t="str">
        <v/>
      </c>
      <c r="H14" s="167" t="str">
        <v/>
      </c>
      <c r="I14" s="167" t="str">
        <v/>
      </c>
      <c r="J14" s="167" t="str">
        <v/>
      </c>
      <c r="K14" s="167" t="str">
        <v/>
      </c>
      <c r="L14" s="167" t="str">
        <v/>
      </c>
      <c r="M14" s="167" t="str">
        <v/>
      </c>
      <c r="N14" s="167" t="str">
        <v/>
      </c>
      <c r="O14" s="167" t="str">
        <v/>
      </c>
      <c r="P14" s="167" t="str">
        <v/>
      </c>
    </row>
    <row r="15" spans="1:18" s="96" customFormat="1" x14ac:dyDescent="0.2">
      <c r="A15" s="145" t="str">
        <v/>
      </c>
      <c r="B15" s="144" t="str">
        <v/>
      </c>
      <c r="C15" s="167" t="str">
        <v/>
      </c>
      <c r="D15" s="167" t="str">
        <v/>
      </c>
      <c r="E15" s="167" t="str">
        <v/>
      </c>
      <c r="F15" s="167" t="str">
        <v/>
      </c>
      <c r="G15" s="167" t="str">
        <v/>
      </c>
      <c r="H15" s="167" t="str">
        <v/>
      </c>
      <c r="I15" s="167" t="str">
        <v/>
      </c>
      <c r="J15" s="167" t="str">
        <v/>
      </c>
      <c r="K15" s="167" t="str">
        <v/>
      </c>
      <c r="L15" s="167" t="str">
        <v/>
      </c>
      <c r="M15" s="167" t="str">
        <v/>
      </c>
      <c r="N15" s="167" t="str">
        <v/>
      </c>
      <c r="O15" s="167" t="str">
        <v/>
      </c>
      <c r="P15" s="167" t="str">
        <v/>
      </c>
    </row>
    <row r="16" spans="1:18" s="96" customFormat="1" x14ac:dyDescent="0.2">
      <c r="A16" s="145" t="str">
        <v/>
      </c>
      <c r="B16" s="144" t="str">
        <v/>
      </c>
      <c r="C16" s="167" t="str">
        <v/>
      </c>
      <c r="D16" s="167" t="str">
        <v/>
      </c>
      <c r="E16" s="167" t="str">
        <v/>
      </c>
      <c r="F16" s="167" t="str">
        <v/>
      </c>
      <c r="G16" s="167" t="str">
        <v/>
      </c>
      <c r="H16" s="167" t="str">
        <v/>
      </c>
      <c r="I16" s="167" t="str">
        <v/>
      </c>
      <c r="J16" s="167" t="str">
        <v/>
      </c>
      <c r="K16" s="167" t="str">
        <v/>
      </c>
      <c r="L16" s="167" t="str">
        <v/>
      </c>
      <c r="M16" s="167" t="str">
        <v/>
      </c>
      <c r="N16" s="167" t="str">
        <v/>
      </c>
      <c r="O16" s="167" t="str">
        <v/>
      </c>
      <c r="P16" s="167" t="str">
        <v/>
      </c>
    </row>
    <row r="17" spans="1:17" s="96" customFormat="1" x14ac:dyDescent="0.2">
      <c r="A17" s="145" t="str">
        <v/>
      </c>
      <c r="B17" s="144" t="str">
        <v/>
      </c>
      <c r="C17" s="167" t="str">
        <v/>
      </c>
      <c r="D17" s="167" t="str">
        <v/>
      </c>
      <c r="E17" s="167" t="str">
        <v/>
      </c>
      <c r="F17" s="167" t="str">
        <v/>
      </c>
      <c r="G17" s="167" t="str">
        <v/>
      </c>
      <c r="H17" s="167" t="str">
        <v/>
      </c>
      <c r="I17" s="167" t="str">
        <v/>
      </c>
      <c r="J17" s="167" t="str">
        <v/>
      </c>
      <c r="K17" s="167" t="str">
        <v/>
      </c>
      <c r="L17" s="167" t="str">
        <v/>
      </c>
      <c r="M17" s="167" t="str">
        <v/>
      </c>
      <c r="N17" s="167" t="str">
        <v/>
      </c>
      <c r="O17" s="167" t="str">
        <v/>
      </c>
      <c r="P17" s="167" t="str">
        <v/>
      </c>
    </row>
    <row r="18" spans="1:17" s="96" customFormat="1" x14ac:dyDescent="0.2">
      <c r="A18" s="145" t="str">
        <v/>
      </c>
      <c r="B18" s="144" t="str">
        <v/>
      </c>
      <c r="C18" s="167" t="str">
        <v/>
      </c>
      <c r="D18" s="167" t="str">
        <v/>
      </c>
      <c r="E18" s="167" t="str">
        <v/>
      </c>
      <c r="F18" s="167" t="str">
        <v/>
      </c>
      <c r="G18" s="167" t="str">
        <v/>
      </c>
      <c r="H18" s="167" t="str">
        <v/>
      </c>
      <c r="I18" s="167" t="str">
        <v/>
      </c>
      <c r="J18" s="167" t="str">
        <v/>
      </c>
      <c r="K18" s="167" t="str">
        <v/>
      </c>
      <c r="L18" s="167" t="str">
        <v/>
      </c>
      <c r="M18" s="167" t="str">
        <v/>
      </c>
      <c r="N18" s="167" t="str">
        <v/>
      </c>
      <c r="O18" s="167" t="str">
        <v/>
      </c>
      <c r="P18" s="167" t="str">
        <v/>
      </c>
    </row>
    <row r="19" spans="1:17" s="96" customFormat="1" x14ac:dyDescent="0.2">
      <c r="A19" s="145" t="str">
        <v/>
      </c>
      <c r="B19" s="144" t="str">
        <v/>
      </c>
      <c r="C19" s="167" t="str">
        <v/>
      </c>
      <c r="D19" s="167" t="str">
        <v/>
      </c>
      <c r="E19" s="167" t="str">
        <v/>
      </c>
      <c r="F19" s="167" t="str">
        <v/>
      </c>
      <c r="G19" s="167" t="str">
        <v/>
      </c>
      <c r="H19" s="167" t="str">
        <v/>
      </c>
      <c r="I19" s="167" t="str">
        <v/>
      </c>
      <c r="J19" s="167" t="str">
        <v/>
      </c>
      <c r="K19" s="167" t="str">
        <v/>
      </c>
      <c r="L19" s="167" t="str">
        <v/>
      </c>
      <c r="M19" s="167" t="str">
        <v/>
      </c>
      <c r="N19" s="167" t="str">
        <v/>
      </c>
      <c r="O19" s="167" t="str">
        <v/>
      </c>
      <c r="P19" s="167" t="str">
        <v/>
      </c>
    </row>
    <row r="20" spans="1:17" s="96" customFormat="1" x14ac:dyDescent="0.2">
      <c r="A20" s="145" t="str">
        <v/>
      </c>
      <c r="B20" s="144" t="str">
        <v/>
      </c>
      <c r="C20" s="167" t="str">
        <v/>
      </c>
      <c r="D20" s="167" t="str">
        <v/>
      </c>
      <c r="E20" s="167" t="str">
        <v/>
      </c>
      <c r="F20" s="167" t="str">
        <v/>
      </c>
      <c r="G20" s="167" t="str">
        <v/>
      </c>
      <c r="H20" s="167" t="str">
        <v/>
      </c>
      <c r="I20" s="167" t="str">
        <v/>
      </c>
      <c r="J20" s="167" t="str">
        <v/>
      </c>
      <c r="K20" s="167" t="str">
        <v/>
      </c>
      <c r="L20" s="167" t="str">
        <v/>
      </c>
      <c r="M20" s="167" t="str">
        <v/>
      </c>
      <c r="N20" s="167" t="str">
        <v/>
      </c>
      <c r="O20" s="167" t="str">
        <v/>
      </c>
      <c r="P20" s="167" t="str">
        <v/>
      </c>
    </row>
    <row r="21" spans="1:17" s="96" customFormat="1" x14ac:dyDescent="0.2">
      <c r="A21" s="145" t="str">
        <v/>
      </c>
      <c r="B21" s="144" t="str">
        <v/>
      </c>
      <c r="C21" s="167" t="str">
        <v/>
      </c>
      <c r="D21" s="167" t="str">
        <v/>
      </c>
      <c r="E21" s="167" t="str">
        <v/>
      </c>
      <c r="F21" s="167" t="str">
        <v/>
      </c>
      <c r="G21" s="167" t="str">
        <v/>
      </c>
      <c r="H21" s="167" t="str">
        <v/>
      </c>
      <c r="I21" s="167" t="str">
        <v/>
      </c>
      <c r="J21" s="167" t="str">
        <v/>
      </c>
      <c r="K21" s="167" t="str">
        <v/>
      </c>
      <c r="L21" s="167" t="str">
        <v/>
      </c>
      <c r="M21" s="167" t="str">
        <v/>
      </c>
      <c r="N21" s="167" t="str">
        <v/>
      </c>
      <c r="O21" s="167" t="str">
        <v/>
      </c>
      <c r="P21" s="167" t="str">
        <v/>
      </c>
    </row>
    <row r="22" spans="1:17" s="96" customFormat="1" x14ac:dyDescent="0.2">
      <c r="A22" s="145" t="str">
        <v/>
      </c>
      <c r="B22" s="144" t="str">
        <v/>
      </c>
      <c r="C22" s="167" t="str">
        <v/>
      </c>
      <c r="D22" s="167" t="str">
        <v/>
      </c>
      <c r="E22" s="167" t="str">
        <v/>
      </c>
      <c r="F22" s="167" t="str">
        <v/>
      </c>
      <c r="G22" s="167" t="str">
        <v/>
      </c>
      <c r="H22" s="167" t="str">
        <v/>
      </c>
      <c r="I22" s="167" t="str">
        <v/>
      </c>
      <c r="J22" s="167" t="str">
        <v/>
      </c>
      <c r="K22" s="167" t="str">
        <v/>
      </c>
      <c r="L22" s="167" t="str">
        <v/>
      </c>
      <c r="M22" s="167" t="str">
        <v/>
      </c>
      <c r="N22" s="167" t="str">
        <v/>
      </c>
      <c r="O22" s="167" t="str">
        <v/>
      </c>
      <c r="P22" s="167" t="str">
        <v/>
      </c>
    </row>
    <row r="23" spans="1:17" s="96" customFormat="1" x14ac:dyDescent="0.2">
      <c r="A23" s="145" t="str">
        <v/>
      </c>
      <c r="B23" s="144" t="str">
        <v/>
      </c>
      <c r="C23" s="167" t="str">
        <v/>
      </c>
      <c r="D23" s="167" t="str">
        <v/>
      </c>
      <c r="E23" s="167" t="str">
        <v/>
      </c>
      <c r="F23" s="167" t="str">
        <v/>
      </c>
      <c r="G23" s="167" t="str">
        <v/>
      </c>
      <c r="H23" s="167" t="str">
        <v/>
      </c>
      <c r="I23" s="167" t="str">
        <v/>
      </c>
      <c r="J23" s="167" t="str">
        <v/>
      </c>
      <c r="K23" s="167" t="str">
        <v/>
      </c>
      <c r="L23" s="167" t="str">
        <v/>
      </c>
      <c r="M23" s="167" t="str">
        <v/>
      </c>
      <c r="N23" s="167" t="str">
        <v/>
      </c>
      <c r="O23" s="167" t="str">
        <v/>
      </c>
      <c r="P23" s="167" t="str">
        <v/>
      </c>
    </row>
    <row r="24" spans="1:17" s="96" customFormat="1" x14ac:dyDescent="0.2">
      <c r="A24" s="145" t="str">
        <v/>
      </c>
      <c r="B24" s="144" t="str">
        <v/>
      </c>
      <c r="C24" s="167" t="str">
        <v/>
      </c>
      <c r="D24" s="167" t="str">
        <v/>
      </c>
      <c r="E24" s="167" t="str">
        <v/>
      </c>
      <c r="F24" s="167" t="str">
        <v/>
      </c>
      <c r="G24" s="167" t="str">
        <v/>
      </c>
      <c r="H24" s="167" t="str">
        <v/>
      </c>
      <c r="I24" s="167" t="str">
        <v/>
      </c>
      <c r="J24" s="167" t="str">
        <v/>
      </c>
      <c r="K24" s="167" t="str">
        <v/>
      </c>
      <c r="L24" s="167" t="str">
        <v/>
      </c>
      <c r="M24" s="167" t="str">
        <v/>
      </c>
      <c r="N24" s="167" t="str">
        <v/>
      </c>
      <c r="O24" s="167" t="str">
        <v/>
      </c>
      <c r="P24" s="167" t="str">
        <v/>
      </c>
    </row>
    <row r="25" spans="1:17" s="96" customFormat="1" x14ac:dyDescent="0.2">
      <c r="A25" s="145" t="str">
        <v/>
      </c>
      <c r="B25" s="144" t="str">
        <v/>
      </c>
      <c r="C25" s="167" t="str">
        <v/>
      </c>
      <c r="D25" s="167" t="str">
        <v/>
      </c>
      <c r="E25" s="167" t="str">
        <v/>
      </c>
      <c r="F25" s="167" t="str">
        <v/>
      </c>
      <c r="G25" s="167" t="str">
        <v/>
      </c>
      <c r="H25" s="167" t="str">
        <v/>
      </c>
      <c r="I25" s="167" t="str">
        <v/>
      </c>
      <c r="J25" s="167" t="str">
        <v/>
      </c>
      <c r="K25" s="167" t="str">
        <v/>
      </c>
      <c r="L25" s="167" t="str">
        <v/>
      </c>
      <c r="M25" s="167" t="str">
        <v/>
      </c>
      <c r="N25" s="167" t="str">
        <v/>
      </c>
      <c r="O25" s="167" t="str">
        <v/>
      </c>
      <c r="P25" s="167" t="str">
        <v/>
      </c>
    </row>
    <row r="26" spans="1:17" s="96" customFormat="1" x14ac:dyDescent="0.2">
      <c r="A26" s="145" t="str">
        <v/>
      </c>
      <c r="B26" s="144" t="str">
        <v/>
      </c>
      <c r="C26" s="167" t="str">
        <v/>
      </c>
      <c r="D26" s="167" t="str">
        <v/>
      </c>
      <c r="E26" s="167" t="str">
        <v/>
      </c>
      <c r="F26" s="167" t="str">
        <v/>
      </c>
      <c r="G26" s="167" t="str">
        <v/>
      </c>
      <c r="H26" s="167" t="str">
        <v/>
      </c>
      <c r="I26" s="167" t="str">
        <v/>
      </c>
      <c r="J26" s="167" t="str">
        <v/>
      </c>
      <c r="K26" s="167" t="str">
        <v/>
      </c>
      <c r="L26" s="167" t="str">
        <v/>
      </c>
      <c r="M26" s="167" t="str">
        <v/>
      </c>
      <c r="N26" s="167" t="str">
        <v/>
      </c>
      <c r="O26" s="167" t="str">
        <v/>
      </c>
      <c r="P26" s="167" t="str">
        <v/>
      </c>
    </row>
    <row r="27" spans="1:17" s="96" customFormat="1" x14ac:dyDescent="0.2">
      <c r="A27" s="145" t="str">
        <v/>
      </c>
      <c r="B27" s="144" t="str">
        <v/>
      </c>
      <c r="C27" s="167" t="str">
        <v/>
      </c>
      <c r="D27" s="167" t="str">
        <v/>
      </c>
      <c r="E27" s="167" t="str">
        <v/>
      </c>
      <c r="F27" s="167" t="str">
        <v/>
      </c>
      <c r="G27" s="167" t="str">
        <v/>
      </c>
      <c r="H27" s="167" t="str">
        <v/>
      </c>
      <c r="I27" s="167" t="str">
        <v/>
      </c>
      <c r="J27" s="167" t="str">
        <v/>
      </c>
      <c r="K27" s="167" t="str">
        <v/>
      </c>
      <c r="L27" s="167" t="str">
        <v/>
      </c>
      <c r="M27" s="167" t="str">
        <v/>
      </c>
      <c r="N27" s="167" t="str">
        <v/>
      </c>
      <c r="O27" s="167" t="str">
        <v/>
      </c>
      <c r="P27" s="167" t="str">
        <v/>
      </c>
      <c r="Q27" s="146"/>
    </row>
    <row r="28" spans="1:17" s="96" customFormat="1" x14ac:dyDescent="0.2">
      <c r="A28" s="145" t="str">
        <v/>
      </c>
      <c r="B28" s="144" t="str">
        <v/>
      </c>
      <c r="C28" s="167" t="str">
        <v/>
      </c>
      <c r="D28" s="167" t="str">
        <v/>
      </c>
      <c r="E28" s="167" t="str">
        <v/>
      </c>
      <c r="F28" s="167" t="str">
        <v/>
      </c>
      <c r="G28" s="167" t="str">
        <v/>
      </c>
      <c r="H28" s="167" t="str">
        <v/>
      </c>
      <c r="I28" s="167" t="str">
        <v/>
      </c>
      <c r="J28" s="167" t="str">
        <v/>
      </c>
      <c r="K28" s="167" t="str">
        <v/>
      </c>
      <c r="L28" s="167" t="str">
        <v/>
      </c>
      <c r="M28" s="167" t="str">
        <v/>
      </c>
      <c r="N28" s="167" t="str">
        <v/>
      </c>
      <c r="O28" s="167" t="str">
        <v/>
      </c>
      <c r="P28" s="167" t="str">
        <v/>
      </c>
    </row>
    <row r="29" spans="1:17" s="96" customFormat="1" x14ac:dyDescent="0.2">
      <c r="A29" s="145" t="str">
        <v/>
      </c>
      <c r="B29" s="144" t="str">
        <v/>
      </c>
      <c r="C29" s="167" t="str">
        <v/>
      </c>
      <c r="D29" s="167" t="str">
        <v/>
      </c>
      <c r="E29" s="167" t="str">
        <v/>
      </c>
      <c r="F29" s="167" t="str">
        <v/>
      </c>
      <c r="G29" s="167" t="str">
        <v/>
      </c>
      <c r="H29" s="167" t="str">
        <v/>
      </c>
      <c r="I29" s="167" t="str">
        <v/>
      </c>
      <c r="J29" s="167" t="str">
        <v/>
      </c>
      <c r="K29" s="167" t="str">
        <v/>
      </c>
      <c r="L29" s="167" t="str">
        <v/>
      </c>
      <c r="M29" s="167" t="str">
        <v/>
      </c>
      <c r="N29" s="167" t="str">
        <v/>
      </c>
      <c r="O29" s="167" t="str">
        <v/>
      </c>
      <c r="P29" s="167" t="str">
        <v/>
      </c>
    </row>
    <row r="30" spans="1:17" s="96" customFormat="1" x14ac:dyDescent="0.2">
      <c r="A30" s="145" t="str">
        <v/>
      </c>
      <c r="B30" s="144" t="str">
        <v/>
      </c>
      <c r="C30" s="167" t="str">
        <v/>
      </c>
      <c r="D30" s="167" t="str">
        <v/>
      </c>
      <c r="E30" s="167" t="str">
        <v/>
      </c>
      <c r="F30" s="167" t="str">
        <v/>
      </c>
      <c r="G30" s="167" t="str">
        <v/>
      </c>
      <c r="H30" s="167" t="str">
        <v/>
      </c>
      <c r="I30" s="167" t="str">
        <v/>
      </c>
      <c r="J30" s="167" t="str">
        <v/>
      </c>
      <c r="K30" s="167" t="str">
        <v/>
      </c>
      <c r="L30" s="167" t="str">
        <v/>
      </c>
      <c r="M30" s="167" t="str">
        <v/>
      </c>
      <c r="N30" s="167" t="str">
        <v/>
      </c>
      <c r="O30" s="167" t="str">
        <v/>
      </c>
      <c r="P30" s="167" t="str">
        <v/>
      </c>
    </row>
    <row r="31" spans="1:17" s="96" customFormat="1" x14ac:dyDescent="0.2">
      <c r="A31" s="145" t="str">
        <v/>
      </c>
      <c r="B31" s="144" t="str">
        <v/>
      </c>
      <c r="C31" s="167" t="str">
        <v/>
      </c>
      <c r="D31" s="167" t="str">
        <v/>
      </c>
      <c r="E31" s="167" t="str">
        <v/>
      </c>
      <c r="F31" s="167" t="str">
        <v/>
      </c>
      <c r="G31" s="167" t="str">
        <v/>
      </c>
      <c r="H31" s="167" t="str">
        <v/>
      </c>
      <c r="I31" s="167" t="str">
        <v/>
      </c>
      <c r="J31" s="167" t="str">
        <v/>
      </c>
      <c r="K31" s="167" t="str">
        <v/>
      </c>
      <c r="L31" s="167" t="str">
        <v/>
      </c>
      <c r="M31" s="167" t="str">
        <v/>
      </c>
      <c r="N31" s="167" t="str">
        <v/>
      </c>
      <c r="O31" s="167" t="str">
        <v/>
      </c>
      <c r="P31" s="167" t="str">
        <v/>
      </c>
    </row>
    <row r="32" spans="1:17" s="96" customFormat="1" x14ac:dyDescent="0.2">
      <c r="A32" s="145" t="str">
        <v/>
      </c>
      <c r="B32" s="144" t="str">
        <v/>
      </c>
      <c r="C32" s="167" t="str">
        <v/>
      </c>
      <c r="D32" s="167" t="str">
        <v/>
      </c>
      <c r="E32" s="167" t="str">
        <v/>
      </c>
      <c r="F32" s="167" t="str">
        <v/>
      </c>
      <c r="G32" s="167" t="str">
        <v/>
      </c>
      <c r="H32" s="167" t="str">
        <v/>
      </c>
      <c r="I32" s="167" t="str">
        <v/>
      </c>
      <c r="J32" s="167" t="str">
        <v/>
      </c>
      <c r="K32" s="167" t="str">
        <v/>
      </c>
      <c r="L32" s="167" t="str">
        <v/>
      </c>
      <c r="M32" s="167" t="str">
        <v/>
      </c>
      <c r="N32" s="167" t="str">
        <v/>
      </c>
      <c r="O32" s="167" t="str">
        <v/>
      </c>
      <c r="P32" s="167" t="str">
        <v/>
      </c>
    </row>
    <row r="33" spans="1:16" s="96" customFormat="1" x14ac:dyDescent="0.2">
      <c r="A33" s="145" t="str">
        <v/>
      </c>
      <c r="B33" s="144" t="str">
        <v/>
      </c>
      <c r="C33" s="167" t="str">
        <v/>
      </c>
      <c r="D33" s="167" t="str">
        <v/>
      </c>
      <c r="E33" s="167" t="str">
        <v/>
      </c>
      <c r="F33" s="167" t="str">
        <v/>
      </c>
      <c r="G33" s="167" t="str">
        <v/>
      </c>
      <c r="H33" s="167" t="str">
        <v/>
      </c>
      <c r="I33" s="167" t="str">
        <v/>
      </c>
      <c r="J33" s="167" t="str">
        <v/>
      </c>
      <c r="K33" s="167" t="str">
        <v/>
      </c>
      <c r="L33" s="167" t="str">
        <v/>
      </c>
      <c r="M33" s="167" t="str">
        <v/>
      </c>
      <c r="N33" s="167" t="str">
        <v/>
      </c>
      <c r="O33" s="167" t="str">
        <v/>
      </c>
      <c r="P33" s="167" t="str">
        <v/>
      </c>
    </row>
    <row r="34" spans="1:16" s="96" customFormat="1" x14ac:dyDescent="0.2">
      <c r="A34" s="145" t="str">
        <v/>
      </c>
      <c r="B34" s="144" t="str">
        <v/>
      </c>
      <c r="C34" s="167" t="str">
        <v/>
      </c>
      <c r="D34" s="167" t="str">
        <v/>
      </c>
      <c r="E34" s="167" t="str">
        <v/>
      </c>
      <c r="F34" s="167" t="str">
        <v/>
      </c>
      <c r="G34" s="167" t="str">
        <v/>
      </c>
      <c r="H34" s="167" t="str">
        <v/>
      </c>
      <c r="I34" s="167" t="str">
        <v/>
      </c>
      <c r="J34" s="167" t="str">
        <v/>
      </c>
      <c r="K34" s="167" t="str">
        <v/>
      </c>
      <c r="L34" s="167" t="str">
        <v/>
      </c>
      <c r="M34" s="167" t="str">
        <v/>
      </c>
      <c r="N34" s="167" t="str">
        <v/>
      </c>
      <c r="O34" s="167" t="str">
        <v/>
      </c>
      <c r="P34" s="167" t="str">
        <v/>
      </c>
    </row>
    <row r="35" spans="1:16" s="96" customFormat="1" x14ac:dyDescent="0.2">
      <c r="A35" s="145" t="str">
        <v/>
      </c>
      <c r="B35" s="144" t="str">
        <v/>
      </c>
      <c r="C35" s="167" t="str">
        <v/>
      </c>
      <c r="D35" s="167" t="str">
        <v/>
      </c>
      <c r="E35" s="167" t="str">
        <v/>
      </c>
      <c r="F35" s="167" t="str">
        <v/>
      </c>
      <c r="G35" s="167" t="str">
        <v/>
      </c>
      <c r="H35" s="167" t="str">
        <v/>
      </c>
      <c r="I35" s="167" t="str">
        <v/>
      </c>
      <c r="J35" s="167" t="str">
        <v/>
      </c>
      <c r="K35" s="167" t="str">
        <v/>
      </c>
      <c r="L35" s="167" t="str">
        <v/>
      </c>
      <c r="M35" s="167" t="str">
        <v/>
      </c>
      <c r="N35" s="167" t="str">
        <v/>
      </c>
      <c r="O35" s="167" t="str">
        <v/>
      </c>
      <c r="P35" s="167" t="str">
        <v/>
      </c>
    </row>
    <row r="36" spans="1:16" s="96" customFormat="1" x14ac:dyDescent="0.2">
      <c r="A36" s="145" t="str">
        <v/>
      </c>
      <c r="B36" s="144" t="str">
        <v/>
      </c>
      <c r="C36" s="167" t="str">
        <v/>
      </c>
      <c r="D36" s="167" t="str">
        <v/>
      </c>
      <c r="E36" s="167" t="str">
        <v/>
      </c>
      <c r="F36" s="167" t="str">
        <v/>
      </c>
      <c r="G36" s="167" t="str">
        <v/>
      </c>
      <c r="H36" s="167" t="str">
        <v/>
      </c>
      <c r="I36" s="167" t="str">
        <v/>
      </c>
      <c r="J36" s="167" t="str">
        <v/>
      </c>
      <c r="K36" s="167" t="str">
        <v/>
      </c>
      <c r="L36" s="167" t="str">
        <v/>
      </c>
      <c r="M36" s="167" t="str">
        <v/>
      </c>
      <c r="N36" s="167" t="str">
        <v/>
      </c>
      <c r="O36" s="167" t="str">
        <v/>
      </c>
      <c r="P36" s="167" t="str">
        <v/>
      </c>
    </row>
    <row r="37" spans="1:16" s="96" customFormat="1" x14ac:dyDescent="0.2">
      <c r="A37" s="145" t="str">
        <v/>
      </c>
      <c r="B37" s="144" t="str">
        <v/>
      </c>
      <c r="C37" s="167" t="str">
        <v/>
      </c>
      <c r="D37" s="167" t="str">
        <v/>
      </c>
      <c r="E37" s="167" t="str">
        <v/>
      </c>
      <c r="F37" s="167" t="str">
        <v/>
      </c>
      <c r="G37" s="167" t="str">
        <v/>
      </c>
      <c r="H37" s="167" t="str">
        <v/>
      </c>
      <c r="I37" s="167" t="str">
        <v/>
      </c>
      <c r="J37" s="167" t="str">
        <v/>
      </c>
      <c r="K37" s="167" t="str">
        <v/>
      </c>
      <c r="L37" s="167" t="str">
        <v/>
      </c>
      <c r="M37" s="167" t="str">
        <v/>
      </c>
      <c r="N37" s="167" t="str">
        <v/>
      </c>
      <c r="O37" s="167" t="str">
        <v/>
      </c>
      <c r="P37" s="167" t="str">
        <v/>
      </c>
    </row>
    <row r="38" spans="1:16" s="96" customFormat="1" x14ac:dyDescent="0.2">
      <c r="A38" s="145" t="str">
        <v/>
      </c>
      <c r="B38" s="144" t="str">
        <v/>
      </c>
      <c r="C38" s="167" t="str">
        <v/>
      </c>
      <c r="D38" s="167" t="str">
        <v/>
      </c>
      <c r="E38" s="167" t="str">
        <v/>
      </c>
      <c r="F38" s="167" t="str">
        <v/>
      </c>
      <c r="G38" s="167" t="str">
        <v/>
      </c>
      <c r="H38" s="167" t="str">
        <v/>
      </c>
      <c r="I38" s="167" t="str">
        <v/>
      </c>
      <c r="J38" s="167" t="str">
        <v/>
      </c>
      <c r="K38" s="167" t="str">
        <v/>
      </c>
      <c r="L38" s="167" t="str">
        <v/>
      </c>
      <c r="M38" s="167" t="str">
        <v/>
      </c>
      <c r="N38" s="167" t="str">
        <v/>
      </c>
      <c r="O38" s="167" t="str">
        <v/>
      </c>
      <c r="P38" s="167" t="str">
        <v/>
      </c>
    </row>
    <row r="39" spans="1:16" s="96" customFormat="1" x14ac:dyDescent="0.2">
      <c r="A39" s="145" t="str">
        <v/>
      </c>
      <c r="B39" s="144" t="str">
        <v/>
      </c>
      <c r="C39" s="167" t="str">
        <v/>
      </c>
      <c r="D39" s="167" t="str">
        <v/>
      </c>
      <c r="E39" s="167" t="str">
        <v/>
      </c>
      <c r="F39" s="167" t="str">
        <v/>
      </c>
      <c r="G39" s="167" t="str">
        <v/>
      </c>
      <c r="H39" s="167" t="str">
        <v/>
      </c>
      <c r="I39" s="167" t="str">
        <v/>
      </c>
      <c r="J39" s="167" t="str">
        <v/>
      </c>
      <c r="K39" s="167" t="str">
        <v/>
      </c>
      <c r="L39" s="167" t="str">
        <v/>
      </c>
      <c r="M39" s="167" t="str">
        <v/>
      </c>
      <c r="N39" s="167" t="str">
        <v/>
      </c>
      <c r="O39" s="167" t="str">
        <v/>
      </c>
      <c r="P39" s="167" t="str">
        <v/>
      </c>
    </row>
    <row r="40" spans="1:16" s="96" customFormat="1" x14ac:dyDescent="0.2">
      <c r="A40" s="145" t="str">
        <v/>
      </c>
      <c r="B40" s="144" t="str">
        <v/>
      </c>
      <c r="C40" s="167" t="str">
        <v/>
      </c>
      <c r="D40" s="167" t="str">
        <v/>
      </c>
      <c r="E40" s="167" t="str">
        <v/>
      </c>
      <c r="F40" s="167" t="str">
        <v/>
      </c>
      <c r="G40" s="167" t="str">
        <v/>
      </c>
      <c r="H40" s="167" t="str">
        <v/>
      </c>
      <c r="I40" s="167" t="str">
        <v/>
      </c>
      <c r="J40" s="167" t="str">
        <v/>
      </c>
      <c r="K40" s="167" t="str">
        <v/>
      </c>
      <c r="L40" s="167" t="str">
        <v/>
      </c>
      <c r="M40" s="167" t="str">
        <v/>
      </c>
      <c r="N40" s="167" t="str">
        <v/>
      </c>
      <c r="O40" s="167" t="str">
        <v/>
      </c>
      <c r="P40" s="167" t="str">
        <v/>
      </c>
    </row>
    <row r="41" spans="1:16" s="96" customFormat="1" x14ac:dyDescent="0.2">
      <c r="A41" s="145" t="str">
        <v/>
      </c>
      <c r="B41" s="144" t="str">
        <v/>
      </c>
      <c r="C41" s="167" t="str">
        <v/>
      </c>
      <c r="D41" s="167" t="str">
        <v/>
      </c>
      <c r="E41" s="167" t="str">
        <v/>
      </c>
      <c r="F41" s="167" t="str">
        <v/>
      </c>
      <c r="G41" s="167" t="str">
        <v/>
      </c>
      <c r="H41" s="167" t="str">
        <v/>
      </c>
      <c r="I41" s="167" t="str">
        <v/>
      </c>
      <c r="J41" s="167" t="str">
        <v/>
      </c>
      <c r="K41" s="167" t="str">
        <v/>
      </c>
      <c r="L41" s="167" t="str">
        <v/>
      </c>
      <c r="M41" s="167" t="str">
        <v/>
      </c>
      <c r="N41" s="167" t="str">
        <v/>
      </c>
      <c r="O41" s="167" t="str">
        <v/>
      </c>
      <c r="P41" s="167" t="str">
        <v/>
      </c>
    </row>
    <row r="42" spans="1:16" s="96" customFormat="1" x14ac:dyDescent="0.2">
      <c r="A42" s="145" t="str">
        <v/>
      </c>
      <c r="B42" s="144" t="str">
        <v/>
      </c>
      <c r="C42" s="167" t="str">
        <v/>
      </c>
      <c r="D42" s="167" t="str">
        <v/>
      </c>
      <c r="E42" s="167" t="str">
        <v/>
      </c>
      <c r="F42" s="167" t="str">
        <v/>
      </c>
      <c r="G42" s="167" t="str">
        <v/>
      </c>
      <c r="H42" s="167" t="str">
        <v/>
      </c>
      <c r="I42" s="167" t="str">
        <v/>
      </c>
      <c r="J42" s="167" t="str">
        <v/>
      </c>
      <c r="K42" s="167" t="str">
        <v/>
      </c>
      <c r="L42" s="167" t="str">
        <v/>
      </c>
      <c r="M42" s="167" t="str">
        <v/>
      </c>
      <c r="N42" s="167" t="str">
        <v/>
      </c>
      <c r="O42" s="167" t="str">
        <v/>
      </c>
      <c r="P42" s="167" t="str">
        <v/>
      </c>
    </row>
    <row r="43" spans="1:16" s="96" customFormat="1" x14ac:dyDescent="0.2">
      <c r="A43" s="145" t="str">
        <v/>
      </c>
      <c r="B43" s="144" t="str">
        <v/>
      </c>
      <c r="C43" s="167" t="str">
        <v/>
      </c>
      <c r="D43" s="167" t="str">
        <v/>
      </c>
      <c r="E43" s="167" t="str">
        <v/>
      </c>
      <c r="F43" s="167" t="str">
        <v/>
      </c>
      <c r="G43" s="167" t="str">
        <v/>
      </c>
      <c r="H43" s="167" t="str">
        <v/>
      </c>
      <c r="I43" s="167" t="str">
        <v/>
      </c>
      <c r="J43" s="167" t="str">
        <v/>
      </c>
      <c r="K43" s="167" t="str">
        <v/>
      </c>
      <c r="L43" s="167" t="str">
        <v/>
      </c>
      <c r="M43" s="167" t="str">
        <v/>
      </c>
      <c r="N43" s="167" t="str">
        <v/>
      </c>
      <c r="O43" s="167" t="str">
        <v/>
      </c>
      <c r="P43" s="167" t="str">
        <v/>
      </c>
    </row>
    <row r="44" spans="1:16" s="96" customFormat="1" x14ac:dyDescent="0.2">
      <c r="A44" s="145" t="str">
        <v/>
      </c>
      <c r="B44" s="144" t="str">
        <v/>
      </c>
      <c r="C44" s="167" t="str">
        <v/>
      </c>
      <c r="D44" s="167" t="str">
        <v/>
      </c>
      <c r="E44" s="167" t="str">
        <v/>
      </c>
      <c r="F44" s="167" t="str">
        <v/>
      </c>
      <c r="G44" s="167" t="str">
        <v/>
      </c>
      <c r="H44" s="167" t="str">
        <v/>
      </c>
      <c r="I44" s="167" t="str">
        <v/>
      </c>
      <c r="J44" s="167" t="str">
        <v/>
      </c>
      <c r="K44" s="167" t="str">
        <v/>
      </c>
      <c r="L44" s="167" t="str">
        <v/>
      </c>
      <c r="M44" s="167" t="str">
        <v/>
      </c>
      <c r="N44" s="167" t="str">
        <v/>
      </c>
      <c r="O44" s="167" t="str">
        <v/>
      </c>
      <c r="P44" s="167" t="str">
        <v/>
      </c>
    </row>
    <row r="45" spans="1:16" s="96" customFormat="1" x14ac:dyDescent="0.2">
      <c r="A45" s="145" t="str">
        <v/>
      </c>
      <c r="B45" s="144" t="str">
        <v/>
      </c>
      <c r="C45" s="167" t="str">
        <v/>
      </c>
      <c r="D45" s="167" t="str">
        <v/>
      </c>
      <c r="E45" s="167" t="str">
        <v/>
      </c>
      <c r="F45" s="167" t="str">
        <v/>
      </c>
      <c r="G45" s="167" t="str">
        <v/>
      </c>
      <c r="H45" s="167" t="str">
        <v/>
      </c>
      <c r="I45" s="167" t="str">
        <v/>
      </c>
      <c r="J45" s="167" t="str">
        <v/>
      </c>
      <c r="K45" s="167" t="str">
        <v/>
      </c>
      <c r="L45" s="167" t="str">
        <v/>
      </c>
      <c r="M45" s="167" t="str">
        <v/>
      </c>
      <c r="N45" s="167" t="str">
        <v/>
      </c>
      <c r="O45" s="167" t="str">
        <v/>
      </c>
      <c r="P45" s="167" t="str">
        <v/>
      </c>
    </row>
    <row r="46" spans="1:16" s="96" customFormat="1" x14ac:dyDescent="0.2">
      <c r="A46" s="145" t="str">
        <v/>
      </c>
      <c r="B46" s="144" t="str">
        <v/>
      </c>
      <c r="C46" s="167" t="str">
        <v/>
      </c>
      <c r="D46" s="167" t="str">
        <v/>
      </c>
      <c r="E46" s="167" t="str">
        <v/>
      </c>
      <c r="F46" s="167" t="str">
        <v/>
      </c>
      <c r="G46" s="167" t="str">
        <v/>
      </c>
      <c r="H46" s="167" t="str">
        <v/>
      </c>
      <c r="I46" s="167" t="str">
        <v/>
      </c>
      <c r="J46" s="167" t="str">
        <v/>
      </c>
      <c r="K46" s="167" t="str">
        <v/>
      </c>
      <c r="L46" s="167" t="str">
        <v/>
      </c>
      <c r="M46" s="167" t="str">
        <v/>
      </c>
      <c r="N46" s="167" t="str">
        <v/>
      </c>
      <c r="O46" s="167" t="str">
        <v/>
      </c>
      <c r="P46" s="167" t="str">
        <v/>
      </c>
    </row>
    <row r="47" spans="1:16" s="96" customFormat="1" x14ac:dyDescent="0.2">
      <c r="A47" s="145" t="str">
        <v/>
      </c>
      <c r="B47" s="144" t="str">
        <v/>
      </c>
      <c r="C47" s="167" t="str">
        <v/>
      </c>
      <c r="D47" s="167" t="str">
        <v/>
      </c>
      <c r="E47" s="167" t="str">
        <v/>
      </c>
      <c r="F47" s="167" t="str">
        <v/>
      </c>
      <c r="G47" s="167" t="str">
        <v/>
      </c>
      <c r="H47" s="167" t="str">
        <v/>
      </c>
      <c r="I47" s="167" t="str">
        <v/>
      </c>
      <c r="J47" s="167" t="str">
        <v/>
      </c>
      <c r="K47" s="167" t="str">
        <v/>
      </c>
      <c r="L47" s="167" t="str">
        <v/>
      </c>
      <c r="M47" s="167" t="str">
        <v/>
      </c>
      <c r="N47" s="167" t="str">
        <v/>
      </c>
      <c r="O47" s="167" t="str">
        <v/>
      </c>
      <c r="P47" s="167" t="str">
        <v/>
      </c>
    </row>
    <row r="48" spans="1:16" s="96" customFormat="1" x14ac:dyDescent="0.2">
      <c r="A48" s="145" t="str">
        <v/>
      </c>
      <c r="B48" s="144" t="str">
        <v/>
      </c>
      <c r="C48" s="167" t="str">
        <v/>
      </c>
      <c r="D48" s="167" t="str">
        <v/>
      </c>
      <c r="E48" s="167" t="str">
        <v/>
      </c>
      <c r="F48" s="167" t="str">
        <v/>
      </c>
      <c r="G48" s="167" t="str">
        <v/>
      </c>
      <c r="H48" s="167" t="str">
        <v/>
      </c>
      <c r="I48" s="167" t="str">
        <v/>
      </c>
      <c r="J48" s="167" t="str">
        <v/>
      </c>
      <c r="K48" s="167" t="str">
        <v/>
      </c>
      <c r="L48" s="167" t="str">
        <v/>
      </c>
      <c r="M48" s="167" t="str">
        <v/>
      </c>
      <c r="N48" s="167" t="str">
        <v/>
      </c>
      <c r="O48" s="167" t="str">
        <v/>
      </c>
      <c r="P48" s="167" t="str">
        <v/>
      </c>
    </row>
    <row r="49" spans="1:16" s="96" customFormat="1" x14ac:dyDescent="0.2">
      <c r="A49" s="145" t="str">
        <v/>
      </c>
      <c r="B49" s="144" t="str">
        <v/>
      </c>
      <c r="C49" s="167" t="str">
        <v/>
      </c>
      <c r="D49" s="167" t="str">
        <v/>
      </c>
      <c r="E49" s="167" t="str">
        <v/>
      </c>
      <c r="F49" s="167" t="str">
        <v/>
      </c>
      <c r="G49" s="167" t="str">
        <v/>
      </c>
      <c r="H49" s="167" t="str">
        <v/>
      </c>
      <c r="I49" s="167" t="str">
        <v/>
      </c>
      <c r="J49" s="167" t="str">
        <v/>
      </c>
      <c r="K49" s="167" t="str">
        <v/>
      </c>
      <c r="L49" s="167" t="str">
        <v/>
      </c>
      <c r="M49" s="167" t="str">
        <v/>
      </c>
      <c r="N49" s="167" t="str">
        <v/>
      </c>
      <c r="O49" s="167" t="str">
        <v/>
      </c>
      <c r="P49" s="167" t="str">
        <v/>
      </c>
    </row>
    <row r="50" spans="1:16" s="96" customFormat="1" x14ac:dyDescent="0.2">
      <c r="A50" s="145" t="str">
        <v/>
      </c>
      <c r="B50" s="144" t="str">
        <v/>
      </c>
      <c r="C50" s="167" t="str">
        <v/>
      </c>
      <c r="D50" s="167" t="str">
        <v/>
      </c>
      <c r="E50" s="167" t="str">
        <v/>
      </c>
      <c r="F50" s="167" t="str">
        <v/>
      </c>
      <c r="G50" s="167" t="str">
        <v/>
      </c>
      <c r="H50" s="167" t="str">
        <v/>
      </c>
      <c r="I50" s="167" t="str">
        <v/>
      </c>
      <c r="J50" s="167" t="str">
        <v/>
      </c>
      <c r="K50" s="167" t="str">
        <v/>
      </c>
      <c r="L50" s="167" t="str">
        <v/>
      </c>
      <c r="M50" s="167" t="str">
        <v/>
      </c>
      <c r="N50" s="167" t="str">
        <v/>
      </c>
      <c r="O50" s="167" t="str">
        <v/>
      </c>
      <c r="P50" s="167" t="str">
        <v/>
      </c>
    </row>
    <row r="51" spans="1:16" s="96" customFormat="1" x14ac:dyDescent="0.2">
      <c r="A51" s="145" t="str">
        <v/>
      </c>
      <c r="B51" s="144" t="str">
        <v/>
      </c>
      <c r="C51" s="167" t="str">
        <v/>
      </c>
      <c r="D51" s="167" t="str">
        <v/>
      </c>
      <c r="E51" s="167" t="str">
        <v/>
      </c>
      <c r="F51" s="167" t="str">
        <v/>
      </c>
      <c r="G51" s="167" t="str">
        <v/>
      </c>
      <c r="H51" s="167" t="str">
        <v/>
      </c>
      <c r="I51" s="167" t="str">
        <v/>
      </c>
      <c r="J51" s="167" t="str">
        <v/>
      </c>
      <c r="K51" s="167" t="str">
        <v/>
      </c>
      <c r="L51" s="167" t="str">
        <v/>
      </c>
      <c r="M51" s="167" t="str">
        <v/>
      </c>
      <c r="N51" s="167" t="str">
        <v/>
      </c>
      <c r="O51" s="167" t="str">
        <v/>
      </c>
      <c r="P51" s="167" t="str">
        <v/>
      </c>
    </row>
    <row r="52" spans="1:16" s="96" customFormat="1" x14ac:dyDescent="0.2">
      <c r="A52" s="145" t="str">
        <v/>
      </c>
      <c r="B52" s="144" t="str">
        <v/>
      </c>
      <c r="C52" s="167" t="str">
        <v/>
      </c>
      <c r="D52" s="167" t="str">
        <v/>
      </c>
      <c r="E52" s="167" t="str">
        <v/>
      </c>
      <c r="F52" s="167" t="str">
        <v/>
      </c>
      <c r="G52" s="167" t="str">
        <v/>
      </c>
      <c r="H52" s="167" t="str">
        <v/>
      </c>
      <c r="I52" s="167" t="str">
        <v/>
      </c>
      <c r="J52" s="167" t="str">
        <v/>
      </c>
      <c r="K52" s="167" t="str">
        <v/>
      </c>
      <c r="L52" s="167" t="str">
        <v/>
      </c>
      <c r="M52" s="167" t="str">
        <v/>
      </c>
      <c r="N52" s="167" t="str">
        <v/>
      </c>
      <c r="O52" s="167" t="str">
        <v/>
      </c>
      <c r="P52" s="167" t="str">
        <v/>
      </c>
    </row>
    <row r="53" spans="1:16" s="96" customFormat="1" x14ac:dyDescent="0.2">
      <c r="A53" s="145" t="str">
        <v/>
      </c>
      <c r="B53" s="144" t="str">
        <v/>
      </c>
      <c r="C53" s="167" t="str">
        <v/>
      </c>
      <c r="D53" s="167" t="str">
        <v/>
      </c>
      <c r="E53" s="167" t="str">
        <v/>
      </c>
      <c r="F53" s="167" t="str">
        <v/>
      </c>
      <c r="G53" s="167" t="str">
        <v/>
      </c>
      <c r="H53" s="167" t="str">
        <v/>
      </c>
      <c r="I53" s="167" t="str">
        <v/>
      </c>
      <c r="J53" s="167" t="str">
        <v/>
      </c>
      <c r="K53" s="167" t="str">
        <v/>
      </c>
      <c r="L53" s="167" t="str">
        <v/>
      </c>
      <c r="M53" s="167" t="str">
        <v/>
      </c>
      <c r="N53" s="167" t="str">
        <v/>
      </c>
      <c r="O53" s="167" t="str">
        <v/>
      </c>
      <c r="P53" s="167" t="str">
        <v/>
      </c>
    </row>
    <row r="54" spans="1:16" s="96" customFormat="1" x14ac:dyDescent="0.2">
      <c r="A54" s="145" t="str">
        <v/>
      </c>
      <c r="B54" s="144" t="str">
        <v/>
      </c>
      <c r="C54" s="167" t="str">
        <v/>
      </c>
      <c r="D54" s="167" t="str">
        <v/>
      </c>
      <c r="E54" s="167" t="str">
        <v/>
      </c>
      <c r="F54" s="167" t="str">
        <v/>
      </c>
      <c r="G54" s="167" t="str">
        <v/>
      </c>
      <c r="H54" s="167" t="str">
        <v/>
      </c>
      <c r="I54" s="167" t="str">
        <v/>
      </c>
      <c r="J54" s="167" t="str">
        <v/>
      </c>
      <c r="K54" s="167" t="str">
        <v/>
      </c>
      <c r="L54" s="167" t="str">
        <v/>
      </c>
      <c r="M54" s="167" t="str">
        <v/>
      </c>
      <c r="N54" s="167" t="str">
        <v/>
      </c>
      <c r="O54" s="167" t="str">
        <v/>
      </c>
      <c r="P54" s="167" t="str">
        <v/>
      </c>
    </row>
    <row r="55" spans="1:16" s="96" customFormat="1" x14ac:dyDescent="0.2">
      <c r="A55" s="145" t="str">
        <v/>
      </c>
      <c r="B55" s="144" t="str">
        <v/>
      </c>
      <c r="C55" s="167" t="str">
        <v/>
      </c>
      <c r="D55" s="167" t="str">
        <v/>
      </c>
      <c r="E55" s="167" t="str">
        <v/>
      </c>
      <c r="F55" s="167" t="str">
        <v/>
      </c>
      <c r="G55" s="167" t="str">
        <v/>
      </c>
      <c r="H55" s="167" t="str">
        <v/>
      </c>
      <c r="I55" s="167" t="str">
        <v/>
      </c>
      <c r="J55" s="167" t="str">
        <v/>
      </c>
      <c r="K55" s="167" t="str">
        <v/>
      </c>
      <c r="L55" s="167" t="str">
        <v/>
      </c>
      <c r="M55" s="167" t="str">
        <v/>
      </c>
      <c r="N55" s="167" t="str">
        <v/>
      </c>
      <c r="O55" s="167" t="str">
        <v/>
      </c>
      <c r="P55" s="167" t="str">
        <v/>
      </c>
    </row>
    <row r="56" spans="1:16" s="96" customFormat="1" x14ac:dyDescent="0.2">
      <c r="A56" s="145" t="str">
        <v/>
      </c>
      <c r="B56" s="144" t="str">
        <v/>
      </c>
      <c r="C56" s="167" t="str">
        <v/>
      </c>
      <c r="D56" s="167" t="str">
        <v/>
      </c>
      <c r="E56" s="167" t="str">
        <v/>
      </c>
      <c r="F56" s="167" t="str">
        <v/>
      </c>
      <c r="G56" s="167" t="str">
        <v/>
      </c>
      <c r="H56" s="167" t="str">
        <v/>
      </c>
      <c r="I56" s="167" t="str">
        <v/>
      </c>
      <c r="J56" s="167" t="str">
        <v/>
      </c>
      <c r="K56" s="167" t="str">
        <v/>
      </c>
      <c r="L56" s="167" t="str">
        <v/>
      </c>
      <c r="M56" s="167" t="str">
        <v/>
      </c>
      <c r="N56" s="167" t="str">
        <v/>
      </c>
      <c r="O56" s="167" t="str">
        <v/>
      </c>
      <c r="P56" s="167" t="str">
        <v/>
      </c>
    </row>
    <row r="57" spans="1:16" s="96" customFormat="1" x14ac:dyDescent="0.2">
      <c r="A57" s="145" t="str">
        <v/>
      </c>
      <c r="B57" s="144" t="str">
        <v/>
      </c>
      <c r="C57" s="167" t="str">
        <v/>
      </c>
      <c r="D57" s="167" t="str">
        <v/>
      </c>
      <c r="E57" s="167" t="str">
        <v/>
      </c>
      <c r="F57" s="167" t="str">
        <v/>
      </c>
      <c r="G57" s="167" t="str">
        <v/>
      </c>
      <c r="H57" s="167" t="str">
        <v/>
      </c>
      <c r="I57" s="167" t="str">
        <v/>
      </c>
      <c r="J57" s="167" t="str">
        <v/>
      </c>
      <c r="K57" s="167" t="str">
        <v/>
      </c>
      <c r="L57" s="167" t="str">
        <v/>
      </c>
      <c r="M57" s="167" t="str">
        <v/>
      </c>
      <c r="N57" s="167" t="str">
        <v/>
      </c>
      <c r="O57" s="167" t="str">
        <v/>
      </c>
      <c r="P57" s="167" t="str">
        <v/>
      </c>
    </row>
    <row r="58" spans="1:16" s="96" customFormat="1" x14ac:dyDescent="0.2">
      <c r="A58" s="145" t="str">
        <v/>
      </c>
      <c r="B58" s="144" t="str">
        <v/>
      </c>
      <c r="C58" s="167" t="str">
        <v/>
      </c>
      <c r="D58" s="167" t="str">
        <v/>
      </c>
      <c r="E58" s="167" t="str">
        <v/>
      </c>
      <c r="F58" s="167" t="str">
        <v/>
      </c>
      <c r="G58" s="167" t="str">
        <v/>
      </c>
      <c r="H58" s="167" t="str">
        <v/>
      </c>
      <c r="I58" s="167" t="str">
        <v/>
      </c>
      <c r="J58" s="167" t="str">
        <v/>
      </c>
      <c r="K58" s="167" t="str">
        <v/>
      </c>
      <c r="L58" s="167" t="str">
        <v/>
      </c>
      <c r="M58" s="167" t="str">
        <v/>
      </c>
      <c r="N58" s="167" t="str">
        <v/>
      </c>
      <c r="O58" s="167" t="str">
        <v/>
      </c>
      <c r="P58" s="167" t="str">
        <v/>
      </c>
    </row>
    <row r="59" spans="1:16" s="96" customFormat="1" x14ac:dyDescent="0.2">
      <c r="A59" s="145" t="str">
        <v/>
      </c>
      <c r="B59" s="144" t="str">
        <v/>
      </c>
      <c r="C59" s="167" t="str">
        <v/>
      </c>
      <c r="D59" s="167" t="str">
        <v/>
      </c>
      <c r="E59" s="167" t="str">
        <v/>
      </c>
      <c r="F59" s="167" t="str">
        <v/>
      </c>
      <c r="G59" s="167" t="str">
        <v/>
      </c>
      <c r="H59" s="167" t="str">
        <v/>
      </c>
      <c r="I59" s="167" t="str">
        <v/>
      </c>
      <c r="J59" s="167" t="str">
        <v/>
      </c>
      <c r="K59" s="167" t="str">
        <v/>
      </c>
      <c r="L59" s="167" t="str">
        <v/>
      </c>
      <c r="M59" s="167" t="str">
        <v/>
      </c>
      <c r="N59" s="167" t="str">
        <v/>
      </c>
      <c r="O59" s="167" t="str">
        <v/>
      </c>
      <c r="P59" s="167" t="str">
        <v/>
      </c>
    </row>
    <row r="60" spans="1:16" s="96" customFormat="1" x14ac:dyDescent="0.2">
      <c r="A60" s="145" t="str">
        <v/>
      </c>
      <c r="B60" s="144" t="str">
        <v/>
      </c>
      <c r="C60" s="167" t="str">
        <v/>
      </c>
      <c r="D60" s="167" t="str">
        <v/>
      </c>
      <c r="E60" s="167" t="str">
        <v/>
      </c>
      <c r="F60" s="167" t="str">
        <v/>
      </c>
      <c r="G60" s="167" t="str">
        <v/>
      </c>
      <c r="H60" s="167" t="str">
        <v/>
      </c>
      <c r="I60" s="167" t="str">
        <v/>
      </c>
      <c r="J60" s="167" t="str">
        <v/>
      </c>
      <c r="K60" s="167" t="str">
        <v/>
      </c>
      <c r="L60" s="167" t="str">
        <v/>
      </c>
      <c r="M60" s="167" t="str">
        <v/>
      </c>
      <c r="N60" s="167" t="str">
        <v/>
      </c>
      <c r="O60" s="167" t="str">
        <v/>
      </c>
      <c r="P60" s="167" t="str">
        <v/>
      </c>
    </row>
    <row r="61" spans="1:16" s="96" customFormat="1" x14ac:dyDescent="0.2">
      <c r="A61" s="145" t="str">
        <v/>
      </c>
      <c r="B61" s="144" t="str">
        <v/>
      </c>
      <c r="C61" s="167" t="str">
        <v/>
      </c>
      <c r="D61" s="167" t="str">
        <v/>
      </c>
      <c r="E61" s="167" t="str">
        <v/>
      </c>
      <c r="F61" s="167" t="str">
        <v/>
      </c>
      <c r="G61" s="167" t="str">
        <v/>
      </c>
      <c r="H61" s="167" t="str">
        <v/>
      </c>
      <c r="I61" s="167" t="str">
        <v/>
      </c>
      <c r="J61" s="167" t="str">
        <v/>
      </c>
      <c r="K61" s="167" t="str">
        <v/>
      </c>
      <c r="L61" s="167" t="str">
        <v/>
      </c>
      <c r="M61" s="167" t="str">
        <v/>
      </c>
      <c r="N61" s="167" t="str">
        <v/>
      </c>
      <c r="O61" s="167" t="str">
        <v/>
      </c>
      <c r="P61" s="167" t="str">
        <v/>
      </c>
    </row>
    <row r="62" spans="1:16" s="96" customFormat="1" x14ac:dyDescent="0.2">
      <c r="A62" s="145" t="str">
        <v/>
      </c>
      <c r="B62" s="144" t="str">
        <v/>
      </c>
      <c r="C62" s="167" t="str">
        <v/>
      </c>
      <c r="D62" s="167" t="str">
        <v/>
      </c>
      <c r="E62" s="167" t="str">
        <v/>
      </c>
      <c r="F62" s="167" t="str">
        <v/>
      </c>
      <c r="G62" s="167" t="str">
        <v/>
      </c>
      <c r="H62" s="167" t="str">
        <v/>
      </c>
      <c r="I62" s="167" t="str">
        <v/>
      </c>
      <c r="J62" s="167" t="str">
        <v/>
      </c>
      <c r="K62" s="167" t="str">
        <v/>
      </c>
      <c r="L62" s="167" t="str">
        <v/>
      </c>
      <c r="M62" s="167" t="str">
        <v/>
      </c>
      <c r="N62" s="167" t="str">
        <v/>
      </c>
      <c r="O62" s="167" t="str">
        <v/>
      </c>
      <c r="P62" s="167" t="str">
        <v/>
      </c>
    </row>
    <row r="63" spans="1:16" s="96" customFormat="1" x14ac:dyDescent="0.2">
      <c r="A63" s="145" t="str">
        <v/>
      </c>
      <c r="B63" s="144" t="str">
        <v/>
      </c>
      <c r="C63" s="167" t="str">
        <v/>
      </c>
      <c r="D63" s="167" t="str">
        <v/>
      </c>
      <c r="E63" s="167" t="str">
        <v/>
      </c>
      <c r="F63" s="167" t="str">
        <v/>
      </c>
      <c r="G63" s="167" t="str">
        <v/>
      </c>
      <c r="H63" s="167" t="str">
        <v/>
      </c>
      <c r="I63" s="167" t="str">
        <v/>
      </c>
      <c r="J63" s="167" t="str">
        <v/>
      </c>
      <c r="K63" s="167" t="str">
        <v/>
      </c>
      <c r="L63" s="167" t="str">
        <v/>
      </c>
      <c r="M63" s="167" t="str">
        <v/>
      </c>
      <c r="N63" s="167" t="str">
        <v/>
      </c>
      <c r="O63" s="167" t="str">
        <v/>
      </c>
      <c r="P63" s="167" t="str">
        <v/>
      </c>
    </row>
    <row r="64" spans="1:16" s="96" customFormat="1" x14ac:dyDescent="0.2">
      <c r="A64" s="145" t="str">
        <v/>
      </c>
      <c r="B64" s="144" t="str">
        <v/>
      </c>
      <c r="C64" s="167" t="str">
        <v/>
      </c>
      <c r="D64" s="167" t="str">
        <v/>
      </c>
      <c r="E64" s="167" t="str">
        <v/>
      </c>
      <c r="F64" s="167" t="str">
        <v/>
      </c>
      <c r="G64" s="167" t="str">
        <v/>
      </c>
      <c r="H64" s="167" t="str">
        <v/>
      </c>
      <c r="I64" s="167" t="str">
        <v/>
      </c>
      <c r="J64" s="167" t="str">
        <v/>
      </c>
      <c r="K64" s="167" t="str">
        <v/>
      </c>
      <c r="L64" s="167" t="str">
        <v/>
      </c>
      <c r="M64" s="167" t="str">
        <v/>
      </c>
      <c r="N64" s="167" t="str">
        <v/>
      </c>
      <c r="O64" s="167" t="str">
        <v/>
      </c>
      <c r="P64" s="167" t="str">
        <v/>
      </c>
    </row>
    <row r="65" spans="1:16" s="96" customFormat="1" x14ac:dyDescent="0.2">
      <c r="A65" s="145" t="str">
        <v/>
      </c>
      <c r="B65" s="144" t="str">
        <v/>
      </c>
      <c r="C65" s="167" t="str">
        <v/>
      </c>
      <c r="D65" s="167" t="str">
        <v/>
      </c>
      <c r="E65" s="167" t="str">
        <v/>
      </c>
      <c r="F65" s="167" t="str">
        <v/>
      </c>
      <c r="G65" s="167" t="str">
        <v/>
      </c>
      <c r="H65" s="167" t="str">
        <v/>
      </c>
      <c r="I65" s="167" t="str">
        <v/>
      </c>
      <c r="J65" s="167" t="str">
        <v/>
      </c>
      <c r="K65" s="167" t="str">
        <v/>
      </c>
      <c r="L65" s="167" t="str">
        <v/>
      </c>
      <c r="M65" s="167" t="str">
        <v/>
      </c>
      <c r="N65" s="167" t="str">
        <v/>
      </c>
      <c r="O65" s="167" t="str">
        <v/>
      </c>
      <c r="P65" s="167" t="str">
        <v/>
      </c>
    </row>
    <row r="66" spans="1:16" s="100" customFormat="1" x14ac:dyDescent="0.2">
      <c r="A66" s="99" t="str">
        <v/>
      </c>
      <c r="B66" s="144" t="str">
        <v/>
      </c>
      <c r="C66" s="167" t="str">
        <v/>
      </c>
      <c r="D66" s="167" t="str">
        <v/>
      </c>
      <c r="E66" s="167" t="str">
        <v/>
      </c>
      <c r="F66" s="167" t="str">
        <v/>
      </c>
      <c r="G66" s="167" t="str">
        <v/>
      </c>
      <c r="H66" s="167" t="str">
        <v/>
      </c>
      <c r="I66" s="167" t="str">
        <v/>
      </c>
      <c r="J66" s="167" t="str">
        <v/>
      </c>
      <c r="K66" s="167" t="str">
        <v/>
      </c>
      <c r="L66" s="167" t="str">
        <v/>
      </c>
      <c r="M66" s="167" t="str">
        <v/>
      </c>
      <c r="N66" s="167" t="str">
        <v/>
      </c>
      <c r="O66" s="167" t="str">
        <v/>
      </c>
      <c r="P66" s="167" t="str">
        <v/>
      </c>
    </row>
    <row r="67" spans="1:16" s="100" customFormat="1" x14ac:dyDescent="0.2">
      <c r="A67" s="99" t="str">
        <v/>
      </c>
      <c r="B67" s="144" t="str">
        <v/>
      </c>
      <c r="C67" s="167" t="str">
        <v/>
      </c>
      <c r="D67" s="167" t="str">
        <v/>
      </c>
      <c r="E67" s="167" t="str">
        <v/>
      </c>
      <c r="F67" s="167" t="str">
        <v/>
      </c>
      <c r="G67" s="167" t="str">
        <v/>
      </c>
      <c r="H67" s="167" t="str">
        <v/>
      </c>
      <c r="I67" s="167" t="str">
        <v/>
      </c>
      <c r="J67" s="167" t="str">
        <v/>
      </c>
      <c r="K67" s="167" t="str">
        <v/>
      </c>
      <c r="L67" s="167" t="str">
        <v/>
      </c>
      <c r="M67" s="167" t="str">
        <v/>
      </c>
      <c r="N67" s="167" t="str">
        <v/>
      </c>
      <c r="O67" s="167" t="str">
        <v/>
      </c>
      <c r="P67" s="167" t="str">
        <v/>
      </c>
    </row>
    <row r="68" spans="1:16" s="100" customFormat="1" x14ac:dyDescent="0.2">
      <c r="A68" s="99" t="str">
        <v/>
      </c>
      <c r="B68" s="144" t="str">
        <v/>
      </c>
      <c r="C68" s="167" t="str">
        <v/>
      </c>
      <c r="D68" s="167" t="str">
        <v/>
      </c>
      <c r="E68" s="167" t="str">
        <v/>
      </c>
      <c r="F68" s="167" t="str">
        <v/>
      </c>
      <c r="G68" s="167" t="str">
        <v/>
      </c>
      <c r="H68" s="167" t="str">
        <v/>
      </c>
      <c r="I68" s="167" t="str">
        <v/>
      </c>
      <c r="J68" s="167" t="str">
        <v/>
      </c>
      <c r="K68" s="167" t="str">
        <v/>
      </c>
      <c r="L68" s="167" t="str">
        <v/>
      </c>
      <c r="M68" s="167" t="str">
        <v/>
      </c>
      <c r="N68" s="167" t="str">
        <v/>
      </c>
      <c r="O68" s="167" t="str">
        <v/>
      </c>
      <c r="P68" s="167" t="str">
        <v/>
      </c>
    </row>
    <row r="69" spans="1:16" s="100" customFormat="1" x14ac:dyDescent="0.2">
      <c r="A69" s="99" t="str">
        <v/>
      </c>
      <c r="B69" s="144" t="str">
        <v/>
      </c>
      <c r="C69" s="167" t="str">
        <v/>
      </c>
      <c r="D69" s="167" t="str">
        <v/>
      </c>
      <c r="E69" s="167" t="str">
        <v/>
      </c>
      <c r="F69" s="167" t="str">
        <v/>
      </c>
      <c r="G69" s="167" t="str">
        <v/>
      </c>
      <c r="H69" s="167" t="str">
        <v/>
      </c>
      <c r="I69" s="167" t="str">
        <v/>
      </c>
      <c r="J69" s="167" t="str">
        <v/>
      </c>
      <c r="K69" s="167" t="str">
        <v/>
      </c>
      <c r="L69" s="167" t="str">
        <v/>
      </c>
      <c r="M69" s="167" t="str">
        <v/>
      </c>
      <c r="N69" s="167" t="str">
        <v/>
      </c>
      <c r="O69" s="167" t="str">
        <v/>
      </c>
      <c r="P69" s="167" t="str">
        <v/>
      </c>
    </row>
    <row r="70" spans="1:16" s="100" customFormat="1" x14ac:dyDescent="0.2">
      <c r="A70" s="99" t="str">
        <v/>
      </c>
      <c r="B70" s="144" t="str">
        <v/>
      </c>
      <c r="C70" s="167" t="str">
        <v/>
      </c>
      <c r="D70" s="167" t="str">
        <v/>
      </c>
      <c r="E70" s="167" t="str">
        <v/>
      </c>
      <c r="F70" s="167" t="str">
        <v/>
      </c>
      <c r="G70" s="167" t="str">
        <v/>
      </c>
      <c r="H70" s="167" t="str">
        <v/>
      </c>
      <c r="I70" s="167" t="str">
        <v/>
      </c>
      <c r="J70" s="167" t="str">
        <v/>
      </c>
      <c r="K70" s="167" t="str">
        <v/>
      </c>
      <c r="L70" s="167" t="str">
        <v/>
      </c>
      <c r="M70" s="167" t="str">
        <v/>
      </c>
      <c r="N70" s="167" t="str">
        <v/>
      </c>
      <c r="O70" s="167" t="str">
        <v/>
      </c>
      <c r="P70" s="167" t="str">
        <v/>
      </c>
    </row>
    <row r="71" spans="1:16" s="100" customFormat="1" x14ac:dyDescent="0.2">
      <c r="A71" s="99" t="str">
        <v/>
      </c>
      <c r="B71" s="144" t="str">
        <v/>
      </c>
      <c r="C71" s="167" t="str">
        <v/>
      </c>
      <c r="D71" s="167" t="str">
        <v/>
      </c>
      <c r="E71" s="167" t="str">
        <v/>
      </c>
      <c r="F71" s="167" t="str">
        <v/>
      </c>
      <c r="G71" s="167" t="str">
        <v/>
      </c>
      <c r="H71" s="167" t="str">
        <v/>
      </c>
      <c r="I71" s="167" t="str">
        <v/>
      </c>
      <c r="J71" s="167" t="str">
        <v/>
      </c>
      <c r="K71" s="167" t="str">
        <v/>
      </c>
      <c r="L71" s="167" t="str">
        <v/>
      </c>
      <c r="M71" s="167" t="str">
        <v/>
      </c>
      <c r="N71" s="167" t="str">
        <v/>
      </c>
      <c r="O71" s="167" t="str">
        <v/>
      </c>
      <c r="P71" s="167" t="str">
        <v/>
      </c>
    </row>
    <row r="72" spans="1:16" s="100" customFormat="1" x14ac:dyDescent="0.2">
      <c r="A72" s="99" t="str">
        <v/>
      </c>
      <c r="B72" s="144" t="str">
        <v/>
      </c>
      <c r="C72" s="167" t="str">
        <v/>
      </c>
      <c r="D72" s="167" t="str">
        <v/>
      </c>
      <c r="E72" s="167" t="str">
        <v/>
      </c>
      <c r="F72" s="167" t="str">
        <v/>
      </c>
      <c r="G72" s="167" t="str">
        <v/>
      </c>
      <c r="H72" s="167" t="str">
        <v/>
      </c>
      <c r="I72" s="167" t="str">
        <v/>
      </c>
      <c r="J72" s="167" t="str">
        <v/>
      </c>
      <c r="K72" s="167" t="str">
        <v/>
      </c>
      <c r="L72" s="167" t="str">
        <v/>
      </c>
      <c r="M72" s="167" t="str">
        <v/>
      </c>
      <c r="N72" s="167" t="str">
        <v/>
      </c>
      <c r="O72" s="167" t="str">
        <v/>
      </c>
      <c r="P72" s="167" t="str">
        <v/>
      </c>
    </row>
    <row r="73" spans="1:16" s="100" customFormat="1" x14ac:dyDescent="0.2">
      <c r="A73" s="99" t="str">
        <v/>
      </c>
      <c r="B73" s="144" t="str">
        <v/>
      </c>
      <c r="C73" s="167" t="str">
        <v/>
      </c>
      <c r="D73" s="167" t="str">
        <v/>
      </c>
      <c r="E73" s="167" t="str">
        <v/>
      </c>
      <c r="F73" s="167" t="str">
        <v/>
      </c>
      <c r="G73" s="167" t="str">
        <v/>
      </c>
      <c r="H73" s="167" t="str">
        <v/>
      </c>
      <c r="I73" s="167" t="str">
        <v/>
      </c>
      <c r="J73" s="167" t="str">
        <v/>
      </c>
      <c r="K73" s="167" t="str">
        <v/>
      </c>
      <c r="L73" s="167" t="str">
        <v/>
      </c>
      <c r="M73" s="167" t="str">
        <v/>
      </c>
      <c r="N73" s="167" t="str">
        <v/>
      </c>
      <c r="O73" s="167" t="str">
        <v/>
      </c>
      <c r="P73" s="167" t="str">
        <v/>
      </c>
    </row>
    <row r="74" spans="1:16" s="100" customFormat="1" x14ac:dyDescent="0.2">
      <c r="A74" s="99" t="str">
        <v/>
      </c>
      <c r="B74" s="144" t="str">
        <v/>
      </c>
      <c r="C74" s="167" t="str">
        <v/>
      </c>
      <c r="D74" s="167" t="str">
        <v/>
      </c>
      <c r="E74" s="167" t="str">
        <v/>
      </c>
      <c r="F74" s="167" t="str">
        <v/>
      </c>
      <c r="G74" s="167" t="str">
        <v/>
      </c>
      <c r="H74" s="167" t="str">
        <v/>
      </c>
      <c r="I74" s="167" t="str">
        <v/>
      </c>
      <c r="J74" s="167" t="str">
        <v/>
      </c>
      <c r="K74" s="167" t="str">
        <v/>
      </c>
      <c r="L74" s="167" t="str">
        <v/>
      </c>
      <c r="M74" s="167" t="str">
        <v/>
      </c>
      <c r="N74" s="167" t="str">
        <v/>
      </c>
      <c r="O74" s="167" t="str">
        <v/>
      </c>
      <c r="P74" s="167" t="str">
        <v/>
      </c>
    </row>
    <row r="75" spans="1:16" s="100" customFormat="1" x14ac:dyDescent="0.2">
      <c r="A75" s="99" t="str">
        <v/>
      </c>
      <c r="B75" s="144" t="str">
        <v/>
      </c>
      <c r="C75" s="167" t="str">
        <v/>
      </c>
      <c r="D75" s="167" t="str">
        <v/>
      </c>
      <c r="E75" s="167" t="str">
        <v/>
      </c>
      <c r="F75" s="167" t="str">
        <v/>
      </c>
      <c r="G75" s="167" t="str">
        <v/>
      </c>
      <c r="H75" s="167" t="str">
        <v/>
      </c>
      <c r="I75" s="167" t="str">
        <v/>
      </c>
      <c r="J75" s="167" t="str">
        <v/>
      </c>
      <c r="K75" s="167" t="str">
        <v/>
      </c>
      <c r="L75" s="167" t="str">
        <v/>
      </c>
      <c r="M75" s="167" t="str">
        <v/>
      </c>
      <c r="N75" s="167" t="str">
        <v/>
      </c>
      <c r="O75" s="167" t="str">
        <v/>
      </c>
      <c r="P75" s="167" t="str">
        <v/>
      </c>
    </row>
    <row r="76" spans="1:16" s="100" customFormat="1" x14ac:dyDescent="0.2">
      <c r="A76" s="101" t="str">
        <v/>
      </c>
      <c r="B76" s="144" t="str">
        <v/>
      </c>
      <c r="C76" s="167" t="str">
        <v/>
      </c>
      <c r="D76" s="167" t="str">
        <v/>
      </c>
      <c r="E76" s="167" t="str">
        <v/>
      </c>
      <c r="F76" s="167" t="str">
        <v/>
      </c>
      <c r="G76" s="167" t="str">
        <v/>
      </c>
      <c r="H76" s="167" t="str">
        <v/>
      </c>
      <c r="I76" s="167" t="str">
        <v/>
      </c>
      <c r="J76" s="167" t="str">
        <v/>
      </c>
      <c r="K76" s="167" t="str">
        <v/>
      </c>
      <c r="L76" s="167" t="str">
        <v/>
      </c>
      <c r="M76" s="167" t="str">
        <v/>
      </c>
      <c r="N76" s="167" t="str">
        <v/>
      </c>
      <c r="O76" s="167" t="str">
        <v/>
      </c>
      <c r="P76" s="167" t="str">
        <v/>
      </c>
    </row>
    <row r="77" spans="1:16" s="100" customFormat="1" x14ac:dyDescent="0.2">
      <c r="A77" s="101" t="str">
        <v/>
      </c>
      <c r="B77" s="144" t="str">
        <v/>
      </c>
      <c r="C77" s="167" t="str">
        <v/>
      </c>
      <c r="D77" s="167" t="str">
        <v/>
      </c>
      <c r="E77" s="167" t="str">
        <v/>
      </c>
      <c r="F77" s="167" t="str">
        <v/>
      </c>
      <c r="G77" s="167" t="str">
        <v/>
      </c>
      <c r="H77" s="167" t="str">
        <v/>
      </c>
      <c r="I77" s="167" t="str">
        <v/>
      </c>
      <c r="J77" s="167" t="str">
        <v/>
      </c>
      <c r="K77" s="167" t="str">
        <v/>
      </c>
      <c r="L77" s="167" t="str">
        <v/>
      </c>
      <c r="M77" s="167" t="str">
        <v/>
      </c>
      <c r="N77" s="167" t="str">
        <v/>
      </c>
      <c r="O77" s="167" t="str">
        <v/>
      </c>
      <c r="P77" s="167" t="str">
        <v/>
      </c>
    </row>
    <row r="78" spans="1:16" s="100" customFormat="1" x14ac:dyDescent="0.2">
      <c r="A78" s="101" t="str">
        <v/>
      </c>
      <c r="B78" s="144" t="str">
        <v/>
      </c>
      <c r="C78" s="167" t="str">
        <v/>
      </c>
      <c r="D78" s="167" t="str">
        <v/>
      </c>
      <c r="E78" s="167" t="str">
        <v/>
      </c>
      <c r="F78" s="167" t="str">
        <v/>
      </c>
      <c r="G78" s="167" t="str">
        <v/>
      </c>
      <c r="H78" s="167" t="str">
        <v/>
      </c>
      <c r="I78" s="167" t="str">
        <v/>
      </c>
      <c r="J78" s="167" t="str">
        <v/>
      </c>
      <c r="K78" s="167" t="str">
        <v/>
      </c>
      <c r="L78" s="167" t="str">
        <v/>
      </c>
      <c r="M78" s="167" t="str">
        <v/>
      </c>
      <c r="N78" s="167" t="str">
        <v/>
      </c>
      <c r="O78" s="167" t="str">
        <v/>
      </c>
      <c r="P78" s="167" t="str">
        <v/>
      </c>
    </row>
    <row r="79" spans="1:16" s="100" customFormat="1" x14ac:dyDescent="0.2">
      <c r="A79" s="101" t="str">
        <v/>
      </c>
      <c r="B79" s="144" t="str">
        <v/>
      </c>
      <c r="C79" s="167" t="str">
        <v/>
      </c>
      <c r="D79" s="167" t="str">
        <v/>
      </c>
      <c r="E79" s="167" t="str">
        <v/>
      </c>
      <c r="F79" s="167" t="str">
        <v/>
      </c>
      <c r="G79" s="167" t="str">
        <v/>
      </c>
      <c r="H79" s="167" t="str">
        <v/>
      </c>
      <c r="I79" s="167" t="str">
        <v/>
      </c>
      <c r="J79" s="167" t="str">
        <v/>
      </c>
      <c r="K79" s="167" t="str">
        <v/>
      </c>
      <c r="L79" s="167" t="str">
        <v/>
      </c>
      <c r="M79" s="167" t="str">
        <v/>
      </c>
      <c r="N79" s="167" t="str">
        <v/>
      </c>
      <c r="O79" s="167" t="str">
        <v/>
      </c>
      <c r="P79" s="167" t="str">
        <v/>
      </c>
    </row>
    <row r="80" spans="1:16" s="100" customFormat="1" x14ac:dyDescent="0.2">
      <c r="A80" s="101" t="str">
        <v/>
      </c>
      <c r="B80" s="144" t="str">
        <v/>
      </c>
      <c r="C80" s="167" t="str">
        <v/>
      </c>
      <c r="D80" s="167" t="str">
        <v/>
      </c>
      <c r="E80" s="167" t="str">
        <v/>
      </c>
      <c r="F80" s="167" t="str">
        <v/>
      </c>
      <c r="G80" s="167" t="str">
        <v/>
      </c>
      <c r="H80" s="167" t="str">
        <v/>
      </c>
      <c r="I80" s="167" t="str">
        <v/>
      </c>
      <c r="J80" s="167" t="str">
        <v/>
      </c>
      <c r="K80" s="167" t="str">
        <v/>
      </c>
      <c r="L80" s="167" t="str">
        <v/>
      </c>
      <c r="M80" s="167" t="str">
        <v/>
      </c>
      <c r="N80" s="167" t="str">
        <v/>
      </c>
      <c r="O80" s="167" t="str">
        <v/>
      </c>
      <c r="P80" s="167" t="str">
        <v/>
      </c>
    </row>
    <row r="81" spans="1:16" s="100" customFormat="1" x14ac:dyDescent="0.2">
      <c r="A81" s="101" t="str">
        <v/>
      </c>
      <c r="B81" s="144" t="str">
        <v/>
      </c>
      <c r="C81" s="167" t="str">
        <v/>
      </c>
      <c r="D81" s="167" t="str">
        <v/>
      </c>
      <c r="E81" s="167" t="str">
        <v/>
      </c>
      <c r="F81" s="167" t="str">
        <v/>
      </c>
      <c r="G81" s="167" t="str">
        <v/>
      </c>
      <c r="H81" s="167" t="str">
        <v/>
      </c>
      <c r="I81" s="167" t="str">
        <v/>
      </c>
      <c r="J81" s="167" t="str">
        <v/>
      </c>
      <c r="K81" s="167" t="str">
        <v/>
      </c>
      <c r="L81" s="167" t="str">
        <v/>
      </c>
      <c r="M81" s="167" t="str">
        <v/>
      </c>
      <c r="N81" s="167" t="str">
        <v/>
      </c>
      <c r="O81" s="167" t="str">
        <v/>
      </c>
      <c r="P81" s="167" t="str">
        <v/>
      </c>
    </row>
    <row r="82" spans="1:16" s="96" customFormat="1" x14ac:dyDescent="0.2">
      <c r="A82" s="95" t="str">
        <v/>
      </c>
      <c r="B82" s="144" t="str">
        <v/>
      </c>
      <c r="C82" s="167" t="str">
        <v/>
      </c>
      <c r="D82" s="167" t="str">
        <v/>
      </c>
      <c r="E82" s="167" t="str">
        <v/>
      </c>
      <c r="F82" s="167" t="str">
        <v/>
      </c>
      <c r="G82" s="167" t="str">
        <v/>
      </c>
      <c r="H82" s="167" t="str">
        <v/>
      </c>
      <c r="I82" s="167" t="str">
        <v/>
      </c>
      <c r="J82" s="167" t="str">
        <v/>
      </c>
      <c r="K82" s="167" t="str">
        <v/>
      </c>
      <c r="L82" s="167" t="str">
        <v/>
      </c>
      <c r="M82" s="167" t="str">
        <v/>
      </c>
      <c r="N82" s="167" t="str">
        <v/>
      </c>
      <c r="O82" s="167" t="str">
        <v/>
      </c>
      <c r="P82" s="167" t="str">
        <v/>
      </c>
    </row>
    <row r="83" spans="1:16" s="96" customFormat="1" x14ac:dyDescent="0.2">
      <c r="A83" s="95" t="str">
        <v/>
      </c>
      <c r="B83" s="144" t="str">
        <v/>
      </c>
      <c r="C83" s="167" t="str">
        <v/>
      </c>
      <c r="D83" s="167" t="str">
        <v/>
      </c>
      <c r="E83" s="167" t="str">
        <v/>
      </c>
      <c r="F83" s="167" t="str">
        <v/>
      </c>
      <c r="G83" s="167" t="str">
        <v/>
      </c>
      <c r="H83" s="167" t="str">
        <v/>
      </c>
      <c r="I83" s="167" t="str">
        <v/>
      </c>
      <c r="J83" s="167" t="str">
        <v/>
      </c>
      <c r="K83" s="167" t="str">
        <v/>
      </c>
      <c r="L83" s="167" t="str">
        <v/>
      </c>
      <c r="M83" s="167" t="str">
        <v/>
      </c>
      <c r="N83" s="167" t="str">
        <v/>
      </c>
      <c r="O83" s="167" t="str">
        <v/>
      </c>
      <c r="P83" s="167" t="str">
        <v/>
      </c>
    </row>
    <row r="84" spans="1:16" s="96" customFormat="1" x14ac:dyDescent="0.2">
      <c r="A84" s="95" t="str">
        <v/>
      </c>
      <c r="B84" s="144" t="str">
        <v/>
      </c>
      <c r="C84" s="167" t="str">
        <v/>
      </c>
      <c r="D84" s="167" t="str">
        <v/>
      </c>
      <c r="E84" s="167" t="str">
        <v/>
      </c>
      <c r="F84" s="167" t="str">
        <v/>
      </c>
      <c r="G84" s="167" t="str">
        <v/>
      </c>
      <c r="H84" s="167" t="str">
        <v/>
      </c>
      <c r="I84" s="167" t="str">
        <v/>
      </c>
      <c r="J84" s="167" t="str">
        <v/>
      </c>
      <c r="K84" s="167" t="str">
        <v/>
      </c>
      <c r="L84" s="167" t="str">
        <v/>
      </c>
      <c r="M84" s="167" t="str">
        <v/>
      </c>
      <c r="N84" s="167" t="str">
        <v/>
      </c>
      <c r="O84" s="167" t="str">
        <v/>
      </c>
      <c r="P84" s="167" t="str">
        <v/>
      </c>
    </row>
    <row r="85" spans="1:16" s="96" customFormat="1" x14ac:dyDescent="0.2">
      <c r="A85" s="95" t="str">
        <v/>
      </c>
      <c r="B85" s="144" t="str">
        <v/>
      </c>
      <c r="C85" s="167" t="str">
        <v/>
      </c>
      <c r="D85" s="167" t="str">
        <v/>
      </c>
      <c r="E85" s="167" t="str">
        <v/>
      </c>
      <c r="F85" s="167" t="str">
        <v/>
      </c>
      <c r="G85" s="167" t="str">
        <v/>
      </c>
      <c r="H85" s="167" t="str">
        <v/>
      </c>
      <c r="I85" s="167" t="str">
        <v/>
      </c>
      <c r="J85" s="167" t="str">
        <v/>
      </c>
      <c r="K85" s="167" t="str">
        <v/>
      </c>
      <c r="L85" s="167" t="str">
        <v/>
      </c>
      <c r="M85" s="167" t="str">
        <v/>
      </c>
      <c r="N85" s="167" t="str">
        <v/>
      </c>
      <c r="O85" s="167" t="str">
        <v/>
      </c>
      <c r="P85" s="167" t="str">
        <v/>
      </c>
    </row>
    <row r="86" spans="1:16" s="96" customFormat="1" x14ac:dyDescent="0.2">
      <c r="A86" s="95" t="str">
        <v/>
      </c>
      <c r="B86" s="144" t="str">
        <v/>
      </c>
      <c r="C86" s="167" t="str">
        <v/>
      </c>
      <c r="D86" s="167" t="str">
        <v/>
      </c>
      <c r="E86" s="167" t="str">
        <v/>
      </c>
      <c r="F86" s="167" t="str">
        <v/>
      </c>
      <c r="G86" s="167" t="str">
        <v/>
      </c>
      <c r="H86" s="167" t="str">
        <v/>
      </c>
      <c r="I86" s="167" t="str">
        <v/>
      </c>
      <c r="J86" s="167" t="str">
        <v/>
      </c>
      <c r="K86" s="167" t="str">
        <v/>
      </c>
      <c r="L86" s="167" t="str">
        <v/>
      </c>
      <c r="M86" s="167" t="str">
        <v/>
      </c>
      <c r="N86" s="167" t="str">
        <v/>
      </c>
      <c r="O86" s="167" t="str">
        <v/>
      </c>
      <c r="P86" s="167" t="str">
        <v/>
      </c>
    </row>
    <row r="87" spans="1:16" s="96" customFormat="1" x14ac:dyDescent="0.2">
      <c r="A87" s="95" t="str">
        <v/>
      </c>
      <c r="B87" s="144" t="str">
        <v/>
      </c>
      <c r="C87" s="167" t="str">
        <v/>
      </c>
      <c r="D87" s="167" t="str">
        <v/>
      </c>
      <c r="E87" s="167" t="str">
        <v/>
      </c>
      <c r="F87" s="167" t="str">
        <v/>
      </c>
      <c r="G87" s="167" t="str">
        <v/>
      </c>
      <c r="H87" s="167" t="str">
        <v/>
      </c>
      <c r="I87" s="167" t="str">
        <v/>
      </c>
      <c r="J87" s="167" t="str">
        <v/>
      </c>
      <c r="K87" s="167" t="str">
        <v/>
      </c>
      <c r="L87" s="167" t="str">
        <v/>
      </c>
      <c r="M87" s="167" t="str">
        <v/>
      </c>
      <c r="N87" s="167" t="str">
        <v/>
      </c>
      <c r="O87" s="167" t="str">
        <v/>
      </c>
      <c r="P87" s="167" t="str">
        <v/>
      </c>
    </row>
    <row r="88" spans="1:16" s="96" customFormat="1" x14ac:dyDescent="0.2">
      <c r="A88" s="95" t="str">
        <v/>
      </c>
      <c r="B88" s="144" t="str">
        <v/>
      </c>
      <c r="C88" s="167" t="str">
        <v/>
      </c>
      <c r="D88" s="167" t="str">
        <v/>
      </c>
      <c r="E88" s="167" t="str">
        <v/>
      </c>
      <c r="F88" s="167" t="str">
        <v/>
      </c>
      <c r="G88" s="167" t="str">
        <v/>
      </c>
      <c r="H88" s="167" t="str">
        <v/>
      </c>
      <c r="I88" s="167" t="str">
        <v/>
      </c>
      <c r="J88" s="167" t="str">
        <v/>
      </c>
      <c r="K88" s="167" t="str">
        <v/>
      </c>
      <c r="L88" s="167" t="str">
        <v/>
      </c>
      <c r="M88" s="167" t="str">
        <v/>
      </c>
      <c r="N88" s="167" t="str">
        <v/>
      </c>
      <c r="O88" s="167" t="str">
        <v/>
      </c>
      <c r="P88" s="167" t="str">
        <v/>
      </c>
    </row>
    <row r="89" spans="1:16" s="96" customFormat="1" x14ac:dyDescent="0.2">
      <c r="A89" s="95" t="str">
        <v/>
      </c>
      <c r="B89" s="144" t="str">
        <v/>
      </c>
      <c r="C89" s="167" t="str">
        <v/>
      </c>
      <c r="D89" s="167" t="str">
        <v/>
      </c>
      <c r="E89" s="167" t="str">
        <v/>
      </c>
      <c r="F89" s="167" t="str">
        <v/>
      </c>
      <c r="G89" s="167" t="str">
        <v/>
      </c>
      <c r="H89" s="167" t="str">
        <v/>
      </c>
      <c r="I89" s="167" t="str">
        <v/>
      </c>
      <c r="J89" s="167" t="str">
        <v/>
      </c>
      <c r="K89" s="167" t="str">
        <v/>
      </c>
      <c r="L89" s="167" t="str">
        <v/>
      </c>
      <c r="M89" s="167" t="str">
        <v/>
      </c>
      <c r="N89" s="167" t="str">
        <v/>
      </c>
      <c r="O89" s="167" t="str">
        <v/>
      </c>
      <c r="P89" s="167" t="str">
        <v/>
      </c>
    </row>
    <row r="90" spans="1:16" s="96" customFormat="1" x14ac:dyDescent="0.2">
      <c r="A90" s="95" t="str">
        <v/>
      </c>
      <c r="B90" s="144" t="str">
        <v/>
      </c>
      <c r="C90" s="167" t="str">
        <v/>
      </c>
      <c r="D90" s="167" t="str">
        <v/>
      </c>
      <c r="E90" s="167" t="str">
        <v/>
      </c>
      <c r="F90" s="167" t="str">
        <v/>
      </c>
      <c r="G90" s="167" t="str">
        <v/>
      </c>
      <c r="H90" s="167" t="str">
        <v/>
      </c>
      <c r="I90" s="167" t="str">
        <v/>
      </c>
      <c r="J90" s="167" t="str">
        <v/>
      </c>
      <c r="K90" s="167" t="str">
        <v/>
      </c>
      <c r="L90" s="167" t="str">
        <v/>
      </c>
      <c r="M90" s="167" t="str">
        <v/>
      </c>
      <c r="N90" s="167" t="str">
        <v/>
      </c>
      <c r="O90" s="167" t="str">
        <v/>
      </c>
      <c r="P90" s="167" t="str">
        <v/>
      </c>
    </row>
    <row r="91" spans="1:16" s="96" customFormat="1" x14ac:dyDescent="0.2">
      <c r="A91" s="95" t="str">
        <v/>
      </c>
      <c r="B91" s="144" t="str">
        <v/>
      </c>
      <c r="C91" s="167" t="str">
        <v/>
      </c>
      <c r="D91" s="167" t="str">
        <v/>
      </c>
      <c r="E91" s="167" t="str">
        <v/>
      </c>
      <c r="F91" s="167" t="str">
        <v/>
      </c>
      <c r="G91" s="167" t="str">
        <v/>
      </c>
      <c r="H91" s="167" t="str">
        <v/>
      </c>
      <c r="I91" s="167" t="str">
        <v/>
      </c>
      <c r="J91" s="167" t="str">
        <v/>
      </c>
      <c r="K91" s="167" t="str">
        <v/>
      </c>
      <c r="L91" s="167" t="str">
        <v/>
      </c>
      <c r="M91" s="167" t="str">
        <v/>
      </c>
      <c r="N91" s="167" t="str">
        <v/>
      </c>
      <c r="O91" s="167" t="str">
        <v/>
      </c>
      <c r="P91" s="167" t="str">
        <v/>
      </c>
    </row>
    <row r="92" spans="1:16" s="96" customFormat="1" x14ac:dyDescent="0.2">
      <c r="A92" s="95" t="str">
        <v/>
      </c>
      <c r="B92" s="144" t="str">
        <v/>
      </c>
      <c r="C92" s="167" t="str">
        <v/>
      </c>
      <c r="D92" s="167" t="str">
        <v/>
      </c>
      <c r="E92" s="167" t="str">
        <v/>
      </c>
      <c r="F92" s="167" t="str">
        <v/>
      </c>
      <c r="G92" s="167" t="str">
        <v/>
      </c>
      <c r="H92" s="167" t="str">
        <v/>
      </c>
      <c r="I92" s="167" t="str">
        <v/>
      </c>
      <c r="J92" s="167" t="str">
        <v/>
      </c>
      <c r="K92" s="167" t="str">
        <v/>
      </c>
      <c r="L92" s="167" t="str">
        <v/>
      </c>
      <c r="M92" s="167" t="str">
        <v/>
      </c>
      <c r="N92" s="167" t="str">
        <v/>
      </c>
      <c r="O92" s="167" t="str">
        <v/>
      </c>
      <c r="P92" s="167" t="str">
        <v/>
      </c>
    </row>
    <row r="93" spans="1:16" s="96" customFormat="1" x14ac:dyDescent="0.2">
      <c r="A93" s="145" t="str">
        <v/>
      </c>
      <c r="B93" s="144" t="str">
        <v/>
      </c>
      <c r="C93" s="167" t="str">
        <v/>
      </c>
      <c r="D93" s="167" t="str">
        <v/>
      </c>
      <c r="E93" s="167" t="str">
        <v/>
      </c>
      <c r="F93" s="167" t="str">
        <v/>
      </c>
      <c r="G93" s="167" t="str">
        <v/>
      </c>
      <c r="H93" s="167" t="str">
        <v/>
      </c>
      <c r="I93" s="167" t="str">
        <v/>
      </c>
      <c r="J93" s="167" t="str">
        <v/>
      </c>
      <c r="K93" s="167" t="str">
        <v/>
      </c>
      <c r="L93" s="167" t="str">
        <v/>
      </c>
      <c r="M93" s="167" t="str">
        <v/>
      </c>
      <c r="N93" s="167" t="str">
        <v/>
      </c>
      <c r="O93" s="167" t="str">
        <v/>
      </c>
      <c r="P93" s="167" t="str">
        <v/>
      </c>
    </row>
    <row r="94" spans="1:16" s="96" customFormat="1" x14ac:dyDescent="0.2">
      <c r="A94" s="145" t="str">
        <v/>
      </c>
      <c r="B94" s="144" t="str">
        <v/>
      </c>
      <c r="C94" s="167" t="str">
        <v/>
      </c>
      <c r="D94" s="167" t="str">
        <v/>
      </c>
      <c r="E94" s="167" t="str">
        <v/>
      </c>
      <c r="F94" s="167" t="str">
        <v/>
      </c>
      <c r="G94" s="167" t="str">
        <v/>
      </c>
      <c r="H94" s="167" t="str">
        <v/>
      </c>
      <c r="I94" s="167" t="str">
        <v/>
      </c>
      <c r="J94" s="167" t="str">
        <v/>
      </c>
      <c r="K94" s="167" t="str">
        <v/>
      </c>
      <c r="L94" s="167" t="str">
        <v/>
      </c>
      <c r="M94" s="167" t="str">
        <v/>
      </c>
      <c r="N94" s="167" t="str">
        <v/>
      </c>
      <c r="O94" s="167" t="str">
        <v/>
      </c>
      <c r="P94" s="167" t="str">
        <v/>
      </c>
    </row>
    <row r="95" spans="1:16" s="96" customFormat="1" x14ac:dyDescent="0.2">
      <c r="A95" s="145" t="str">
        <v/>
      </c>
      <c r="B95" s="144" t="str">
        <v/>
      </c>
      <c r="C95" s="167" t="str">
        <v/>
      </c>
      <c r="D95" s="167" t="str">
        <v/>
      </c>
      <c r="E95" s="167" t="str">
        <v/>
      </c>
      <c r="F95" s="167" t="str">
        <v/>
      </c>
      <c r="G95" s="167" t="str">
        <v/>
      </c>
      <c r="H95" s="167" t="str">
        <v/>
      </c>
      <c r="I95" s="167" t="str">
        <v/>
      </c>
      <c r="J95" s="167" t="str">
        <v/>
      </c>
      <c r="K95" s="167" t="str">
        <v/>
      </c>
      <c r="L95" s="167" t="str">
        <v/>
      </c>
      <c r="M95" s="167" t="str">
        <v/>
      </c>
      <c r="N95" s="167" t="str">
        <v/>
      </c>
      <c r="O95" s="167" t="str">
        <v/>
      </c>
      <c r="P95" s="167" t="str">
        <v/>
      </c>
    </row>
    <row r="96" spans="1:16" s="96" customFormat="1" x14ac:dyDescent="0.2">
      <c r="A96" s="145" t="str">
        <v/>
      </c>
      <c r="B96" s="144" t="str">
        <v/>
      </c>
      <c r="C96" s="167" t="str">
        <v/>
      </c>
      <c r="D96" s="167" t="str">
        <v/>
      </c>
      <c r="E96" s="167" t="str">
        <v/>
      </c>
      <c r="F96" s="167" t="str">
        <v/>
      </c>
      <c r="G96" s="167" t="str">
        <v/>
      </c>
      <c r="H96" s="167" t="str">
        <v/>
      </c>
      <c r="I96" s="167" t="str">
        <v/>
      </c>
      <c r="J96" s="167" t="str">
        <v/>
      </c>
      <c r="K96" s="167" t="str">
        <v/>
      </c>
      <c r="L96" s="167" t="str">
        <v/>
      </c>
      <c r="M96" s="167" t="str">
        <v/>
      </c>
      <c r="N96" s="167" t="str">
        <v/>
      </c>
      <c r="O96" s="167" t="str">
        <v/>
      </c>
      <c r="P96" s="167" t="str">
        <v/>
      </c>
    </row>
    <row r="97" spans="1:16" s="96" customFormat="1" x14ac:dyDescent="0.2">
      <c r="A97" s="145" t="str">
        <v/>
      </c>
      <c r="B97" s="144" t="str">
        <v/>
      </c>
      <c r="C97" s="167" t="str">
        <v/>
      </c>
      <c r="D97" s="167" t="str">
        <v/>
      </c>
      <c r="E97" s="167" t="str">
        <v/>
      </c>
      <c r="F97" s="167" t="str">
        <v/>
      </c>
      <c r="G97" s="167" t="str">
        <v/>
      </c>
      <c r="H97" s="167" t="str">
        <v/>
      </c>
      <c r="I97" s="167" t="str">
        <v/>
      </c>
      <c r="J97" s="167" t="str">
        <v/>
      </c>
      <c r="K97" s="167" t="str">
        <v/>
      </c>
      <c r="L97" s="167" t="str">
        <v/>
      </c>
      <c r="M97" s="167" t="str">
        <v/>
      </c>
      <c r="N97" s="167" t="str">
        <v/>
      </c>
      <c r="O97" s="167" t="str">
        <v/>
      </c>
      <c r="P97" s="167" t="str">
        <v/>
      </c>
    </row>
    <row r="98" spans="1:16" s="96" customFormat="1" x14ac:dyDescent="0.2">
      <c r="A98" s="145" t="str">
        <v/>
      </c>
      <c r="B98" s="144" t="str">
        <v/>
      </c>
      <c r="C98" s="167" t="str">
        <v/>
      </c>
      <c r="D98" s="167" t="str">
        <v/>
      </c>
      <c r="E98" s="167" t="str">
        <v/>
      </c>
      <c r="F98" s="167" t="str">
        <v/>
      </c>
      <c r="G98" s="167" t="str">
        <v/>
      </c>
      <c r="H98" s="167" t="str">
        <v/>
      </c>
      <c r="I98" s="167" t="str">
        <v/>
      </c>
      <c r="J98" s="167" t="str">
        <v/>
      </c>
      <c r="K98" s="167" t="str">
        <v/>
      </c>
      <c r="L98" s="167" t="str">
        <v/>
      </c>
      <c r="M98" s="167" t="str">
        <v/>
      </c>
      <c r="N98" s="167" t="str">
        <v/>
      </c>
      <c r="O98" s="167" t="str">
        <v/>
      </c>
      <c r="P98" s="167" t="str">
        <v/>
      </c>
    </row>
    <row r="99" spans="1:16" s="96" customFormat="1" x14ac:dyDescent="0.2">
      <c r="A99" s="145" t="str">
        <v/>
      </c>
      <c r="B99" s="144" t="str">
        <v/>
      </c>
      <c r="C99" s="167" t="str">
        <v/>
      </c>
      <c r="D99" s="167" t="str">
        <v/>
      </c>
      <c r="E99" s="167" t="str">
        <v/>
      </c>
      <c r="F99" s="167" t="str">
        <v/>
      </c>
      <c r="G99" s="167" t="str">
        <v/>
      </c>
      <c r="H99" s="167" t="str">
        <v/>
      </c>
      <c r="I99" s="167" t="str">
        <v/>
      </c>
      <c r="J99" s="167" t="str">
        <v/>
      </c>
      <c r="K99" s="167" t="str">
        <v/>
      </c>
      <c r="L99" s="167" t="str">
        <v/>
      </c>
      <c r="M99" s="167" t="str">
        <v/>
      </c>
      <c r="N99" s="167" t="str">
        <v/>
      </c>
      <c r="O99" s="167" t="str">
        <v/>
      </c>
      <c r="P99" s="167" t="str">
        <v/>
      </c>
    </row>
    <row r="100" spans="1:16" s="96" customFormat="1" x14ac:dyDescent="0.2">
      <c r="A100" s="145" t="str">
        <v/>
      </c>
      <c r="B100" s="144" t="str">
        <v/>
      </c>
      <c r="C100" s="167" t="str">
        <v/>
      </c>
      <c r="D100" s="167" t="str">
        <v/>
      </c>
      <c r="E100" s="167" t="str">
        <v/>
      </c>
      <c r="F100" s="167" t="str">
        <v/>
      </c>
      <c r="G100" s="167" t="str">
        <v/>
      </c>
      <c r="H100" s="167" t="str">
        <v/>
      </c>
      <c r="I100" s="167" t="str">
        <v/>
      </c>
      <c r="J100" s="167" t="str">
        <v/>
      </c>
      <c r="K100" s="167" t="str">
        <v/>
      </c>
      <c r="L100" s="167" t="str">
        <v/>
      </c>
      <c r="M100" s="167" t="str">
        <v/>
      </c>
      <c r="N100" s="167" t="str">
        <v/>
      </c>
      <c r="O100" s="167" t="str">
        <v/>
      </c>
      <c r="P100" s="167" t="str">
        <v/>
      </c>
    </row>
    <row r="101" spans="1:16" s="96" customFormat="1" x14ac:dyDescent="0.2">
      <c r="A101" s="145" t="str">
        <v/>
      </c>
      <c r="B101" s="144" t="str">
        <v/>
      </c>
      <c r="C101" s="167" t="str">
        <v/>
      </c>
      <c r="D101" s="167" t="str">
        <v/>
      </c>
      <c r="E101" s="167" t="str">
        <v/>
      </c>
      <c r="F101" s="167" t="str">
        <v/>
      </c>
      <c r="G101" s="167" t="str">
        <v/>
      </c>
      <c r="H101" s="167" t="str">
        <v/>
      </c>
      <c r="I101" s="167" t="str">
        <v/>
      </c>
      <c r="J101" s="167" t="str">
        <v/>
      </c>
      <c r="K101" s="167" t="str">
        <v/>
      </c>
      <c r="L101" s="167" t="str">
        <v/>
      </c>
      <c r="M101" s="167" t="str">
        <v/>
      </c>
      <c r="N101" s="167" t="str">
        <v/>
      </c>
      <c r="O101" s="167" t="str">
        <v/>
      </c>
      <c r="P101" s="167" t="str">
        <v/>
      </c>
    </row>
    <row r="102" spans="1:16" s="96" customFormat="1" x14ac:dyDescent="0.2">
      <c r="A102" s="145" t="str">
        <v/>
      </c>
      <c r="B102" s="144" t="str">
        <v/>
      </c>
      <c r="C102" s="167" t="str">
        <v/>
      </c>
      <c r="D102" s="167" t="str">
        <v/>
      </c>
      <c r="E102" s="167" t="str">
        <v/>
      </c>
      <c r="F102" s="167" t="str">
        <v/>
      </c>
      <c r="G102" s="167" t="str">
        <v/>
      </c>
      <c r="H102" s="167" t="str">
        <v/>
      </c>
      <c r="I102" s="167" t="str">
        <v/>
      </c>
      <c r="J102" s="167" t="str">
        <v/>
      </c>
      <c r="K102" s="167" t="str">
        <v/>
      </c>
      <c r="L102" s="167" t="str">
        <v/>
      </c>
      <c r="M102" s="167" t="str">
        <v/>
      </c>
      <c r="N102" s="167" t="str">
        <v/>
      </c>
      <c r="O102" s="167" t="str">
        <v/>
      </c>
      <c r="P102" s="167" t="str">
        <v/>
      </c>
    </row>
    <row r="103" spans="1:16" s="96" customFormat="1" x14ac:dyDescent="0.2">
      <c r="A103" s="145" t="str">
        <v/>
      </c>
      <c r="B103" s="144" t="str">
        <v/>
      </c>
      <c r="C103" s="167" t="str">
        <v/>
      </c>
      <c r="D103" s="167" t="str">
        <v/>
      </c>
      <c r="E103" s="167" t="str">
        <v/>
      </c>
      <c r="F103" s="167" t="str">
        <v/>
      </c>
      <c r="G103" s="167" t="str">
        <v/>
      </c>
      <c r="H103" s="167" t="str">
        <v/>
      </c>
      <c r="I103" s="167" t="str">
        <v/>
      </c>
      <c r="J103" s="167" t="str">
        <v/>
      </c>
      <c r="K103" s="167" t="str">
        <v/>
      </c>
      <c r="L103" s="167" t="str">
        <v/>
      </c>
      <c r="M103" s="167" t="str">
        <v/>
      </c>
      <c r="N103" s="167" t="str">
        <v/>
      </c>
      <c r="O103" s="167" t="str">
        <v/>
      </c>
      <c r="P103" s="167" t="str">
        <v/>
      </c>
    </row>
    <row r="104" spans="1:16" s="96" customFormat="1" x14ac:dyDescent="0.2">
      <c r="A104" s="145" t="str">
        <v/>
      </c>
      <c r="B104" s="144" t="str">
        <v/>
      </c>
      <c r="C104" s="167" t="str">
        <v/>
      </c>
      <c r="D104" s="167" t="str">
        <v/>
      </c>
      <c r="E104" s="167" t="str">
        <v/>
      </c>
      <c r="F104" s="167" t="str">
        <v/>
      </c>
      <c r="G104" s="167" t="str">
        <v/>
      </c>
      <c r="H104" s="167" t="str">
        <v/>
      </c>
      <c r="I104" s="167" t="str">
        <v/>
      </c>
      <c r="J104" s="167" t="str">
        <v/>
      </c>
      <c r="K104" s="167" t="str">
        <v/>
      </c>
      <c r="L104" s="167" t="str">
        <v/>
      </c>
      <c r="M104" s="167" t="str">
        <v/>
      </c>
      <c r="N104" s="167" t="str">
        <v/>
      </c>
      <c r="O104" s="167" t="str">
        <v/>
      </c>
      <c r="P104" s="167" t="str">
        <v/>
      </c>
    </row>
    <row r="105" spans="1:16" s="96" customFormat="1" x14ac:dyDescent="0.2">
      <c r="A105" s="145" t="str">
        <v/>
      </c>
      <c r="B105" s="144" t="str">
        <v/>
      </c>
      <c r="C105" s="167" t="str">
        <v/>
      </c>
      <c r="D105" s="167" t="str">
        <v/>
      </c>
      <c r="E105" s="167" t="str">
        <v/>
      </c>
      <c r="F105" s="167" t="str">
        <v/>
      </c>
      <c r="G105" s="167" t="str">
        <v/>
      </c>
      <c r="H105" s="167" t="str">
        <v/>
      </c>
      <c r="I105" s="167" t="str">
        <v/>
      </c>
      <c r="J105" s="167" t="str">
        <v/>
      </c>
      <c r="K105" s="167" t="str">
        <v/>
      </c>
      <c r="L105" s="167" t="str">
        <v/>
      </c>
      <c r="M105" s="167" t="str">
        <v/>
      </c>
      <c r="N105" s="167" t="str">
        <v/>
      </c>
      <c r="O105" s="167" t="str">
        <v/>
      </c>
      <c r="P105" s="167" t="str">
        <v/>
      </c>
    </row>
    <row r="106" spans="1:16" x14ac:dyDescent="0.2">
      <c r="A106" s="58" t="str">
        <v/>
      </c>
      <c r="B106" s="144" t="str">
        <v/>
      </c>
      <c r="C106" s="167" t="str">
        <v/>
      </c>
      <c r="D106" s="167" t="str">
        <v/>
      </c>
      <c r="E106" s="167" t="str">
        <v/>
      </c>
      <c r="F106" s="167" t="str">
        <v/>
      </c>
      <c r="G106" s="167" t="str">
        <v/>
      </c>
      <c r="H106" s="167" t="str">
        <v/>
      </c>
      <c r="I106" s="167" t="str">
        <v/>
      </c>
      <c r="J106" s="167" t="str">
        <v/>
      </c>
      <c r="K106" s="167" t="str">
        <v/>
      </c>
      <c r="L106" s="167" t="str">
        <v/>
      </c>
      <c r="M106" s="167" t="str">
        <v/>
      </c>
      <c r="N106" s="167" t="str">
        <v/>
      </c>
      <c r="O106" s="167" t="str">
        <v/>
      </c>
      <c r="P106" s="167" t="str">
        <v/>
      </c>
    </row>
    <row r="107" spans="1:16" x14ac:dyDescent="0.2">
      <c r="A107" s="58" t="str">
        <v/>
      </c>
      <c r="B107" s="144" t="str">
        <v/>
      </c>
      <c r="C107" s="167" t="str">
        <v/>
      </c>
      <c r="D107" s="167" t="str">
        <v/>
      </c>
      <c r="E107" s="167" t="str">
        <v/>
      </c>
      <c r="F107" s="167" t="str">
        <v/>
      </c>
      <c r="G107" s="167" t="str">
        <v/>
      </c>
      <c r="H107" s="167" t="str">
        <v/>
      </c>
      <c r="I107" s="167" t="str">
        <v/>
      </c>
      <c r="J107" s="167" t="str">
        <v/>
      </c>
      <c r="K107" s="167" t="str">
        <v/>
      </c>
      <c r="L107" s="167" t="str">
        <v/>
      </c>
      <c r="M107" s="167" t="str">
        <v/>
      </c>
      <c r="N107" s="167" t="str">
        <v/>
      </c>
      <c r="O107" s="167" t="str">
        <v/>
      </c>
      <c r="P107" s="167" t="str">
        <v/>
      </c>
    </row>
    <row r="108" spans="1:16" x14ac:dyDescent="0.2">
      <c r="A108" s="58" t="str">
        <v/>
      </c>
      <c r="B108" s="144" t="str">
        <v/>
      </c>
      <c r="C108" s="167" t="str">
        <v/>
      </c>
      <c r="D108" s="167" t="str">
        <v/>
      </c>
      <c r="E108" s="167" t="str">
        <v/>
      </c>
      <c r="F108" s="167" t="str">
        <v/>
      </c>
      <c r="G108" s="167" t="str">
        <v/>
      </c>
      <c r="H108" s="167" t="str">
        <v/>
      </c>
      <c r="I108" s="167" t="str">
        <v/>
      </c>
      <c r="J108" s="167" t="str">
        <v/>
      </c>
      <c r="K108" s="167" t="str">
        <v/>
      </c>
      <c r="L108" s="167" t="str">
        <v/>
      </c>
      <c r="M108" s="167" t="str">
        <v/>
      </c>
      <c r="N108" s="167" t="str">
        <v/>
      </c>
      <c r="O108" s="167" t="str">
        <v/>
      </c>
      <c r="P108" s="167" t="str">
        <v/>
      </c>
    </row>
    <row r="109" spans="1:16" x14ac:dyDescent="0.2">
      <c r="A109" s="58" t="str">
        <v/>
      </c>
      <c r="B109" s="144" t="str">
        <v/>
      </c>
      <c r="C109" s="167" t="str">
        <v/>
      </c>
      <c r="D109" s="167" t="str">
        <v/>
      </c>
      <c r="E109" s="167" t="str">
        <v/>
      </c>
      <c r="F109" s="167" t="str">
        <v/>
      </c>
      <c r="G109" s="167" t="str">
        <v/>
      </c>
      <c r="H109" s="167" t="str">
        <v/>
      </c>
      <c r="I109" s="167" t="str">
        <v/>
      </c>
      <c r="J109" s="167" t="str">
        <v/>
      </c>
      <c r="K109" s="167" t="str">
        <v/>
      </c>
      <c r="L109" s="167" t="str">
        <v/>
      </c>
      <c r="M109" s="167" t="str">
        <v/>
      </c>
      <c r="N109" s="167" t="str">
        <v/>
      </c>
      <c r="O109" s="167" t="str">
        <v/>
      </c>
      <c r="P109" s="167" t="str">
        <v/>
      </c>
    </row>
    <row r="110" spans="1:16" x14ac:dyDescent="0.2">
      <c r="A110" s="58" t="str">
        <v/>
      </c>
      <c r="B110" s="144" t="str">
        <v/>
      </c>
      <c r="C110" s="167" t="str">
        <v/>
      </c>
      <c r="D110" s="167" t="str">
        <v/>
      </c>
      <c r="E110" s="167" t="str">
        <v/>
      </c>
      <c r="F110" s="167" t="str">
        <v/>
      </c>
      <c r="G110" s="167" t="str">
        <v/>
      </c>
      <c r="H110" s="167" t="str">
        <v/>
      </c>
      <c r="I110" s="167" t="str">
        <v/>
      </c>
      <c r="J110" s="167" t="str">
        <v/>
      </c>
      <c r="K110" s="167" t="str">
        <v/>
      </c>
      <c r="L110" s="167" t="str">
        <v/>
      </c>
      <c r="M110" s="167" t="str">
        <v/>
      </c>
      <c r="N110" s="167" t="str">
        <v/>
      </c>
      <c r="O110" s="167" t="str">
        <v/>
      </c>
      <c r="P110" s="167" t="str">
        <v/>
      </c>
    </row>
    <row r="111" spans="1:16" x14ac:dyDescent="0.2">
      <c r="A111" s="58" t="str">
        <v/>
      </c>
      <c r="B111" s="144" t="str">
        <v/>
      </c>
      <c r="C111" s="167" t="str">
        <v/>
      </c>
      <c r="D111" s="167" t="str">
        <v/>
      </c>
      <c r="E111" s="167" t="str">
        <v/>
      </c>
      <c r="F111" s="167" t="str">
        <v/>
      </c>
      <c r="G111" s="167" t="str">
        <v/>
      </c>
      <c r="H111" s="167" t="str">
        <v/>
      </c>
      <c r="I111" s="167" t="str">
        <v/>
      </c>
      <c r="J111" s="167" t="str">
        <v/>
      </c>
      <c r="K111" s="167" t="str">
        <v/>
      </c>
      <c r="L111" s="167" t="str">
        <v/>
      </c>
      <c r="M111" s="167" t="str">
        <v/>
      </c>
      <c r="N111" s="167" t="str">
        <v/>
      </c>
      <c r="O111" s="167" t="str">
        <v/>
      </c>
      <c r="P111" s="167" t="str">
        <v/>
      </c>
    </row>
    <row r="112" spans="1:16" x14ac:dyDescent="0.2">
      <c r="A112" s="58" t="str">
        <v/>
      </c>
      <c r="B112" s="144" t="str">
        <v/>
      </c>
      <c r="C112" s="167" t="str">
        <v/>
      </c>
      <c r="D112" s="167" t="str">
        <v/>
      </c>
      <c r="E112" s="167" t="str">
        <v/>
      </c>
      <c r="F112" s="167" t="str">
        <v/>
      </c>
      <c r="G112" s="167" t="str">
        <v/>
      </c>
      <c r="H112" s="167" t="str">
        <v/>
      </c>
      <c r="I112" s="167" t="str">
        <v/>
      </c>
      <c r="J112" s="167" t="str">
        <v/>
      </c>
      <c r="K112" s="167" t="str">
        <v/>
      </c>
      <c r="L112" s="167" t="str">
        <v/>
      </c>
      <c r="M112" s="167" t="str">
        <v/>
      </c>
      <c r="N112" s="167" t="str">
        <v/>
      </c>
      <c r="O112" s="167" t="str">
        <v/>
      </c>
      <c r="P112" s="167" t="str">
        <v/>
      </c>
    </row>
    <row r="113" spans="1:16" x14ac:dyDescent="0.2">
      <c r="A113" s="58" t="str">
        <v/>
      </c>
      <c r="B113" s="144" t="str">
        <v/>
      </c>
      <c r="C113" s="167" t="str">
        <v/>
      </c>
      <c r="D113" s="167" t="str">
        <v/>
      </c>
      <c r="E113" s="167" t="str">
        <v/>
      </c>
      <c r="F113" s="167" t="str">
        <v/>
      </c>
      <c r="G113" s="167" t="str">
        <v/>
      </c>
      <c r="H113" s="167" t="str">
        <v/>
      </c>
      <c r="I113" s="167" t="str">
        <v/>
      </c>
      <c r="J113" s="167" t="str">
        <v/>
      </c>
      <c r="K113" s="167" t="str">
        <v/>
      </c>
      <c r="L113" s="167" t="str">
        <v/>
      </c>
      <c r="M113" s="167" t="str">
        <v/>
      </c>
      <c r="N113" s="167" t="str">
        <v/>
      </c>
      <c r="O113" s="167" t="str">
        <v/>
      </c>
      <c r="P113" s="167" t="str">
        <v/>
      </c>
    </row>
    <row r="114" spans="1:16" x14ac:dyDescent="0.2">
      <c r="A114" s="58" t="str">
        <v/>
      </c>
      <c r="B114" s="144" t="str">
        <v/>
      </c>
      <c r="C114" s="167" t="str">
        <v/>
      </c>
      <c r="D114" s="167" t="str">
        <v/>
      </c>
      <c r="E114" s="167" t="str">
        <v/>
      </c>
      <c r="F114" s="167" t="str">
        <v/>
      </c>
      <c r="G114" s="167" t="str">
        <v/>
      </c>
      <c r="H114" s="167" t="str">
        <v/>
      </c>
      <c r="I114" s="167" t="str">
        <v/>
      </c>
      <c r="J114" s="167" t="str">
        <v/>
      </c>
      <c r="K114" s="167" t="str">
        <v/>
      </c>
      <c r="L114" s="167" t="str">
        <v/>
      </c>
      <c r="M114" s="167" t="str">
        <v/>
      </c>
      <c r="N114" s="167" t="str">
        <v/>
      </c>
      <c r="O114" s="167" t="str">
        <v/>
      </c>
      <c r="P114" s="167" t="str">
        <v/>
      </c>
    </row>
    <row r="115" spans="1:16" x14ac:dyDescent="0.2">
      <c r="A115" s="58" t="str">
        <v/>
      </c>
      <c r="B115" s="144" t="str">
        <v/>
      </c>
      <c r="C115" s="167" t="str">
        <v/>
      </c>
      <c r="D115" s="167" t="str">
        <v/>
      </c>
      <c r="E115" s="167" t="str">
        <v/>
      </c>
      <c r="F115" s="167" t="str">
        <v/>
      </c>
      <c r="G115" s="167" t="str">
        <v/>
      </c>
      <c r="H115" s="167" t="str">
        <v/>
      </c>
      <c r="I115" s="167" t="str">
        <v/>
      </c>
      <c r="J115" s="167" t="str">
        <v/>
      </c>
      <c r="K115" s="167" t="str">
        <v/>
      </c>
      <c r="L115" s="167" t="str">
        <v/>
      </c>
      <c r="M115" s="167" t="str">
        <v/>
      </c>
      <c r="N115" s="167" t="str">
        <v/>
      </c>
      <c r="O115" s="167" t="str">
        <v/>
      </c>
      <c r="P115" s="167" t="str">
        <v/>
      </c>
    </row>
    <row r="116" spans="1:16" x14ac:dyDescent="0.2">
      <c r="A116" s="58" t="str">
        <v/>
      </c>
      <c r="B116" s="144" t="str">
        <v/>
      </c>
      <c r="C116" s="167" t="str">
        <v/>
      </c>
      <c r="D116" s="167" t="str">
        <v/>
      </c>
      <c r="E116" s="167" t="str">
        <v/>
      </c>
      <c r="F116" s="167" t="str">
        <v/>
      </c>
      <c r="G116" s="167" t="str">
        <v/>
      </c>
      <c r="H116" s="167" t="str">
        <v/>
      </c>
      <c r="I116" s="167" t="str">
        <v/>
      </c>
      <c r="J116" s="167" t="str">
        <v/>
      </c>
      <c r="K116" s="167" t="str">
        <v/>
      </c>
      <c r="L116" s="167" t="str">
        <v/>
      </c>
      <c r="M116" s="167" t="str">
        <v/>
      </c>
      <c r="N116" s="167" t="str">
        <v/>
      </c>
      <c r="O116" s="167" t="str">
        <v/>
      </c>
      <c r="P116" s="167" t="str">
        <v/>
      </c>
    </row>
    <row r="117" spans="1:16" x14ac:dyDescent="0.2">
      <c r="A117" s="58" t="str">
        <v/>
      </c>
      <c r="B117" s="144" t="str">
        <v/>
      </c>
      <c r="C117" s="167" t="str">
        <v/>
      </c>
      <c r="D117" s="167" t="str">
        <v/>
      </c>
      <c r="E117" s="167" t="str">
        <v/>
      </c>
      <c r="F117" s="167" t="str">
        <v/>
      </c>
      <c r="G117" s="167" t="str">
        <v/>
      </c>
      <c r="H117" s="167" t="str">
        <v/>
      </c>
      <c r="I117" s="167" t="str">
        <v/>
      </c>
      <c r="J117" s="167" t="str">
        <v/>
      </c>
      <c r="K117" s="167" t="str">
        <v/>
      </c>
      <c r="L117" s="167" t="str">
        <v/>
      </c>
      <c r="M117" s="167" t="str">
        <v/>
      </c>
      <c r="N117" s="167" t="str">
        <v/>
      </c>
      <c r="O117" s="167" t="str">
        <v/>
      </c>
      <c r="P117" s="167" t="str">
        <v/>
      </c>
    </row>
    <row r="118" spans="1:16" x14ac:dyDescent="0.2">
      <c r="A118" s="58" t="str">
        <v/>
      </c>
      <c r="B118" s="144" t="str">
        <v/>
      </c>
      <c r="C118" s="167" t="str">
        <v/>
      </c>
      <c r="D118" s="167" t="str">
        <v/>
      </c>
      <c r="E118" s="167" t="str">
        <v/>
      </c>
      <c r="F118" s="167" t="str">
        <v/>
      </c>
      <c r="G118" s="167" t="str">
        <v/>
      </c>
      <c r="H118" s="167" t="str">
        <v/>
      </c>
      <c r="I118" s="167" t="str">
        <v/>
      </c>
      <c r="J118" s="167" t="str">
        <v/>
      </c>
      <c r="K118" s="167" t="str">
        <v/>
      </c>
      <c r="L118" s="167" t="str">
        <v/>
      </c>
      <c r="M118" s="167" t="str">
        <v/>
      </c>
      <c r="N118" s="167" t="str">
        <v/>
      </c>
      <c r="O118" s="167" t="str">
        <v/>
      </c>
      <c r="P118" s="167" t="str">
        <v/>
      </c>
    </row>
    <row r="119" spans="1:16" x14ac:dyDescent="0.2">
      <c r="A119" s="58" t="str">
        <v/>
      </c>
      <c r="B119" s="144" t="str">
        <v/>
      </c>
      <c r="C119" s="167" t="str">
        <v/>
      </c>
      <c r="D119" s="167" t="str">
        <v/>
      </c>
      <c r="E119" s="167" t="str">
        <v/>
      </c>
      <c r="F119" s="167" t="str">
        <v/>
      </c>
      <c r="G119" s="167" t="str">
        <v/>
      </c>
      <c r="H119" s="167" t="str">
        <v/>
      </c>
      <c r="I119" s="167" t="str">
        <v/>
      </c>
      <c r="J119" s="167" t="str">
        <v/>
      </c>
      <c r="K119" s="167" t="str">
        <v/>
      </c>
      <c r="L119" s="167" t="str">
        <v/>
      </c>
      <c r="M119" s="167" t="str">
        <v/>
      </c>
      <c r="N119" s="167" t="str">
        <v/>
      </c>
      <c r="O119" s="167" t="str">
        <v/>
      </c>
      <c r="P119" s="167" t="str">
        <v/>
      </c>
    </row>
    <row r="120" spans="1:16" x14ac:dyDescent="0.2">
      <c r="A120" s="58" t="str">
        <v/>
      </c>
      <c r="B120" s="144" t="str">
        <v/>
      </c>
      <c r="C120" s="167" t="str">
        <v/>
      </c>
      <c r="D120" s="167" t="str">
        <v/>
      </c>
      <c r="E120" s="167" t="str">
        <v/>
      </c>
      <c r="F120" s="167" t="str">
        <v/>
      </c>
      <c r="G120" s="167" t="str">
        <v/>
      </c>
      <c r="H120" s="167" t="str">
        <v/>
      </c>
      <c r="I120" s="167" t="str">
        <v/>
      </c>
      <c r="J120" s="167" t="str">
        <v/>
      </c>
      <c r="K120" s="167" t="str">
        <v/>
      </c>
      <c r="L120" s="167" t="str">
        <v/>
      </c>
      <c r="M120" s="167" t="str">
        <v/>
      </c>
      <c r="N120" s="167" t="str">
        <v/>
      </c>
      <c r="O120" s="167" t="str">
        <v/>
      </c>
      <c r="P120" s="167" t="str">
        <v/>
      </c>
    </row>
    <row r="121" spans="1:16" x14ac:dyDescent="0.2">
      <c r="A121" s="58" t="str">
        <v/>
      </c>
      <c r="B121" s="144" t="str">
        <v/>
      </c>
      <c r="C121" s="167" t="str">
        <v/>
      </c>
      <c r="D121" s="167" t="str">
        <v/>
      </c>
      <c r="E121" s="167" t="str">
        <v/>
      </c>
      <c r="F121" s="167" t="str">
        <v/>
      </c>
      <c r="G121" s="167" t="str">
        <v/>
      </c>
      <c r="H121" s="167" t="str">
        <v/>
      </c>
      <c r="I121" s="167" t="str">
        <v/>
      </c>
      <c r="J121" s="167" t="str">
        <v/>
      </c>
      <c r="K121" s="167" t="str">
        <v/>
      </c>
      <c r="L121" s="167" t="str">
        <v/>
      </c>
      <c r="M121" s="167" t="str">
        <v/>
      </c>
      <c r="N121" s="167" t="str">
        <v/>
      </c>
      <c r="O121" s="167" t="str">
        <v/>
      </c>
      <c r="P121" s="167" t="str">
        <v/>
      </c>
    </row>
    <row r="122" spans="1:16" x14ac:dyDescent="0.2">
      <c r="A122" s="58" t="str">
        <v/>
      </c>
      <c r="B122" s="144" t="str">
        <v/>
      </c>
      <c r="C122" s="167" t="str">
        <v/>
      </c>
      <c r="D122" s="167" t="str">
        <v/>
      </c>
      <c r="E122" s="167" t="str">
        <v/>
      </c>
      <c r="F122" s="167" t="str">
        <v/>
      </c>
      <c r="G122" s="167" t="str">
        <v/>
      </c>
      <c r="H122" s="167" t="str">
        <v/>
      </c>
      <c r="I122" s="167" t="str">
        <v/>
      </c>
      <c r="J122" s="167" t="str">
        <v/>
      </c>
      <c r="K122" s="167" t="str">
        <v/>
      </c>
      <c r="L122" s="167" t="str">
        <v/>
      </c>
      <c r="M122" s="167" t="str">
        <v/>
      </c>
      <c r="N122" s="167" t="str">
        <v/>
      </c>
      <c r="O122" s="167" t="str">
        <v/>
      </c>
      <c r="P122" s="167" t="str">
        <v/>
      </c>
    </row>
    <row r="123" spans="1:16" x14ac:dyDescent="0.2">
      <c r="A123" s="58" t="str">
        <v/>
      </c>
      <c r="B123" s="144" t="str">
        <v/>
      </c>
      <c r="C123" s="167" t="str">
        <v/>
      </c>
      <c r="D123" s="167" t="str">
        <v/>
      </c>
      <c r="E123" s="167" t="str">
        <v/>
      </c>
      <c r="F123" s="167" t="str">
        <v/>
      </c>
      <c r="G123" s="167" t="str">
        <v/>
      </c>
      <c r="H123" s="167" t="str">
        <v/>
      </c>
      <c r="I123" s="167" t="str">
        <v/>
      </c>
      <c r="J123" s="167" t="str">
        <v/>
      </c>
      <c r="K123" s="167" t="str">
        <v/>
      </c>
      <c r="L123" s="167" t="str">
        <v/>
      </c>
      <c r="M123" s="167" t="str">
        <v/>
      </c>
      <c r="N123" s="167" t="str">
        <v/>
      </c>
      <c r="O123" s="167" t="str">
        <v/>
      </c>
      <c r="P123" s="167" t="str">
        <v/>
      </c>
    </row>
    <row r="124" spans="1:16" x14ac:dyDescent="0.2">
      <c r="A124" s="58" t="str">
        <v/>
      </c>
      <c r="B124" s="144" t="str">
        <v/>
      </c>
      <c r="C124" s="167" t="str">
        <v/>
      </c>
      <c r="D124" s="167" t="str">
        <v/>
      </c>
      <c r="E124" s="167" t="str">
        <v/>
      </c>
      <c r="F124" s="167" t="str">
        <v/>
      </c>
      <c r="G124" s="167" t="str">
        <v/>
      </c>
      <c r="H124" s="167" t="str">
        <v/>
      </c>
      <c r="I124" s="167" t="str">
        <v/>
      </c>
      <c r="J124" s="167" t="str">
        <v/>
      </c>
      <c r="K124" s="167" t="str">
        <v/>
      </c>
      <c r="L124" s="167" t="str">
        <v/>
      </c>
      <c r="M124" s="167" t="str">
        <v/>
      </c>
      <c r="N124" s="167" t="str">
        <v/>
      </c>
      <c r="O124" s="167" t="str">
        <v/>
      </c>
      <c r="P124" s="167" t="str">
        <v/>
      </c>
    </row>
    <row r="125" spans="1:16" x14ac:dyDescent="0.2">
      <c r="A125" s="58" t="str">
        <v/>
      </c>
      <c r="B125" s="144" t="str">
        <v/>
      </c>
      <c r="C125" s="167" t="str">
        <v/>
      </c>
      <c r="D125" s="167" t="str">
        <v/>
      </c>
      <c r="E125" s="167" t="str">
        <v/>
      </c>
      <c r="F125" s="167" t="str">
        <v/>
      </c>
      <c r="G125" s="167" t="str">
        <v/>
      </c>
      <c r="H125" s="167" t="str">
        <v/>
      </c>
      <c r="I125" s="167" t="str">
        <v/>
      </c>
      <c r="J125" s="167" t="str">
        <v/>
      </c>
      <c r="K125" s="167" t="str">
        <v/>
      </c>
      <c r="L125" s="167" t="str">
        <v/>
      </c>
      <c r="M125" s="167" t="str">
        <v/>
      </c>
      <c r="N125" s="167" t="str">
        <v/>
      </c>
      <c r="O125" s="167" t="str">
        <v/>
      </c>
      <c r="P125" s="167" t="str">
        <v/>
      </c>
    </row>
    <row r="126" spans="1:16" x14ac:dyDescent="0.2">
      <c r="A126" s="58" t="str">
        <v/>
      </c>
      <c r="B126" s="144" t="str">
        <v/>
      </c>
      <c r="C126" s="167" t="str">
        <v/>
      </c>
      <c r="D126" s="167" t="str">
        <v/>
      </c>
      <c r="E126" s="167" t="str">
        <v/>
      </c>
      <c r="F126" s="167" t="str">
        <v/>
      </c>
      <c r="G126" s="167" t="str">
        <v/>
      </c>
      <c r="H126" s="167" t="str">
        <v/>
      </c>
      <c r="I126" s="167" t="str">
        <v/>
      </c>
      <c r="J126" s="167" t="str">
        <v/>
      </c>
      <c r="K126" s="167" t="str">
        <v/>
      </c>
      <c r="L126" s="167" t="str">
        <v/>
      </c>
      <c r="M126" s="167" t="str">
        <v/>
      </c>
      <c r="N126" s="167" t="str">
        <v/>
      </c>
      <c r="O126" s="167" t="str">
        <v/>
      </c>
      <c r="P126" s="167" t="str">
        <v/>
      </c>
    </row>
    <row r="127" spans="1:16" x14ac:dyDescent="0.2">
      <c r="A127" s="58" t="str">
        <v/>
      </c>
      <c r="B127" s="144" t="str">
        <v/>
      </c>
      <c r="C127" s="167" t="str">
        <v/>
      </c>
      <c r="D127" s="167" t="str">
        <v/>
      </c>
      <c r="E127" s="167" t="str">
        <v/>
      </c>
      <c r="F127" s="167" t="str">
        <v/>
      </c>
      <c r="G127" s="167" t="str">
        <v/>
      </c>
      <c r="H127" s="167" t="str">
        <v/>
      </c>
      <c r="I127" s="167" t="str">
        <v/>
      </c>
      <c r="J127" s="167" t="str">
        <v/>
      </c>
      <c r="K127" s="167" t="str">
        <v/>
      </c>
      <c r="L127" s="167" t="str">
        <v/>
      </c>
      <c r="M127" s="167" t="str">
        <v/>
      </c>
      <c r="N127" s="167" t="str">
        <v/>
      </c>
      <c r="O127" s="167" t="str">
        <v/>
      </c>
      <c r="P127" s="167" t="str">
        <v/>
      </c>
    </row>
    <row r="128" spans="1:16" x14ac:dyDescent="0.2">
      <c r="A128" s="58" t="str">
        <v/>
      </c>
      <c r="B128" s="144" t="str">
        <v/>
      </c>
      <c r="C128" s="167" t="str">
        <v/>
      </c>
      <c r="D128" s="167" t="str">
        <v/>
      </c>
      <c r="E128" s="167" t="str">
        <v/>
      </c>
      <c r="F128" s="167" t="str">
        <v/>
      </c>
      <c r="G128" s="167" t="str">
        <v/>
      </c>
      <c r="H128" s="167" t="str">
        <v/>
      </c>
      <c r="I128" s="167" t="str">
        <v/>
      </c>
      <c r="J128" s="167" t="str">
        <v/>
      </c>
      <c r="K128" s="167" t="str">
        <v/>
      </c>
      <c r="L128" s="167" t="str">
        <v/>
      </c>
      <c r="M128" s="167" t="str">
        <v/>
      </c>
      <c r="N128" s="167" t="str">
        <v/>
      </c>
      <c r="O128" s="167" t="str">
        <v/>
      </c>
      <c r="P128" s="167" t="str">
        <v/>
      </c>
    </row>
    <row r="129" spans="1:16" x14ac:dyDescent="0.2">
      <c r="A129" s="58" t="str">
        <v/>
      </c>
      <c r="B129" s="144" t="str">
        <v/>
      </c>
      <c r="C129" s="167" t="str">
        <v/>
      </c>
      <c r="D129" s="167" t="str">
        <v/>
      </c>
      <c r="E129" s="167" t="str">
        <v/>
      </c>
      <c r="F129" s="167" t="str">
        <v/>
      </c>
      <c r="G129" s="167" t="str">
        <v/>
      </c>
      <c r="H129" s="167" t="str">
        <v/>
      </c>
      <c r="I129" s="167" t="str">
        <v/>
      </c>
      <c r="J129" s="167" t="str">
        <v/>
      </c>
      <c r="K129" s="167" t="str">
        <v/>
      </c>
      <c r="L129" s="167" t="str">
        <v/>
      </c>
      <c r="M129" s="167" t="str">
        <v/>
      </c>
      <c r="N129" s="167" t="str">
        <v/>
      </c>
      <c r="O129" s="167" t="str">
        <v/>
      </c>
      <c r="P129" s="167" t="str">
        <v/>
      </c>
    </row>
    <row r="130" spans="1:16" x14ac:dyDescent="0.2">
      <c r="A130" s="58" t="str">
        <v/>
      </c>
      <c r="B130" s="144" t="str">
        <v/>
      </c>
      <c r="C130" s="167" t="str">
        <v/>
      </c>
      <c r="D130" s="167" t="str">
        <v/>
      </c>
      <c r="E130" s="167" t="str">
        <v/>
      </c>
      <c r="F130" s="167" t="str">
        <v/>
      </c>
      <c r="G130" s="167" t="str">
        <v/>
      </c>
      <c r="H130" s="167" t="str">
        <v/>
      </c>
      <c r="I130" s="167" t="str">
        <v/>
      </c>
      <c r="J130" s="167" t="str">
        <v/>
      </c>
      <c r="K130" s="167" t="str">
        <v/>
      </c>
      <c r="L130" s="167" t="str">
        <v/>
      </c>
      <c r="M130" s="167" t="str">
        <v/>
      </c>
      <c r="N130" s="167" t="str">
        <v/>
      </c>
      <c r="O130" s="167" t="str">
        <v/>
      </c>
      <c r="P130" s="167" t="str">
        <v/>
      </c>
    </row>
    <row r="131" spans="1:16" x14ac:dyDescent="0.2">
      <c r="A131" s="58" t="str">
        <v/>
      </c>
      <c r="B131" s="144" t="str">
        <v/>
      </c>
      <c r="C131" s="167" t="str">
        <v/>
      </c>
      <c r="D131" s="167" t="str">
        <v/>
      </c>
      <c r="E131" s="167" t="str">
        <v/>
      </c>
      <c r="F131" s="167" t="str">
        <v/>
      </c>
      <c r="G131" s="167" t="str">
        <v/>
      </c>
      <c r="H131" s="167" t="str">
        <v/>
      </c>
      <c r="I131" s="167" t="str">
        <v/>
      </c>
      <c r="J131" s="167" t="str">
        <v/>
      </c>
      <c r="K131" s="167" t="str">
        <v/>
      </c>
      <c r="L131" s="167" t="str">
        <v/>
      </c>
      <c r="M131" s="167" t="str">
        <v/>
      </c>
      <c r="N131" s="167" t="str">
        <v/>
      </c>
      <c r="O131" s="167" t="str">
        <v/>
      </c>
      <c r="P131" s="167" t="str">
        <v/>
      </c>
    </row>
    <row r="132" spans="1:16" x14ac:dyDescent="0.2">
      <c r="A132" s="58" t="str">
        <v/>
      </c>
      <c r="B132" s="144" t="str">
        <v/>
      </c>
      <c r="C132" s="167" t="str">
        <v/>
      </c>
      <c r="D132" s="167" t="str">
        <v/>
      </c>
      <c r="E132" s="167" t="str">
        <v/>
      </c>
      <c r="F132" s="167" t="str">
        <v/>
      </c>
      <c r="G132" s="167" t="str">
        <v/>
      </c>
      <c r="H132" s="167" t="str">
        <v/>
      </c>
      <c r="I132" s="167" t="str">
        <v/>
      </c>
      <c r="J132" s="167" t="str">
        <v/>
      </c>
      <c r="K132" s="167" t="str">
        <v/>
      </c>
      <c r="L132" s="167" t="str">
        <v/>
      </c>
      <c r="M132" s="167" t="str">
        <v/>
      </c>
      <c r="N132" s="167" t="str">
        <v/>
      </c>
      <c r="O132" s="167" t="str">
        <v/>
      </c>
      <c r="P132" s="167" t="str">
        <v/>
      </c>
    </row>
    <row r="133" spans="1:16" x14ac:dyDescent="0.2">
      <c r="A133" s="58" t="str">
        <v/>
      </c>
      <c r="B133" s="144" t="str">
        <v/>
      </c>
      <c r="C133" s="167" t="str">
        <v/>
      </c>
      <c r="D133" s="167" t="str">
        <v/>
      </c>
      <c r="E133" s="167" t="str">
        <v/>
      </c>
      <c r="F133" s="167" t="str">
        <v/>
      </c>
      <c r="G133" s="167" t="str">
        <v/>
      </c>
      <c r="H133" s="167" t="str">
        <v/>
      </c>
      <c r="I133" s="167" t="str">
        <v/>
      </c>
      <c r="J133" s="167" t="str">
        <v/>
      </c>
      <c r="K133" s="167" t="str">
        <v/>
      </c>
      <c r="L133" s="167" t="str">
        <v/>
      </c>
      <c r="M133" s="167" t="str">
        <v/>
      </c>
      <c r="N133" s="167" t="str">
        <v/>
      </c>
      <c r="O133" s="167" t="str">
        <v/>
      </c>
      <c r="P133" s="167" t="str">
        <v/>
      </c>
    </row>
    <row r="134" spans="1:16" x14ac:dyDescent="0.2">
      <c r="A134" s="58" t="str">
        <v/>
      </c>
      <c r="B134" s="144" t="str">
        <v/>
      </c>
      <c r="C134" s="167" t="str">
        <v/>
      </c>
      <c r="D134" s="167" t="str">
        <v/>
      </c>
      <c r="E134" s="167" t="str">
        <v/>
      </c>
      <c r="F134" s="167" t="str">
        <v/>
      </c>
      <c r="G134" s="167" t="str">
        <v/>
      </c>
      <c r="H134" s="167" t="str">
        <v/>
      </c>
      <c r="I134" s="167" t="str">
        <v/>
      </c>
      <c r="J134" s="167" t="str">
        <v/>
      </c>
      <c r="K134" s="167" t="str">
        <v/>
      </c>
      <c r="L134" s="167" t="str">
        <v/>
      </c>
      <c r="M134" s="167" t="str">
        <v/>
      </c>
      <c r="N134" s="167" t="str">
        <v/>
      </c>
      <c r="O134" s="167" t="str">
        <v/>
      </c>
      <c r="P134" s="167" t="str">
        <v/>
      </c>
    </row>
    <row r="135" spans="1:16" x14ac:dyDescent="0.2">
      <c r="A135" s="58" t="str">
        <v/>
      </c>
      <c r="B135" s="144" t="str">
        <v/>
      </c>
      <c r="C135" s="167" t="str">
        <v/>
      </c>
      <c r="D135" s="167" t="str">
        <v/>
      </c>
      <c r="E135" s="167" t="str">
        <v/>
      </c>
      <c r="F135" s="167" t="str">
        <v/>
      </c>
      <c r="G135" s="167" t="str">
        <v/>
      </c>
      <c r="H135" s="167" t="str">
        <v/>
      </c>
      <c r="I135" s="167" t="str">
        <v/>
      </c>
      <c r="J135" s="167" t="str">
        <v/>
      </c>
      <c r="K135" s="167" t="str">
        <v/>
      </c>
      <c r="L135" s="167" t="str">
        <v/>
      </c>
      <c r="M135" s="167" t="str">
        <v/>
      </c>
      <c r="N135" s="167" t="str">
        <v/>
      </c>
      <c r="O135" s="167" t="str">
        <v/>
      </c>
      <c r="P135" s="167" t="str">
        <v/>
      </c>
    </row>
    <row r="136" spans="1:16" x14ac:dyDescent="0.2">
      <c r="A136" s="58" t="str">
        <v/>
      </c>
      <c r="B136" s="144" t="str">
        <v/>
      </c>
      <c r="C136" s="167" t="str">
        <v/>
      </c>
      <c r="D136" s="167" t="str">
        <v/>
      </c>
      <c r="E136" s="167" t="str">
        <v/>
      </c>
      <c r="F136" s="167" t="str">
        <v/>
      </c>
      <c r="G136" s="167" t="str">
        <v/>
      </c>
      <c r="H136" s="167" t="str">
        <v/>
      </c>
      <c r="I136" s="167" t="str">
        <v/>
      </c>
      <c r="J136" s="167" t="str">
        <v/>
      </c>
      <c r="K136" s="167" t="str">
        <v/>
      </c>
      <c r="L136" s="167" t="str">
        <v/>
      </c>
      <c r="M136" s="167" t="str">
        <v/>
      </c>
      <c r="N136" s="167" t="str">
        <v/>
      </c>
      <c r="O136" s="167" t="str">
        <v/>
      </c>
      <c r="P136" s="167" t="str">
        <v/>
      </c>
    </row>
    <row r="137" spans="1:16" x14ac:dyDescent="0.2">
      <c r="A137" s="58" t="str">
        <v/>
      </c>
      <c r="B137" s="144" t="str">
        <v/>
      </c>
      <c r="C137" s="167" t="str">
        <v/>
      </c>
      <c r="D137" s="167" t="str">
        <v/>
      </c>
      <c r="E137" s="167" t="str">
        <v/>
      </c>
      <c r="F137" s="167" t="str">
        <v/>
      </c>
      <c r="G137" s="167" t="str">
        <v/>
      </c>
      <c r="H137" s="167" t="str">
        <v/>
      </c>
      <c r="I137" s="167" t="str">
        <v/>
      </c>
      <c r="J137" s="167" t="str">
        <v/>
      </c>
      <c r="K137" s="167" t="str">
        <v/>
      </c>
      <c r="L137" s="167" t="str">
        <v/>
      </c>
      <c r="M137" s="167" t="str">
        <v/>
      </c>
      <c r="N137" s="167" t="str">
        <v/>
      </c>
      <c r="O137" s="167" t="str">
        <v/>
      </c>
      <c r="P137" s="167" t="str">
        <v/>
      </c>
    </row>
    <row r="138" spans="1:16" x14ac:dyDescent="0.2">
      <c r="A138" s="58" t="str">
        <v/>
      </c>
      <c r="B138" s="144" t="str">
        <v/>
      </c>
      <c r="C138" s="167" t="str">
        <v/>
      </c>
      <c r="D138" s="167" t="str">
        <v/>
      </c>
      <c r="E138" s="167" t="str">
        <v/>
      </c>
      <c r="F138" s="167" t="str">
        <v/>
      </c>
      <c r="G138" s="167" t="str">
        <v/>
      </c>
      <c r="H138" s="167" t="str">
        <v/>
      </c>
      <c r="I138" s="167" t="str">
        <v/>
      </c>
      <c r="J138" s="167" t="str">
        <v/>
      </c>
      <c r="K138" s="167" t="str">
        <v/>
      </c>
      <c r="L138" s="167" t="str">
        <v/>
      </c>
      <c r="M138" s="167" t="str">
        <v/>
      </c>
      <c r="N138" s="167" t="str">
        <v/>
      </c>
      <c r="O138" s="167" t="str">
        <v/>
      </c>
      <c r="P138" s="167" t="str">
        <v/>
      </c>
    </row>
    <row r="139" spans="1:16" x14ac:dyDescent="0.2">
      <c r="A139" s="58" t="str">
        <v/>
      </c>
      <c r="B139" s="144" t="str">
        <v/>
      </c>
      <c r="C139" s="167" t="str">
        <v/>
      </c>
      <c r="D139" s="167" t="str">
        <v/>
      </c>
      <c r="E139" s="167" t="str">
        <v/>
      </c>
      <c r="F139" s="167" t="str">
        <v/>
      </c>
      <c r="G139" s="167" t="str">
        <v/>
      </c>
      <c r="H139" s="167" t="str">
        <v/>
      </c>
      <c r="I139" s="167" t="str">
        <v/>
      </c>
      <c r="J139" s="167" t="str">
        <v/>
      </c>
      <c r="K139" s="167" t="str">
        <v/>
      </c>
      <c r="L139" s="167" t="str">
        <v/>
      </c>
      <c r="M139" s="167" t="str">
        <v/>
      </c>
      <c r="N139" s="167" t="str">
        <v/>
      </c>
      <c r="O139" s="167" t="str">
        <v/>
      </c>
      <c r="P139" s="167" t="str">
        <v/>
      </c>
    </row>
    <row r="140" spans="1:16" x14ac:dyDescent="0.2">
      <c r="A140" s="58" t="str">
        <v/>
      </c>
      <c r="B140" s="144" t="str">
        <v/>
      </c>
      <c r="C140" s="167" t="str">
        <v/>
      </c>
      <c r="D140" s="167" t="str">
        <v/>
      </c>
      <c r="E140" s="167" t="str">
        <v/>
      </c>
      <c r="F140" s="167" t="str">
        <v/>
      </c>
      <c r="G140" s="167" t="str">
        <v/>
      </c>
      <c r="H140" s="167" t="str">
        <v/>
      </c>
      <c r="I140" s="167" t="str">
        <v/>
      </c>
      <c r="J140" s="167" t="str">
        <v/>
      </c>
      <c r="K140" s="167" t="str">
        <v/>
      </c>
      <c r="L140" s="167" t="str">
        <v/>
      </c>
      <c r="M140" s="167" t="str">
        <v/>
      </c>
      <c r="N140" s="167" t="str">
        <v/>
      </c>
      <c r="O140" s="167" t="str">
        <v/>
      </c>
      <c r="P140" s="167" t="str">
        <v/>
      </c>
    </row>
    <row r="141" spans="1:16" x14ac:dyDescent="0.2">
      <c r="A141" s="58" t="str">
        <v/>
      </c>
      <c r="B141" s="144" t="str">
        <v/>
      </c>
      <c r="C141" s="167" t="str">
        <v/>
      </c>
      <c r="D141" s="167" t="str">
        <v/>
      </c>
      <c r="E141" s="167" t="str">
        <v/>
      </c>
      <c r="F141" s="167" t="str">
        <v/>
      </c>
      <c r="G141" s="167" t="str">
        <v/>
      </c>
      <c r="H141" s="167" t="str">
        <v/>
      </c>
      <c r="I141" s="167" t="str">
        <v/>
      </c>
      <c r="J141" s="167" t="str">
        <v/>
      </c>
      <c r="K141" s="167" t="str">
        <v/>
      </c>
      <c r="L141" s="167" t="str">
        <v/>
      </c>
      <c r="M141" s="167" t="str">
        <v/>
      </c>
      <c r="N141" s="167" t="str">
        <v/>
      </c>
      <c r="O141" s="167" t="str">
        <v/>
      </c>
      <c r="P141" s="167" t="str">
        <v/>
      </c>
    </row>
    <row r="142" spans="1:16" x14ac:dyDescent="0.2">
      <c r="A142" s="58" t="str">
        <v/>
      </c>
      <c r="B142" s="144" t="str">
        <v/>
      </c>
      <c r="C142" s="167" t="str">
        <v/>
      </c>
      <c r="D142" s="167" t="str">
        <v/>
      </c>
      <c r="E142" s="167" t="str">
        <v/>
      </c>
      <c r="F142" s="167" t="str">
        <v/>
      </c>
      <c r="G142" s="167" t="str">
        <v/>
      </c>
      <c r="H142" s="167" t="str">
        <v/>
      </c>
      <c r="I142" s="167" t="str">
        <v/>
      </c>
      <c r="J142" s="167" t="str">
        <v/>
      </c>
      <c r="K142" s="167" t="str">
        <v/>
      </c>
      <c r="L142" s="167" t="str">
        <v/>
      </c>
      <c r="M142" s="167" t="str">
        <v/>
      </c>
      <c r="N142" s="167" t="str">
        <v/>
      </c>
      <c r="O142" s="167" t="str">
        <v/>
      </c>
      <c r="P142" s="167" t="str">
        <v/>
      </c>
    </row>
    <row r="143" spans="1:16" x14ac:dyDescent="0.2">
      <c r="A143" s="58" t="str">
        <v/>
      </c>
      <c r="B143" s="144" t="str">
        <v/>
      </c>
      <c r="C143" s="167" t="str">
        <v/>
      </c>
      <c r="D143" s="167" t="str">
        <v/>
      </c>
      <c r="E143" s="167" t="str">
        <v/>
      </c>
      <c r="F143" s="167" t="str">
        <v/>
      </c>
      <c r="G143" s="167" t="str">
        <v/>
      </c>
      <c r="H143" s="167" t="str">
        <v/>
      </c>
      <c r="I143" s="167" t="str">
        <v/>
      </c>
      <c r="J143" s="167" t="str">
        <v/>
      </c>
      <c r="K143" s="167" t="str">
        <v/>
      </c>
      <c r="L143" s="167" t="str">
        <v/>
      </c>
      <c r="M143" s="167" t="str">
        <v/>
      </c>
      <c r="N143" s="167" t="str">
        <v/>
      </c>
      <c r="O143" s="167" t="str">
        <v/>
      </c>
      <c r="P143" s="167" t="str">
        <v/>
      </c>
    </row>
    <row r="144" spans="1:16" x14ac:dyDescent="0.2">
      <c r="A144" s="58" t="str">
        <v/>
      </c>
      <c r="B144" s="144" t="str">
        <v/>
      </c>
      <c r="C144" s="167" t="str">
        <v/>
      </c>
      <c r="D144" s="167" t="str">
        <v/>
      </c>
      <c r="E144" s="167" t="str">
        <v/>
      </c>
      <c r="F144" s="167" t="str">
        <v/>
      </c>
      <c r="G144" s="167" t="str">
        <v/>
      </c>
      <c r="H144" s="167" t="str">
        <v/>
      </c>
      <c r="I144" s="167" t="str">
        <v/>
      </c>
      <c r="J144" s="167" t="str">
        <v/>
      </c>
      <c r="K144" s="167" t="str">
        <v/>
      </c>
      <c r="L144" s="167" t="str">
        <v/>
      </c>
      <c r="M144" s="167" t="str">
        <v/>
      </c>
      <c r="N144" s="167" t="str">
        <v/>
      </c>
      <c r="O144" s="167" t="str">
        <v/>
      </c>
      <c r="P144" s="167" t="str">
        <v/>
      </c>
    </row>
    <row r="145" spans="1:16" x14ac:dyDescent="0.2">
      <c r="A145" s="58" t="str">
        <v/>
      </c>
      <c r="B145" s="144" t="str">
        <v/>
      </c>
      <c r="C145" s="167" t="str">
        <v/>
      </c>
      <c r="D145" s="167" t="str">
        <v/>
      </c>
      <c r="E145" s="167" t="str">
        <v/>
      </c>
      <c r="F145" s="167" t="str">
        <v/>
      </c>
      <c r="G145" s="167" t="str">
        <v/>
      </c>
      <c r="H145" s="167" t="str">
        <v/>
      </c>
      <c r="I145" s="167" t="str">
        <v/>
      </c>
      <c r="J145" s="167" t="str">
        <v/>
      </c>
      <c r="K145" s="167" t="str">
        <v/>
      </c>
      <c r="L145" s="167" t="str">
        <v/>
      </c>
      <c r="M145" s="167" t="str">
        <v/>
      </c>
      <c r="N145" s="167" t="str">
        <v/>
      </c>
      <c r="O145" s="167" t="str">
        <v/>
      </c>
      <c r="P145" s="167" t="str">
        <v/>
      </c>
    </row>
    <row r="146" spans="1:16" x14ac:dyDescent="0.2">
      <c r="A146" s="58" t="str">
        <v/>
      </c>
      <c r="B146" s="144" t="str">
        <v/>
      </c>
      <c r="C146" s="167" t="str">
        <v/>
      </c>
      <c r="D146" s="167" t="str">
        <v/>
      </c>
      <c r="E146" s="167" t="str">
        <v/>
      </c>
      <c r="F146" s="167" t="str">
        <v/>
      </c>
      <c r="G146" s="167" t="str">
        <v/>
      </c>
      <c r="H146" s="167" t="str">
        <v/>
      </c>
      <c r="I146" s="167" t="str">
        <v/>
      </c>
      <c r="J146" s="167" t="str">
        <v/>
      </c>
      <c r="K146" s="167" t="str">
        <v/>
      </c>
      <c r="L146" s="167" t="str">
        <v/>
      </c>
      <c r="M146" s="167" t="str">
        <v/>
      </c>
      <c r="N146" s="167" t="str">
        <v/>
      </c>
      <c r="O146" s="167" t="str">
        <v/>
      </c>
      <c r="P146" s="167" t="str">
        <v/>
      </c>
    </row>
    <row r="147" spans="1:16" x14ac:dyDescent="0.2">
      <c r="A147" s="58" t="str">
        <v/>
      </c>
      <c r="B147" s="144" t="str">
        <v/>
      </c>
      <c r="C147" s="167" t="str">
        <v/>
      </c>
      <c r="D147" s="167" t="str">
        <v/>
      </c>
      <c r="E147" s="167" t="str">
        <v/>
      </c>
      <c r="F147" s="167" t="str">
        <v/>
      </c>
      <c r="G147" s="167" t="str">
        <v/>
      </c>
      <c r="H147" s="167" t="str">
        <v/>
      </c>
      <c r="I147" s="167" t="str">
        <v/>
      </c>
      <c r="J147" s="167" t="str">
        <v/>
      </c>
      <c r="K147" s="167" t="str">
        <v/>
      </c>
      <c r="L147" s="167" t="str">
        <v/>
      </c>
      <c r="M147" s="167" t="str">
        <v/>
      </c>
      <c r="N147" s="167" t="str">
        <v/>
      </c>
      <c r="O147" s="167" t="str">
        <v/>
      </c>
      <c r="P147" s="167" t="str">
        <v/>
      </c>
    </row>
    <row r="148" spans="1:16" x14ac:dyDescent="0.2">
      <c r="A148" s="58" t="str">
        <v/>
      </c>
      <c r="B148" s="144" t="str">
        <v/>
      </c>
      <c r="C148" s="167" t="str">
        <v/>
      </c>
      <c r="D148" s="167" t="str">
        <v/>
      </c>
      <c r="E148" s="167" t="str">
        <v/>
      </c>
      <c r="F148" s="167" t="str">
        <v/>
      </c>
      <c r="G148" s="167" t="str">
        <v/>
      </c>
      <c r="H148" s="167" t="str">
        <v/>
      </c>
      <c r="I148" s="167" t="str">
        <v/>
      </c>
      <c r="J148" s="167" t="str">
        <v/>
      </c>
      <c r="K148" s="167" t="str">
        <v/>
      </c>
      <c r="L148" s="167" t="str">
        <v/>
      </c>
      <c r="M148" s="167" t="str">
        <v/>
      </c>
      <c r="N148" s="167" t="str">
        <v/>
      </c>
      <c r="O148" s="167" t="str">
        <v/>
      </c>
      <c r="P148" s="167" t="str">
        <v/>
      </c>
    </row>
    <row r="149" spans="1:16" x14ac:dyDescent="0.2">
      <c r="A149" s="58" t="str">
        <v/>
      </c>
      <c r="B149" s="144" t="str">
        <v/>
      </c>
      <c r="C149" s="167" t="str">
        <v/>
      </c>
      <c r="D149" s="167" t="str">
        <v/>
      </c>
      <c r="E149" s="167" t="str">
        <v/>
      </c>
      <c r="F149" s="167" t="str">
        <v/>
      </c>
      <c r="G149" s="167" t="str">
        <v/>
      </c>
      <c r="H149" s="167" t="str">
        <v/>
      </c>
      <c r="I149" s="167" t="str">
        <v/>
      </c>
      <c r="J149" s="167" t="str">
        <v/>
      </c>
      <c r="K149" s="167" t="str">
        <v/>
      </c>
      <c r="L149" s="167" t="str">
        <v/>
      </c>
      <c r="M149" s="167" t="str">
        <v/>
      </c>
      <c r="N149" s="167" t="str">
        <v/>
      </c>
      <c r="O149" s="167" t="str">
        <v/>
      </c>
      <c r="P149" s="167" t="str">
        <v/>
      </c>
    </row>
    <row r="150" spans="1:16" x14ac:dyDescent="0.2">
      <c r="A150" s="58" t="str">
        <v/>
      </c>
      <c r="B150" s="144" t="str">
        <v/>
      </c>
      <c r="C150" s="167" t="str">
        <v/>
      </c>
      <c r="D150" s="167" t="str">
        <v/>
      </c>
      <c r="E150" s="167" t="str">
        <v/>
      </c>
      <c r="F150" s="167" t="str">
        <v/>
      </c>
      <c r="G150" s="167" t="str">
        <v/>
      </c>
      <c r="H150" s="167" t="str">
        <v/>
      </c>
      <c r="I150" s="167" t="str">
        <v/>
      </c>
      <c r="J150" s="167" t="str">
        <v/>
      </c>
      <c r="K150" s="167" t="str">
        <v/>
      </c>
      <c r="L150" s="167" t="str">
        <v/>
      </c>
      <c r="M150" s="167" t="str">
        <v/>
      </c>
      <c r="N150" s="167" t="str">
        <v/>
      </c>
      <c r="O150" s="167" t="str">
        <v/>
      </c>
      <c r="P150" s="167" t="str">
        <v/>
      </c>
    </row>
    <row r="151" spans="1:16" x14ac:dyDescent="0.2">
      <c r="A151" s="58" t="str">
        <v/>
      </c>
      <c r="B151" s="144" t="str">
        <v/>
      </c>
      <c r="C151" s="167" t="str">
        <v/>
      </c>
      <c r="D151" s="167" t="str">
        <v/>
      </c>
      <c r="E151" s="167" t="str">
        <v/>
      </c>
      <c r="F151" s="167" t="str">
        <v/>
      </c>
      <c r="G151" s="167" t="str">
        <v/>
      </c>
      <c r="H151" s="167" t="str">
        <v/>
      </c>
      <c r="I151" s="167" t="str">
        <v/>
      </c>
      <c r="J151" s="167" t="str">
        <v/>
      </c>
      <c r="K151" s="167" t="str">
        <v/>
      </c>
      <c r="L151" s="167" t="str">
        <v/>
      </c>
      <c r="M151" s="167" t="str">
        <v/>
      </c>
      <c r="N151" s="167" t="str">
        <v/>
      </c>
      <c r="O151" s="167" t="str">
        <v/>
      </c>
      <c r="P151" s="167" t="str">
        <v/>
      </c>
    </row>
    <row r="152" spans="1:16" x14ac:dyDescent="0.2">
      <c r="A152" s="58" t="str">
        <v/>
      </c>
      <c r="B152" s="144" t="str">
        <v/>
      </c>
      <c r="C152" s="167" t="str">
        <v/>
      </c>
      <c r="D152" s="167" t="str">
        <v/>
      </c>
      <c r="E152" s="167" t="str">
        <v/>
      </c>
      <c r="F152" s="167" t="str">
        <v/>
      </c>
      <c r="G152" s="167" t="str">
        <v/>
      </c>
      <c r="H152" s="167" t="str">
        <v/>
      </c>
      <c r="I152" s="167" t="str">
        <v/>
      </c>
      <c r="J152" s="167" t="str">
        <v/>
      </c>
      <c r="K152" s="167" t="str">
        <v/>
      </c>
      <c r="L152" s="167" t="str">
        <v/>
      </c>
      <c r="M152" s="167" t="str">
        <v/>
      </c>
      <c r="N152" s="167" t="str">
        <v/>
      </c>
      <c r="O152" s="167" t="str">
        <v/>
      </c>
      <c r="P152" s="167" t="str">
        <v/>
      </c>
    </row>
    <row r="153" spans="1:16" x14ac:dyDescent="0.2">
      <c r="A153" s="58" t="str">
        <v/>
      </c>
      <c r="B153" s="144" t="str">
        <v/>
      </c>
      <c r="C153" s="167" t="str">
        <v/>
      </c>
      <c r="D153" s="167" t="str">
        <v/>
      </c>
      <c r="E153" s="167" t="str">
        <v/>
      </c>
      <c r="F153" s="167" t="str">
        <v/>
      </c>
      <c r="G153" s="167" t="str">
        <v/>
      </c>
      <c r="H153" s="167" t="str">
        <v/>
      </c>
      <c r="I153" s="167" t="str">
        <v/>
      </c>
      <c r="J153" s="167" t="str">
        <v/>
      </c>
      <c r="K153" s="167" t="str">
        <v/>
      </c>
      <c r="L153" s="167" t="str">
        <v/>
      </c>
      <c r="M153" s="167" t="str">
        <v/>
      </c>
      <c r="N153" s="167" t="str">
        <v/>
      </c>
      <c r="O153" s="167" t="str">
        <v/>
      </c>
      <c r="P153" s="167" t="str">
        <v/>
      </c>
    </row>
    <row r="154" spans="1:16" x14ac:dyDescent="0.2">
      <c r="A154" s="58" t="str">
        <v/>
      </c>
      <c r="B154" s="144" t="str">
        <v/>
      </c>
      <c r="C154" s="167" t="str">
        <v/>
      </c>
      <c r="D154" s="167" t="str">
        <v/>
      </c>
      <c r="E154" s="167" t="str">
        <v/>
      </c>
      <c r="F154" s="167" t="str">
        <v/>
      </c>
      <c r="G154" s="167" t="str">
        <v/>
      </c>
      <c r="H154" s="167" t="str">
        <v/>
      </c>
      <c r="I154" s="167" t="str">
        <v/>
      </c>
      <c r="J154" s="167" t="str">
        <v/>
      </c>
      <c r="K154" s="167" t="str">
        <v/>
      </c>
      <c r="L154" s="167" t="str">
        <v/>
      </c>
      <c r="M154" s="167" t="str">
        <v/>
      </c>
      <c r="N154" s="167" t="str">
        <v/>
      </c>
      <c r="O154" s="167" t="str">
        <v/>
      </c>
      <c r="P154" s="167" t="str">
        <v/>
      </c>
    </row>
    <row r="155" spans="1:16" x14ac:dyDescent="0.2">
      <c r="A155" s="58" t="str">
        <v/>
      </c>
      <c r="B155" s="144" t="str">
        <v/>
      </c>
      <c r="C155" s="167" t="str">
        <v/>
      </c>
      <c r="D155" s="167" t="str">
        <v/>
      </c>
      <c r="E155" s="167" t="str">
        <v/>
      </c>
      <c r="F155" s="167" t="str">
        <v/>
      </c>
      <c r="G155" s="167" t="str">
        <v/>
      </c>
      <c r="H155" s="167" t="str">
        <v/>
      </c>
      <c r="I155" s="167" t="str">
        <v/>
      </c>
      <c r="J155" s="167" t="str">
        <v/>
      </c>
      <c r="K155" s="167" t="str">
        <v/>
      </c>
      <c r="L155" s="167" t="str">
        <v/>
      </c>
      <c r="M155" s="167" t="str">
        <v/>
      </c>
      <c r="N155" s="167" t="str">
        <v/>
      </c>
      <c r="O155" s="167" t="str">
        <v/>
      </c>
      <c r="P155" s="167" t="str">
        <v/>
      </c>
    </row>
    <row r="156" spans="1:16" x14ac:dyDescent="0.2">
      <c r="A156" s="58" t="str">
        <v/>
      </c>
      <c r="B156" s="144" t="str">
        <v/>
      </c>
      <c r="C156" s="167" t="str">
        <v/>
      </c>
      <c r="D156" s="167" t="str">
        <v/>
      </c>
      <c r="E156" s="167" t="str">
        <v/>
      </c>
      <c r="F156" s="167" t="str">
        <v/>
      </c>
      <c r="G156" s="167" t="str">
        <v/>
      </c>
      <c r="H156" s="167" t="str">
        <v/>
      </c>
      <c r="I156" s="167" t="str">
        <v/>
      </c>
      <c r="J156" s="167" t="str">
        <v/>
      </c>
      <c r="K156" s="167" t="str">
        <v/>
      </c>
      <c r="L156" s="167" t="str">
        <v/>
      </c>
      <c r="M156" s="167" t="str">
        <v/>
      </c>
      <c r="N156" s="167" t="str">
        <v/>
      </c>
      <c r="O156" s="167" t="str">
        <v/>
      </c>
      <c r="P156" s="167" t="str">
        <v/>
      </c>
    </row>
    <row r="157" spans="1:16" x14ac:dyDescent="0.2">
      <c r="A157" s="58" t="str">
        <v/>
      </c>
      <c r="B157" s="144" t="str">
        <v/>
      </c>
      <c r="C157" s="167" t="str">
        <v/>
      </c>
      <c r="D157" s="167" t="str">
        <v/>
      </c>
      <c r="E157" s="167" t="str">
        <v/>
      </c>
      <c r="F157" s="167" t="str">
        <v/>
      </c>
      <c r="G157" s="167" t="str">
        <v/>
      </c>
      <c r="H157" s="167" t="str">
        <v/>
      </c>
      <c r="I157" s="167" t="str">
        <v/>
      </c>
      <c r="J157" s="167" t="str">
        <v/>
      </c>
      <c r="K157" s="167" t="str">
        <v/>
      </c>
      <c r="L157" s="167" t="str">
        <v/>
      </c>
      <c r="M157" s="167" t="str">
        <v/>
      </c>
      <c r="N157" s="167" t="str">
        <v/>
      </c>
      <c r="O157" s="167" t="str">
        <v/>
      </c>
      <c r="P157" s="167" t="str">
        <v/>
      </c>
    </row>
    <row r="158" spans="1:16" x14ac:dyDescent="0.2">
      <c r="A158" s="58" t="str">
        <v/>
      </c>
      <c r="B158" s="144" t="str">
        <v/>
      </c>
      <c r="C158" s="167" t="str">
        <v/>
      </c>
      <c r="D158" s="167" t="str">
        <v/>
      </c>
      <c r="E158" s="167" t="str">
        <v/>
      </c>
      <c r="F158" s="167" t="str">
        <v/>
      </c>
      <c r="G158" s="167" t="str">
        <v/>
      </c>
      <c r="H158" s="167" t="str">
        <v/>
      </c>
      <c r="I158" s="167" t="str">
        <v/>
      </c>
      <c r="J158" s="167" t="str">
        <v/>
      </c>
      <c r="K158" s="167" t="str">
        <v/>
      </c>
      <c r="L158" s="167" t="str">
        <v/>
      </c>
      <c r="M158" s="167" t="str">
        <v/>
      </c>
      <c r="N158" s="167" t="str">
        <v/>
      </c>
      <c r="O158" s="167" t="str">
        <v/>
      </c>
      <c r="P158" s="167" t="str">
        <v/>
      </c>
    </row>
    <row r="159" spans="1:16" x14ac:dyDescent="0.2">
      <c r="A159" s="58" t="str">
        <v/>
      </c>
      <c r="B159" s="144" t="str">
        <v/>
      </c>
      <c r="C159" s="167" t="str">
        <v/>
      </c>
      <c r="D159" s="167" t="str">
        <v/>
      </c>
      <c r="E159" s="167" t="str">
        <v/>
      </c>
      <c r="F159" s="167" t="str">
        <v/>
      </c>
      <c r="G159" s="167" t="str">
        <v/>
      </c>
      <c r="H159" s="167" t="str">
        <v/>
      </c>
      <c r="I159" s="167" t="str">
        <v/>
      </c>
      <c r="J159" s="167" t="str">
        <v/>
      </c>
      <c r="K159" s="167" t="str">
        <v/>
      </c>
      <c r="L159" s="167" t="str">
        <v/>
      </c>
      <c r="M159" s="167" t="str">
        <v/>
      </c>
      <c r="N159" s="167" t="str">
        <v/>
      </c>
      <c r="O159" s="167" t="str">
        <v/>
      </c>
      <c r="P159" s="167" t="str">
        <v/>
      </c>
    </row>
    <row r="160" spans="1:16" x14ac:dyDescent="0.2">
      <c r="A160" s="58" t="str">
        <v/>
      </c>
      <c r="B160" s="144" t="str">
        <v/>
      </c>
      <c r="C160" s="167" t="str">
        <v/>
      </c>
      <c r="D160" s="167" t="str">
        <v/>
      </c>
      <c r="E160" s="167" t="str">
        <v/>
      </c>
      <c r="F160" s="167" t="str">
        <v/>
      </c>
      <c r="G160" s="167" t="str">
        <v/>
      </c>
      <c r="H160" s="167" t="str">
        <v/>
      </c>
      <c r="I160" s="167" t="str">
        <v/>
      </c>
      <c r="J160" s="167" t="str">
        <v/>
      </c>
      <c r="K160" s="167" t="str">
        <v/>
      </c>
      <c r="L160" s="167" t="str">
        <v/>
      </c>
      <c r="M160" s="167" t="str">
        <v/>
      </c>
      <c r="N160" s="167" t="str">
        <v/>
      </c>
      <c r="O160" s="167" t="str">
        <v/>
      </c>
      <c r="P160" s="167" t="str">
        <v/>
      </c>
    </row>
    <row r="161" spans="1:16" x14ac:dyDescent="0.2">
      <c r="A161" s="58" t="str">
        <v/>
      </c>
      <c r="B161" s="144" t="str">
        <v/>
      </c>
      <c r="C161" s="167" t="str">
        <v/>
      </c>
      <c r="D161" s="167" t="str">
        <v/>
      </c>
      <c r="E161" s="167" t="str">
        <v/>
      </c>
      <c r="F161" s="167" t="str">
        <v/>
      </c>
      <c r="G161" s="167" t="str">
        <v/>
      </c>
      <c r="H161" s="167" t="str">
        <v/>
      </c>
      <c r="I161" s="167" t="str">
        <v/>
      </c>
      <c r="J161" s="167" t="str">
        <v/>
      </c>
      <c r="K161" s="167" t="str">
        <v/>
      </c>
      <c r="L161" s="167" t="str">
        <v/>
      </c>
      <c r="M161" s="167" t="str">
        <v/>
      </c>
      <c r="N161" s="167" t="str">
        <v/>
      </c>
      <c r="O161" s="167" t="str">
        <v/>
      </c>
      <c r="P161" s="167" t="str">
        <v/>
      </c>
    </row>
    <row r="162" spans="1:16" x14ac:dyDescent="0.2">
      <c r="A162" s="58" t="str">
        <v/>
      </c>
      <c r="B162" s="144" t="str">
        <v/>
      </c>
      <c r="C162" s="167" t="str">
        <v/>
      </c>
      <c r="D162" s="167" t="str">
        <v/>
      </c>
      <c r="E162" s="167" t="str">
        <v/>
      </c>
      <c r="F162" s="167" t="str">
        <v/>
      </c>
      <c r="G162" s="167" t="str">
        <v/>
      </c>
      <c r="H162" s="167" t="str">
        <v/>
      </c>
      <c r="I162" s="167" t="str">
        <v/>
      </c>
      <c r="J162" s="167" t="str">
        <v/>
      </c>
      <c r="K162" s="167" t="str">
        <v/>
      </c>
      <c r="L162" s="167" t="str">
        <v/>
      </c>
      <c r="M162" s="167" t="str">
        <v/>
      </c>
      <c r="N162" s="167" t="str">
        <v/>
      </c>
      <c r="O162" s="167" t="str">
        <v/>
      </c>
      <c r="P162" s="167" t="str">
        <v/>
      </c>
    </row>
    <row r="163" spans="1:16" x14ac:dyDescent="0.2">
      <c r="A163" s="58" t="str">
        <v/>
      </c>
      <c r="B163" s="144" t="str">
        <v/>
      </c>
      <c r="C163" s="167" t="str">
        <v/>
      </c>
      <c r="D163" s="167" t="str">
        <v/>
      </c>
      <c r="E163" s="167" t="str">
        <v/>
      </c>
      <c r="F163" s="167" t="str">
        <v/>
      </c>
      <c r="G163" s="167" t="str">
        <v/>
      </c>
      <c r="H163" s="167" t="str">
        <v/>
      </c>
      <c r="I163" s="167" t="str">
        <v/>
      </c>
      <c r="J163" s="167" t="str">
        <v/>
      </c>
      <c r="K163" s="167" t="str">
        <v/>
      </c>
      <c r="L163" s="167" t="str">
        <v/>
      </c>
      <c r="M163" s="167" t="str">
        <v/>
      </c>
      <c r="N163" s="167" t="str">
        <v/>
      </c>
      <c r="O163" s="167" t="str">
        <v/>
      </c>
      <c r="P163" s="167" t="str">
        <v/>
      </c>
    </row>
    <row r="164" spans="1:16" x14ac:dyDescent="0.2">
      <c r="A164" s="58" t="str">
        <v/>
      </c>
      <c r="B164" s="144" t="str">
        <v/>
      </c>
      <c r="C164" s="167" t="str">
        <v/>
      </c>
      <c r="D164" s="167" t="str">
        <v/>
      </c>
      <c r="E164" s="167" t="str">
        <v/>
      </c>
      <c r="F164" s="167" t="str">
        <v/>
      </c>
      <c r="G164" s="167" t="str">
        <v/>
      </c>
      <c r="H164" s="167" t="str">
        <v/>
      </c>
      <c r="I164" s="167" t="str">
        <v/>
      </c>
      <c r="J164" s="167" t="str">
        <v/>
      </c>
      <c r="K164" s="167" t="str">
        <v/>
      </c>
      <c r="L164" s="167" t="str">
        <v/>
      </c>
      <c r="M164" s="167" t="str">
        <v/>
      </c>
      <c r="N164" s="167" t="str">
        <v/>
      </c>
      <c r="O164" s="167" t="str">
        <v/>
      </c>
      <c r="P164" s="167" t="str">
        <v/>
      </c>
    </row>
    <row r="165" spans="1:16" x14ac:dyDescent="0.2">
      <c r="A165" s="58" t="str">
        <v/>
      </c>
      <c r="B165" s="144" t="str">
        <v/>
      </c>
      <c r="C165" s="167" t="str">
        <v/>
      </c>
      <c r="D165" s="167" t="str">
        <v/>
      </c>
      <c r="E165" s="167" t="str">
        <v/>
      </c>
      <c r="F165" s="167" t="str">
        <v/>
      </c>
      <c r="G165" s="167" t="str">
        <v/>
      </c>
      <c r="H165" s="167" t="str">
        <v/>
      </c>
      <c r="I165" s="167" t="str">
        <v/>
      </c>
      <c r="J165" s="167" t="str">
        <v/>
      </c>
      <c r="K165" s="167" t="str">
        <v/>
      </c>
      <c r="L165" s="167" t="str">
        <v/>
      </c>
      <c r="M165" s="167" t="str">
        <v/>
      </c>
      <c r="N165" s="167" t="str">
        <v/>
      </c>
      <c r="O165" s="167" t="str">
        <v/>
      </c>
      <c r="P165" s="167" t="str">
        <v/>
      </c>
    </row>
    <row r="166" spans="1:16" x14ac:dyDescent="0.2">
      <c r="A166" s="58" t="str">
        <v/>
      </c>
      <c r="B166" s="144" t="str">
        <v/>
      </c>
      <c r="C166" s="167" t="str">
        <v/>
      </c>
      <c r="D166" s="167" t="str">
        <v/>
      </c>
      <c r="E166" s="167" t="str">
        <v/>
      </c>
      <c r="F166" s="167" t="str">
        <v/>
      </c>
      <c r="G166" s="167" t="str">
        <v/>
      </c>
      <c r="H166" s="167" t="str">
        <v/>
      </c>
      <c r="I166" s="167" t="str">
        <v/>
      </c>
      <c r="J166" s="167" t="str">
        <v/>
      </c>
      <c r="K166" s="167" t="str">
        <v/>
      </c>
      <c r="L166" s="167" t="str">
        <v/>
      </c>
      <c r="M166" s="167" t="str">
        <v/>
      </c>
      <c r="N166" s="167" t="str">
        <v/>
      </c>
      <c r="O166" s="167" t="str">
        <v/>
      </c>
      <c r="P166" s="167" t="str">
        <v/>
      </c>
    </row>
    <row r="167" spans="1:16" x14ac:dyDescent="0.2">
      <c r="A167" s="58" t="str">
        <v/>
      </c>
      <c r="B167" s="144" t="str">
        <v/>
      </c>
      <c r="C167" s="167" t="str">
        <v/>
      </c>
      <c r="D167" s="167" t="str">
        <v/>
      </c>
      <c r="E167" s="167" t="str">
        <v/>
      </c>
      <c r="F167" s="167" t="str">
        <v/>
      </c>
      <c r="G167" s="167" t="str">
        <v/>
      </c>
      <c r="H167" s="167" t="str">
        <v/>
      </c>
      <c r="I167" s="167" t="str">
        <v/>
      </c>
      <c r="J167" s="167" t="str">
        <v/>
      </c>
      <c r="K167" s="167" t="str">
        <v/>
      </c>
      <c r="L167" s="167" t="str">
        <v/>
      </c>
      <c r="M167" s="167" t="str">
        <v/>
      </c>
      <c r="N167" s="167" t="str">
        <v/>
      </c>
      <c r="O167" s="167" t="str">
        <v/>
      </c>
      <c r="P167" s="167" t="str">
        <v/>
      </c>
    </row>
    <row r="168" spans="1:16" x14ac:dyDescent="0.2">
      <c r="A168" s="58" t="str">
        <v/>
      </c>
      <c r="B168" s="144" t="str">
        <v/>
      </c>
      <c r="C168" s="167" t="str">
        <v/>
      </c>
      <c r="D168" s="167" t="str">
        <v/>
      </c>
      <c r="E168" s="167" t="str">
        <v/>
      </c>
      <c r="F168" s="167" t="str">
        <v/>
      </c>
      <c r="G168" s="167" t="str">
        <v/>
      </c>
      <c r="H168" s="167" t="str">
        <v/>
      </c>
      <c r="I168" s="167" t="str">
        <v/>
      </c>
      <c r="J168" s="167" t="str">
        <v/>
      </c>
      <c r="K168" s="167" t="str">
        <v/>
      </c>
      <c r="L168" s="167" t="str">
        <v/>
      </c>
      <c r="M168" s="167" t="str">
        <v/>
      </c>
      <c r="N168" s="167" t="str">
        <v/>
      </c>
      <c r="O168" s="167" t="str">
        <v/>
      </c>
      <c r="P168" s="167" t="str">
        <v/>
      </c>
    </row>
    <row r="169" spans="1:16" x14ac:dyDescent="0.2">
      <c r="A169" s="58" t="str">
        <v/>
      </c>
      <c r="B169" s="144" t="str">
        <v/>
      </c>
      <c r="C169" s="167" t="str">
        <v/>
      </c>
      <c r="D169" s="167" t="str">
        <v/>
      </c>
      <c r="E169" s="167" t="str">
        <v/>
      </c>
      <c r="F169" s="167" t="str">
        <v/>
      </c>
      <c r="G169" s="167" t="str">
        <v/>
      </c>
      <c r="H169" s="167" t="str">
        <v/>
      </c>
      <c r="I169" s="167" t="str">
        <v/>
      </c>
      <c r="J169" s="167" t="str">
        <v/>
      </c>
      <c r="K169" s="167" t="str">
        <v/>
      </c>
      <c r="L169" s="167" t="str">
        <v/>
      </c>
      <c r="M169" s="167" t="str">
        <v/>
      </c>
      <c r="N169" s="167" t="str">
        <v/>
      </c>
      <c r="O169" s="167" t="str">
        <v/>
      </c>
      <c r="P169" s="167" t="str">
        <v/>
      </c>
    </row>
    <row r="170" spans="1:16" x14ac:dyDescent="0.2">
      <c r="A170" s="58" t="str">
        <v/>
      </c>
      <c r="B170" s="144" t="str">
        <v/>
      </c>
      <c r="C170" s="167" t="str">
        <v/>
      </c>
      <c r="D170" s="167" t="str">
        <v/>
      </c>
      <c r="E170" s="167" t="str">
        <v/>
      </c>
      <c r="F170" s="167" t="str">
        <v/>
      </c>
      <c r="G170" s="167" t="str">
        <v/>
      </c>
      <c r="H170" s="167" t="str">
        <v/>
      </c>
      <c r="I170" s="167" t="str">
        <v/>
      </c>
      <c r="J170" s="167" t="str">
        <v/>
      </c>
      <c r="K170" s="167" t="str">
        <v/>
      </c>
      <c r="L170" s="167" t="str">
        <v/>
      </c>
      <c r="M170" s="167" t="str">
        <v/>
      </c>
      <c r="N170" s="167" t="str">
        <v/>
      </c>
      <c r="O170" s="167" t="str">
        <v/>
      </c>
      <c r="P170" s="167" t="str">
        <v/>
      </c>
    </row>
    <row r="171" spans="1:16" x14ac:dyDescent="0.2">
      <c r="A171" s="58" t="str">
        <v/>
      </c>
      <c r="B171" s="144" t="str">
        <v/>
      </c>
      <c r="C171" s="167" t="str">
        <v/>
      </c>
      <c r="D171" s="167" t="str">
        <v/>
      </c>
      <c r="E171" s="167" t="str">
        <v/>
      </c>
      <c r="F171" s="167" t="str">
        <v/>
      </c>
      <c r="G171" s="167" t="str">
        <v/>
      </c>
      <c r="H171" s="167" t="str">
        <v/>
      </c>
      <c r="I171" s="167" t="str">
        <v/>
      </c>
      <c r="J171" s="167" t="str">
        <v/>
      </c>
      <c r="K171" s="167" t="str">
        <v/>
      </c>
      <c r="L171" s="167" t="str">
        <v/>
      </c>
      <c r="M171" s="167" t="str">
        <v/>
      </c>
      <c r="N171" s="167" t="str">
        <v/>
      </c>
      <c r="O171" s="167" t="str">
        <v/>
      </c>
      <c r="P171" s="167" t="str">
        <v/>
      </c>
    </row>
    <row r="172" spans="1:16" x14ac:dyDescent="0.2">
      <c r="A172" s="58" t="str">
        <v/>
      </c>
      <c r="B172" s="144" t="str">
        <v/>
      </c>
      <c r="C172" s="167" t="str">
        <v/>
      </c>
      <c r="D172" s="167" t="str">
        <v/>
      </c>
      <c r="E172" s="167" t="str">
        <v/>
      </c>
      <c r="F172" s="167" t="str">
        <v/>
      </c>
      <c r="G172" s="167" t="str">
        <v/>
      </c>
      <c r="H172" s="167" t="str">
        <v/>
      </c>
      <c r="I172" s="167" t="str">
        <v/>
      </c>
      <c r="J172" s="167" t="str">
        <v/>
      </c>
      <c r="K172" s="167" t="str">
        <v/>
      </c>
      <c r="L172" s="167" t="str">
        <v/>
      </c>
      <c r="M172" s="167" t="str">
        <v/>
      </c>
      <c r="N172" s="167" t="str">
        <v/>
      </c>
      <c r="O172" s="167" t="str">
        <v/>
      </c>
      <c r="P172" s="167" t="str">
        <v/>
      </c>
    </row>
    <row r="173" spans="1:16" x14ac:dyDescent="0.2">
      <c r="A173" s="58" t="str">
        <v/>
      </c>
      <c r="B173" s="144" t="str">
        <v/>
      </c>
      <c r="C173" s="167" t="str">
        <v/>
      </c>
      <c r="D173" s="167" t="str">
        <v/>
      </c>
      <c r="E173" s="167" t="str">
        <v/>
      </c>
      <c r="F173" s="167" t="str">
        <v/>
      </c>
      <c r="G173" s="167" t="str">
        <v/>
      </c>
      <c r="H173" s="167" t="str">
        <v/>
      </c>
      <c r="I173" s="167" t="str">
        <v/>
      </c>
      <c r="J173" s="167" t="str">
        <v/>
      </c>
      <c r="K173" s="167" t="str">
        <v/>
      </c>
      <c r="L173" s="167" t="str">
        <v/>
      </c>
      <c r="M173" s="167" t="str">
        <v/>
      </c>
      <c r="N173" s="167" t="str">
        <v/>
      </c>
      <c r="O173" s="167" t="str">
        <v/>
      </c>
      <c r="P173" s="167" t="str">
        <v/>
      </c>
    </row>
    <row r="174" spans="1:16" x14ac:dyDescent="0.2">
      <c r="A174" s="58" t="str">
        <v/>
      </c>
      <c r="B174" s="144" t="str">
        <v/>
      </c>
      <c r="C174" s="167" t="str">
        <v/>
      </c>
      <c r="D174" s="167" t="str">
        <v/>
      </c>
      <c r="E174" s="167" t="str">
        <v/>
      </c>
      <c r="F174" s="167" t="str">
        <v/>
      </c>
      <c r="G174" s="167" t="str">
        <v/>
      </c>
      <c r="H174" s="167" t="str">
        <v/>
      </c>
      <c r="I174" s="167" t="str">
        <v/>
      </c>
      <c r="J174" s="167" t="str">
        <v/>
      </c>
      <c r="K174" s="167" t="str">
        <v/>
      </c>
      <c r="L174" s="167" t="str">
        <v/>
      </c>
      <c r="M174" s="167" t="str">
        <v/>
      </c>
      <c r="N174" s="167" t="str">
        <v/>
      </c>
      <c r="O174" s="167" t="str">
        <v/>
      </c>
      <c r="P174" s="167" t="str">
        <v/>
      </c>
    </row>
    <row r="175" spans="1:16" x14ac:dyDescent="0.2">
      <c r="A175" s="58" t="str">
        <v/>
      </c>
      <c r="B175" s="144" t="str">
        <v/>
      </c>
      <c r="C175" s="167" t="str">
        <v/>
      </c>
      <c r="D175" s="167" t="str">
        <v/>
      </c>
      <c r="E175" s="167" t="str">
        <v/>
      </c>
      <c r="F175" s="167" t="str">
        <v/>
      </c>
      <c r="G175" s="167" t="str">
        <v/>
      </c>
      <c r="H175" s="167" t="str">
        <v/>
      </c>
      <c r="I175" s="167" t="str">
        <v/>
      </c>
      <c r="J175" s="167" t="str">
        <v/>
      </c>
      <c r="K175" s="167" t="str">
        <v/>
      </c>
      <c r="L175" s="167" t="str">
        <v/>
      </c>
      <c r="M175" s="167" t="str">
        <v/>
      </c>
      <c r="N175" s="167" t="str">
        <v/>
      </c>
      <c r="O175" s="167" t="str">
        <v/>
      </c>
      <c r="P175" s="167" t="str">
        <v/>
      </c>
    </row>
    <row r="176" spans="1:16" x14ac:dyDescent="0.2">
      <c r="A176" s="58" t="str">
        <v/>
      </c>
      <c r="B176" s="144" t="str">
        <v/>
      </c>
      <c r="C176" s="167" t="str">
        <v/>
      </c>
      <c r="D176" s="167" t="str">
        <v/>
      </c>
      <c r="E176" s="167" t="str">
        <v/>
      </c>
      <c r="F176" s="167" t="str">
        <v/>
      </c>
      <c r="G176" s="167" t="str">
        <v/>
      </c>
      <c r="H176" s="167" t="str">
        <v/>
      </c>
      <c r="I176" s="167" t="str">
        <v/>
      </c>
      <c r="J176" s="167" t="str">
        <v/>
      </c>
      <c r="K176" s="167" t="str">
        <v/>
      </c>
      <c r="L176" s="167" t="str">
        <v/>
      </c>
      <c r="M176" s="167" t="str">
        <v/>
      </c>
      <c r="N176" s="167" t="str">
        <v/>
      </c>
      <c r="O176" s="167" t="str">
        <v/>
      </c>
      <c r="P176" s="167" t="str">
        <v/>
      </c>
    </row>
    <row r="177" spans="1:16" x14ac:dyDescent="0.2">
      <c r="A177" s="58" t="str">
        <v/>
      </c>
      <c r="B177" s="144" t="str">
        <v/>
      </c>
      <c r="C177" s="167" t="str">
        <v/>
      </c>
      <c r="D177" s="167" t="str">
        <v/>
      </c>
      <c r="E177" s="167" t="str">
        <v/>
      </c>
      <c r="F177" s="167" t="str">
        <v/>
      </c>
      <c r="G177" s="167" t="str">
        <v/>
      </c>
      <c r="H177" s="167" t="str">
        <v/>
      </c>
      <c r="I177" s="167" t="str">
        <v/>
      </c>
      <c r="J177" s="167" t="str">
        <v/>
      </c>
      <c r="K177" s="167" t="str">
        <v/>
      </c>
      <c r="L177" s="167" t="str">
        <v/>
      </c>
      <c r="M177" s="167" t="str">
        <v/>
      </c>
      <c r="N177" s="167" t="str">
        <v/>
      </c>
      <c r="O177" s="167" t="str">
        <v/>
      </c>
      <c r="P177" s="167" t="str">
        <v/>
      </c>
    </row>
    <row r="178" spans="1:16" x14ac:dyDescent="0.2">
      <c r="A178" s="58" t="str">
        <v/>
      </c>
      <c r="B178" s="144" t="str">
        <v/>
      </c>
      <c r="C178" s="167" t="str">
        <v/>
      </c>
      <c r="D178" s="167" t="str">
        <v/>
      </c>
      <c r="E178" s="167" t="str">
        <v/>
      </c>
      <c r="F178" s="167" t="str">
        <v/>
      </c>
      <c r="G178" s="167" t="str">
        <v/>
      </c>
      <c r="H178" s="167" t="str">
        <v/>
      </c>
      <c r="I178" s="167" t="str">
        <v/>
      </c>
      <c r="J178" s="167" t="str">
        <v/>
      </c>
      <c r="K178" s="167" t="str">
        <v/>
      </c>
      <c r="L178" s="167" t="str">
        <v/>
      </c>
      <c r="M178" s="167" t="str">
        <v/>
      </c>
      <c r="N178" s="167" t="str">
        <v/>
      </c>
      <c r="O178" s="167" t="str">
        <v/>
      </c>
      <c r="P178" s="167" t="str">
        <v/>
      </c>
    </row>
    <row r="179" spans="1:16" x14ac:dyDescent="0.2">
      <c r="A179" s="58" t="str">
        <v/>
      </c>
      <c r="B179" s="144" t="str">
        <v/>
      </c>
      <c r="C179" s="167" t="str">
        <v/>
      </c>
      <c r="D179" s="167" t="str">
        <v/>
      </c>
      <c r="E179" s="167" t="str">
        <v/>
      </c>
      <c r="F179" s="167" t="str">
        <v/>
      </c>
      <c r="G179" s="167" t="str">
        <v/>
      </c>
      <c r="H179" s="167" t="str">
        <v/>
      </c>
      <c r="I179" s="167" t="str">
        <v/>
      </c>
      <c r="J179" s="167" t="str">
        <v/>
      </c>
      <c r="K179" s="167" t="str">
        <v/>
      </c>
      <c r="L179" s="167" t="str">
        <v/>
      </c>
      <c r="M179" s="167" t="str">
        <v/>
      </c>
      <c r="N179" s="167" t="str">
        <v/>
      </c>
      <c r="O179" s="167" t="str">
        <v/>
      </c>
      <c r="P179" s="167" t="str">
        <v/>
      </c>
    </row>
    <row r="180" spans="1:16" x14ac:dyDescent="0.2">
      <c r="A180" s="58" t="str">
        <v/>
      </c>
      <c r="B180" s="144" t="str">
        <v/>
      </c>
      <c r="C180" s="167" t="str">
        <v/>
      </c>
      <c r="D180" s="167" t="str">
        <v/>
      </c>
      <c r="E180" s="167" t="str">
        <v/>
      </c>
      <c r="F180" s="167" t="str">
        <v/>
      </c>
      <c r="G180" s="167" t="str">
        <v/>
      </c>
      <c r="H180" s="167" t="str">
        <v/>
      </c>
      <c r="I180" s="167" t="str">
        <v/>
      </c>
      <c r="J180" s="167" t="str">
        <v/>
      </c>
      <c r="K180" s="167" t="str">
        <v/>
      </c>
      <c r="L180" s="167" t="str">
        <v/>
      </c>
      <c r="M180" s="167" t="str">
        <v/>
      </c>
      <c r="N180" s="167" t="str">
        <v/>
      </c>
      <c r="O180" s="167" t="str">
        <v/>
      </c>
      <c r="P180" s="167" t="str">
        <v/>
      </c>
    </row>
    <row r="181" spans="1:16" x14ac:dyDescent="0.2">
      <c r="A181" s="58" t="str">
        <v/>
      </c>
      <c r="B181" s="144" t="str">
        <v/>
      </c>
      <c r="C181" s="167" t="str">
        <v/>
      </c>
      <c r="D181" s="167" t="str">
        <v/>
      </c>
      <c r="E181" s="167" t="str">
        <v/>
      </c>
      <c r="F181" s="167" t="str">
        <v/>
      </c>
      <c r="G181" s="167" t="str">
        <v/>
      </c>
      <c r="H181" s="167" t="str">
        <v/>
      </c>
      <c r="I181" s="167" t="str">
        <v/>
      </c>
      <c r="J181" s="167" t="str">
        <v/>
      </c>
      <c r="K181" s="167" t="str">
        <v/>
      </c>
      <c r="L181" s="167" t="str">
        <v/>
      </c>
      <c r="M181" s="167" t="str">
        <v/>
      </c>
      <c r="N181" s="167" t="str">
        <v/>
      </c>
      <c r="O181" s="167" t="str">
        <v/>
      </c>
      <c r="P181" s="167" t="str">
        <v/>
      </c>
    </row>
    <row r="182" spans="1:16" x14ac:dyDescent="0.2">
      <c r="A182" s="58" t="str">
        <v/>
      </c>
      <c r="B182" s="144" t="str">
        <v/>
      </c>
      <c r="C182" s="167" t="str">
        <v/>
      </c>
      <c r="D182" s="167" t="str">
        <v/>
      </c>
      <c r="E182" s="167" t="str">
        <v/>
      </c>
      <c r="F182" s="167" t="str">
        <v/>
      </c>
      <c r="G182" s="167" t="str">
        <v/>
      </c>
      <c r="H182" s="167" t="str">
        <v/>
      </c>
      <c r="I182" s="167" t="str">
        <v/>
      </c>
      <c r="J182" s="167" t="str">
        <v/>
      </c>
      <c r="K182" s="167" t="str">
        <v/>
      </c>
      <c r="L182" s="167" t="str">
        <v/>
      </c>
      <c r="M182" s="167" t="str">
        <v/>
      </c>
      <c r="N182" s="167" t="str">
        <v/>
      </c>
      <c r="O182" s="167" t="str">
        <v/>
      </c>
      <c r="P182" s="167" t="str">
        <v/>
      </c>
    </row>
    <row r="183" spans="1:16" x14ac:dyDescent="0.2">
      <c r="A183" s="58" t="str">
        <v/>
      </c>
      <c r="B183" s="144" t="str">
        <v/>
      </c>
      <c r="C183" s="167" t="str">
        <v/>
      </c>
      <c r="D183" s="167" t="str">
        <v/>
      </c>
      <c r="E183" s="167" t="str">
        <v/>
      </c>
      <c r="F183" s="167" t="str">
        <v/>
      </c>
      <c r="G183" s="167" t="str">
        <v/>
      </c>
      <c r="H183" s="167" t="str">
        <v/>
      </c>
      <c r="I183" s="167" t="str">
        <v/>
      </c>
      <c r="J183" s="167" t="str">
        <v/>
      </c>
      <c r="K183" s="167" t="str">
        <v/>
      </c>
      <c r="L183" s="167" t="str">
        <v/>
      </c>
      <c r="M183" s="167" t="str">
        <v/>
      </c>
      <c r="N183" s="167" t="str">
        <v/>
      </c>
      <c r="O183" s="167" t="str">
        <v/>
      </c>
      <c r="P183" s="167" t="str">
        <v/>
      </c>
    </row>
    <row r="184" spans="1:16" x14ac:dyDescent="0.2">
      <c r="A184" s="58" t="str">
        <v/>
      </c>
      <c r="B184" s="144" t="str">
        <v/>
      </c>
      <c r="C184" s="167" t="str">
        <v/>
      </c>
      <c r="D184" s="167" t="str">
        <v/>
      </c>
      <c r="E184" s="167" t="str">
        <v/>
      </c>
      <c r="F184" s="167" t="str">
        <v/>
      </c>
      <c r="G184" s="167" t="str">
        <v/>
      </c>
      <c r="H184" s="167" t="str">
        <v/>
      </c>
      <c r="I184" s="167" t="str">
        <v/>
      </c>
      <c r="J184" s="167" t="str">
        <v/>
      </c>
      <c r="K184" s="167" t="str">
        <v/>
      </c>
      <c r="L184" s="167" t="str">
        <v/>
      </c>
      <c r="M184" s="167" t="str">
        <v/>
      </c>
      <c r="N184" s="167" t="str">
        <v/>
      </c>
      <c r="O184" s="167" t="str">
        <v/>
      </c>
      <c r="P184" s="167" t="str">
        <v/>
      </c>
    </row>
    <row r="185" spans="1:16" x14ac:dyDescent="0.2">
      <c r="A185" s="58" t="str">
        <v/>
      </c>
      <c r="B185" s="144" t="str">
        <v/>
      </c>
      <c r="C185" s="167" t="str">
        <v/>
      </c>
      <c r="D185" s="167" t="str">
        <v/>
      </c>
      <c r="E185" s="167" t="str">
        <v/>
      </c>
      <c r="F185" s="167" t="str">
        <v/>
      </c>
      <c r="G185" s="167" t="str">
        <v/>
      </c>
      <c r="H185" s="167" t="str">
        <v/>
      </c>
      <c r="I185" s="167" t="str">
        <v/>
      </c>
      <c r="J185" s="167" t="str">
        <v/>
      </c>
      <c r="K185" s="167" t="str">
        <v/>
      </c>
      <c r="L185" s="167" t="str">
        <v/>
      </c>
      <c r="M185" s="167" t="str">
        <v/>
      </c>
      <c r="N185" s="167" t="str">
        <v/>
      </c>
      <c r="O185" s="167" t="str">
        <v/>
      </c>
      <c r="P185" s="167" t="str">
        <v/>
      </c>
    </row>
    <row r="186" spans="1:16" x14ac:dyDescent="0.2">
      <c r="A186" s="58" t="str">
        <v/>
      </c>
      <c r="B186" s="144" t="str">
        <v/>
      </c>
      <c r="C186" s="167" t="str">
        <v/>
      </c>
      <c r="D186" s="167" t="str">
        <v/>
      </c>
      <c r="E186" s="167" t="str">
        <v/>
      </c>
      <c r="F186" s="167" t="str">
        <v/>
      </c>
      <c r="G186" s="167" t="str">
        <v/>
      </c>
      <c r="H186" s="167" t="str">
        <v/>
      </c>
      <c r="I186" s="167" t="str">
        <v/>
      </c>
      <c r="J186" s="167" t="str">
        <v/>
      </c>
      <c r="K186" s="167" t="str">
        <v/>
      </c>
      <c r="L186" s="167" t="str">
        <v/>
      </c>
      <c r="M186" s="167" t="str">
        <v/>
      </c>
      <c r="N186" s="167" t="str">
        <v/>
      </c>
      <c r="O186" s="167" t="str">
        <v/>
      </c>
      <c r="P186" s="167" t="str">
        <v/>
      </c>
    </row>
    <row r="187" spans="1:16" x14ac:dyDescent="0.2">
      <c r="A187" s="58" t="str">
        <v/>
      </c>
      <c r="B187" s="144" t="str">
        <v/>
      </c>
      <c r="C187" s="167" t="str">
        <v/>
      </c>
      <c r="D187" s="167" t="str">
        <v/>
      </c>
      <c r="E187" s="167" t="str">
        <v/>
      </c>
      <c r="F187" s="167" t="str">
        <v/>
      </c>
      <c r="G187" s="167" t="str">
        <v/>
      </c>
      <c r="H187" s="167" t="str">
        <v/>
      </c>
      <c r="I187" s="167" t="str">
        <v/>
      </c>
      <c r="J187" s="167" t="str">
        <v/>
      </c>
      <c r="K187" s="167" t="str">
        <v/>
      </c>
      <c r="L187" s="167" t="str">
        <v/>
      </c>
      <c r="M187" s="167" t="str">
        <v/>
      </c>
      <c r="N187" s="167" t="str">
        <v/>
      </c>
      <c r="O187" s="167" t="str">
        <v/>
      </c>
      <c r="P187" s="167" t="str">
        <v/>
      </c>
    </row>
    <row r="188" spans="1:16" x14ac:dyDescent="0.2">
      <c r="A188" s="58" t="str">
        <v/>
      </c>
      <c r="B188" s="144" t="str">
        <v/>
      </c>
      <c r="C188" s="167" t="str">
        <v/>
      </c>
      <c r="D188" s="167" t="str">
        <v/>
      </c>
      <c r="E188" s="167" t="str">
        <v/>
      </c>
      <c r="F188" s="167" t="str">
        <v/>
      </c>
      <c r="G188" s="167" t="str">
        <v/>
      </c>
      <c r="H188" s="167" t="str">
        <v/>
      </c>
      <c r="I188" s="167" t="str">
        <v/>
      </c>
      <c r="J188" s="167" t="str">
        <v/>
      </c>
      <c r="K188" s="167" t="str">
        <v/>
      </c>
      <c r="L188" s="167" t="str">
        <v/>
      </c>
      <c r="M188" s="167" t="str">
        <v/>
      </c>
      <c r="N188" s="167" t="str">
        <v/>
      </c>
      <c r="O188" s="167" t="str">
        <v/>
      </c>
      <c r="P188" s="167" t="str">
        <v/>
      </c>
    </row>
    <row r="189" spans="1:16" x14ac:dyDescent="0.2">
      <c r="A189" s="58" t="str">
        <v/>
      </c>
      <c r="B189" s="144" t="str">
        <v/>
      </c>
      <c r="C189" s="167" t="str">
        <v/>
      </c>
      <c r="D189" s="167" t="str">
        <v/>
      </c>
      <c r="E189" s="167" t="str">
        <v/>
      </c>
      <c r="F189" s="167" t="str">
        <v/>
      </c>
      <c r="G189" s="167" t="str">
        <v/>
      </c>
      <c r="H189" s="167" t="str">
        <v/>
      </c>
      <c r="I189" s="167" t="str">
        <v/>
      </c>
      <c r="J189" s="167" t="str">
        <v/>
      </c>
      <c r="K189" s="167" t="str">
        <v/>
      </c>
      <c r="L189" s="167" t="str">
        <v/>
      </c>
      <c r="M189" s="167" t="str">
        <v/>
      </c>
      <c r="N189" s="167" t="str">
        <v/>
      </c>
      <c r="O189" s="167" t="str">
        <v/>
      </c>
      <c r="P189" s="167" t="str">
        <v/>
      </c>
    </row>
    <row r="190" spans="1:16" x14ac:dyDescent="0.2">
      <c r="A190" s="58" t="str">
        <v/>
      </c>
      <c r="B190" s="144" t="str">
        <v/>
      </c>
      <c r="C190" s="167" t="str">
        <v/>
      </c>
      <c r="D190" s="167" t="str">
        <v/>
      </c>
      <c r="E190" s="167" t="str">
        <v/>
      </c>
      <c r="F190" s="167" t="str">
        <v/>
      </c>
      <c r="G190" s="167" t="str">
        <v/>
      </c>
      <c r="H190" s="167" t="str">
        <v/>
      </c>
      <c r="I190" s="167" t="str">
        <v/>
      </c>
      <c r="J190" s="167" t="str">
        <v/>
      </c>
      <c r="K190" s="167" t="str">
        <v/>
      </c>
      <c r="L190" s="167" t="str">
        <v/>
      </c>
      <c r="M190" s="167" t="str">
        <v/>
      </c>
      <c r="N190" s="167" t="str">
        <v/>
      </c>
      <c r="O190" s="167" t="str">
        <v/>
      </c>
      <c r="P190" s="167" t="str">
        <v/>
      </c>
    </row>
    <row r="191" spans="1:16" x14ac:dyDescent="0.2">
      <c r="A191" s="58" t="str">
        <v/>
      </c>
      <c r="B191" s="144" t="str">
        <v/>
      </c>
      <c r="C191" s="167" t="str">
        <v/>
      </c>
      <c r="D191" s="167" t="str">
        <v/>
      </c>
      <c r="E191" s="167" t="str">
        <v/>
      </c>
      <c r="F191" s="167" t="str">
        <v/>
      </c>
      <c r="G191" s="167" t="str">
        <v/>
      </c>
      <c r="H191" s="167" t="str">
        <v/>
      </c>
      <c r="I191" s="167" t="str">
        <v/>
      </c>
      <c r="J191" s="167" t="str">
        <v/>
      </c>
      <c r="K191" s="167" t="str">
        <v/>
      </c>
      <c r="L191" s="167" t="str">
        <v/>
      </c>
      <c r="M191" s="167" t="str">
        <v/>
      </c>
      <c r="N191" s="167" t="str">
        <v/>
      </c>
      <c r="O191" s="167" t="str">
        <v/>
      </c>
      <c r="P191" s="167" t="str">
        <v/>
      </c>
    </row>
    <row r="192" spans="1:16" x14ac:dyDescent="0.2">
      <c r="A192" s="58" t="str">
        <v/>
      </c>
      <c r="B192" s="144" t="str">
        <v/>
      </c>
      <c r="C192" s="167" t="str">
        <v/>
      </c>
      <c r="D192" s="167" t="str">
        <v/>
      </c>
      <c r="E192" s="167" t="str">
        <v/>
      </c>
      <c r="F192" s="167" t="str">
        <v/>
      </c>
      <c r="G192" s="167" t="str">
        <v/>
      </c>
      <c r="H192" s="167" t="str">
        <v/>
      </c>
      <c r="I192" s="167" t="str">
        <v/>
      </c>
      <c r="J192" s="167" t="str">
        <v/>
      </c>
      <c r="K192" s="167" t="str">
        <v/>
      </c>
      <c r="L192" s="167" t="str">
        <v/>
      </c>
      <c r="M192" s="167" t="str">
        <v/>
      </c>
      <c r="N192" s="167" t="str">
        <v/>
      </c>
      <c r="O192" s="167" t="str">
        <v/>
      </c>
      <c r="P192" s="167" t="str">
        <v/>
      </c>
    </row>
    <row r="193" spans="1:16" x14ac:dyDescent="0.2">
      <c r="A193" s="58" t="str">
        <v/>
      </c>
      <c r="B193" s="144" t="str">
        <v/>
      </c>
      <c r="C193" s="167" t="str">
        <v/>
      </c>
      <c r="D193" s="167" t="str">
        <v/>
      </c>
      <c r="E193" s="167" t="str">
        <v/>
      </c>
      <c r="F193" s="167" t="str">
        <v/>
      </c>
      <c r="G193" s="167" t="str">
        <v/>
      </c>
      <c r="H193" s="167" t="str">
        <v/>
      </c>
      <c r="I193" s="167" t="str">
        <v/>
      </c>
      <c r="J193" s="167" t="str">
        <v/>
      </c>
      <c r="K193" s="167" t="str">
        <v/>
      </c>
      <c r="L193" s="167" t="str">
        <v/>
      </c>
      <c r="M193" s="167" t="str">
        <v/>
      </c>
      <c r="N193" s="167" t="str">
        <v/>
      </c>
      <c r="O193" s="167" t="str">
        <v/>
      </c>
      <c r="P193" s="167" t="str">
        <v/>
      </c>
    </row>
    <row r="194" spans="1:16" x14ac:dyDescent="0.2">
      <c r="A194" s="58" t="str">
        <v/>
      </c>
      <c r="B194" s="144" t="str">
        <v/>
      </c>
      <c r="C194" s="167" t="str">
        <v/>
      </c>
      <c r="D194" s="167" t="str">
        <v/>
      </c>
      <c r="E194" s="167" t="str">
        <v/>
      </c>
      <c r="F194" s="167" t="str">
        <v/>
      </c>
      <c r="G194" s="167" t="str">
        <v/>
      </c>
      <c r="H194" s="167" t="str">
        <v/>
      </c>
      <c r="I194" s="167" t="str">
        <v/>
      </c>
      <c r="J194" s="167" t="str">
        <v/>
      </c>
      <c r="K194" s="167" t="str">
        <v/>
      </c>
      <c r="L194" s="167" t="str">
        <v/>
      </c>
      <c r="M194" s="167" t="str">
        <v/>
      </c>
      <c r="N194" s="167" t="str">
        <v/>
      </c>
      <c r="O194" s="167" t="str">
        <v/>
      </c>
      <c r="P194" s="167" t="str">
        <v/>
      </c>
    </row>
    <row r="195" spans="1:16" x14ac:dyDescent="0.2">
      <c r="A195" s="58" t="str">
        <v/>
      </c>
      <c r="B195" s="144" t="str">
        <v/>
      </c>
      <c r="C195" s="167" t="str">
        <v/>
      </c>
      <c r="D195" s="167" t="str">
        <v/>
      </c>
      <c r="E195" s="167" t="str">
        <v/>
      </c>
      <c r="F195" s="167" t="str">
        <v/>
      </c>
      <c r="G195" s="167" t="str">
        <v/>
      </c>
      <c r="H195" s="167" t="str">
        <v/>
      </c>
      <c r="I195" s="167" t="str">
        <v/>
      </c>
      <c r="J195" s="167" t="str">
        <v/>
      </c>
      <c r="K195" s="167" t="str">
        <v/>
      </c>
      <c r="L195" s="167" t="str">
        <v/>
      </c>
      <c r="M195" s="167" t="str">
        <v/>
      </c>
      <c r="N195" s="167" t="str">
        <v/>
      </c>
      <c r="O195" s="167" t="str">
        <v/>
      </c>
      <c r="P195" s="167" t="str">
        <v/>
      </c>
    </row>
    <row r="196" spans="1:16" x14ac:dyDescent="0.2">
      <c r="A196" s="58" t="str">
        <v/>
      </c>
      <c r="B196" s="144" t="str">
        <v/>
      </c>
      <c r="C196" s="167" t="str">
        <v/>
      </c>
      <c r="D196" s="167" t="str">
        <v/>
      </c>
      <c r="E196" s="167" t="str">
        <v/>
      </c>
      <c r="F196" s="167" t="str">
        <v/>
      </c>
      <c r="G196" s="167" t="str">
        <v/>
      </c>
      <c r="H196" s="167" t="str">
        <v/>
      </c>
      <c r="I196" s="167" t="str">
        <v/>
      </c>
      <c r="J196" s="167" t="str">
        <v/>
      </c>
      <c r="K196" s="167" t="str">
        <v/>
      </c>
      <c r="L196" s="167" t="str">
        <v/>
      </c>
      <c r="M196" s="167" t="str">
        <v/>
      </c>
      <c r="N196" s="167" t="str">
        <v/>
      </c>
      <c r="O196" s="167" t="str">
        <v/>
      </c>
      <c r="P196" s="167" t="str">
        <v/>
      </c>
    </row>
    <row r="197" spans="1:16" x14ac:dyDescent="0.2">
      <c r="A197" s="58" t="str">
        <v/>
      </c>
      <c r="B197" s="144" t="str">
        <v/>
      </c>
      <c r="C197" s="167" t="str">
        <v/>
      </c>
      <c r="D197" s="167" t="str">
        <v/>
      </c>
      <c r="E197" s="167" t="str">
        <v/>
      </c>
      <c r="F197" s="167" t="str">
        <v/>
      </c>
      <c r="G197" s="167" t="str">
        <v/>
      </c>
      <c r="H197" s="167" t="str">
        <v/>
      </c>
      <c r="I197" s="167" t="str">
        <v/>
      </c>
      <c r="J197" s="167" t="str">
        <v/>
      </c>
      <c r="K197" s="167" t="str">
        <v/>
      </c>
      <c r="L197" s="167" t="str">
        <v/>
      </c>
      <c r="M197" s="167" t="str">
        <v/>
      </c>
      <c r="N197" s="167" t="str">
        <v/>
      </c>
      <c r="O197" s="167" t="str">
        <v/>
      </c>
      <c r="P197" s="167" t="str">
        <v/>
      </c>
    </row>
    <row r="198" spans="1:16" x14ac:dyDescent="0.2">
      <c r="A198" s="58" t="str">
        <v/>
      </c>
      <c r="B198" s="144" t="str">
        <v/>
      </c>
      <c r="C198" s="167" t="str">
        <v/>
      </c>
      <c r="D198" s="167" t="str">
        <v/>
      </c>
      <c r="E198" s="167" t="str">
        <v/>
      </c>
      <c r="F198" s="167" t="str">
        <v/>
      </c>
      <c r="G198" s="167" t="str">
        <v/>
      </c>
      <c r="H198" s="167" t="str">
        <v/>
      </c>
      <c r="I198" s="167" t="str">
        <v/>
      </c>
      <c r="J198" s="167" t="str">
        <v/>
      </c>
      <c r="K198" s="167" t="str">
        <v/>
      </c>
      <c r="L198" s="167" t="str">
        <v/>
      </c>
      <c r="M198" s="167" t="str">
        <v/>
      </c>
      <c r="N198" s="167" t="str">
        <v/>
      </c>
      <c r="O198" s="167" t="str">
        <v/>
      </c>
      <c r="P198" s="167" t="str">
        <v/>
      </c>
    </row>
    <row r="199" spans="1:16" x14ac:dyDescent="0.2">
      <c r="A199" s="58" t="str">
        <v/>
      </c>
      <c r="B199" s="144" t="str">
        <v/>
      </c>
      <c r="C199" s="167" t="str">
        <v/>
      </c>
      <c r="D199" s="167" t="str">
        <v/>
      </c>
      <c r="E199" s="167" t="str">
        <v/>
      </c>
      <c r="F199" s="167" t="str">
        <v/>
      </c>
      <c r="G199" s="167" t="str">
        <v/>
      </c>
      <c r="H199" s="167" t="str">
        <v/>
      </c>
      <c r="I199" s="167" t="str">
        <v/>
      </c>
      <c r="J199" s="167" t="str">
        <v/>
      </c>
      <c r="K199" s="167" t="str">
        <v/>
      </c>
      <c r="L199" s="167" t="str">
        <v/>
      </c>
      <c r="M199" s="167" t="str">
        <v/>
      </c>
      <c r="N199" s="167" t="str">
        <v/>
      </c>
      <c r="O199" s="167" t="str">
        <v/>
      </c>
      <c r="P199" s="167" t="str">
        <v/>
      </c>
    </row>
    <row r="200" spans="1:16" x14ac:dyDescent="0.2">
      <c r="A200" s="58" t="str">
        <v/>
      </c>
      <c r="B200" s="144" t="str">
        <v/>
      </c>
      <c r="C200" s="167" t="str">
        <v/>
      </c>
      <c r="D200" s="167" t="str">
        <v/>
      </c>
      <c r="E200" s="167" t="str">
        <v/>
      </c>
      <c r="F200" s="167" t="str">
        <v/>
      </c>
      <c r="G200" s="167" t="str">
        <v/>
      </c>
      <c r="H200" s="167" t="str">
        <v/>
      </c>
      <c r="I200" s="167" t="str">
        <v/>
      </c>
      <c r="J200" s="167" t="str">
        <v/>
      </c>
      <c r="K200" s="167" t="str">
        <v/>
      </c>
      <c r="L200" s="167" t="str">
        <v/>
      </c>
      <c r="M200" s="167" t="str">
        <v/>
      </c>
      <c r="N200" s="167" t="str">
        <v/>
      </c>
      <c r="O200" s="167" t="str">
        <v/>
      </c>
      <c r="P200" s="167" t="str">
        <v/>
      </c>
    </row>
    <row r="201" spans="1:16" x14ac:dyDescent="0.2">
      <c r="A201" s="58" t="str">
        <v/>
      </c>
      <c r="B201" s="144" t="str">
        <v/>
      </c>
      <c r="C201" s="167" t="str">
        <v/>
      </c>
      <c r="D201" s="167" t="str">
        <v/>
      </c>
      <c r="E201" s="167" t="str">
        <v/>
      </c>
      <c r="F201" s="167" t="str">
        <v/>
      </c>
      <c r="G201" s="167" t="str">
        <v/>
      </c>
      <c r="H201" s="167" t="str">
        <v/>
      </c>
      <c r="I201" s="167" t="str">
        <v/>
      </c>
      <c r="J201" s="167" t="str">
        <v/>
      </c>
      <c r="K201" s="167" t="str">
        <v/>
      </c>
      <c r="L201" s="167" t="str">
        <v/>
      </c>
      <c r="M201" s="167" t="str">
        <v/>
      </c>
      <c r="N201" s="167" t="str">
        <v/>
      </c>
      <c r="O201" s="167" t="str">
        <v/>
      </c>
      <c r="P201" s="167" t="str">
        <v/>
      </c>
    </row>
    <row r="202" spans="1:16" x14ac:dyDescent="0.2">
      <c r="A202" s="58" t="str">
        <v/>
      </c>
      <c r="B202" s="144" t="str">
        <v/>
      </c>
      <c r="C202" s="167" t="str">
        <v/>
      </c>
      <c r="D202" s="167" t="str">
        <v/>
      </c>
      <c r="E202" s="167" t="str">
        <v/>
      </c>
      <c r="F202" s="167" t="str">
        <v/>
      </c>
      <c r="G202" s="167" t="str">
        <v/>
      </c>
      <c r="H202" s="167" t="str">
        <v/>
      </c>
      <c r="I202" s="167" t="str">
        <v/>
      </c>
      <c r="J202" s="167" t="str">
        <v/>
      </c>
      <c r="K202" s="167" t="str">
        <v/>
      </c>
      <c r="L202" s="167" t="str">
        <v/>
      </c>
      <c r="M202" s="167" t="str">
        <v/>
      </c>
      <c r="N202" s="167" t="str">
        <v/>
      </c>
      <c r="O202" s="167" t="str">
        <v/>
      </c>
      <c r="P202" s="167" t="str">
        <v/>
      </c>
    </row>
    <row r="203" spans="1:16" x14ac:dyDescent="0.2">
      <c r="A203" s="58" t="str">
        <v/>
      </c>
      <c r="B203" s="144" t="str">
        <v/>
      </c>
      <c r="C203" s="167" t="str">
        <v/>
      </c>
      <c r="D203" s="167" t="str">
        <v/>
      </c>
      <c r="E203" s="167" t="str">
        <v/>
      </c>
      <c r="F203" s="167" t="str">
        <v/>
      </c>
      <c r="G203" s="167" t="str">
        <v/>
      </c>
      <c r="H203" s="167" t="str">
        <v/>
      </c>
      <c r="I203" s="167" t="str">
        <v/>
      </c>
      <c r="J203" s="167" t="str">
        <v/>
      </c>
      <c r="K203" s="167" t="str">
        <v/>
      </c>
      <c r="L203" s="167" t="str">
        <v/>
      </c>
      <c r="M203" s="167" t="str">
        <v/>
      </c>
      <c r="N203" s="167" t="str">
        <v/>
      </c>
      <c r="O203" s="167" t="str">
        <v/>
      </c>
      <c r="P203" s="167" t="str">
        <v/>
      </c>
    </row>
    <row r="204" spans="1:16" x14ac:dyDescent="0.2">
      <c r="A204" s="58" t="str">
        <v/>
      </c>
      <c r="B204" s="144" t="str">
        <v/>
      </c>
      <c r="C204" s="167" t="str">
        <v/>
      </c>
      <c r="D204" s="167" t="str">
        <v/>
      </c>
      <c r="E204" s="167" t="str">
        <v/>
      </c>
      <c r="F204" s="167" t="str">
        <v/>
      </c>
      <c r="G204" s="167" t="str">
        <v/>
      </c>
      <c r="H204" s="167" t="str">
        <v/>
      </c>
      <c r="I204" s="167" t="str">
        <v/>
      </c>
      <c r="J204" s="167" t="str">
        <v/>
      </c>
      <c r="K204" s="167" t="str">
        <v/>
      </c>
      <c r="L204" s="167" t="str">
        <v/>
      </c>
      <c r="M204" s="167" t="str">
        <v/>
      </c>
      <c r="N204" s="167" t="str">
        <v/>
      </c>
      <c r="O204" s="167" t="str">
        <v/>
      </c>
      <c r="P204" s="167" t="str">
        <v/>
      </c>
    </row>
    <row r="205" spans="1:16" x14ac:dyDescent="0.2">
      <c r="A205" s="58" t="str">
        <v/>
      </c>
      <c r="B205" s="144" t="str">
        <v/>
      </c>
      <c r="C205" s="167" t="str">
        <v/>
      </c>
      <c r="D205" s="167" t="str">
        <v/>
      </c>
      <c r="E205" s="167" t="str">
        <v/>
      </c>
      <c r="F205" s="167" t="str">
        <v/>
      </c>
      <c r="G205" s="167" t="str">
        <v/>
      </c>
      <c r="H205" s="167" t="str">
        <v/>
      </c>
      <c r="I205" s="167" t="str">
        <v/>
      </c>
      <c r="J205" s="167" t="str">
        <v/>
      </c>
      <c r="K205" s="167" t="str">
        <v/>
      </c>
      <c r="L205" s="167" t="str">
        <v/>
      </c>
      <c r="M205" s="167" t="str">
        <v/>
      </c>
      <c r="N205" s="167" t="str">
        <v/>
      </c>
      <c r="O205" s="167" t="str">
        <v/>
      </c>
      <c r="P205" s="167" t="str">
        <v/>
      </c>
    </row>
    <row r="206" spans="1:16" x14ac:dyDescent="0.2">
      <c r="A206" s="58" t="str">
        <v/>
      </c>
      <c r="B206" s="144" t="str">
        <v/>
      </c>
      <c r="C206" s="167" t="str">
        <v/>
      </c>
      <c r="D206" s="167" t="str">
        <v/>
      </c>
      <c r="E206" s="167" t="str">
        <v/>
      </c>
      <c r="F206" s="167" t="str">
        <v/>
      </c>
      <c r="G206" s="167" t="str">
        <v/>
      </c>
      <c r="H206" s="167" t="str">
        <v/>
      </c>
      <c r="I206" s="167" t="str">
        <v/>
      </c>
      <c r="J206" s="167" t="str">
        <v/>
      </c>
      <c r="K206" s="167" t="str">
        <v/>
      </c>
      <c r="L206" s="167" t="str">
        <v/>
      </c>
      <c r="M206" s="167" t="str">
        <v/>
      </c>
      <c r="N206" s="167" t="str">
        <v/>
      </c>
      <c r="O206" s="167" t="str">
        <v/>
      </c>
      <c r="P206" s="167" t="str">
        <v/>
      </c>
    </row>
    <row r="207" spans="1:16" x14ac:dyDescent="0.2">
      <c r="A207" s="58" t="str">
        <v/>
      </c>
      <c r="B207" s="144" t="str">
        <v/>
      </c>
      <c r="C207" s="167" t="str">
        <v/>
      </c>
      <c r="D207" s="167" t="str">
        <v/>
      </c>
      <c r="E207" s="167" t="str">
        <v/>
      </c>
      <c r="F207" s="167" t="str">
        <v/>
      </c>
      <c r="G207" s="167" t="str">
        <v/>
      </c>
      <c r="H207" s="167" t="str">
        <v/>
      </c>
      <c r="I207" s="167" t="str">
        <v/>
      </c>
      <c r="J207" s="167" t="str">
        <v/>
      </c>
      <c r="K207" s="167" t="str">
        <v/>
      </c>
      <c r="L207" s="167" t="str">
        <v/>
      </c>
      <c r="M207" s="167" t="str">
        <v/>
      </c>
      <c r="N207" s="167" t="str">
        <v/>
      </c>
      <c r="O207" s="167" t="str">
        <v/>
      </c>
      <c r="P207" s="167" t="str">
        <v/>
      </c>
    </row>
    <row r="208" spans="1:16" x14ac:dyDescent="0.2">
      <c r="A208" s="58" t="str">
        <v/>
      </c>
      <c r="B208" s="144" t="str">
        <v/>
      </c>
      <c r="C208" s="167" t="str">
        <v/>
      </c>
      <c r="D208" s="167" t="str">
        <v/>
      </c>
      <c r="E208" s="167" t="str">
        <v/>
      </c>
      <c r="F208" s="167" t="str">
        <v/>
      </c>
      <c r="G208" s="167" t="str">
        <v/>
      </c>
      <c r="H208" s="167" t="str">
        <v/>
      </c>
      <c r="I208" s="167" t="str">
        <v/>
      </c>
      <c r="J208" s="167" t="str">
        <v/>
      </c>
      <c r="K208" s="167" t="str">
        <v/>
      </c>
      <c r="L208" s="167" t="str">
        <v/>
      </c>
      <c r="M208" s="167" t="str">
        <v/>
      </c>
      <c r="N208" s="167" t="str">
        <v/>
      </c>
      <c r="O208" s="167" t="str">
        <v/>
      </c>
      <c r="P208" s="167" t="str">
        <v/>
      </c>
    </row>
    <row r="209" spans="1:16" x14ac:dyDescent="0.2">
      <c r="A209" s="58" t="str">
        <v/>
      </c>
      <c r="B209" s="144" t="str">
        <v/>
      </c>
      <c r="C209" s="167" t="str">
        <v/>
      </c>
      <c r="D209" s="167" t="str">
        <v/>
      </c>
      <c r="E209" s="167" t="str">
        <v/>
      </c>
      <c r="F209" s="167" t="str">
        <v/>
      </c>
      <c r="G209" s="167" t="str">
        <v/>
      </c>
      <c r="H209" s="167" t="str">
        <v/>
      </c>
      <c r="I209" s="167" t="str">
        <v/>
      </c>
      <c r="J209" s="167" t="str">
        <v/>
      </c>
      <c r="K209" s="167" t="str">
        <v/>
      </c>
      <c r="L209" s="167" t="str">
        <v/>
      </c>
      <c r="M209" s="167" t="str">
        <v/>
      </c>
      <c r="N209" s="167" t="str">
        <v/>
      </c>
      <c r="O209" s="167" t="str">
        <v/>
      </c>
      <c r="P209" s="167" t="str">
        <v/>
      </c>
    </row>
    <row r="210" spans="1:16" x14ac:dyDescent="0.2">
      <c r="A210" s="58" t="str">
        <v/>
      </c>
      <c r="B210" s="144" t="str">
        <v/>
      </c>
      <c r="C210" s="167" t="str">
        <v/>
      </c>
      <c r="D210" s="167" t="str">
        <v/>
      </c>
      <c r="E210" s="167" t="str">
        <v/>
      </c>
      <c r="F210" s="167" t="str">
        <v/>
      </c>
      <c r="G210" s="167" t="str">
        <v/>
      </c>
      <c r="H210" s="167" t="str">
        <v/>
      </c>
      <c r="I210" s="167" t="str">
        <v/>
      </c>
      <c r="J210" s="167" t="str">
        <v/>
      </c>
      <c r="K210" s="167" t="str">
        <v/>
      </c>
      <c r="L210" s="167" t="str">
        <v/>
      </c>
      <c r="M210" s="167" t="str">
        <v/>
      </c>
      <c r="N210" s="167" t="str">
        <v/>
      </c>
      <c r="O210" s="167" t="str">
        <v/>
      </c>
      <c r="P210" s="167" t="str">
        <v/>
      </c>
    </row>
    <row r="211" spans="1:16" x14ac:dyDescent="0.2">
      <c r="A211" s="58" t="str">
        <v/>
      </c>
      <c r="B211" s="144" t="str">
        <v/>
      </c>
      <c r="C211" s="167" t="str">
        <v/>
      </c>
      <c r="D211" s="167" t="str">
        <v/>
      </c>
      <c r="E211" s="167" t="str">
        <v/>
      </c>
      <c r="F211" s="167" t="str">
        <v/>
      </c>
      <c r="G211" s="167" t="str">
        <v/>
      </c>
      <c r="H211" s="167" t="str">
        <v/>
      </c>
      <c r="I211" s="167" t="str">
        <v/>
      </c>
      <c r="J211" s="167" t="str">
        <v/>
      </c>
      <c r="K211" s="167" t="str">
        <v/>
      </c>
      <c r="L211" s="167" t="str">
        <v/>
      </c>
      <c r="M211" s="167" t="str">
        <v/>
      </c>
      <c r="N211" s="167" t="str">
        <v/>
      </c>
      <c r="O211" s="167" t="str">
        <v/>
      </c>
      <c r="P211" s="167" t="str">
        <v/>
      </c>
    </row>
    <row r="212" spans="1:16" x14ac:dyDescent="0.2">
      <c r="A212" s="58" t="str">
        <v/>
      </c>
      <c r="B212" s="144" t="str">
        <v/>
      </c>
      <c r="C212" s="167" t="str">
        <v/>
      </c>
      <c r="D212" s="167" t="str">
        <v/>
      </c>
      <c r="E212" s="167" t="str">
        <v/>
      </c>
      <c r="F212" s="167" t="str">
        <v/>
      </c>
      <c r="G212" s="167" t="str">
        <v/>
      </c>
      <c r="H212" s="167" t="str">
        <v/>
      </c>
      <c r="I212" s="167" t="str">
        <v/>
      </c>
      <c r="J212" s="167" t="str">
        <v/>
      </c>
      <c r="K212" s="167" t="str">
        <v/>
      </c>
      <c r="L212" s="167" t="str">
        <v/>
      </c>
      <c r="M212" s="167" t="str">
        <v/>
      </c>
      <c r="N212" s="167" t="str">
        <v/>
      </c>
      <c r="O212" s="167" t="str">
        <v/>
      </c>
      <c r="P212" s="167" t="str">
        <v/>
      </c>
    </row>
    <row r="213" spans="1:16" x14ac:dyDescent="0.2">
      <c r="A213" s="58" t="str">
        <v/>
      </c>
      <c r="B213" s="144" t="str">
        <v/>
      </c>
      <c r="C213" s="167" t="str">
        <v/>
      </c>
      <c r="D213" s="167" t="str">
        <v/>
      </c>
      <c r="E213" s="167" t="str">
        <v/>
      </c>
      <c r="F213" s="167" t="str">
        <v/>
      </c>
      <c r="G213" s="167" t="str">
        <v/>
      </c>
      <c r="H213" s="167" t="str">
        <v/>
      </c>
      <c r="I213" s="167" t="str">
        <v/>
      </c>
      <c r="J213" s="167" t="str">
        <v/>
      </c>
      <c r="K213" s="167" t="str">
        <v/>
      </c>
      <c r="L213" s="167" t="str">
        <v/>
      </c>
      <c r="M213" s="167" t="str">
        <v/>
      </c>
      <c r="N213" s="167" t="str">
        <v/>
      </c>
      <c r="O213" s="167" t="str">
        <v/>
      </c>
      <c r="P213" s="167" t="str">
        <v/>
      </c>
    </row>
    <row r="214" spans="1:16" x14ac:dyDescent="0.2">
      <c r="A214" s="58" t="str">
        <v/>
      </c>
      <c r="B214" s="144" t="str">
        <v/>
      </c>
      <c r="C214" s="167" t="str">
        <v/>
      </c>
      <c r="D214" s="167" t="str">
        <v/>
      </c>
      <c r="E214" s="167" t="str">
        <v/>
      </c>
      <c r="F214" s="167" t="str">
        <v/>
      </c>
      <c r="G214" s="167" t="str">
        <v/>
      </c>
      <c r="H214" s="167" t="str">
        <v/>
      </c>
      <c r="I214" s="167" t="str">
        <v/>
      </c>
      <c r="J214" s="167" t="str">
        <v/>
      </c>
      <c r="K214" s="167" t="str">
        <v/>
      </c>
      <c r="L214" s="167" t="str">
        <v/>
      </c>
      <c r="M214" s="167" t="str">
        <v/>
      </c>
      <c r="N214" s="167" t="str">
        <v/>
      </c>
      <c r="O214" s="167" t="str">
        <v/>
      </c>
      <c r="P214" s="167" t="str">
        <v/>
      </c>
    </row>
    <row r="215" spans="1:16" x14ac:dyDescent="0.2">
      <c r="A215" s="58" t="str">
        <v/>
      </c>
      <c r="B215" s="144" t="str">
        <v/>
      </c>
      <c r="C215" s="167" t="str">
        <v/>
      </c>
      <c r="D215" s="167" t="str">
        <v/>
      </c>
      <c r="E215" s="167" t="str">
        <v/>
      </c>
      <c r="F215" s="167" t="str">
        <v/>
      </c>
      <c r="G215" s="167" t="str">
        <v/>
      </c>
      <c r="H215" s="167" t="str">
        <v/>
      </c>
      <c r="I215" s="167" t="str">
        <v/>
      </c>
      <c r="J215" s="167" t="str">
        <v/>
      </c>
      <c r="K215" s="167" t="str">
        <v/>
      </c>
      <c r="L215" s="167" t="str">
        <v/>
      </c>
      <c r="M215" s="167" t="str">
        <v/>
      </c>
      <c r="N215" s="167" t="str">
        <v/>
      </c>
      <c r="O215" s="167" t="str">
        <v/>
      </c>
      <c r="P215" s="167" t="str">
        <v/>
      </c>
    </row>
    <row r="216" spans="1:16" x14ac:dyDescent="0.2">
      <c r="A216" s="58" t="str">
        <v/>
      </c>
      <c r="B216" s="144" t="str">
        <v/>
      </c>
      <c r="C216" s="167" t="str">
        <v/>
      </c>
      <c r="D216" s="167" t="str">
        <v/>
      </c>
      <c r="E216" s="167" t="str">
        <v/>
      </c>
      <c r="F216" s="167" t="str">
        <v/>
      </c>
      <c r="G216" s="167" t="str">
        <v/>
      </c>
      <c r="H216" s="167" t="str">
        <v/>
      </c>
      <c r="I216" s="167" t="str">
        <v/>
      </c>
      <c r="J216" s="167" t="str">
        <v/>
      </c>
      <c r="K216" s="167" t="str">
        <v/>
      </c>
      <c r="L216" s="167" t="str">
        <v/>
      </c>
      <c r="M216" s="167" t="str">
        <v/>
      </c>
      <c r="N216" s="167" t="str">
        <v/>
      </c>
      <c r="O216" s="167" t="str">
        <v/>
      </c>
      <c r="P216" s="167" t="str">
        <v/>
      </c>
    </row>
    <row r="217" spans="1:16" x14ac:dyDescent="0.2">
      <c r="A217" s="58" t="str">
        <v/>
      </c>
      <c r="B217" s="144" t="str">
        <v/>
      </c>
      <c r="C217" s="167" t="str">
        <v/>
      </c>
      <c r="D217" s="167" t="str">
        <v/>
      </c>
      <c r="E217" s="167" t="str">
        <v/>
      </c>
      <c r="F217" s="167" t="str">
        <v/>
      </c>
      <c r="G217" s="167" t="str">
        <v/>
      </c>
      <c r="H217" s="167" t="str">
        <v/>
      </c>
      <c r="I217" s="167" t="str">
        <v/>
      </c>
      <c r="J217" s="167" t="str">
        <v/>
      </c>
      <c r="K217" s="167" t="str">
        <v/>
      </c>
      <c r="L217" s="167" t="str">
        <v/>
      </c>
      <c r="M217" s="167" t="str">
        <v/>
      </c>
      <c r="N217" s="167" t="str">
        <v/>
      </c>
      <c r="O217" s="167" t="str">
        <v/>
      </c>
      <c r="P217" s="167" t="str">
        <v/>
      </c>
    </row>
    <row r="218" spans="1:16" x14ac:dyDescent="0.2">
      <c r="A218" s="58" t="str">
        <v/>
      </c>
      <c r="B218" s="144" t="str">
        <v/>
      </c>
      <c r="C218" s="167" t="str">
        <v/>
      </c>
      <c r="D218" s="167" t="str">
        <v/>
      </c>
      <c r="E218" s="167" t="str">
        <v/>
      </c>
      <c r="F218" s="167" t="str">
        <v/>
      </c>
      <c r="G218" s="167" t="str">
        <v/>
      </c>
      <c r="H218" s="167" t="str">
        <v/>
      </c>
      <c r="I218" s="167" t="str">
        <v/>
      </c>
      <c r="J218" s="167" t="str">
        <v/>
      </c>
      <c r="K218" s="167" t="str">
        <v/>
      </c>
      <c r="L218" s="167" t="str">
        <v/>
      </c>
      <c r="M218" s="167" t="str">
        <v/>
      </c>
      <c r="N218" s="167" t="str">
        <v/>
      </c>
      <c r="O218" s="167" t="str">
        <v/>
      </c>
      <c r="P218" s="167" t="str">
        <v/>
      </c>
    </row>
    <row r="219" spans="1:16" x14ac:dyDescent="0.2">
      <c r="A219" s="58" t="str">
        <v/>
      </c>
      <c r="B219" s="144" t="str">
        <v/>
      </c>
      <c r="C219" s="167" t="str">
        <v/>
      </c>
      <c r="D219" s="167" t="str">
        <v/>
      </c>
      <c r="E219" s="167" t="str">
        <v/>
      </c>
      <c r="F219" s="167" t="str">
        <v/>
      </c>
      <c r="G219" s="167" t="str">
        <v/>
      </c>
      <c r="H219" s="167" t="str">
        <v/>
      </c>
      <c r="I219" s="167" t="str">
        <v/>
      </c>
      <c r="J219" s="167" t="str">
        <v/>
      </c>
      <c r="K219" s="167" t="str">
        <v/>
      </c>
      <c r="L219" s="167" t="str">
        <v/>
      </c>
      <c r="M219" s="167" t="str">
        <v/>
      </c>
      <c r="N219" s="167" t="str">
        <v/>
      </c>
      <c r="O219" s="167" t="str">
        <v/>
      </c>
      <c r="P219" s="167" t="str">
        <v/>
      </c>
    </row>
    <row r="220" spans="1:16" x14ac:dyDescent="0.2">
      <c r="A220" s="58" t="str">
        <v/>
      </c>
      <c r="B220" s="144" t="str">
        <v/>
      </c>
      <c r="C220" s="167" t="str">
        <v/>
      </c>
      <c r="D220" s="167" t="str">
        <v/>
      </c>
      <c r="E220" s="167" t="str">
        <v/>
      </c>
      <c r="F220" s="167" t="str">
        <v/>
      </c>
      <c r="G220" s="167" t="str">
        <v/>
      </c>
      <c r="H220" s="167" t="str">
        <v/>
      </c>
      <c r="I220" s="167" t="str">
        <v/>
      </c>
      <c r="J220" s="167" t="str">
        <v/>
      </c>
      <c r="K220" s="167" t="str">
        <v/>
      </c>
      <c r="L220" s="167" t="str">
        <v/>
      </c>
      <c r="M220" s="167" t="str">
        <v/>
      </c>
      <c r="N220" s="167" t="str">
        <v/>
      </c>
      <c r="O220" s="167" t="str">
        <v/>
      </c>
      <c r="P220" s="167" t="str">
        <v/>
      </c>
    </row>
    <row r="221" spans="1:16" x14ac:dyDescent="0.2">
      <c r="A221" s="58" t="str">
        <v/>
      </c>
      <c r="B221" s="144" t="str">
        <v/>
      </c>
      <c r="C221" s="167" t="str">
        <v/>
      </c>
      <c r="D221" s="167" t="str">
        <v/>
      </c>
      <c r="E221" s="167" t="str">
        <v/>
      </c>
      <c r="F221" s="167" t="str">
        <v/>
      </c>
      <c r="G221" s="167" t="str">
        <v/>
      </c>
      <c r="H221" s="167" t="str">
        <v/>
      </c>
      <c r="I221" s="167" t="str">
        <v/>
      </c>
      <c r="J221" s="167" t="str">
        <v/>
      </c>
      <c r="K221" s="167" t="str">
        <v/>
      </c>
      <c r="L221" s="167" t="str">
        <v/>
      </c>
      <c r="M221" s="167" t="str">
        <v/>
      </c>
      <c r="N221" s="167" t="str">
        <v/>
      </c>
      <c r="O221" s="167" t="str">
        <v/>
      </c>
      <c r="P221" s="167" t="str">
        <v/>
      </c>
    </row>
    <row r="222" spans="1:16" x14ac:dyDescent="0.2">
      <c r="A222" s="58" t="str">
        <v/>
      </c>
      <c r="B222" s="144" t="str">
        <v/>
      </c>
      <c r="C222" s="167" t="str">
        <v/>
      </c>
      <c r="D222" s="167" t="str">
        <v/>
      </c>
      <c r="E222" s="167" t="str">
        <v/>
      </c>
      <c r="F222" s="167" t="str">
        <v/>
      </c>
      <c r="G222" s="167" t="str">
        <v/>
      </c>
      <c r="H222" s="167" t="str">
        <v/>
      </c>
      <c r="I222" s="167" t="str">
        <v/>
      </c>
      <c r="J222" s="167" t="str">
        <v/>
      </c>
      <c r="K222" s="167" t="str">
        <v/>
      </c>
      <c r="L222" s="167" t="str">
        <v/>
      </c>
      <c r="M222" s="167" t="str">
        <v/>
      </c>
      <c r="N222" s="167" t="str">
        <v/>
      </c>
      <c r="O222" s="167" t="str">
        <v/>
      </c>
      <c r="P222" s="167" t="str">
        <v/>
      </c>
    </row>
    <row r="223" spans="1:16" x14ac:dyDescent="0.2">
      <c r="A223" s="58" t="str">
        <v/>
      </c>
      <c r="B223" s="144" t="str">
        <v/>
      </c>
      <c r="C223" s="167" t="str">
        <v/>
      </c>
      <c r="D223" s="167" t="str">
        <v/>
      </c>
      <c r="E223" s="167" t="str">
        <v/>
      </c>
      <c r="F223" s="167" t="str">
        <v/>
      </c>
      <c r="G223" s="167" t="str">
        <v/>
      </c>
      <c r="H223" s="167" t="str">
        <v/>
      </c>
      <c r="I223" s="167" t="str">
        <v/>
      </c>
      <c r="J223" s="167" t="str">
        <v/>
      </c>
      <c r="K223" s="167" t="str">
        <v/>
      </c>
      <c r="L223" s="167" t="str">
        <v/>
      </c>
      <c r="M223" s="167" t="str">
        <v/>
      </c>
      <c r="N223" s="167" t="str">
        <v/>
      </c>
      <c r="O223" s="167" t="str">
        <v/>
      </c>
      <c r="P223" s="167" t="str">
        <v/>
      </c>
    </row>
    <row r="224" spans="1:16" x14ac:dyDescent="0.2">
      <c r="A224" s="58" t="str">
        <v/>
      </c>
      <c r="B224" s="144" t="str">
        <v/>
      </c>
      <c r="C224" s="167" t="str">
        <v/>
      </c>
      <c r="D224" s="167" t="str">
        <v/>
      </c>
      <c r="E224" s="167" t="str">
        <v/>
      </c>
      <c r="F224" s="167" t="str">
        <v/>
      </c>
      <c r="G224" s="167" t="str">
        <v/>
      </c>
      <c r="H224" s="167" t="str">
        <v/>
      </c>
      <c r="I224" s="167" t="str">
        <v/>
      </c>
      <c r="J224" s="167" t="str">
        <v/>
      </c>
      <c r="K224" s="167" t="str">
        <v/>
      </c>
      <c r="L224" s="167" t="str">
        <v/>
      </c>
      <c r="M224" s="167" t="str">
        <v/>
      </c>
      <c r="N224" s="167" t="str">
        <v/>
      </c>
      <c r="O224" s="167" t="str">
        <v/>
      </c>
      <c r="P224" s="167" t="str">
        <v/>
      </c>
    </row>
    <row r="225" spans="1:16" x14ac:dyDescent="0.2">
      <c r="A225" s="58" t="str">
        <v/>
      </c>
      <c r="B225" s="144" t="str">
        <v/>
      </c>
      <c r="C225" s="167" t="str">
        <v/>
      </c>
      <c r="D225" s="167" t="str">
        <v/>
      </c>
      <c r="E225" s="167" t="str">
        <v/>
      </c>
      <c r="F225" s="167" t="str">
        <v/>
      </c>
      <c r="G225" s="167" t="str">
        <v/>
      </c>
      <c r="H225" s="167" t="str">
        <v/>
      </c>
      <c r="I225" s="167" t="str">
        <v/>
      </c>
      <c r="J225" s="167" t="str">
        <v/>
      </c>
      <c r="K225" s="167" t="str">
        <v/>
      </c>
      <c r="L225" s="167" t="str">
        <v/>
      </c>
      <c r="M225" s="167" t="str">
        <v/>
      </c>
      <c r="N225" s="167" t="str">
        <v/>
      </c>
      <c r="O225" s="167" t="str">
        <v/>
      </c>
      <c r="P225" s="167" t="str">
        <v/>
      </c>
    </row>
    <row r="226" spans="1:16" x14ac:dyDescent="0.2">
      <c r="A226" s="58" t="str">
        <v/>
      </c>
      <c r="B226" s="144" t="str">
        <v/>
      </c>
      <c r="C226" s="167" t="str">
        <v/>
      </c>
      <c r="D226" s="167" t="str">
        <v/>
      </c>
      <c r="E226" s="167" t="str">
        <v/>
      </c>
      <c r="F226" s="167" t="str">
        <v/>
      </c>
      <c r="G226" s="167" t="str">
        <v/>
      </c>
      <c r="H226" s="167" t="str">
        <v/>
      </c>
      <c r="I226" s="167" t="str">
        <v/>
      </c>
      <c r="J226" s="167" t="str">
        <v/>
      </c>
      <c r="K226" s="167" t="str">
        <v/>
      </c>
      <c r="L226" s="167" t="str">
        <v/>
      </c>
      <c r="M226" s="167" t="str">
        <v/>
      </c>
      <c r="N226" s="167" t="str">
        <v/>
      </c>
      <c r="O226" s="167" t="str">
        <v/>
      </c>
      <c r="P226" s="167" t="str">
        <v/>
      </c>
    </row>
    <row r="227" spans="1:16" x14ac:dyDescent="0.2">
      <c r="A227" s="58" t="str">
        <v/>
      </c>
      <c r="B227" s="144" t="str">
        <v/>
      </c>
      <c r="C227" s="167" t="str">
        <v/>
      </c>
      <c r="D227" s="167" t="str">
        <v/>
      </c>
      <c r="E227" s="167" t="str">
        <v/>
      </c>
      <c r="F227" s="167" t="str">
        <v/>
      </c>
      <c r="G227" s="167" t="str">
        <v/>
      </c>
      <c r="H227" s="167" t="str">
        <v/>
      </c>
      <c r="I227" s="167" t="str">
        <v/>
      </c>
      <c r="J227" s="167" t="str">
        <v/>
      </c>
      <c r="K227" s="167" t="str">
        <v/>
      </c>
      <c r="L227" s="167" t="str">
        <v/>
      </c>
      <c r="M227" s="167" t="str">
        <v/>
      </c>
      <c r="N227" s="167" t="str">
        <v/>
      </c>
      <c r="O227" s="167" t="str">
        <v/>
      </c>
      <c r="P227" s="167" t="str">
        <v/>
      </c>
    </row>
    <row r="228" spans="1:16" x14ac:dyDescent="0.2">
      <c r="A228" s="58" t="str">
        <v/>
      </c>
      <c r="B228" s="144" t="str">
        <v/>
      </c>
      <c r="C228" s="167" t="str">
        <v/>
      </c>
      <c r="D228" s="167" t="str">
        <v/>
      </c>
      <c r="E228" s="167" t="str">
        <v/>
      </c>
      <c r="F228" s="167" t="str">
        <v/>
      </c>
      <c r="G228" s="167" t="str">
        <v/>
      </c>
      <c r="H228" s="167" t="str">
        <v/>
      </c>
      <c r="I228" s="167" t="str">
        <v/>
      </c>
      <c r="J228" s="167" t="str">
        <v/>
      </c>
      <c r="K228" s="167" t="str">
        <v/>
      </c>
      <c r="L228" s="167" t="str">
        <v/>
      </c>
      <c r="M228" s="167" t="str">
        <v/>
      </c>
      <c r="N228" s="167" t="str">
        <v/>
      </c>
      <c r="O228" s="167" t="str">
        <v/>
      </c>
      <c r="P228" s="167" t="str">
        <v/>
      </c>
    </row>
    <row r="229" spans="1:16" x14ac:dyDescent="0.2">
      <c r="A229" s="58" t="str">
        <v/>
      </c>
      <c r="B229" s="144" t="str">
        <v/>
      </c>
      <c r="C229" s="167" t="str">
        <v/>
      </c>
      <c r="D229" s="167" t="str">
        <v/>
      </c>
      <c r="E229" s="167" t="str">
        <v/>
      </c>
      <c r="F229" s="167" t="str">
        <v/>
      </c>
      <c r="G229" s="167" t="str">
        <v/>
      </c>
      <c r="H229" s="167" t="str">
        <v/>
      </c>
      <c r="I229" s="167" t="str">
        <v/>
      </c>
      <c r="J229" s="167" t="str">
        <v/>
      </c>
      <c r="K229" s="167" t="str">
        <v/>
      </c>
      <c r="L229" s="167" t="str">
        <v/>
      </c>
      <c r="M229" s="167" t="str">
        <v/>
      </c>
      <c r="N229" s="167" t="str">
        <v/>
      </c>
      <c r="O229" s="167" t="str">
        <v/>
      </c>
      <c r="P229" s="167" t="str">
        <v/>
      </c>
    </row>
    <row r="230" spans="1:16" x14ac:dyDescent="0.2">
      <c r="A230" s="58" t="str">
        <v/>
      </c>
      <c r="B230" s="144" t="str">
        <v/>
      </c>
      <c r="C230" s="167" t="str">
        <v/>
      </c>
      <c r="D230" s="167" t="str">
        <v/>
      </c>
      <c r="E230" s="167" t="str">
        <v/>
      </c>
      <c r="F230" s="167" t="str">
        <v/>
      </c>
      <c r="G230" s="167" t="str">
        <v/>
      </c>
      <c r="H230" s="167" t="str">
        <v/>
      </c>
      <c r="I230" s="167" t="str">
        <v/>
      </c>
      <c r="J230" s="167" t="str">
        <v/>
      </c>
      <c r="K230" s="167" t="str">
        <v/>
      </c>
      <c r="L230" s="167" t="str">
        <v/>
      </c>
      <c r="M230" s="167" t="str">
        <v/>
      </c>
      <c r="N230" s="167" t="str">
        <v/>
      </c>
      <c r="O230" s="167" t="str">
        <v/>
      </c>
      <c r="P230" s="167" t="str">
        <v/>
      </c>
    </row>
    <row r="231" spans="1:16" x14ac:dyDescent="0.2">
      <c r="A231" s="58" t="str">
        <v/>
      </c>
      <c r="B231" s="144" t="str">
        <v/>
      </c>
      <c r="C231" s="167" t="str">
        <v/>
      </c>
      <c r="D231" s="167" t="str">
        <v/>
      </c>
      <c r="E231" s="167" t="str">
        <v/>
      </c>
      <c r="F231" s="167" t="str">
        <v/>
      </c>
      <c r="G231" s="167" t="str">
        <v/>
      </c>
      <c r="H231" s="167" t="str">
        <v/>
      </c>
      <c r="I231" s="167" t="str">
        <v/>
      </c>
      <c r="J231" s="167" t="str">
        <v/>
      </c>
      <c r="K231" s="167" t="str">
        <v/>
      </c>
      <c r="L231" s="167" t="str">
        <v/>
      </c>
      <c r="M231" s="167" t="str">
        <v/>
      </c>
      <c r="N231" s="167" t="str">
        <v/>
      </c>
      <c r="O231" s="167" t="str">
        <v/>
      </c>
      <c r="P231" s="167" t="str">
        <v/>
      </c>
    </row>
    <row r="232" spans="1:16" x14ac:dyDescent="0.2">
      <c r="A232" s="58" t="str">
        <v/>
      </c>
      <c r="B232" s="144" t="str">
        <v/>
      </c>
      <c r="C232" s="167" t="str">
        <v/>
      </c>
      <c r="D232" s="167" t="str">
        <v/>
      </c>
      <c r="E232" s="167" t="str">
        <v/>
      </c>
      <c r="F232" s="167" t="str">
        <v/>
      </c>
      <c r="G232" s="167" t="str">
        <v/>
      </c>
      <c r="H232" s="167" t="str">
        <v/>
      </c>
      <c r="I232" s="167" t="str">
        <v/>
      </c>
      <c r="J232" s="167" t="str">
        <v/>
      </c>
      <c r="K232" s="167" t="str">
        <v/>
      </c>
      <c r="L232" s="167" t="str">
        <v/>
      </c>
      <c r="M232" s="167" t="str">
        <v/>
      </c>
      <c r="N232" s="167" t="str">
        <v/>
      </c>
      <c r="O232" s="167" t="str">
        <v/>
      </c>
      <c r="P232" s="167" t="str">
        <v/>
      </c>
    </row>
    <row r="233" spans="1:16" x14ac:dyDescent="0.2">
      <c r="A233" s="58" t="str">
        <v/>
      </c>
      <c r="B233" s="144" t="str">
        <v/>
      </c>
      <c r="C233" s="167" t="str">
        <v/>
      </c>
      <c r="D233" s="167" t="str">
        <v/>
      </c>
      <c r="E233" s="167" t="str">
        <v/>
      </c>
      <c r="F233" s="167" t="str">
        <v/>
      </c>
      <c r="G233" s="167" t="str">
        <v/>
      </c>
      <c r="H233" s="167" t="str">
        <v/>
      </c>
      <c r="I233" s="167" t="str">
        <v/>
      </c>
      <c r="J233" s="167" t="str">
        <v/>
      </c>
      <c r="K233" s="167" t="str">
        <v/>
      </c>
      <c r="L233" s="167" t="str">
        <v/>
      </c>
      <c r="M233" s="167" t="str">
        <v/>
      </c>
      <c r="N233" s="167" t="str">
        <v/>
      </c>
      <c r="O233" s="167" t="str">
        <v/>
      </c>
      <c r="P233" s="167" t="str">
        <v/>
      </c>
    </row>
    <row r="234" spans="1:16" x14ac:dyDescent="0.2">
      <c r="A234" s="58" t="str">
        <v/>
      </c>
      <c r="B234" s="144" t="str">
        <v/>
      </c>
      <c r="C234" s="167" t="str">
        <v/>
      </c>
      <c r="D234" s="167" t="str">
        <v/>
      </c>
      <c r="E234" s="167" t="str">
        <v/>
      </c>
      <c r="F234" s="167" t="str">
        <v/>
      </c>
      <c r="G234" s="167" t="str">
        <v/>
      </c>
      <c r="H234" s="167" t="str">
        <v/>
      </c>
      <c r="I234" s="167" t="str">
        <v/>
      </c>
      <c r="J234" s="167" t="str">
        <v/>
      </c>
      <c r="K234" s="167" t="str">
        <v/>
      </c>
      <c r="L234" s="167" t="str">
        <v/>
      </c>
      <c r="M234" s="167" t="str">
        <v/>
      </c>
      <c r="N234" s="167" t="str">
        <v/>
      </c>
      <c r="O234" s="167" t="str">
        <v/>
      </c>
      <c r="P234" s="167" t="str">
        <v/>
      </c>
    </row>
    <row r="235" spans="1:16" x14ac:dyDescent="0.2">
      <c r="A235" s="58" t="str">
        <v/>
      </c>
      <c r="B235" s="144" t="str">
        <v/>
      </c>
      <c r="C235" s="167" t="str">
        <v/>
      </c>
      <c r="D235" s="167" t="str">
        <v/>
      </c>
      <c r="E235" s="167" t="str">
        <v/>
      </c>
      <c r="F235" s="167" t="str">
        <v/>
      </c>
      <c r="G235" s="167" t="str">
        <v/>
      </c>
      <c r="H235" s="167" t="str">
        <v/>
      </c>
      <c r="I235" s="167" t="str">
        <v/>
      </c>
      <c r="J235" s="167" t="str">
        <v/>
      </c>
      <c r="K235" s="167" t="str">
        <v/>
      </c>
      <c r="L235" s="167" t="str">
        <v/>
      </c>
      <c r="M235" s="167" t="str">
        <v/>
      </c>
      <c r="N235" s="167" t="str">
        <v/>
      </c>
      <c r="O235" s="167" t="str">
        <v/>
      </c>
      <c r="P235" s="167" t="str">
        <v/>
      </c>
    </row>
    <row r="236" spans="1:16" x14ac:dyDescent="0.2">
      <c r="A236" s="58" t="str">
        <v/>
      </c>
      <c r="B236" s="144" t="str">
        <v/>
      </c>
      <c r="C236" s="167" t="str">
        <v/>
      </c>
      <c r="D236" s="167" t="str">
        <v/>
      </c>
      <c r="E236" s="167" t="str">
        <v/>
      </c>
      <c r="F236" s="167" t="str">
        <v/>
      </c>
      <c r="G236" s="167" t="str">
        <v/>
      </c>
      <c r="H236" s="167" t="str">
        <v/>
      </c>
      <c r="I236" s="167" t="str">
        <v/>
      </c>
      <c r="J236" s="167" t="str">
        <v/>
      </c>
      <c r="K236" s="167" t="str">
        <v/>
      </c>
      <c r="L236" s="167" t="str">
        <v/>
      </c>
      <c r="M236" s="167" t="str">
        <v/>
      </c>
      <c r="N236" s="167" t="str">
        <v/>
      </c>
      <c r="O236" s="167" t="str">
        <v/>
      </c>
      <c r="P236" s="167" t="str">
        <v/>
      </c>
    </row>
    <row r="237" spans="1:16" x14ac:dyDescent="0.2">
      <c r="A237" s="58" t="str">
        <v/>
      </c>
      <c r="B237" s="144" t="str">
        <v/>
      </c>
      <c r="C237" s="167" t="str">
        <v/>
      </c>
      <c r="D237" s="167" t="str">
        <v/>
      </c>
      <c r="E237" s="167" t="str">
        <v/>
      </c>
      <c r="F237" s="167" t="str">
        <v/>
      </c>
      <c r="G237" s="167" t="str">
        <v/>
      </c>
      <c r="H237" s="167" t="str">
        <v/>
      </c>
      <c r="I237" s="167" t="str">
        <v/>
      </c>
      <c r="J237" s="167" t="str">
        <v/>
      </c>
      <c r="K237" s="167" t="str">
        <v/>
      </c>
      <c r="L237" s="167" t="str">
        <v/>
      </c>
      <c r="M237" s="167" t="str">
        <v/>
      </c>
      <c r="N237" s="167" t="str">
        <v/>
      </c>
      <c r="O237" s="167" t="str">
        <v/>
      </c>
      <c r="P237" s="167" t="str">
        <v/>
      </c>
    </row>
    <row r="238" spans="1:16" x14ac:dyDescent="0.2">
      <c r="A238" s="58" t="str">
        <v/>
      </c>
      <c r="B238" s="144" t="str">
        <v/>
      </c>
      <c r="C238" s="167" t="str">
        <v/>
      </c>
      <c r="D238" s="167" t="str">
        <v/>
      </c>
      <c r="E238" s="167" t="str">
        <v/>
      </c>
      <c r="F238" s="167" t="str">
        <v/>
      </c>
      <c r="G238" s="167" t="str">
        <v/>
      </c>
      <c r="H238" s="167" t="str">
        <v/>
      </c>
      <c r="I238" s="167" t="str">
        <v/>
      </c>
      <c r="J238" s="167" t="str">
        <v/>
      </c>
      <c r="K238" s="167" t="str">
        <v/>
      </c>
      <c r="L238" s="167" t="str">
        <v/>
      </c>
      <c r="M238" s="167" t="str">
        <v/>
      </c>
      <c r="N238" s="167" t="str">
        <v/>
      </c>
      <c r="O238" s="167" t="str">
        <v/>
      </c>
      <c r="P238" s="167" t="str">
        <v/>
      </c>
    </row>
    <row r="239" spans="1:16" x14ac:dyDescent="0.2">
      <c r="A239" s="58" t="str">
        <v/>
      </c>
      <c r="B239" s="144" t="str">
        <v/>
      </c>
      <c r="C239" s="167" t="str">
        <v/>
      </c>
      <c r="D239" s="167" t="str">
        <v/>
      </c>
      <c r="E239" s="167" t="str">
        <v/>
      </c>
      <c r="F239" s="167" t="str">
        <v/>
      </c>
      <c r="G239" s="167" t="str">
        <v/>
      </c>
      <c r="H239" s="167" t="str">
        <v/>
      </c>
      <c r="I239" s="167" t="str">
        <v/>
      </c>
      <c r="J239" s="167" t="str">
        <v/>
      </c>
      <c r="K239" s="167" t="str">
        <v/>
      </c>
      <c r="L239" s="167" t="str">
        <v/>
      </c>
      <c r="M239" s="167" t="str">
        <v/>
      </c>
      <c r="N239" s="167" t="str">
        <v/>
      </c>
      <c r="O239" s="167" t="str">
        <v/>
      </c>
      <c r="P239" s="167" t="str">
        <v/>
      </c>
    </row>
    <row r="240" spans="1:16" x14ac:dyDescent="0.2">
      <c r="A240" s="58" t="str">
        <v/>
      </c>
      <c r="B240" s="144" t="str">
        <v/>
      </c>
      <c r="C240" s="167" t="str">
        <v/>
      </c>
      <c r="D240" s="167" t="str">
        <v/>
      </c>
      <c r="E240" s="167" t="str">
        <v/>
      </c>
      <c r="F240" s="167" t="str">
        <v/>
      </c>
      <c r="G240" s="167" t="str">
        <v/>
      </c>
      <c r="H240" s="167" t="str">
        <v/>
      </c>
      <c r="I240" s="167" t="str">
        <v/>
      </c>
      <c r="J240" s="167" t="str">
        <v/>
      </c>
      <c r="K240" s="167" t="str">
        <v/>
      </c>
      <c r="L240" s="167" t="str">
        <v/>
      </c>
      <c r="M240" s="167" t="str">
        <v/>
      </c>
      <c r="N240" s="167" t="str">
        <v/>
      </c>
      <c r="O240" s="167" t="str">
        <v/>
      </c>
      <c r="P240" s="167" t="str">
        <v/>
      </c>
    </row>
    <row r="241" spans="1:16" x14ac:dyDescent="0.2">
      <c r="A241" s="58" t="str">
        <v/>
      </c>
      <c r="B241" s="144" t="str">
        <v/>
      </c>
      <c r="C241" s="167" t="str">
        <v/>
      </c>
      <c r="D241" s="167" t="str">
        <v/>
      </c>
      <c r="E241" s="167" t="str">
        <v/>
      </c>
      <c r="F241" s="167" t="str">
        <v/>
      </c>
      <c r="G241" s="167" t="str">
        <v/>
      </c>
      <c r="H241" s="167" t="str">
        <v/>
      </c>
      <c r="I241" s="167" t="str">
        <v/>
      </c>
      <c r="J241" s="167" t="str">
        <v/>
      </c>
      <c r="K241" s="167" t="str">
        <v/>
      </c>
      <c r="L241" s="167" t="str">
        <v/>
      </c>
      <c r="M241" s="167" t="str">
        <v/>
      </c>
      <c r="N241" s="167" t="str">
        <v/>
      </c>
      <c r="O241" s="167" t="str">
        <v/>
      </c>
      <c r="P241" s="167" t="str">
        <v/>
      </c>
    </row>
    <row r="242" spans="1:16" x14ac:dyDescent="0.2">
      <c r="A242" s="58" t="str">
        <v/>
      </c>
      <c r="B242" s="144" t="str">
        <v/>
      </c>
      <c r="C242" s="167" t="str">
        <v/>
      </c>
      <c r="D242" s="167" t="str">
        <v/>
      </c>
      <c r="E242" s="167" t="str">
        <v/>
      </c>
      <c r="F242" s="167" t="str">
        <v/>
      </c>
      <c r="G242" s="167" t="str">
        <v/>
      </c>
      <c r="H242" s="167" t="str">
        <v/>
      </c>
      <c r="I242" s="167" t="str">
        <v/>
      </c>
      <c r="J242" s="167" t="str">
        <v/>
      </c>
      <c r="K242" s="167" t="str">
        <v/>
      </c>
      <c r="L242" s="167" t="str">
        <v/>
      </c>
      <c r="M242" s="167" t="str">
        <v/>
      </c>
      <c r="N242" s="167" t="str">
        <v/>
      </c>
      <c r="O242" s="167" t="str">
        <v/>
      </c>
      <c r="P242" s="167" t="str">
        <v/>
      </c>
    </row>
    <row r="243" spans="1:16" x14ac:dyDescent="0.2">
      <c r="A243" s="58" t="str">
        <v/>
      </c>
      <c r="B243" s="144" t="str">
        <v/>
      </c>
      <c r="C243" s="167" t="str">
        <v/>
      </c>
      <c r="D243" s="167" t="str">
        <v/>
      </c>
      <c r="E243" s="167" t="str">
        <v/>
      </c>
      <c r="F243" s="167" t="str">
        <v/>
      </c>
      <c r="G243" s="167" t="str">
        <v/>
      </c>
      <c r="H243" s="167" t="str">
        <v/>
      </c>
      <c r="I243" s="167" t="str">
        <v/>
      </c>
      <c r="J243" s="167" t="str">
        <v/>
      </c>
      <c r="K243" s="167" t="str">
        <v/>
      </c>
      <c r="L243" s="167" t="str">
        <v/>
      </c>
      <c r="M243" s="167" t="str">
        <v/>
      </c>
      <c r="N243" s="167" t="str">
        <v/>
      </c>
      <c r="O243" s="167" t="str">
        <v/>
      </c>
      <c r="P243" s="167" t="str">
        <v/>
      </c>
    </row>
    <row r="244" spans="1:16" x14ac:dyDescent="0.2">
      <c r="A244" s="58" t="str">
        <v/>
      </c>
      <c r="B244" s="144" t="str">
        <v/>
      </c>
      <c r="C244" s="167" t="str">
        <v/>
      </c>
      <c r="D244" s="167" t="str">
        <v/>
      </c>
      <c r="E244" s="167" t="str">
        <v/>
      </c>
      <c r="F244" s="167" t="str">
        <v/>
      </c>
      <c r="G244" s="167" t="str">
        <v/>
      </c>
      <c r="H244" s="167" t="str">
        <v/>
      </c>
      <c r="I244" s="167" t="str">
        <v/>
      </c>
      <c r="J244" s="167" t="str">
        <v/>
      </c>
      <c r="K244" s="167" t="str">
        <v/>
      </c>
      <c r="L244" s="167" t="str">
        <v/>
      </c>
      <c r="M244" s="167" t="str">
        <v/>
      </c>
      <c r="N244" s="167" t="str">
        <v/>
      </c>
      <c r="O244" s="167" t="str">
        <v/>
      </c>
      <c r="P244" s="167" t="str">
        <v/>
      </c>
    </row>
    <row r="245" spans="1:16" x14ac:dyDescent="0.2">
      <c r="A245" s="58" t="str">
        <v/>
      </c>
      <c r="B245" s="144" t="str">
        <v/>
      </c>
      <c r="C245" s="167" t="str">
        <v/>
      </c>
      <c r="D245" s="167" t="str">
        <v/>
      </c>
      <c r="E245" s="167" t="str">
        <v/>
      </c>
      <c r="F245" s="167" t="str">
        <v/>
      </c>
      <c r="G245" s="167" t="str">
        <v/>
      </c>
      <c r="H245" s="167" t="str">
        <v/>
      </c>
      <c r="I245" s="167" t="str">
        <v/>
      </c>
      <c r="J245" s="167" t="str">
        <v/>
      </c>
      <c r="K245" s="167" t="str">
        <v/>
      </c>
      <c r="L245" s="167" t="str">
        <v/>
      </c>
      <c r="M245" s="167" t="str">
        <v/>
      </c>
      <c r="N245" s="167" t="str">
        <v/>
      </c>
      <c r="O245" s="167" t="str">
        <v/>
      </c>
      <c r="P245" s="167" t="str">
        <v/>
      </c>
    </row>
    <row r="246" spans="1:16" x14ac:dyDescent="0.2">
      <c r="A246" s="58" t="str">
        <v/>
      </c>
      <c r="B246" s="144" t="str">
        <v/>
      </c>
      <c r="C246" s="167" t="str">
        <v/>
      </c>
      <c r="D246" s="167" t="str">
        <v/>
      </c>
      <c r="E246" s="167" t="str">
        <v/>
      </c>
      <c r="F246" s="167" t="str">
        <v/>
      </c>
      <c r="G246" s="167" t="str">
        <v/>
      </c>
      <c r="H246" s="167" t="str">
        <v/>
      </c>
      <c r="I246" s="167" t="str">
        <v/>
      </c>
      <c r="J246" s="167" t="str">
        <v/>
      </c>
      <c r="K246" s="167" t="str">
        <v/>
      </c>
      <c r="L246" s="167" t="str">
        <v/>
      </c>
      <c r="M246" s="167" t="str">
        <v/>
      </c>
      <c r="N246" s="167" t="str">
        <v/>
      </c>
      <c r="O246" s="167" t="str">
        <v/>
      </c>
      <c r="P246" s="167" t="str">
        <v/>
      </c>
    </row>
    <row r="247" spans="1:16" x14ac:dyDescent="0.2">
      <c r="A247" s="58" t="str">
        <v/>
      </c>
      <c r="B247" s="144" t="str">
        <v/>
      </c>
      <c r="C247" s="167" t="str">
        <v/>
      </c>
      <c r="D247" s="167" t="str">
        <v/>
      </c>
      <c r="E247" s="167" t="str">
        <v/>
      </c>
      <c r="F247" s="167" t="str">
        <v/>
      </c>
      <c r="G247" s="167" t="str">
        <v/>
      </c>
      <c r="H247" s="167" t="str">
        <v/>
      </c>
      <c r="I247" s="167" t="str">
        <v/>
      </c>
      <c r="J247" s="167" t="str">
        <v/>
      </c>
      <c r="K247" s="167" t="str">
        <v/>
      </c>
      <c r="L247" s="167" t="str">
        <v/>
      </c>
      <c r="M247" s="167" t="str">
        <v/>
      </c>
      <c r="N247" s="167" t="str">
        <v/>
      </c>
      <c r="O247" s="167" t="str">
        <v/>
      </c>
      <c r="P247" s="167" t="str">
        <v/>
      </c>
    </row>
    <row r="248" spans="1:16" x14ac:dyDescent="0.2">
      <c r="A248" s="58" t="str">
        <v/>
      </c>
      <c r="B248" s="144" t="str">
        <v/>
      </c>
      <c r="C248" s="167" t="str">
        <v/>
      </c>
      <c r="D248" s="167" t="str">
        <v/>
      </c>
      <c r="E248" s="167" t="str">
        <v/>
      </c>
      <c r="F248" s="167" t="str">
        <v/>
      </c>
      <c r="G248" s="167" t="str">
        <v/>
      </c>
      <c r="H248" s="167" t="str">
        <v/>
      </c>
      <c r="I248" s="167" t="str">
        <v/>
      </c>
      <c r="J248" s="167" t="str">
        <v/>
      </c>
      <c r="K248" s="167" t="str">
        <v/>
      </c>
      <c r="L248" s="167" t="str">
        <v/>
      </c>
      <c r="M248" s="167" t="str">
        <v/>
      </c>
      <c r="N248" s="167" t="str">
        <v/>
      </c>
      <c r="O248" s="167" t="str">
        <v/>
      </c>
      <c r="P248" s="167" t="str">
        <v/>
      </c>
    </row>
    <row r="249" spans="1:16" x14ac:dyDescent="0.2">
      <c r="A249" s="58" t="str">
        <v/>
      </c>
      <c r="B249" s="144" t="str">
        <v/>
      </c>
      <c r="C249" s="167" t="str">
        <v/>
      </c>
      <c r="D249" s="167" t="str">
        <v/>
      </c>
      <c r="E249" s="167" t="str">
        <v/>
      </c>
      <c r="F249" s="167" t="str">
        <v/>
      </c>
      <c r="G249" s="167" t="str">
        <v/>
      </c>
      <c r="H249" s="167" t="str">
        <v/>
      </c>
      <c r="I249" s="167" t="str">
        <v/>
      </c>
      <c r="J249" s="167" t="str">
        <v/>
      </c>
      <c r="K249" s="167" t="str">
        <v/>
      </c>
      <c r="L249" s="167" t="str">
        <v/>
      </c>
      <c r="M249" s="167" t="str">
        <v/>
      </c>
      <c r="N249" s="167" t="str">
        <v/>
      </c>
      <c r="O249" s="167" t="str">
        <v/>
      </c>
      <c r="P249" s="167" t="str">
        <v/>
      </c>
    </row>
    <row r="250" spans="1:16" x14ac:dyDescent="0.2">
      <c r="A250" s="58" t="str">
        <v/>
      </c>
      <c r="B250" s="144" t="str">
        <v/>
      </c>
      <c r="C250" s="167" t="str">
        <v/>
      </c>
      <c r="D250" s="167" t="str">
        <v/>
      </c>
      <c r="E250" s="167" t="str">
        <v/>
      </c>
      <c r="F250" s="167" t="str">
        <v/>
      </c>
      <c r="G250" s="167" t="str">
        <v/>
      </c>
      <c r="H250" s="167" t="str">
        <v/>
      </c>
      <c r="I250" s="167" t="str">
        <v/>
      </c>
      <c r="J250" s="167" t="str">
        <v/>
      </c>
      <c r="K250" s="167" t="str">
        <v/>
      </c>
      <c r="L250" s="167" t="str">
        <v/>
      </c>
      <c r="M250" s="167" t="str">
        <v/>
      </c>
      <c r="N250" s="167" t="str">
        <v/>
      </c>
      <c r="O250" s="167" t="str">
        <v/>
      </c>
      <c r="P250" s="167" t="str">
        <v/>
      </c>
    </row>
    <row r="251" spans="1:16" x14ac:dyDescent="0.2">
      <c r="A251" s="58" t="str">
        <v/>
      </c>
      <c r="B251" s="144" t="str">
        <v/>
      </c>
      <c r="C251" s="167" t="str">
        <v/>
      </c>
      <c r="D251" s="167" t="str">
        <v/>
      </c>
      <c r="E251" s="167" t="str">
        <v/>
      </c>
      <c r="F251" s="167" t="str">
        <v/>
      </c>
      <c r="G251" s="167" t="str">
        <v/>
      </c>
      <c r="H251" s="167" t="str">
        <v/>
      </c>
      <c r="I251" s="167" t="str">
        <v/>
      </c>
      <c r="J251" s="167" t="str">
        <v/>
      </c>
      <c r="K251" s="167" t="str">
        <v/>
      </c>
      <c r="L251" s="167" t="str">
        <v/>
      </c>
      <c r="M251" s="167" t="str">
        <v/>
      </c>
      <c r="N251" s="167" t="str">
        <v/>
      </c>
      <c r="O251" s="167" t="str">
        <v/>
      </c>
      <c r="P251" s="167" t="str">
        <v/>
      </c>
    </row>
    <row r="252" spans="1:16" x14ac:dyDescent="0.2">
      <c r="A252" s="58" t="str">
        <v/>
      </c>
      <c r="B252" s="144" t="str">
        <v/>
      </c>
      <c r="C252" s="167" t="str">
        <v/>
      </c>
      <c r="D252" s="167" t="str">
        <v/>
      </c>
      <c r="E252" s="167" t="str">
        <v/>
      </c>
      <c r="F252" s="167" t="str">
        <v/>
      </c>
      <c r="G252" s="167" t="str">
        <v/>
      </c>
      <c r="H252" s="167" t="str">
        <v/>
      </c>
      <c r="I252" s="167" t="str">
        <v/>
      </c>
      <c r="J252" s="167" t="str">
        <v/>
      </c>
      <c r="K252" s="167" t="str">
        <v/>
      </c>
      <c r="L252" s="167" t="str">
        <v/>
      </c>
      <c r="M252" s="167" t="str">
        <v/>
      </c>
      <c r="N252" s="167" t="str">
        <v/>
      </c>
      <c r="O252" s="167" t="str">
        <v/>
      </c>
      <c r="P252" s="167" t="str">
        <v/>
      </c>
    </row>
    <row r="253" spans="1:16" x14ac:dyDescent="0.2">
      <c r="A253" s="58" t="str">
        <v/>
      </c>
      <c r="B253" s="144" t="str">
        <v/>
      </c>
      <c r="C253" s="167" t="str">
        <v/>
      </c>
      <c r="D253" s="167" t="str">
        <v/>
      </c>
      <c r="E253" s="167" t="str">
        <v/>
      </c>
      <c r="F253" s="167" t="str">
        <v/>
      </c>
      <c r="G253" s="167" t="str">
        <v/>
      </c>
      <c r="H253" s="167" t="str">
        <v/>
      </c>
      <c r="I253" s="167" t="str">
        <v/>
      </c>
      <c r="J253" s="167" t="str">
        <v/>
      </c>
      <c r="K253" s="167" t="str">
        <v/>
      </c>
      <c r="L253" s="167" t="str">
        <v/>
      </c>
      <c r="M253" s="167" t="str">
        <v/>
      </c>
      <c r="N253" s="167" t="str">
        <v/>
      </c>
      <c r="O253" s="167" t="str">
        <v/>
      </c>
      <c r="P253" s="167" t="str">
        <v/>
      </c>
    </row>
    <row r="254" spans="1:16" x14ac:dyDescent="0.2">
      <c r="A254" s="58" t="str">
        <v/>
      </c>
      <c r="B254" s="144" t="str">
        <v/>
      </c>
      <c r="C254" s="167" t="str">
        <v/>
      </c>
      <c r="D254" s="167" t="str">
        <v/>
      </c>
      <c r="E254" s="167" t="str">
        <v/>
      </c>
      <c r="F254" s="167" t="str">
        <v/>
      </c>
      <c r="G254" s="167" t="str">
        <v/>
      </c>
      <c r="H254" s="167" t="str">
        <v/>
      </c>
      <c r="I254" s="167" t="str">
        <v/>
      </c>
      <c r="J254" s="167" t="str">
        <v/>
      </c>
      <c r="K254" s="167" t="str">
        <v/>
      </c>
      <c r="L254" s="167" t="str">
        <v/>
      </c>
      <c r="M254" s="167" t="str">
        <v/>
      </c>
      <c r="N254" s="167" t="str">
        <v/>
      </c>
      <c r="O254" s="167" t="str">
        <v/>
      </c>
      <c r="P254" s="167" t="str">
        <v/>
      </c>
    </row>
    <row r="255" spans="1:16" x14ac:dyDescent="0.2">
      <c r="A255" s="58" t="str">
        <v/>
      </c>
      <c r="B255" s="144" t="str">
        <v/>
      </c>
      <c r="C255" s="167" t="str">
        <v/>
      </c>
      <c r="D255" s="167" t="str">
        <v/>
      </c>
      <c r="E255" s="167" t="str">
        <v/>
      </c>
      <c r="F255" s="167" t="str">
        <v/>
      </c>
      <c r="G255" s="167" t="str">
        <v/>
      </c>
      <c r="H255" s="167" t="str">
        <v/>
      </c>
      <c r="I255" s="167" t="str">
        <v/>
      </c>
      <c r="J255" s="167" t="str">
        <v/>
      </c>
      <c r="K255" s="167" t="str">
        <v/>
      </c>
      <c r="L255" s="167" t="str">
        <v/>
      </c>
      <c r="M255" s="167" t="str">
        <v/>
      </c>
      <c r="N255" s="167" t="str">
        <v/>
      </c>
      <c r="O255" s="167" t="str">
        <v/>
      </c>
      <c r="P255" s="167" t="str">
        <v/>
      </c>
    </row>
    <row r="256" spans="1:16" x14ac:dyDescent="0.2">
      <c r="A256" s="58" t="str">
        <v/>
      </c>
      <c r="B256" s="144" t="str">
        <v/>
      </c>
      <c r="C256" s="167" t="str">
        <v/>
      </c>
      <c r="D256" s="167" t="str">
        <v/>
      </c>
      <c r="E256" s="167" t="str">
        <v/>
      </c>
      <c r="F256" s="167" t="str">
        <v/>
      </c>
      <c r="G256" s="167" t="str">
        <v/>
      </c>
      <c r="H256" s="167" t="str">
        <v/>
      </c>
      <c r="I256" s="167" t="str">
        <v/>
      </c>
      <c r="J256" s="167" t="str">
        <v/>
      </c>
      <c r="K256" s="167" t="str">
        <v/>
      </c>
      <c r="L256" s="167" t="str">
        <v/>
      </c>
      <c r="M256" s="167" t="str">
        <v/>
      </c>
      <c r="N256" s="167" t="str">
        <v/>
      </c>
      <c r="O256" s="167" t="str">
        <v/>
      </c>
      <c r="P256" s="167" t="str">
        <v/>
      </c>
    </row>
    <row r="257" spans="1:16" x14ac:dyDescent="0.2">
      <c r="A257" s="58" t="str">
        <v/>
      </c>
      <c r="B257" s="144" t="str">
        <v/>
      </c>
      <c r="C257" s="167" t="str">
        <v/>
      </c>
      <c r="D257" s="167" t="str">
        <v/>
      </c>
      <c r="E257" s="167" t="str">
        <v/>
      </c>
      <c r="F257" s="167" t="str">
        <v/>
      </c>
      <c r="G257" s="167" t="str">
        <v/>
      </c>
      <c r="H257" s="167" t="str">
        <v/>
      </c>
      <c r="I257" s="167" t="str">
        <v/>
      </c>
      <c r="J257" s="167" t="str">
        <v/>
      </c>
      <c r="K257" s="167" t="str">
        <v/>
      </c>
      <c r="L257" s="167" t="str">
        <v/>
      </c>
      <c r="M257" s="167" t="str">
        <v/>
      </c>
      <c r="N257" s="167" t="str">
        <v/>
      </c>
      <c r="O257" s="167" t="str">
        <v/>
      </c>
      <c r="P257" s="167" t="str">
        <v/>
      </c>
    </row>
    <row r="258" spans="1:16" x14ac:dyDescent="0.2">
      <c r="A258" s="58" t="str">
        <v/>
      </c>
      <c r="B258" s="144" t="str">
        <v/>
      </c>
      <c r="C258" s="167" t="str">
        <v/>
      </c>
      <c r="D258" s="167" t="str">
        <v/>
      </c>
      <c r="E258" s="167" t="str">
        <v/>
      </c>
      <c r="F258" s="167" t="str">
        <v/>
      </c>
      <c r="G258" s="167" t="str">
        <v/>
      </c>
      <c r="H258" s="167" t="str">
        <v/>
      </c>
      <c r="I258" s="167" t="str">
        <v/>
      </c>
      <c r="J258" s="167" t="str">
        <v/>
      </c>
      <c r="K258" s="167" t="str">
        <v/>
      </c>
      <c r="L258" s="167" t="str">
        <v/>
      </c>
      <c r="M258" s="167" t="str">
        <v/>
      </c>
      <c r="N258" s="167" t="str">
        <v/>
      </c>
      <c r="O258" s="167" t="str">
        <v/>
      </c>
      <c r="P258" s="167" t="str">
        <v/>
      </c>
    </row>
    <row r="259" spans="1:16" x14ac:dyDescent="0.2">
      <c r="A259" s="58" t="str">
        <v/>
      </c>
      <c r="B259" s="144" t="str">
        <v/>
      </c>
      <c r="C259" s="167" t="str">
        <v/>
      </c>
      <c r="D259" s="167" t="str">
        <v/>
      </c>
      <c r="E259" s="167" t="str">
        <v/>
      </c>
      <c r="F259" s="167" t="str">
        <v/>
      </c>
      <c r="G259" s="167" t="str">
        <v/>
      </c>
      <c r="H259" s="167" t="str">
        <v/>
      </c>
      <c r="I259" s="167" t="str">
        <v/>
      </c>
      <c r="J259" s="167" t="str">
        <v/>
      </c>
      <c r="K259" s="167" t="str">
        <v/>
      </c>
      <c r="L259" s="167" t="str">
        <v/>
      </c>
      <c r="M259" s="167" t="str">
        <v/>
      </c>
      <c r="N259" s="167" t="str">
        <v/>
      </c>
      <c r="O259" s="167" t="str">
        <v/>
      </c>
      <c r="P259" s="167" t="str">
        <v/>
      </c>
    </row>
    <row r="260" spans="1:16" x14ac:dyDescent="0.2">
      <c r="A260" s="58" t="str">
        <v/>
      </c>
      <c r="B260" s="144" t="str">
        <v/>
      </c>
      <c r="C260" s="167" t="str">
        <v/>
      </c>
      <c r="D260" s="167" t="str">
        <v/>
      </c>
      <c r="E260" s="167" t="str">
        <v/>
      </c>
      <c r="F260" s="167" t="str">
        <v/>
      </c>
      <c r="G260" s="167" t="str">
        <v/>
      </c>
      <c r="H260" s="167" t="str">
        <v/>
      </c>
      <c r="I260" s="167" t="str">
        <v/>
      </c>
      <c r="J260" s="167" t="str">
        <v/>
      </c>
      <c r="K260" s="167" t="str">
        <v/>
      </c>
      <c r="L260" s="167" t="str">
        <v/>
      </c>
      <c r="M260" s="167" t="str">
        <v/>
      </c>
      <c r="N260" s="167" t="str">
        <v/>
      </c>
      <c r="O260" s="167" t="str">
        <v/>
      </c>
      <c r="P260" s="167" t="str">
        <v/>
      </c>
    </row>
    <row r="261" spans="1:16" x14ac:dyDescent="0.2">
      <c r="A261" s="58" t="str">
        <v/>
      </c>
      <c r="B261" s="144" t="str">
        <v/>
      </c>
      <c r="C261" s="167" t="str">
        <v/>
      </c>
      <c r="D261" s="167" t="str">
        <v/>
      </c>
      <c r="E261" s="167" t="str">
        <v/>
      </c>
      <c r="F261" s="167" t="str">
        <v/>
      </c>
      <c r="G261" s="167" t="str">
        <v/>
      </c>
      <c r="H261" s="167" t="str">
        <v/>
      </c>
      <c r="I261" s="167" t="str">
        <v/>
      </c>
      <c r="J261" s="167" t="str">
        <v/>
      </c>
      <c r="K261" s="167" t="str">
        <v/>
      </c>
      <c r="L261" s="167" t="str">
        <v/>
      </c>
      <c r="M261" s="167" t="str">
        <v/>
      </c>
      <c r="N261" s="167" t="str">
        <v/>
      </c>
      <c r="O261" s="167" t="str">
        <v/>
      </c>
      <c r="P261" s="167" t="str">
        <v/>
      </c>
    </row>
    <row r="262" spans="1:16" x14ac:dyDescent="0.2">
      <c r="A262" s="58" t="str">
        <v/>
      </c>
      <c r="B262" s="144" t="str">
        <v/>
      </c>
      <c r="C262" s="167" t="str">
        <v/>
      </c>
      <c r="D262" s="167" t="str">
        <v/>
      </c>
      <c r="E262" s="167" t="str">
        <v/>
      </c>
      <c r="F262" s="167" t="str">
        <v/>
      </c>
      <c r="G262" s="167" t="str">
        <v/>
      </c>
      <c r="H262" s="167" t="str">
        <v/>
      </c>
      <c r="I262" s="167" t="str">
        <v/>
      </c>
      <c r="J262" s="167" t="str">
        <v/>
      </c>
      <c r="K262" s="167" t="str">
        <v/>
      </c>
      <c r="L262" s="167" t="str">
        <v/>
      </c>
      <c r="M262" s="167" t="str">
        <v/>
      </c>
      <c r="N262" s="167" t="str">
        <v/>
      </c>
      <c r="O262" s="167" t="str">
        <v/>
      </c>
      <c r="P262" s="167" t="str">
        <v/>
      </c>
    </row>
    <row r="263" spans="1:16" x14ac:dyDescent="0.2">
      <c r="A263" s="58" t="str">
        <v/>
      </c>
      <c r="B263" s="144" t="str">
        <v/>
      </c>
      <c r="C263" s="167" t="str">
        <v/>
      </c>
      <c r="D263" s="167" t="str">
        <v/>
      </c>
      <c r="E263" s="167" t="str">
        <v/>
      </c>
      <c r="F263" s="167" t="str">
        <v/>
      </c>
      <c r="G263" s="167" t="str">
        <v/>
      </c>
      <c r="H263" s="167" t="str">
        <v/>
      </c>
      <c r="I263" s="167" t="str">
        <v/>
      </c>
      <c r="J263" s="167" t="str">
        <v/>
      </c>
      <c r="K263" s="167" t="str">
        <v/>
      </c>
      <c r="L263" s="167" t="str">
        <v/>
      </c>
      <c r="M263" s="167" t="str">
        <v/>
      </c>
      <c r="N263" s="167" t="str">
        <v/>
      </c>
      <c r="O263" s="167" t="str">
        <v/>
      </c>
      <c r="P263" s="167" t="str">
        <v/>
      </c>
    </row>
    <row r="264" spans="1:16" x14ac:dyDescent="0.2">
      <c r="A264" s="58" t="str">
        <v/>
      </c>
      <c r="B264" s="144" t="str">
        <v/>
      </c>
      <c r="C264" s="167" t="str">
        <v/>
      </c>
      <c r="D264" s="167" t="str">
        <v/>
      </c>
      <c r="E264" s="167" t="str">
        <v/>
      </c>
      <c r="F264" s="167" t="str">
        <v/>
      </c>
      <c r="G264" s="167" t="str">
        <v/>
      </c>
      <c r="H264" s="167" t="str">
        <v/>
      </c>
      <c r="I264" s="167" t="str">
        <v/>
      </c>
      <c r="J264" s="167" t="str">
        <v/>
      </c>
      <c r="K264" s="167" t="str">
        <v/>
      </c>
      <c r="L264" s="167" t="str">
        <v/>
      </c>
      <c r="M264" s="167" t="str">
        <v/>
      </c>
      <c r="N264" s="167" t="str">
        <v/>
      </c>
      <c r="O264" s="167" t="str">
        <v/>
      </c>
      <c r="P264" s="167" t="str">
        <v/>
      </c>
    </row>
    <row r="265" spans="1:16" x14ac:dyDescent="0.2">
      <c r="A265" s="58" t="str">
        <v/>
      </c>
      <c r="B265" s="144" t="str">
        <v/>
      </c>
      <c r="C265" s="167" t="str">
        <v/>
      </c>
      <c r="D265" s="167" t="str">
        <v/>
      </c>
      <c r="E265" s="167" t="str">
        <v/>
      </c>
      <c r="F265" s="167" t="str">
        <v/>
      </c>
      <c r="G265" s="167" t="str">
        <v/>
      </c>
      <c r="H265" s="167" t="str">
        <v/>
      </c>
      <c r="I265" s="167" t="str">
        <v/>
      </c>
      <c r="J265" s="167" t="str">
        <v/>
      </c>
      <c r="K265" s="167" t="str">
        <v/>
      </c>
      <c r="L265" s="167" t="str">
        <v/>
      </c>
      <c r="M265" s="167" t="str">
        <v/>
      </c>
      <c r="N265" s="167" t="str">
        <v/>
      </c>
      <c r="O265" s="167" t="str">
        <v/>
      </c>
      <c r="P265" s="167" t="str">
        <v/>
      </c>
    </row>
    <row r="266" spans="1:16" x14ac:dyDescent="0.2">
      <c r="A266" s="58" t="str">
        <v/>
      </c>
      <c r="B266" s="144" t="str">
        <v/>
      </c>
      <c r="C266" s="167" t="str">
        <v/>
      </c>
      <c r="D266" s="167" t="str">
        <v/>
      </c>
      <c r="E266" s="167" t="str">
        <v/>
      </c>
      <c r="F266" s="167" t="str">
        <v/>
      </c>
      <c r="G266" s="167" t="str">
        <v/>
      </c>
      <c r="H266" s="167" t="str">
        <v/>
      </c>
      <c r="I266" s="167" t="str">
        <v/>
      </c>
      <c r="J266" s="167" t="str">
        <v/>
      </c>
      <c r="K266" s="167" t="str">
        <v/>
      </c>
      <c r="L266" s="167" t="str">
        <v/>
      </c>
      <c r="M266" s="167" t="str">
        <v/>
      </c>
      <c r="N266" s="167" t="str">
        <v/>
      </c>
      <c r="O266" s="167" t="str">
        <v/>
      </c>
      <c r="P266" s="167" t="str">
        <v/>
      </c>
    </row>
    <row r="267" spans="1:16" x14ac:dyDescent="0.2">
      <c r="A267" s="58" t="str">
        <v/>
      </c>
      <c r="B267" s="144" t="str">
        <v/>
      </c>
      <c r="C267" s="167" t="str">
        <v/>
      </c>
      <c r="D267" s="167" t="str">
        <v/>
      </c>
      <c r="E267" s="167" t="str">
        <v/>
      </c>
      <c r="F267" s="167" t="str">
        <v/>
      </c>
      <c r="G267" s="167" t="str">
        <v/>
      </c>
      <c r="H267" s="167" t="str">
        <v/>
      </c>
      <c r="I267" s="167" t="str">
        <v/>
      </c>
      <c r="J267" s="167" t="str">
        <v/>
      </c>
      <c r="K267" s="167" t="str">
        <v/>
      </c>
      <c r="L267" s="167" t="str">
        <v/>
      </c>
      <c r="M267" s="167" t="str">
        <v/>
      </c>
      <c r="N267" s="167" t="str">
        <v/>
      </c>
      <c r="O267" s="167" t="str">
        <v/>
      </c>
      <c r="P267" s="167" t="str">
        <v/>
      </c>
    </row>
    <row r="268" spans="1:16" x14ac:dyDescent="0.2">
      <c r="A268" s="58" t="str">
        <v/>
      </c>
      <c r="B268" s="144" t="str">
        <v/>
      </c>
      <c r="C268" s="167" t="str">
        <v/>
      </c>
      <c r="D268" s="167" t="str">
        <v/>
      </c>
      <c r="E268" s="167" t="str">
        <v/>
      </c>
      <c r="F268" s="167" t="str">
        <v/>
      </c>
      <c r="G268" s="167" t="str">
        <v/>
      </c>
      <c r="H268" s="167" t="str">
        <v/>
      </c>
      <c r="I268" s="167" t="str">
        <v/>
      </c>
      <c r="J268" s="167" t="str">
        <v/>
      </c>
      <c r="K268" s="167" t="str">
        <v/>
      </c>
      <c r="L268" s="167" t="str">
        <v/>
      </c>
      <c r="M268" s="167" t="str">
        <v/>
      </c>
      <c r="N268" s="167" t="str">
        <v/>
      </c>
      <c r="O268" s="167" t="str">
        <v/>
      </c>
      <c r="P268" s="167" t="str">
        <v/>
      </c>
    </row>
    <row r="269" spans="1:16" x14ac:dyDescent="0.2">
      <c r="A269" s="58" t="str">
        <v/>
      </c>
      <c r="B269" s="144" t="str">
        <v/>
      </c>
      <c r="C269" s="167" t="str">
        <v/>
      </c>
      <c r="D269" s="167" t="str">
        <v/>
      </c>
      <c r="E269" s="167" t="str">
        <v/>
      </c>
      <c r="F269" s="167" t="str">
        <v/>
      </c>
      <c r="G269" s="167" t="str">
        <v/>
      </c>
      <c r="H269" s="167" t="str">
        <v/>
      </c>
      <c r="I269" s="167" t="str">
        <v/>
      </c>
      <c r="J269" s="167" t="str">
        <v/>
      </c>
      <c r="K269" s="167" t="str">
        <v/>
      </c>
      <c r="L269" s="167" t="str">
        <v/>
      </c>
      <c r="M269" s="167" t="str">
        <v/>
      </c>
      <c r="N269" s="167" t="str">
        <v/>
      </c>
      <c r="O269" s="167" t="str">
        <v/>
      </c>
      <c r="P269" s="167" t="str">
        <v/>
      </c>
    </row>
    <row r="270" spans="1:16" x14ac:dyDescent="0.2">
      <c r="A270" s="58" t="str">
        <v/>
      </c>
      <c r="B270" s="144" t="str">
        <v/>
      </c>
      <c r="C270" s="167" t="str">
        <v/>
      </c>
      <c r="D270" s="167" t="str">
        <v/>
      </c>
      <c r="E270" s="167" t="str">
        <v/>
      </c>
      <c r="F270" s="167" t="str">
        <v/>
      </c>
      <c r="G270" s="167" t="str">
        <v/>
      </c>
      <c r="H270" s="167" t="str">
        <v/>
      </c>
      <c r="I270" s="167" t="str">
        <v/>
      </c>
      <c r="J270" s="167" t="str">
        <v/>
      </c>
      <c r="K270" s="167" t="str">
        <v/>
      </c>
      <c r="L270" s="167" t="str">
        <v/>
      </c>
      <c r="M270" s="167" t="str">
        <v/>
      </c>
      <c r="N270" s="167" t="str">
        <v/>
      </c>
      <c r="O270" s="167" t="str">
        <v/>
      </c>
      <c r="P270" s="167" t="str">
        <v/>
      </c>
    </row>
    <row r="271" spans="1:16" x14ac:dyDescent="0.2">
      <c r="A271" s="58" t="str">
        <v/>
      </c>
      <c r="B271" s="144" t="str">
        <v/>
      </c>
      <c r="C271" s="167" t="str">
        <v/>
      </c>
      <c r="D271" s="167" t="str">
        <v/>
      </c>
      <c r="E271" s="167" t="str">
        <v/>
      </c>
      <c r="F271" s="167" t="str">
        <v/>
      </c>
      <c r="G271" s="167" t="str">
        <v/>
      </c>
      <c r="H271" s="167" t="str">
        <v/>
      </c>
      <c r="I271" s="167" t="str">
        <v/>
      </c>
      <c r="J271" s="167" t="str">
        <v/>
      </c>
      <c r="K271" s="167" t="str">
        <v/>
      </c>
      <c r="L271" s="167" t="str">
        <v/>
      </c>
      <c r="M271" s="167" t="str">
        <v/>
      </c>
      <c r="N271" s="167" t="str">
        <v/>
      </c>
      <c r="O271" s="167" t="str">
        <v/>
      </c>
      <c r="P271" s="167" t="str">
        <v/>
      </c>
    </row>
    <row r="272" spans="1:16" x14ac:dyDescent="0.2">
      <c r="A272" s="58" t="str">
        <v/>
      </c>
      <c r="B272" s="144" t="str">
        <v/>
      </c>
      <c r="C272" s="167" t="str">
        <v/>
      </c>
      <c r="D272" s="167" t="str">
        <v/>
      </c>
      <c r="E272" s="167" t="str">
        <v/>
      </c>
      <c r="F272" s="167" t="str">
        <v/>
      </c>
      <c r="G272" s="167" t="str">
        <v/>
      </c>
      <c r="H272" s="167" t="str">
        <v/>
      </c>
      <c r="I272" s="167" t="str">
        <v/>
      </c>
      <c r="J272" s="167" t="str">
        <v/>
      </c>
      <c r="K272" s="167" t="str">
        <v/>
      </c>
      <c r="L272" s="167" t="str">
        <v/>
      </c>
      <c r="M272" s="167" t="str">
        <v/>
      </c>
      <c r="N272" s="167" t="str">
        <v/>
      </c>
      <c r="O272" s="167" t="str">
        <v/>
      </c>
      <c r="P272" s="167" t="str">
        <v/>
      </c>
    </row>
    <row r="273" spans="1:16" x14ac:dyDescent="0.2">
      <c r="A273" s="58" t="str">
        <v/>
      </c>
      <c r="B273" s="144" t="str">
        <v/>
      </c>
      <c r="C273" s="167" t="str">
        <v/>
      </c>
      <c r="D273" s="167" t="str">
        <v/>
      </c>
      <c r="E273" s="167" t="str">
        <v/>
      </c>
      <c r="F273" s="167" t="str">
        <v/>
      </c>
      <c r="G273" s="167" t="str">
        <v/>
      </c>
      <c r="H273" s="167" t="str">
        <v/>
      </c>
      <c r="I273" s="167" t="str">
        <v/>
      </c>
      <c r="J273" s="167" t="str">
        <v/>
      </c>
      <c r="K273" s="167" t="str">
        <v/>
      </c>
      <c r="L273" s="167" t="str">
        <v/>
      </c>
      <c r="M273" s="167" t="str">
        <v/>
      </c>
      <c r="N273" s="167" t="str">
        <v/>
      </c>
      <c r="O273" s="167" t="str">
        <v/>
      </c>
      <c r="P273" s="167" t="str">
        <v/>
      </c>
    </row>
    <row r="274" spans="1:16" x14ac:dyDescent="0.2">
      <c r="A274" s="58" t="str">
        <v/>
      </c>
      <c r="B274" s="144" t="str">
        <v/>
      </c>
      <c r="C274" s="167" t="str">
        <v/>
      </c>
      <c r="D274" s="167" t="str">
        <v/>
      </c>
      <c r="E274" s="167" t="str">
        <v/>
      </c>
      <c r="F274" s="167" t="str">
        <v/>
      </c>
      <c r="G274" s="167" t="str">
        <v/>
      </c>
      <c r="H274" s="167" t="str">
        <v/>
      </c>
      <c r="I274" s="167" t="str">
        <v/>
      </c>
      <c r="J274" s="167" t="str">
        <v/>
      </c>
      <c r="K274" s="167" t="str">
        <v/>
      </c>
      <c r="L274" s="167" t="str">
        <v/>
      </c>
      <c r="M274" s="167" t="str">
        <v/>
      </c>
      <c r="N274" s="167" t="str">
        <v/>
      </c>
      <c r="O274" s="167" t="str">
        <v/>
      </c>
      <c r="P274" s="167" t="str">
        <v/>
      </c>
    </row>
    <row r="275" spans="1:16" x14ac:dyDescent="0.2">
      <c r="A275" s="58" t="str">
        <v/>
      </c>
      <c r="B275" s="144" t="str">
        <v/>
      </c>
      <c r="C275" s="167" t="str">
        <v/>
      </c>
      <c r="D275" s="167" t="str">
        <v/>
      </c>
      <c r="E275" s="167" t="str">
        <v/>
      </c>
      <c r="F275" s="167" t="str">
        <v/>
      </c>
      <c r="G275" s="167" t="str">
        <v/>
      </c>
      <c r="H275" s="167" t="str">
        <v/>
      </c>
      <c r="I275" s="167" t="str">
        <v/>
      </c>
      <c r="J275" s="167" t="str">
        <v/>
      </c>
      <c r="K275" s="167" t="str">
        <v/>
      </c>
      <c r="L275" s="167" t="str">
        <v/>
      </c>
      <c r="M275" s="167" t="str">
        <v/>
      </c>
      <c r="N275" s="167" t="str">
        <v/>
      </c>
      <c r="O275" s="167" t="str">
        <v/>
      </c>
      <c r="P275" s="167" t="str">
        <v/>
      </c>
    </row>
    <row r="276" spans="1:16" x14ac:dyDescent="0.2">
      <c r="A276" s="58" t="str">
        <v/>
      </c>
      <c r="B276" s="144" t="str">
        <v/>
      </c>
      <c r="C276" s="167" t="str">
        <v/>
      </c>
      <c r="D276" s="167" t="str">
        <v/>
      </c>
      <c r="E276" s="167" t="str">
        <v/>
      </c>
      <c r="F276" s="167" t="str">
        <v/>
      </c>
      <c r="G276" s="167" t="str">
        <v/>
      </c>
      <c r="H276" s="167" t="str">
        <v/>
      </c>
      <c r="I276" s="167" t="str">
        <v/>
      </c>
      <c r="J276" s="167" t="str">
        <v/>
      </c>
      <c r="K276" s="167" t="str">
        <v/>
      </c>
      <c r="L276" s="167" t="str">
        <v/>
      </c>
      <c r="M276" s="167" t="str">
        <v/>
      </c>
      <c r="N276" s="167" t="str">
        <v/>
      </c>
      <c r="O276" s="167" t="str">
        <v/>
      </c>
      <c r="P276" s="167" t="str">
        <v/>
      </c>
    </row>
    <row r="277" spans="1:16" x14ac:dyDescent="0.2">
      <c r="A277" s="58" t="str">
        <v/>
      </c>
      <c r="B277" s="144" t="str">
        <v/>
      </c>
      <c r="C277" s="167" t="str">
        <v/>
      </c>
      <c r="D277" s="167" t="str">
        <v/>
      </c>
      <c r="E277" s="167" t="str">
        <v/>
      </c>
      <c r="F277" s="167" t="str">
        <v/>
      </c>
      <c r="G277" s="167" t="str">
        <v/>
      </c>
      <c r="H277" s="167" t="str">
        <v/>
      </c>
      <c r="I277" s="167" t="str">
        <v/>
      </c>
      <c r="J277" s="167" t="str">
        <v/>
      </c>
      <c r="K277" s="167" t="str">
        <v/>
      </c>
      <c r="L277" s="167" t="str">
        <v/>
      </c>
      <c r="M277" s="167" t="str">
        <v/>
      </c>
      <c r="N277" s="167" t="str">
        <v/>
      </c>
      <c r="O277" s="167" t="str">
        <v/>
      </c>
      <c r="P277" s="167" t="str">
        <v/>
      </c>
    </row>
    <row r="278" spans="1:16" x14ac:dyDescent="0.2">
      <c r="A278" s="58" t="str">
        <v/>
      </c>
      <c r="B278" s="144" t="str">
        <v/>
      </c>
      <c r="C278" s="167" t="str">
        <v/>
      </c>
      <c r="D278" s="167" t="str">
        <v/>
      </c>
      <c r="E278" s="167" t="str">
        <v/>
      </c>
      <c r="F278" s="167" t="str">
        <v/>
      </c>
      <c r="G278" s="167" t="str">
        <v/>
      </c>
      <c r="H278" s="167" t="str">
        <v/>
      </c>
      <c r="I278" s="167" t="str">
        <v/>
      </c>
      <c r="J278" s="167" t="str">
        <v/>
      </c>
      <c r="K278" s="167" t="str">
        <v/>
      </c>
      <c r="L278" s="167" t="str">
        <v/>
      </c>
      <c r="M278" s="167" t="str">
        <v/>
      </c>
      <c r="N278" s="167" t="str">
        <v/>
      </c>
      <c r="O278" s="167" t="str">
        <v/>
      </c>
      <c r="P278" s="167" t="str">
        <v/>
      </c>
    </row>
    <row r="279" spans="1:16" x14ac:dyDescent="0.2">
      <c r="A279" s="58" t="str">
        <v/>
      </c>
      <c r="B279" s="144" t="str">
        <v/>
      </c>
      <c r="C279" s="167" t="str">
        <v/>
      </c>
      <c r="D279" s="167" t="str">
        <v/>
      </c>
      <c r="E279" s="167" t="str">
        <v/>
      </c>
      <c r="F279" s="167" t="str">
        <v/>
      </c>
      <c r="G279" s="167" t="str">
        <v/>
      </c>
      <c r="H279" s="167" t="str">
        <v/>
      </c>
      <c r="I279" s="167" t="str">
        <v/>
      </c>
      <c r="J279" s="167" t="str">
        <v/>
      </c>
      <c r="K279" s="167" t="str">
        <v/>
      </c>
      <c r="L279" s="167" t="str">
        <v/>
      </c>
      <c r="M279" s="167" t="str">
        <v/>
      </c>
      <c r="N279" s="167" t="str">
        <v/>
      </c>
      <c r="O279" s="167" t="str">
        <v/>
      </c>
      <c r="P279" s="167" t="str">
        <v/>
      </c>
    </row>
    <row r="280" spans="1:16" x14ac:dyDescent="0.2">
      <c r="A280" s="58" t="str">
        <v/>
      </c>
      <c r="B280" s="144" t="str">
        <v/>
      </c>
      <c r="C280" s="167" t="str">
        <v/>
      </c>
      <c r="D280" s="167" t="str">
        <v/>
      </c>
      <c r="E280" s="167" t="str">
        <v/>
      </c>
      <c r="F280" s="167" t="str">
        <v/>
      </c>
      <c r="G280" s="167" t="str">
        <v/>
      </c>
      <c r="H280" s="167" t="str">
        <v/>
      </c>
      <c r="I280" s="167" t="str">
        <v/>
      </c>
      <c r="J280" s="167" t="str">
        <v/>
      </c>
      <c r="K280" s="167" t="str">
        <v/>
      </c>
      <c r="L280" s="167" t="str">
        <v/>
      </c>
      <c r="M280" s="167" t="str">
        <v/>
      </c>
      <c r="N280" s="167" t="str">
        <v/>
      </c>
      <c r="O280" s="167" t="str">
        <v/>
      </c>
      <c r="P280" s="167" t="str">
        <v/>
      </c>
    </row>
    <row r="281" spans="1:16" x14ac:dyDescent="0.2">
      <c r="A281" s="58" t="str">
        <v/>
      </c>
      <c r="B281" s="144" t="str">
        <v/>
      </c>
      <c r="C281" s="167" t="str">
        <v/>
      </c>
      <c r="D281" s="167" t="str">
        <v/>
      </c>
      <c r="E281" s="167" t="str">
        <v/>
      </c>
      <c r="F281" s="167" t="str">
        <v/>
      </c>
      <c r="G281" s="167" t="str">
        <v/>
      </c>
      <c r="H281" s="167" t="str">
        <v/>
      </c>
      <c r="I281" s="167" t="str">
        <v/>
      </c>
      <c r="J281" s="167" t="str">
        <v/>
      </c>
      <c r="K281" s="167" t="str">
        <v/>
      </c>
      <c r="L281" s="167" t="str">
        <v/>
      </c>
      <c r="M281" s="167" t="str">
        <v/>
      </c>
      <c r="N281" s="167" t="str">
        <v/>
      </c>
      <c r="O281" s="167" t="str">
        <v/>
      </c>
      <c r="P281" s="167" t="str">
        <v/>
      </c>
    </row>
    <row r="282" spans="1:16" x14ac:dyDescent="0.2">
      <c r="A282" s="58" t="str">
        <v/>
      </c>
      <c r="B282" s="144" t="str">
        <v/>
      </c>
      <c r="C282" s="167" t="str">
        <v/>
      </c>
      <c r="D282" s="167" t="str">
        <v/>
      </c>
      <c r="E282" s="167" t="str">
        <v/>
      </c>
      <c r="F282" s="167" t="str">
        <v/>
      </c>
      <c r="G282" s="167" t="str">
        <v/>
      </c>
      <c r="H282" s="167" t="str">
        <v/>
      </c>
      <c r="I282" s="167" t="str">
        <v/>
      </c>
      <c r="J282" s="167" t="str">
        <v/>
      </c>
      <c r="K282" s="167" t="str">
        <v/>
      </c>
      <c r="L282" s="167" t="str">
        <v/>
      </c>
      <c r="M282" s="167" t="str">
        <v/>
      </c>
      <c r="N282" s="167" t="str">
        <v/>
      </c>
      <c r="O282" s="167" t="str">
        <v/>
      </c>
      <c r="P282" s="167" t="str">
        <v/>
      </c>
    </row>
    <row r="283" spans="1:16" x14ac:dyDescent="0.2">
      <c r="A283" s="58" t="str">
        <v/>
      </c>
      <c r="B283" s="144" t="str">
        <v/>
      </c>
      <c r="C283" s="167" t="str">
        <v/>
      </c>
      <c r="D283" s="167" t="str">
        <v/>
      </c>
      <c r="E283" s="167" t="str">
        <v/>
      </c>
      <c r="F283" s="167" t="str">
        <v/>
      </c>
      <c r="G283" s="167" t="str">
        <v/>
      </c>
      <c r="H283" s="167" t="str">
        <v/>
      </c>
      <c r="I283" s="167" t="str">
        <v/>
      </c>
      <c r="J283" s="167" t="str">
        <v/>
      </c>
      <c r="K283" s="167" t="str">
        <v/>
      </c>
      <c r="L283" s="167" t="str">
        <v/>
      </c>
      <c r="M283" s="167" t="str">
        <v/>
      </c>
      <c r="N283" s="167" t="str">
        <v/>
      </c>
      <c r="O283" s="167" t="str">
        <v/>
      </c>
      <c r="P283" s="167" t="str">
        <v/>
      </c>
    </row>
    <row r="284" spans="1:16" x14ac:dyDescent="0.2">
      <c r="A284" s="58" t="str">
        <v/>
      </c>
      <c r="B284" s="144" t="str">
        <v/>
      </c>
      <c r="C284" s="167" t="str">
        <v/>
      </c>
      <c r="D284" s="167" t="str">
        <v/>
      </c>
      <c r="E284" s="167" t="str">
        <v/>
      </c>
      <c r="F284" s="167" t="str">
        <v/>
      </c>
      <c r="G284" s="167" t="str">
        <v/>
      </c>
      <c r="H284" s="167" t="str">
        <v/>
      </c>
      <c r="I284" s="167" t="str">
        <v/>
      </c>
      <c r="J284" s="167" t="str">
        <v/>
      </c>
      <c r="K284" s="167" t="str">
        <v/>
      </c>
      <c r="L284" s="167" t="str">
        <v/>
      </c>
      <c r="M284" s="167" t="str">
        <v/>
      </c>
      <c r="N284" s="167" t="str">
        <v/>
      </c>
      <c r="O284" s="167" t="str">
        <v/>
      </c>
      <c r="P284" s="167" t="str">
        <v/>
      </c>
    </row>
    <row r="285" spans="1:16" x14ac:dyDescent="0.2">
      <c r="A285" s="58" t="str">
        <v/>
      </c>
      <c r="B285" s="144" t="str">
        <v/>
      </c>
      <c r="C285" s="167" t="str">
        <v/>
      </c>
      <c r="D285" s="167" t="str">
        <v/>
      </c>
      <c r="E285" s="167" t="str">
        <v/>
      </c>
      <c r="F285" s="167" t="str">
        <v/>
      </c>
      <c r="G285" s="167" t="str">
        <v/>
      </c>
      <c r="H285" s="167" t="str">
        <v/>
      </c>
      <c r="I285" s="167" t="str">
        <v/>
      </c>
      <c r="J285" s="167" t="str">
        <v/>
      </c>
      <c r="K285" s="167" t="str">
        <v/>
      </c>
      <c r="L285" s="167" t="str">
        <v/>
      </c>
      <c r="M285" s="167" t="str">
        <v/>
      </c>
      <c r="N285" s="167" t="str">
        <v/>
      </c>
      <c r="O285" s="167" t="str">
        <v/>
      </c>
      <c r="P285" s="167" t="str">
        <v/>
      </c>
    </row>
    <row r="286" spans="1:16" x14ac:dyDescent="0.2">
      <c r="A286" s="58" t="str">
        <v/>
      </c>
      <c r="B286" s="144" t="str">
        <v/>
      </c>
      <c r="C286" s="167" t="str">
        <v/>
      </c>
      <c r="D286" s="167" t="str">
        <v/>
      </c>
      <c r="E286" s="167" t="str">
        <v/>
      </c>
      <c r="F286" s="167" t="str">
        <v/>
      </c>
      <c r="G286" s="167" t="str">
        <v/>
      </c>
      <c r="H286" s="167" t="str">
        <v/>
      </c>
      <c r="I286" s="167" t="str">
        <v/>
      </c>
      <c r="J286" s="167" t="str">
        <v/>
      </c>
      <c r="K286" s="167" t="str">
        <v/>
      </c>
      <c r="L286" s="167" t="str">
        <v/>
      </c>
      <c r="M286" s="167" t="str">
        <v/>
      </c>
      <c r="N286" s="167" t="str">
        <v/>
      </c>
      <c r="O286" s="167" t="str">
        <v/>
      </c>
      <c r="P286" s="167" t="str">
        <v/>
      </c>
    </row>
    <row r="287" spans="1:16" x14ac:dyDescent="0.2">
      <c r="A287" s="58" t="str">
        <v/>
      </c>
      <c r="B287" s="144" t="str">
        <v/>
      </c>
      <c r="C287" s="167" t="str">
        <v/>
      </c>
      <c r="D287" s="167" t="str">
        <v/>
      </c>
      <c r="E287" s="167" t="str">
        <v/>
      </c>
      <c r="F287" s="167" t="str">
        <v/>
      </c>
      <c r="G287" s="167" t="str">
        <v/>
      </c>
      <c r="H287" s="167" t="str">
        <v/>
      </c>
      <c r="I287" s="167" t="str">
        <v/>
      </c>
      <c r="J287" s="167" t="str">
        <v/>
      </c>
      <c r="K287" s="167" t="str">
        <v/>
      </c>
      <c r="L287" s="167" t="str">
        <v/>
      </c>
      <c r="M287" s="167" t="str">
        <v/>
      </c>
      <c r="N287" s="167" t="str">
        <v/>
      </c>
      <c r="O287" s="167" t="str">
        <v/>
      </c>
      <c r="P287" s="167" t="str">
        <v/>
      </c>
    </row>
    <row r="288" spans="1:16" x14ac:dyDescent="0.2">
      <c r="A288" s="58" t="str">
        <v/>
      </c>
      <c r="B288" s="144" t="str">
        <v/>
      </c>
      <c r="C288" s="167" t="str">
        <v/>
      </c>
      <c r="D288" s="167" t="str">
        <v/>
      </c>
      <c r="E288" s="167" t="str">
        <v/>
      </c>
      <c r="F288" s="167" t="str">
        <v/>
      </c>
      <c r="G288" s="167" t="str">
        <v/>
      </c>
      <c r="H288" s="167" t="str">
        <v/>
      </c>
      <c r="I288" s="167" t="str">
        <v/>
      </c>
      <c r="J288" s="167" t="str">
        <v/>
      </c>
      <c r="K288" s="167" t="str">
        <v/>
      </c>
      <c r="L288" s="167" t="str">
        <v/>
      </c>
      <c r="M288" s="167" t="str">
        <v/>
      </c>
      <c r="N288" s="167" t="str">
        <v/>
      </c>
      <c r="O288" s="167" t="str">
        <v/>
      </c>
      <c r="P288" s="167" t="str">
        <v/>
      </c>
    </row>
    <row r="289" spans="1:16" x14ac:dyDescent="0.2">
      <c r="A289" s="58" t="str">
        <v/>
      </c>
      <c r="B289" s="144" t="str">
        <v/>
      </c>
      <c r="C289" s="167" t="str">
        <v/>
      </c>
      <c r="D289" s="167" t="str">
        <v/>
      </c>
      <c r="E289" s="167" t="str">
        <v/>
      </c>
      <c r="F289" s="167" t="str">
        <v/>
      </c>
      <c r="G289" s="167" t="str">
        <v/>
      </c>
      <c r="H289" s="167" t="str">
        <v/>
      </c>
      <c r="I289" s="167" t="str">
        <v/>
      </c>
      <c r="J289" s="167" t="str">
        <v/>
      </c>
      <c r="K289" s="167" t="str">
        <v/>
      </c>
      <c r="L289" s="167" t="str">
        <v/>
      </c>
      <c r="M289" s="167" t="str">
        <v/>
      </c>
      <c r="N289" s="167" t="str">
        <v/>
      </c>
      <c r="O289" s="167" t="str">
        <v/>
      </c>
      <c r="P289" s="167" t="str">
        <v/>
      </c>
    </row>
    <row r="290" spans="1:16" x14ac:dyDescent="0.2">
      <c r="A290" s="58" t="str">
        <v/>
      </c>
      <c r="B290" s="144" t="str">
        <v/>
      </c>
      <c r="C290" s="167" t="str">
        <v/>
      </c>
      <c r="D290" s="167" t="str">
        <v/>
      </c>
      <c r="E290" s="167" t="str">
        <v/>
      </c>
      <c r="F290" s="167" t="str">
        <v/>
      </c>
      <c r="G290" s="167" t="str">
        <v/>
      </c>
      <c r="H290" s="167" t="str">
        <v/>
      </c>
      <c r="I290" s="167" t="str">
        <v/>
      </c>
      <c r="J290" s="167" t="str">
        <v/>
      </c>
      <c r="K290" s="167" t="str">
        <v/>
      </c>
      <c r="L290" s="167" t="str">
        <v/>
      </c>
      <c r="M290" s="167" t="str">
        <v/>
      </c>
      <c r="N290" s="167" t="str">
        <v/>
      </c>
      <c r="O290" s="167" t="str">
        <v/>
      </c>
      <c r="P290" s="167" t="str">
        <v/>
      </c>
    </row>
    <row r="291" spans="1:16" x14ac:dyDescent="0.2">
      <c r="A291" s="58" t="str">
        <v/>
      </c>
      <c r="B291" s="144" t="str">
        <v/>
      </c>
      <c r="C291" s="167" t="str">
        <v/>
      </c>
      <c r="D291" s="167" t="str">
        <v/>
      </c>
      <c r="E291" s="167" t="str">
        <v/>
      </c>
      <c r="F291" s="167" t="str">
        <v/>
      </c>
      <c r="G291" s="167" t="str">
        <v/>
      </c>
      <c r="H291" s="167" t="str">
        <v/>
      </c>
      <c r="I291" s="167" t="str">
        <v/>
      </c>
      <c r="J291" s="167" t="str">
        <v/>
      </c>
      <c r="K291" s="167" t="str">
        <v/>
      </c>
      <c r="L291" s="167" t="str">
        <v/>
      </c>
      <c r="M291" s="167" t="str">
        <v/>
      </c>
      <c r="N291" s="167" t="str">
        <v/>
      </c>
      <c r="O291" s="167" t="str">
        <v/>
      </c>
      <c r="P291" s="167" t="str">
        <v/>
      </c>
    </row>
    <row r="292" spans="1:16" x14ac:dyDescent="0.2">
      <c r="A292" s="58" t="str">
        <v/>
      </c>
      <c r="B292" s="144" t="str">
        <v/>
      </c>
      <c r="C292" s="167" t="str">
        <v/>
      </c>
      <c r="D292" s="167" t="str">
        <v/>
      </c>
      <c r="E292" s="167" t="str">
        <v/>
      </c>
      <c r="F292" s="167" t="str">
        <v/>
      </c>
      <c r="G292" s="167" t="str">
        <v/>
      </c>
      <c r="H292" s="167" t="str">
        <v/>
      </c>
      <c r="I292" s="167" t="str">
        <v/>
      </c>
      <c r="J292" s="167" t="str">
        <v/>
      </c>
      <c r="K292" s="167" t="str">
        <v/>
      </c>
      <c r="L292" s="167" t="str">
        <v/>
      </c>
      <c r="M292" s="167" t="str">
        <v/>
      </c>
      <c r="N292" s="167" t="str">
        <v/>
      </c>
      <c r="O292" s="167" t="str">
        <v/>
      </c>
      <c r="P292" s="167" t="str">
        <v/>
      </c>
    </row>
    <row r="293" spans="1:16" x14ac:dyDescent="0.2">
      <c r="A293" s="58" t="str">
        <v/>
      </c>
      <c r="B293" s="144" t="str">
        <v/>
      </c>
      <c r="C293" s="167" t="str">
        <v/>
      </c>
      <c r="D293" s="167" t="str">
        <v/>
      </c>
      <c r="E293" s="167" t="str">
        <v/>
      </c>
      <c r="F293" s="167" t="str">
        <v/>
      </c>
      <c r="G293" s="167" t="str">
        <v/>
      </c>
      <c r="H293" s="167" t="str">
        <v/>
      </c>
      <c r="I293" s="167" t="str">
        <v/>
      </c>
      <c r="J293" s="167" t="str">
        <v/>
      </c>
      <c r="K293" s="167" t="str">
        <v/>
      </c>
      <c r="L293" s="167" t="str">
        <v/>
      </c>
      <c r="M293" s="167" t="str">
        <v/>
      </c>
      <c r="N293" s="167" t="str">
        <v/>
      </c>
      <c r="O293" s="167" t="str">
        <v/>
      </c>
      <c r="P293" s="167" t="str">
        <v/>
      </c>
    </row>
    <row r="294" spans="1:16" x14ac:dyDescent="0.2">
      <c r="A294" s="58" t="str">
        <v/>
      </c>
      <c r="B294" s="144" t="str">
        <v/>
      </c>
      <c r="C294" s="167" t="str">
        <v/>
      </c>
      <c r="D294" s="167" t="str">
        <v/>
      </c>
      <c r="E294" s="167" t="str">
        <v/>
      </c>
      <c r="F294" s="167" t="str">
        <v/>
      </c>
      <c r="G294" s="167" t="str">
        <v/>
      </c>
      <c r="H294" s="167" t="str">
        <v/>
      </c>
      <c r="I294" s="167" t="str">
        <v/>
      </c>
      <c r="J294" s="167" t="str">
        <v/>
      </c>
      <c r="K294" s="167" t="str">
        <v/>
      </c>
      <c r="L294" s="167" t="str">
        <v/>
      </c>
      <c r="M294" s="167" t="str">
        <v/>
      </c>
      <c r="N294" s="167" t="str">
        <v/>
      </c>
      <c r="O294" s="167" t="str">
        <v/>
      </c>
      <c r="P294" s="167" t="str">
        <v/>
      </c>
    </row>
    <row r="295" spans="1:16" x14ac:dyDescent="0.2">
      <c r="A295" s="58" t="str">
        <v/>
      </c>
      <c r="B295" s="144" t="str">
        <v/>
      </c>
      <c r="C295" s="167" t="str">
        <v/>
      </c>
      <c r="D295" s="167" t="str">
        <v/>
      </c>
      <c r="E295" s="167" t="str">
        <v/>
      </c>
      <c r="F295" s="167" t="str">
        <v/>
      </c>
      <c r="G295" s="167" t="str">
        <v/>
      </c>
      <c r="H295" s="167" t="str">
        <v/>
      </c>
      <c r="I295" s="167" t="str">
        <v/>
      </c>
      <c r="J295" s="167" t="str">
        <v/>
      </c>
      <c r="K295" s="167" t="str">
        <v/>
      </c>
      <c r="L295" s="167" t="str">
        <v/>
      </c>
      <c r="M295" s="167" t="str">
        <v/>
      </c>
      <c r="N295" s="167" t="str">
        <v/>
      </c>
      <c r="O295" s="167" t="str">
        <v/>
      </c>
      <c r="P295" s="167" t="str">
        <v/>
      </c>
    </row>
    <row r="296" spans="1:16" x14ac:dyDescent="0.2">
      <c r="A296" s="58" t="str">
        <v/>
      </c>
      <c r="B296" s="144" t="str">
        <v/>
      </c>
      <c r="C296" s="167" t="str">
        <v/>
      </c>
      <c r="D296" s="167" t="str">
        <v/>
      </c>
      <c r="E296" s="167" t="str">
        <v/>
      </c>
      <c r="F296" s="167" t="str">
        <v/>
      </c>
      <c r="G296" s="167" t="str">
        <v/>
      </c>
      <c r="H296" s="167" t="str">
        <v/>
      </c>
      <c r="I296" s="167" t="str">
        <v/>
      </c>
      <c r="J296" s="167" t="str">
        <v/>
      </c>
      <c r="K296" s="167" t="str">
        <v/>
      </c>
      <c r="L296" s="167" t="str">
        <v/>
      </c>
      <c r="M296" s="167" t="str">
        <v/>
      </c>
      <c r="N296" s="167" t="str">
        <v/>
      </c>
      <c r="O296" s="167" t="str">
        <v/>
      </c>
      <c r="P296" s="167" t="str">
        <v/>
      </c>
    </row>
    <row r="297" spans="1:16" x14ac:dyDescent="0.2">
      <c r="A297" s="58" t="str">
        <v/>
      </c>
      <c r="B297" s="144" t="str">
        <v/>
      </c>
      <c r="C297" s="167" t="str">
        <v/>
      </c>
      <c r="D297" s="167" t="str">
        <v/>
      </c>
      <c r="E297" s="167" t="str">
        <v/>
      </c>
      <c r="F297" s="167" t="str">
        <v/>
      </c>
      <c r="G297" s="167" t="str">
        <v/>
      </c>
      <c r="H297" s="167" t="str">
        <v/>
      </c>
      <c r="I297" s="167" t="str">
        <v/>
      </c>
      <c r="J297" s="167" t="str">
        <v/>
      </c>
      <c r="K297" s="167" t="str">
        <v/>
      </c>
      <c r="L297" s="167" t="str">
        <v/>
      </c>
      <c r="M297" s="167" t="str">
        <v/>
      </c>
      <c r="N297" s="167" t="str">
        <v/>
      </c>
      <c r="O297" s="167" t="str">
        <v/>
      </c>
      <c r="P297" s="167" t="str">
        <v/>
      </c>
    </row>
    <row r="298" spans="1:16" x14ac:dyDescent="0.2">
      <c r="A298" s="58" t="str">
        <v/>
      </c>
      <c r="B298" s="144" t="str">
        <v/>
      </c>
      <c r="C298" s="167" t="str">
        <v/>
      </c>
      <c r="D298" s="167" t="str">
        <v/>
      </c>
      <c r="E298" s="167" t="str">
        <v/>
      </c>
      <c r="F298" s="167" t="str">
        <v/>
      </c>
      <c r="G298" s="167" t="str">
        <v/>
      </c>
      <c r="H298" s="167" t="str">
        <v/>
      </c>
      <c r="I298" s="167" t="str">
        <v/>
      </c>
      <c r="J298" s="167" t="str">
        <v/>
      </c>
      <c r="K298" s="167" t="str">
        <v/>
      </c>
      <c r="L298" s="167" t="str">
        <v/>
      </c>
      <c r="M298" s="167" t="str">
        <v/>
      </c>
      <c r="N298" s="167" t="str">
        <v/>
      </c>
      <c r="O298" s="167" t="str">
        <v/>
      </c>
      <c r="P298" s="167" t="str">
        <v/>
      </c>
    </row>
    <row r="299" spans="1:16" x14ac:dyDescent="0.2">
      <c r="A299" s="58" t="str">
        <v/>
      </c>
      <c r="B299" s="144" t="str">
        <v/>
      </c>
      <c r="C299" s="167" t="str">
        <v/>
      </c>
      <c r="D299" s="167" t="str">
        <v/>
      </c>
      <c r="E299" s="167" t="str">
        <v/>
      </c>
      <c r="F299" s="167" t="str">
        <v/>
      </c>
      <c r="G299" s="167" t="str">
        <v/>
      </c>
      <c r="H299" s="167" t="str">
        <v/>
      </c>
      <c r="I299" s="167" t="str">
        <v/>
      </c>
      <c r="J299" s="167" t="str">
        <v/>
      </c>
      <c r="K299" s="167" t="str">
        <v/>
      </c>
      <c r="L299" s="167" t="str">
        <v/>
      </c>
      <c r="M299" s="167" t="str">
        <v/>
      </c>
      <c r="N299" s="167" t="str">
        <v/>
      </c>
      <c r="O299" s="167" t="str">
        <v/>
      </c>
      <c r="P299" s="167" t="str">
        <v/>
      </c>
    </row>
    <row r="300" spans="1:16" x14ac:dyDescent="0.2">
      <c r="A300" s="58" t="str">
        <v/>
      </c>
      <c r="B300" s="144" t="str">
        <v/>
      </c>
      <c r="C300" s="167" t="str">
        <v/>
      </c>
      <c r="D300" s="167" t="str">
        <v/>
      </c>
      <c r="E300" s="167" t="str">
        <v/>
      </c>
      <c r="F300" s="167" t="str">
        <v/>
      </c>
      <c r="G300" s="167" t="str">
        <v/>
      </c>
      <c r="H300" s="167" t="str">
        <v/>
      </c>
      <c r="I300" s="167" t="str">
        <v/>
      </c>
      <c r="J300" s="167" t="str">
        <v/>
      </c>
      <c r="K300" s="167" t="str">
        <v/>
      </c>
      <c r="L300" s="167" t="str">
        <v/>
      </c>
      <c r="M300" s="167" t="str">
        <v/>
      </c>
      <c r="N300" s="167" t="str">
        <v/>
      </c>
      <c r="O300" s="167" t="str">
        <v/>
      </c>
      <c r="P300" s="167" t="str">
        <v/>
      </c>
    </row>
    <row r="301" spans="1:16" x14ac:dyDescent="0.2">
      <c r="A301" s="58" t="str">
        <v/>
      </c>
      <c r="B301" s="144" t="str">
        <v/>
      </c>
      <c r="C301" s="167" t="str">
        <v/>
      </c>
      <c r="D301" s="167" t="str">
        <v/>
      </c>
      <c r="E301" s="167" t="str">
        <v/>
      </c>
      <c r="F301" s="167" t="str">
        <v/>
      </c>
      <c r="G301" s="167" t="str">
        <v/>
      </c>
      <c r="H301" s="167" t="str">
        <v/>
      </c>
      <c r="I301" s="167" t="str">
        <v/>
      </c>
      <c r="J301" s="167" t="str">
        <v/>
      </c>
      <c r="K301" s="167" t="str">
        <v/>
      </c>
      <c r="L301" s="167" t="str">
        <v/>
      </c>
      <c r="M301" s="167" t="str">
        <v/>
      </c>
      <c r="N301" s="167" t="str">
        <v/>
      </c>
      <c r="O301" s="167" t="str">
        <v/>
      </c>
      <c r="P301" s="167" t="str">
        <v/>
      </c>
    </row>
    <row r="302" spans="1:16" x14ac:dyDescent="0.2">
      <c r="A302" s="58" t="str">
        <v/>
      </c>
      <c r="B302" s="144" t="str">
        <v/>
      </c>
      <c r="C302" s="167" t="str">
        <v/>
      </c>
      <c r="D302" s="167" t="str">
        <v/>
      </c>
      <c r="E302" s="167" t="str">
        <v/>
      </c>
      <c r="F302" s="167" t="str">
        <v/>
      </c>
      <c r="G302" s="167" t="str">
        <v/>
      </c>
      <c r="H302" s="167" t="str">
        <v/>
      </c>
      <c r="I302" s="167" t="str">
        <v/>
      </c>
      <c r="J302" s="167" t="str">
        <v/>
      </c>
      <c r="K302" s="167" t="str">
        <v/>
      </c>
      <c r="L302" s="167" t="str">
        <v/>
      </c>
      <c r="M302" s="167" t="str">
        <v/>
      </c>
      <c r="N302" s="167" t="str">
        <v/>
      </c>
      <c r="O302" s="167" t="str">
        <v/>
      </c>
      <c r="P302" s="167" t="str">
        <v/>
      </c>
    </row>
    <row r="303" spans="1:16" x14ac:dyDescent="0.2">
      <c r="A303" s="58" t="str">
        <v/>
      </c>
      <c r="B303" s="144" t="str">
        <v/>
      </c>
      <c r="C303" s="167" t="str">
        <v/>
      </c>
      <c r="D303" s="167" t="str">
        <v/>
      </c>
      <c r="E303" s="167" t="str">
        <v/>
      </c>
      <c r="F303" s="167" t="str">
        <v/>
      </c>
      <c r="G303" s="167" t="str">
        <v/>
      </c>
      <c r="H303" s="167" t="str">
        <v/>
      </c>
      <c r="I303" s="167" t="str">
        <v/>
      </c>
      <c r="J303" s="167" t="str">
        <v/>
      </c>
      <c r="K303" s="167" t="str">
        <v/>
      </c>
      <c r="L303" s="167" t="str">
        <v/>
      </c>
      <c r="M303" s="167" t="str">
        <v/>
      </c>
      <c r="N303" s="167" t="str">
        <v/>
      </c>
      <c r="O303" s="167" t="str">
        <v/>
      </c>
      <c r="P303" s="167" t="str">
        <v/>
      </c>
    </row>
    <row r="304" spans="1:16" x14ac:dyDescent="0.2">
      <c r="A304" s="58" t="str">
        <v/>
      </c>
      <c r="B304" s="144" t="str">
        <v/>
      </c>
      <c r="C304" s="167" t="str">
        <v/>
      </c>
      <c r="D304" s="167" t="str">
        <v/>
      </c>
      <c r="E304" s="167" t="str">
        <v/>
      </c>
      <c r="F304" s="167" t="str">
        <v/>
      </c>
      <c r="G304" s="167" t="str">
        <v/>
      </c>
      <c r="H304" s="167" t="str">
        <v/>
      </c>
      <c r="I304" s="167" t="str">
        <v/>
      </c>
      <c r="J304" s="167" t="str">
        <v/>
      </c>
      <c r="K304" s="167" t="str">
        <v/>
      </c>
      <c r="L304" s="167" t="str">
        <v/>
      </c>
      <c r="M304" s="167" t="str">
        <v/>
      </c>
      <c r="N304" s="167" t="str">
        <v/>
      </c>
      <c r="O304" s="167" t="str">
        <v/>
      </c>
      <c r="P304" s="167" t="str">
        <v/>
      </c>
    </row>
    <row r="305" spans="1:16" x14ac:dyDescent="0.2">
      <c r="A305" s="58" t="str">
        <v/>
      </c>
      <c r="B305" s="144" t="str">
        <v/>
      </c>
      <c r="C305" s="167" t="str">
        <v/>
      </c>
      <c r="D305" s="167" t="str">
        <v/>
      </c>
      <c r="E305" s="167" t="str">
        <v/>
      </c>
      <c r="F305" s="167" t="str">
        <v/>
      </c>
      <c r="G305" s="167" t="str">
        <v/>
      </c>
      <c r="H305" s="167" t="str">
        <v/>
      </c>
      <c r="I305" s="167" t="str">
        <v/>
      </c>
      <c r="J305" s="167" t="str">
        <v/>
      </c>
      <c r="K305" s="167" t="str">
        <v/>
      </c>
      <c r="L305" s="167" t="str">
        <v/>
      </c>
      <c r="M305" s="167" t="str">
        <v/>
      </c>
      <c r="N305" s="167" t="str">
        <v/>
      </c>
      <c r="O305" s="167" t="str">
        <v/>
      </c>
      <c r="P305" s="167" t="str">
        <v/>
      </c>
    </row>
    <row r="306" spans="1:16" x14ac:dyDescent="0.2">
      <c r="A306" s="58" t="str">
        <v/>
      </c>
      <c r="B306" s="144" t="str">
        <v/>
      </c>
      <c r="C306" s="167" t="str">
        <v/>
      </c>
      <c r="D306" s="167" t="str">
        <v/>
      </c>
      <c r="E306" s="167" t="str">
        <v/>
      </c>
      <c r="F306" s="167" t="str">
        <v/>
      </c>
      <c r="G306" s="167" t="str">
        <v/>
      </c>
      <c r="H306" s="167" t="str">
        <v/>
      </c>
      <c r="I306" s="167" t="str">
        <v/>
      </c>
      <c r="J306" s="167" t="str">
        <v/>
      </c>
      <c r="K306" s="167" t="str">
        <v/>
      </c>
      <c r="L306" s="167" t="str">
        <v/>
      </c>
      <c r="M306" s="167" t="str">
        <v/>
      </c>
      <c r="N306" s="167" t="str">
        <v/>
      </c>
      <c r="O306" s="167" t="str">
        <v/>
      </c>
      <c r="P306" s="167" t="str">
        <v/>
      </c>
    </row>
    <row r="307" spans="1:16" x14ac:dyDescent="0.2">
      <c r="A307" s="58" t="str">
        <v/>
      </c>
      <c r="B307" s="144" t="str">
        <v/>
      </c>
      <c r="C307" s="167" t="str">
        <v/>
      </c>
      <c r="D307" s="167" t="str">
        <v/>
      </c>
      <c r="E307" s="167" t="str">
        <v/>
      </c>
      <c r="F307" s="167" t="str">
        <v/>
      </c>
      <c r="G307" s="167" t="str">
        <v/>
      </c>
      <c r="H307" s="167" t="str">
        <v/>
      </c>
      <c r="I307" s="167" t="str">
        <v/>
      </c>
      <c r="J307" s="167" t="str">
        <v/>
      </c>
      <c r="K307" s="167" t="str">
        <v/>
      </c>
      <c r="L307" s="167" t="str">
        <v/>
      </c>
      <c r="M307" s="167" t="str">
        <v/>
      </c>
      <c r="N307" s="167" t="str">
        <v/>
      </c>
      <c r="O307" s="167" t="str">
        <v/>
      </c>
      <c r="P307" s="167" t="str">
        <v/>
      </c>
    </row>
    <row r="308" spans="1:16" x14ac:dyDescent="0.2">
      <c r="A308" s="58" t="str">
        <v/>
      </c>
      <c r="B308" s="144" t="str">
        <v/>
      </c>
      <c r="C308" s="167" t="str">
        <v/>
      </c>
      <c r="D308" s="167" t="str">
        <v/>
      </c>
      <c r="E308" s="167" t="str">
        <v/>
      </c>
      <c r="F308" s="167" t="str">
        <v/>
      </c>
      <c r="G308" s="167" t="str">
        <v/>
      </c>
      <c r="H308" s="167" t="str">
        <v/>
      </c>
      <c r="I308" s="167" t="str">
        <v/>
      </c>
      <c r="J308" s="167" t="str">
        <v/>
      </c>
      <c r="K308" s="167" t="str">
        <v/>
      </c>
      <c r="L308" s="167" t="str">
        <v/>
      </c>
      <c r="M308" s="167" t="str">
        <v/>
      </c>
      <c r="N308" s="167" t="str">
        <v/>
      </c>
      <c r="O308" s="167" t="str">
        <v/>
      </c>
      <c r="P308" s="167" t="str">
        <v/>
      </c>
    </row>
    <row r="309" spans="1:16" x14ac:dyDescent="0.2">
      <c r="A309" s="58" t="str">
        <v/>
      </c>
      <c r="B309" s="144" t="str">
        <v/>
      </c>
      <c r="C309" s="167" t="str">
        <v/>
      </c>
      <c r="D309" s="167" t="str">
        <v/>
      </c>
      <c r="E309" s="167" t="str">
        <v/>
      </c>
      <c r="F309" s="167" t="str">
        <v/>
      </c>
      <c r="G309" s="167" t="str">
        <v/>
      </c>
      <c r="H309" s="167" t="str">
        <v/>
      </c>
      <c r="I309" s="167" t="str">
        <v/>
      </c>
      <c r="J309" s="167" t="str">
        <v/>
      </c>
      <c r="K309" s="167" t="str">
        <v/>
      </c>
      <c r="L309" s="167" t="str">
        <v/>
      </c>
      <c r="M309" s="167" t="str">
        <v/>
      </c>
      <c r="N309" s="167" t="str">
        <v/>
      </c>
      <c r="O309" s="167" t="str">
        <v/>
      </c>
      <c r="P309" s="167" t="str">
        <v/>
      </c>
    </row>
    <row r="310" spans="1:16" x14ac:dyDescent="0.2">
      <c r="A310" s="58" t="str">
        <v/>
      </c>
      <c r="B310" s="144" t="str">
        <v/>
      </c>
      <c r="C310" s="167" t="str">
        <v/>
      </c>
      <c r="D310" s="167" t="str">
        <v/>
      </c>
      <c r="E310" s="167" t="str">
        <v/>
      </c>
      <c r="F310" s="167" t="str">
        <v/>
      </c>
      <c r="G310" s="167" t="str">
        <v/>
      </c>
      <c r="H310" s="167" t="str">
        <v/>
      </c>
      <c r="I310" s="167" t="str">
        <v/>
      </c>
      <c r="J310" s="167" t="str">
        <v/>
      </c>
      <c r="K310" s="167" t="str">
        <v/>
      </c>
      <c r="L310" s="167" t="str">
        <v/>
      </c>
      <c r="M310" s="167" t="str">
        <v/>
      </c>
      <c r="N310" s="167" t="str">
        <v/>
      </c>
      <c r="O310" s="167" t="str">
        <v/>
      </c>
      <c r="P310" s="167" t="str">
        <v/>
      </c>
    </row>
    <row r="311" spans="1:16" x14ac:dyDescent="0.2">
      <c r="A311" s="58" t="str">
        <v/>
      </c>
      <c r="B311" s="144" t="str">
        <v/>
      </c>
      <c r="C311" s="167" t="str">
        <v/>
      </c>
      <c r="D311" s="167" t="str">
        <v/>
      </c>
      <c r="E311" s="167" t="str">
        <v/>
      </c>
      <c r="F311" s="167" t="str">
        <v/>
      </c>
      <c r="G311" s="167" t="str">
        <v/>
      </c>
      <c r="H311" s="167" t="str">
        <v/>
      </c>
      <c r="I311" s="167" t="str">
        <v/>
      </c>
      <c r="J311" s="167" t="str">
        <v/>
      </c>
      <c r="K311" s="167" t="str">
        <v/>
      </c>
      <c r="L311" s="167" t="str">
        <v/>
      </c>
      <c r="M311" s="167" t="str">
        <v/>
      </c>
      <c r="N311" s="167" t="str">
        <v/>
      </c>
      <c r="O311" s="167" t="str">
        <v/>
      </c>
      <c r="P311" s="167" t="str">
        <v/>
      </c>
    </row>
    <row r="312" spans="1:16" x14ac:dyDescent="0.2">
      <c r="A312" s="58" t="str">
        <v/>
      </c>
      <c r="B312" s="144" t="str">
        <v/>
      </c>
      <c r="C312" s="167" t="str">
        <v/>
      </c>
      <c r="D312" s="167" t="str">
        <v/>
      </c>
      <c r="E312" s="167" t="str">
        <v/>
      </c>
      <c r="F312" s="167" t="str">
        <v/>
      </c>
      <c r="G312" s="167" t="str">
        <v/>
      </c>
      <c r="H312" s="167" t="str">
        <v/>
      </c>
      <c r="I312" s="167" t="str">
        <v/>
      </c>
      <c r="J312" s="167" t="str">
        <v/>
      </c>
      <c r="K312" s="167" t="str">
        <v/>
      </c>
      <c r="L312" s="167" t="str">
        <v/>
      </c>
      <c r="M312" s="167" t="str">
        <v/>
      </c>
      <c r="N312" s="167" t="str">
        <v/>
      </c>
      <c r="O312" s="167" t="str">
        <v/>
      </c>
      <c r="P312" s="167" t="str">
        <v/>
      </c>
    </row>
    <row r="313" spans="1:16" x14ac:dyDescent="0.2">
      <c r="A313" s="58" t="str">
        <v/>
      </c>
      <c r="B313" s="144" t="str">
        <v/>
      </c>
      <c r="C313" s="167" t="str">
        <v/>
      </c>
      <c r="D313" s="167" t="str">
        <v/>
      </c>
      <c r="E313" s="167" t="str">
        <v/>
      </c>
      <c r="F313" s="167" t="str">
        <v/>
      </c>
      <c r="G313" s="167" t="str">
        <v/>
      </c>
      <c r="H313" s="167" t="str">
        <v/>
      </c>
      <c r="I313" s="167" t="str">
        <v/>
      </c>
      <c r="J313" s="167" t="str">
        <v/>
      </c>
      <c r="K313" s="167" t="str">
        <v/>
      </c>
      <c r="L313" s="167" t="str">
        <v/>
      </c>
      <c r="M313" s="167" t="str">
        <v/>
      </c>
      <c r="N313" s="167" t="str">
        <v/>
      </c>
      <c r="O313" s="167" t="str">
        <v/>
      </c>
      <c r="P313" s="167" t="str">
        <v/>
      </c>
    </row>
    <row r="314" spans="1:16" x14ac:dyDescent="0.2">
      <c r="A314" s="58" t="str">
        <v/>
      </c>
      <c r="B314" s="144" t="str">
        <v/>
      </c>
      <c r="C314" s="167" t="str">
        <v/>
      </c>
      <c r="D314" s="167" t="str">
        <v/>
      </c>
      <c r="E314" s="167" t="str">
        <v/>
      </c>
      <c r="F314" s="167" t="str">
        <v/>
      </c>
      <c r="G314" s="167" t="str">
        <v/>
      </c>
      <c r="H314" s="167" t="str">
        <v/>
      </c>
      <c r="I314" s="167" t="str">
        <v/>
      </c>
      <c r="J314" s="167" t="str">
        <v/>
      </c>
      <c r="K314" s="167" t="str">
        <v/>
      </c>
      <c r="L314" s="167" t="str">
        <v/>
      </c>
      <c r="M314" s="167" t="str">
        <v/>
      </c>
      <c r="N314" s="167" t="str">
        <v/>
      </c>
      <c r="O314" s="167" t="str">
        <v/>
      </c>
      <c r="P314" s="167" t="str">
        <v/>
      </c>
    </row>
    <row r="315" spans="1:16" x14ac:dyDescent="0.2">
      <c r="A315" s="58" t="str">
        <v/>
      </c>
      <c r="B315" s="144" t="str">
        <v/>
      </c>
      <c r="C315" s="167" t="str">
        <v/>
      </c>
      <c r="D315" s="167" t="str">
        <v/>
      </c>
      <c r="E315" s="167" t="str">
        <v/>
      </c>
      <c r="F315" s="167" t="str">
        <v/>
      </c>
      <c r="G315" s="167" t="str">
        <v/>
      </c>
      <c r="H315" s="167" t="str">
        <v/>
      </c>
      <c r="I315" s="167" t="str">
        <v/>
      </c>
      <c r="J315" s="167" t="str">
        <v/>
      </c>
      <c r="K315" s="167" t="str">
        <v/>
      </c>
      <c r="L315" s="167" t="str">
        <v/>
      </c>
      <c r="M315" s="167" t="str">
        <v/>
      </c>
      <c r="N315" s="167" t="str">
        <v/>
      </c>
      <c r="O315" s="167" t="str">
        <v/>
      </c>
      <c r="P315" s="167" t="str">
        <v/>
      </c>
    </row>
    <row r="316" spans="1:16" x14ac:dyDescent="0.2">
      <c r="A316" s="58" t="str">
        <v/>
      </c>
      <c r="B316" s="144" t="str">
        <v/>
      </c>
      <c r="C316" s="167" t="str">
        <v/>
      </c>
      <c r="D316" s="167" t="str">
        <v/>
      </c>
      <c r="E316" s="167" t="str">
        <v/>
      </c>
      <c r="F316" s="167" t="str">
        <v/>
      </c>
      <c r="G316" s="167" t="str">
        <v/>
      </c>
      <c r="H316" s="167" t="str">
        <v/>
      </c>
      <c r="I316" s="167" t="str">
        <v/>
      </c>
      <c r="J316" s="167" t="str">
        <v/>
      </c>
      <c r="K316" s="167" t="str">
        <v/>
      </c>
      <c r="L316" s="167" t="str">
        <v/>
      </c>
      <c r="M316" s="167" t="str">
        <v/>
      </c>
      <c r="N316" s="167" t="str">
        <v/>
      </c>
      <c r="O316" s="167" t="str">
        <v/>
      </c>
      <c r="P316" s="167" t="str">
        <v/>
      </c>
    </row>
    <row r="317" spans="1:16" x14ac:dyDescent="0.2">
      <c r="A317" s="58" t="str">
        <v/>
      </c>
      <c r="B317" s="144" t="str">
        <v/>
      </c>
      <c r="C317" s="167" t="str">
        <v/>
      </c>
      <c r="D317" s="167" t="str">
        <v/>
      </c>
      <c r="E317" s="167" t="str">
        <v/>
      </c>
      <c r="F317" s="167" t="str">
        <v/>
      </c>
      <c r="G317" s="167" t="str">
        <v/>
      </c>
      <c r="H317" s="167" t="str">
        <v/>
      </c>
      <c r="I317" s="167" t="str">
        <v/>
      </c>
      <c r="J317" s="167" t="str">
        <v/>
      </c>
      <c r="K317" s="167" t="str">
        <v/>
      </c>
      <c r="L317" s="167" t="str">
        <v/>
      </c>
      <c r="M317" s="167" t="str">
        <v/>
      </c>
      <c r="N317" s="167" t="str">
        <v/>
      </c>
      <c r="O317" s="167" t="str">
        <v/>
      </c>
      <c r="P317" s="167" t="str">
        <v/>
      </c>
    </row>
    <row r="318" spans="1:16" x14ac:dyDescent="0.2">
      <c r="A318" s="58" t="str">
        <v/>
      </c>
      <c r="B318" s="144" t="str">
        <v/>
      </c>
      <c r="C318" s="167" t="str">
        <v/>
      </c>
      <c r="D318" s="167" t="str">
        <v/>
      </c>
      <c r="E318" s="167" t="str">
        <v/>
      </c>
      <c r="F318" s="167" t="str">
        <v/>
      </c>
      <c r="G318" s="167" t="str">
        <v/>
      </c>
      <c r="H318" s="167" t="str">
        <v/>
      </c>
      <c r="I318" s="167" t="str">
        <v/>
      </c>
      <c r="J318" s="167" t="str">
        <v/>
      </c>
      <c r="K318" s="167" t="str">
        <v/>
      </c>
      <c r="L318" s="167" t="str">
        <v/>
      </c>
      <c r="M318" s="167" t="str">
        <v/>
      </c>
      <c r="N318" s="167" t="str">
        <v/>
      </c>
      <c r="O318" s="167" t="str">
        <v/>
      </c>
      <c r="P318" s="167" t="str">
        <v/>
      </c>
    </row>
    <row r="319" spans="1:16" x14ac:dyDescent="0.2">
      <c r="A319" s="58" t="str">
        <v/>
      </c>
      <c r="B319" s="144" t="str">
        <v/>
      </c>
      <c r="C319" s="167" t="str">
        <v/>
      </c>
      <c r="D319" s="167" t="str">
        <v/>
      </c>
      <c r="E319" s="167" t="str">
        <v/>
      </c>
      <c r="F319" s="167" t="str">
        <v/>
      </c>
      <c r="G319" s="167" t="str">
        <v/>
      </c>
      <c r="H319" s="167" t="str">
        <v/>
      </c>
      <c r="I319" s="167" t="str">
        <v/>
      </c>
      <c r="J319" s="167" t="str">
        <v/>
      </c>
      <c r="K319" s="167" t="str">
        <v/>
      </c>
      <c r="L319" s="167" t="str">
        <v/>
      </c>
      <c r="M319" s="167" t="str">
        <v/>
      </c>
      <c r="N319" s="167" t="str">
        <v/>
      </c>
      <c r="O319" s="167" t="str">
        <v/>
      </c>
      <c r="P319" s="167" t="str">
        <v/>
      </c>
    </row>
    <row r="320" spans="1:16" x14ac:dyDescent="0.2">
      <c r="A320" s="58" t="str">
        <v/>
      </c>
      <c r="B320" s="144" t="str">
        <v/>
      </c>
      <c r="C320" s="167" t="str">
        <v/>
      </c>
      <c r="D320" s="167" t="str">
        <v/>
      </c>
      <c r="E320" s="167" t="str">
        <v/>
      </c>
      <c r="F320" s="167" t="str">
        <v/>
      </c>
      <c r="G320" s="167" t="str">
        <v/>
      </c>
      <c r="H320" s="167" t="str">
        <v/>
      </c>
      <c r="I320" s="167" t="str">
        <v/>
      </c>
      <c r="J320" s="167" t="str">
        <v/>
      </c>
      <c r="K320" s="167" t="str">
        <v/>
      </c>
      <c r="L320" s="167" t="str">
        <v/>
      </c>
      <c r="M320" s="167" t="str">
        <v/>
      </c>
      <c r="N320" s="167" t="str">
        <v/>
      </c>
      <c r="O320" s="167" t="str">
        <v/>
      </c>
      <c r="P320" s="167" t="str">
        <v/>
      </c>
    </row>
    <row r="321" spans="1:16" x14ac:dyDescent="0.2">
      <c r="A321" s="58" t="str">
        <v/>
      </c>
      <c r="B321" s="144" t="str">
        <v/>
      </c>
      <c r="C321" s="167" t="str">
        <v/>
      </c>
      <c r="D321" s="167" t="str">
        <v/>
      </c>
      <c r="E321" s="167" t="str">
        <v/>
      </c>
      <c r="F321" s="167" t="str">
        <v/>
      </c>
      <c r="G321" s="167" t="str">
        <v/>
      </c>
      <c r="H321" s="167" t="str">
        <v/>
      </c>
      <c r="I321" s="167" t="str">
        <v/>
      </c>
      <c r="J321" s="167" t="str">
        <v/>
      </c>
      <c r="K321" s="167" t="str">
        <v/>
      </c>
      <c r="L321" s="167" t="str">
        <v/>
      </c>
      <c r="M321" s="167" t="str">
        <v/>
      </c>
      <c r="N321" s="167" t="str">
        <v/>
      </c>
      <c r="O321" s="167" t="str">
        <v/>
      </c>
      <c r="P321" s="167" t="str">
        <v/>
      </c>
    </row>
    <row r="322" spans="1:16" x14ac:dyDescent="0.2">
      <c r="A322" s="58" t="str">
        <v/>
      </c>
      <c r="B322" s="144" t="str">
        <v/>
      </c>
      <c r="C322" s="167" t="str">
        <v/>
      </c>
      <c r="D322" s="167" t="str">
        <v/>
      </c>
      <c r="E322" s="167" t="str">
        <v/>
      </c>
      <c r="F322" s="167" t="str">
        <v/>
      </c>
      <c r="G322" s="167" t="str">
        <v/>
      </c>
      <c r="H322" s="167" t="str">
        <v/>
      </c>
      <c r="I322" s="167" t="str">
        <v/>
      </c>
      <c r="J322" s="167" t="str">
        <v/>
      </c>
      <c r="K322" s="167" t="str">
        <v/>
      </c>
      <c r="L322" s="167" t="str">
        <v/>
      </c>
      <c r="M322" s="167" t="str">
        <v/>
      </c>
      <c r="N322" s="167" t="str">
        <v/>
      </c>
      <c r="O322" s="167" t="str">
        <v/>
      </c>
      <c r="P322" s="167" t="str">
        <v/>
      </c>
    </row>
    <row r="323" spans="1:16" x14ac:dyDescent="0.2">
      <c r="A323" s="58" t="str">
        <v/>
      </c>
      <c r="B323" s="144" t="str">
        <v/>
      </c>
      <c r="C323" s="167" t="str">
        <v/>
      </c>
      <c r="D323" s="167" t="str">
        <v/>
      </c>
      <c r="E323" s="167" t="str">
        <v/>
      </c>
      <c r="F323" s="167" t="str">
        <v/>
      </c>
      <c r="G323" s="167" t="str">
        <v/>
      </c>
      <c r="H323" s="167" t="str">
        <v/>
      </c>
      <c r="I323" s="167" t="str">
        <v/>
      </c>
      <c r="J323" s="167" t="str">
        <v/>
      </c>
      <c r="K323" s="167" t="str">
        <v/>
      </c>
      <c r="L323" s="167" t="str">
        <v/>
      </c>
      <c r="M323" s="167" t="str">
        <v/>
      </c>
      <c r="N323" s="167" t="str">
        <v/>
      </c>
      <c r="O323" s="167" t="str">
        <v/>
      </c>
      <c r="P323" s="167" t="str">
        <v/>
      </c>
    </row>
    <row r="324" spans="1:16" x14ac:dyDescent="0.2">
      <c r="A324" s="58" t="str">
        <v/>
      </c>
      <c r="B324" s="144" t="str">
        <v/>
      </c>
      <c r="C324" s="167" t="str">
        <v/>
      </c>
      <c r="D324" s="167" t="str">
        <v/>
      </c>
      <c r="E324" s="167" t="str">
        <v/>
      </c>
      <c r="F324" s="167" t="str">
        <v/>
      </c>
      <c r="G324" s="167" t="str">
        <v/>
      </c>
      <c r="H324" s="167" t="str">
        <v/>
      </c>
      <c r="I324" s="167" t="str">
        <v/>
      </c>
      <c r="J324" s="167" t="str">
        <v/>
      </c>
      <c r="K324" s="167" t="str">
        <v/>
      </c>
      <c r="L324" s="167" t="str">
        <v/>
      </c>
      <c r="M324" s="167" t="str">
        <v/>
      </c>
      <c r="N324" s="167" t="str">
        <v/>
      </c>
      <c r="O324" s="167" t="str">
        <v/>
      </c>
      <c r="P324" s="167" t="str">
        <v/>
      </c>
    </row>
    <row r="325" spans="1:16" x14ac:dyDescent="0.2">
      <c r="A325" s="58" t="str">
        <v/>
      </c>
      <c r="B325" s="144" t="str">
        <v/>
      </c>
      <c r="C325" s="167" t="str">
        <v/>
      </c>
      <c r="D325" s="167" t="str">
        <v/>
      </c>
      <c r="E325" s="167" t="str">
        <v/>
      </c>
      <c r="F325" s="167" t="str">
        <v/>
      </c>
      <c r="G325" s="167" t="str">
        <v/>
      </c>
      <c r="H325" s="167" t="str">
        <v/>
      </c>
      <c r="I325" s="167" t="str">
        <v/>
      </c>
      <c r="J325" s="167" t="str">
        <v/>
      </c>
      <c r="K325" s="167" t="str">
        <v/>
      </c>
      <c r="L325" s="167" t="str">
        <v/>
      </c>
      <c r="M325" s="167" t="str">
        <v/>
      </c>
      <c r="N325" s="167" t="str">
        <v/>
      </c>
      <c r="O325" s="167" t="str">
        <v/>
      </c>
      <c r="P325" s="167" t="str">
        <v/>
      </c>
    </row>
    <row r="326" spans="1:16" x14ac:dyDescent="0.2">
      <c r="A326" s="58" t="str">
        <v/>
      </c>
      <c r="B326" s="144" t="str">
        <v/>
      </c>
      <c r="C326" s="167" t="str">
        <v/>
      </c>
      <c r="D326" s="167" t="str">
        <v/>
      </c>
      <c r="E326" s="167" t="str">
        <v/>
      </c>
      <c r="F326" s="167" t="str">
        <v/>
      </c>
      <c r="G326" s="167" t="str">
        <v/>
      </c>
      <c r="H326" s="167" t="str">
        <v/>
      </c>
      <c r="I326" s="167" t="str">
        <v/>
      </c>
      <c r="J326" s="167" t="str">
        <v/>
      </c>
      <c r="K326" s="167" t="str">
        <v/>
      </c>
      <c r="L326" s="167" t="str">
        <v/>
      </c>
      <c r="M326" s="167" t="str">
        <v/>
      </c>
      <c r="N326" s="167" t="str">
        <v/>
      </c>
      <c r="O326" s="167" t="str">
        <v/>
      </c>
      <c r="P326" s="167" t="str">
        <v/>
      </c>
    </row>
    <row r="327" spans="1:16" x14ac:dyDescent="0.2">
      <c r="A327" s="58" t="str">
        <v/>
      </c>
      <c r="B327" s="144" t="str">
        <v/>
      </c>
      <c r="C327" s="167" t="str">
        <v/>
      </c>
      <c r="D327" s="167" t="str">
        <v/>
      </c>
      <c r="E327" s="167" t="str">
        <v/>
      </c>
      <c r="F327" s="167" t="str">
        <v/>
      </c>
      <c r="G327" s="167" t="str">
        <v/>
      </c>
      <c r="H327" s="167" t="str">
        <v/>
      </c>
      <c r="I327" s="167" t="str">
        <v/>
      </c>
      <c r="J327" s="167" t="str">
        <v/>
      </c>
      <c r="K327" s="167" t="str">
        <v/>
      </c>
      <c r="L327" s="167" t="str">
        <v/>
      </c>
      <c r="M327" s="167" t="str">
        <v/>
      </c>
      <c r="N327" s="167" t="str">
        <v/>
      </c>
      <c r="O327" s="167" t="str">
        <v/>
      </c>
      <c r="P327" s="167" t="str">
        <v/>
      </c>
    </row>
    <row r="328" spans="1:16" x14ac:dyDescent="0.2">
      <c r="A328" s="58" t="str">
        <v/>
      </c>
      <c r="B328" s="144" t="str">
        <v/>
      </c>
      <c r="C328" s="167" t="str">
        <v/>
      </c>
      <c r="D328" s="167" t="str">
        <v/>
      </c>
      <c r="E328" s="167" t="str">
        <v/>
      </c>
      <c r="F328" s="167" t="str">
        <v/>
      </c>
      <c r="G328" s="167" t="str">
        <v/>
      </c>
      <c r="H328" s="167" t="str">
        <v/>
      </c>
      <c r="I328" s="167" t="str">
        <v/>
      </c>
      <c r="J328" s="167" t="str">
        <v/>
      </c>
      <c r="K328" s="167" t="str">
        <v/>
      </c>
      <c r="L328" s="167" t="str">
        <v/>
      </c>
      <c r="M328" s="167" t="str">
        <v/>
      </c>
      <c r="N328" s="167" t="str">
        <v/>
      </c>
      <c r="O328" s="167" t="str">
        <v/>
      </c>
      <c r="P328" s="167" t="str">
        <v/>
      </c>
    </row>
    <row r="329" spans="1:16" x14ac:dyDescent="0.2">
      <c r="A329" s="58" t="str">
        <v/>
      </c>
      <c r="B329" s="144" t="str">
        <v/>
      </c>
      <c r="C329" s="167" t="str">
        <v/>
      </c>
      <c r="D329" s="167" t="str">
        <v/>
      </c>
      <c r="E329" s="167" t="str">
        <v/>
      </c>
      <c r="F329" s="167" t="str">
        <v/>
      </c>
      <c r="G329" s="167" t="str">
        <v/>
      </c>
      <c r="H329" s="167" t="str">
        <v/>
      </c>
      <c r="I329" s="167" t="str">
        <v/>
      </c>
      <c r="J329" s="167" t="str">
        <v/>
      </c>
      <c r="K329" s="167" t="str">
        <v/>
      </c>
      <c r="L329" s="167" t="str">
        <v/>
      </c>
      <c r="M329" s="167" t="str">
        <v/>
      </c>
      <c r="N329" s="167" t="str">
        <v/>
      </c>
      <c r="O329" s="167" t="str">
        <v/>
      </c>
      <c r="P329" s="167" t="str">
        <v/>
      </c>
    </row>
    <row r="330" spans="1:16" x14ac:dyDescent="0.2">
      <c r="A330" s="58" t="str">
        <v/>
      </c>
      <c r="B330" s="144" t="str">
        <v/>
      </c>
      <c r="C330" s="167" t="str">
        <v/>
      </c>
      <c r="D330" s="167" t="str">
        <v/>
      </c>
      <c r="E330" s="167" t="str">
        <v/>
      </c>
      <c r="F330" s="167" t="str">
        <v/>
      </c>
      <c r="G330" s="167" t="str">
        <v/>
      </c>
      <c r="H330" s="167" t="str">
        <v/>
      </c>
      <c r="I330" s="167" t="str">
        <v/>
      </c>
      <c r="J330" s="167" t="str">
        <v/>
      </c>
      <c r="K330" s="167" t="str">
        <v/>
      </c>
      <c r="L330" s="167" t="str">
        <v/>
      </c>
      <c r="M330" s="167" t="str">
        <v/>
      </c>
      <c r="N330" s="167" t="str">
        <v/>
      </c>
      <c r="O330" s="167" t="str">
        <v/>
      </c>
      <c r="P330" s="167" t="str">
        <v/>
      </c>
    </row>
    <row r="331" spans="1:16" x14ac:dyDescent="0.2">
      <c r="A331" s="58" t="str">
        <v/>
      </c>
      <c r="B331" s="144" t="str">
        <v/>
      </c>
      <c r="C331" s="167" t="str">
        <v/>
      </c>
      <c r="D331" s="167" t="str">
        <v/>
      </c>
      <c r="E331" s="167" t="str">
        <v/>
      </c>
      <c r="F331" s="167" t="str">
        <v/>
      </c>
      <c r="G331" s="167" t="str">
        <v/>
      </c>
      <c r="H331" s="167" t="str">
        <v/>
      </c>
      <c r="I331" s="167" t="str">
        <v/>
      </c>
      <c r="J331" s="167" t="str">
        <v/>
      </c>
      <c r="K331" s="167" t="str">
        <v/>
      </c>
      <c r="L331" s="167" t="str">
        <v/>
      </c>
      <c r="M331" s="167" t="str">
        <v/>
      </c>
      <c r="N331" s="167" t="str">
        <v/>
      </c>
      <c r="O331" s="167" t="str">
        <v/>
      </c>
      <c r="P331" s="167" t="str">
        <v/>
      </c>
    </row>
    <row r="332" spans="1:16" x14ac:dyDescent="0.2">
      <c r="A332" s="58" t="str">
        <v/>
      </c>
      <c r="B332" s="144" t="str">
        <v/>
      </c>
      <c r="C332" s="167" t="str">
        <v/>
      </c>
      <c r="D332" s="167" t="str">
        <v/>
      </c>
      <c r="E332" s="167" t="str">
        <v/>
      </c>
      <c r="F332" s="167" t="str">
        <v/>
      </c>
      <c r="G332" s="167" t="str">
        <v/>
      </c>
      <c r="H332" s="167" t="str">
        <v/>
      </c>
      <c r="I332" s="167" t="str">
        <v/>
      </c>
      <c r="J332" s="167" t="str">
        <v/>
      </c>
      <c r="K332" s="167" t="str">
        <v/>
      </c>
      <c r="L332" s="167" t="str">
        <v/>
      </c>
      <c r="M332" s="167" t="str">
        <v/>
      </c>
      <c r="N332" s="167" t="str">
        <v/>
      </c>
      <c r="O332" s="167" t="str">
        <v/>
      </c>
      <c r="P332" s="167" t="str">
        <v/>
      </c>
    </row>
    <row r="333" spans="1:16" x14ac:dyDescent="0.2">
      <c r="A333" s="58" t="str">
        <v/>
      </c>
      <c r="B333" s="144" t="str">
        <v/>
      </c>
      <c r="C333" s="167" t="str">
        <v/>
      </c>
      <c r="D333" s="167" t="str">
        <v/>
      </c>
      <c r="E333" s="167" t="str">
        <v/>
      </c>
      <c r="F333" s="167" t="str">
        <v/>
      </c>
      <c r="G333" s="167" t="str">
        <v/>
      </c>
      <c r="H333" s="167" t="str">
        <v/>
      </c>
      <c r="I333" s="167" t="str">
        <v/>
      </c>
      <c r="J333" s="167" t="str">
        <v/>
      </c>
      <c r="K333" s="167" t="str">
        <v/>
      </c>
      <c r="L333" s="167" t="str">
        <v/>
      </c>
      <c r="M333" s="167" t="str">
        <v/>
      </c>
      <c r="N333" s="167" t="str">
        <v/>
      </c>
      <c r="O333" s="167" t="str">
        <v/>
      </c>
      <c r="P333" s="167" t="str">
        <v/>
      </c>
    </row>
    <row r="334" spans="1:16" x14ac:dyDescent="0.2">
      <c r="A334" s="58" t="str">
        <v/>
      </c>
      <c r="B334" s="144" t="str">
        <v/>
      </c>
      <c r="C334" s="167" t="str">
        <v/>
      </c>
      <c r="D334" s="167" t="str">
        <v/>
      </c>
      <c r="E334" s="167" t="str">
        <v/>
      </c>
      <c r="F334" s="167" t="str">
        <v/>
      </c>
      <c r="G334" s="167" t="str">
        <v/>
      </c>
      <c r="H334" s="167" t="str">
        <v/>
      </c>
      <c r="I334" s="167" t="str">
        <v/>
      </c>
      <c r="J334" s="167" t="str">
        <v/>
      </c>
      <c r="K334" s="167" t="str">
        <v/>
      </c>
      <c r="L334" s="167" t="str">
        <v/>
      </c>
      <c r="M334" s="167" t="str">
        <v/>
      </c>
      <c r="N334" s="167" t="str">
        <v/>
      </c>
      <c r="O334" s="167" t="str">
        <v/>
      </c>
      <c r="P334" s="167" t="str">
        <v/>
      </c>
    </row>
    <row r="335" spans="1:16" x14ac:dyDescent="0.2">
      <c r="A335" s="58" t="str">
        <v/>
      </c>
      <c r="B335" s="144" t="str">
        <v/>
      </c>
      <c r="C335" s="167" t="str">
        <v/>
      </c>
      <c r="D335" s="167" t="str">
        <v/>
      </c>
      <c r="E335" s="167" t="str">
        <v/>
      </c>
      <c r="F335" s="167" t="str">
        <v/>
      </c>
      <c r="G335" s="167" t="str">
        <v/>
      </c>
      <c r="H335" s="167" t="str">
        <v/>
      </c>
      <c r="I335" s="167" t="str">
        <v/>
      </c>
      <c r="J335" s="167" t="str">
        <v/>
      </c>
      <c r="K335" s="167" t="str">
        <v/>
      </c>
      <c r="L335" s="167" t="str">
        <v/>
      </c>
      <c r="M335" s="167" t="str">
        <v/>
      </c>
      <c r="N335" s="167" t="str">
        <v/>
      </c>
      <c r="O335" s="167" t="str">
        <v/>
      </c>
      <c r="P335" s="167" t="str">
        <v/>
      </c>
    </row>
    <row r="336" spans="1:16" x14ac:dyDescent="0.2">
      <c r="A336" s="58" t="str">
        <v/>
      </c>
      <c r="B336" s="144" t="str">
        <v/>
      </c>
      <c r="C336" s="167" t="str">
        <v/>
      </c>
      <c r="D336" s="167" t="str">
        <v/>
      </c>
      <c r="E336" s="167" t="str">
        <v/>
      </c>
      <c r="F336" s="167" t="str">
        <v/>
      </c>
      <c r="G336" s="167" t="str">
        <v/>
      </c>
      <c r="H336" s="167" t="str">
        <v/>
      </c>
      <c r="I336" s="167" t="str">
        <v/>
      </c>
      <c r="J336" s="167" t="str">
        <v/>
      </c>
      <c r="K336" s="167" t="str">
        <v/>
      </c>
      <c r="L336" s="167" t="str">
        <v/>
      </c>
      <c r="M336" s="167" t="str">
        <v/>
      </c>
      <c r="N336" s="167" t="str">
        <v/>
      </c>
      <c r="O336" s="167" t="str">
        <v/>
      </c>
      <c r="P336" s="167" t="str">
        <v/>
      </c>
    </row>
    <row r="337" spans="1:16" x14ac:dyDescent="0.2">
      <c r="A337" s="58" t="str">
        <v/>
      </c>
      <c r="B337" s="144" t="str">
        <v/>
      </c>
      <c r="C337" s="167" t="str">
        <v/>
      </c>
      <c r="D337" s="167" t="str">
        <v/>
      </c>
      <c r="E337" s="167" t="str">
        <v/>
      </c>
      <c r="F337" s="167" t="str">
        <v/>
      </c>
      <c r="G337" s="167" t="str">
        <v/>
      </c>
      <c r="H337" s="167" t="str">
        <v/>
      </c>
      <c r="I337" s="167" t="str">
        <v/>
      </c>
      <c r="J337" s="167" t="str">
        <v/>
      </c>
      <c r="K337" s="167" t="str">
        <v/>
      </c>
      <c r="L337" s="167" t="str">
        <v/>
      </c>
      <c r="M337" s="167" t="str">
        <v/>
      </c>
      <c r="N337" s="167" t="str">
        <v/>
      </c>
      <c r="O337" s="167" t="str">
        <v/>
      </c>
      <c r="P337" s="167" t="str">
        <v/>
      </c>
    </row>
    <row r="338" spans="1:16" x14ac:dyDescent="0.2">
      <c r="A338" s="58" t="str">
        <v/>
      </c>
      <c r="B338" s="144" t="str">
        <v/>
      </c>
      <c r="C338" s="167" t="str">
        <v/>
      </c>
      <c r="D338" s="167" t="str">
        <v/>
      </c>
      <c r="E338" s="167" t="str">
        <v/>
      </c>
      <c r="F338" s="167" t="str">
        <v/>
      </c>
      <c r="G338" s="167" t="str">
        <v/>
      </c>
      <c r="H338" s="167" t="str">
        <v/>
      </c>
      <c r="I338" s="167" t="str">
        <v/>
      </c>
      <c r="J338" s="167" t="str">
        <v/>
      </c>
      <c r="K338" s="167" t="str">
        <v/>
      </c>
      <c r="L338" s="167" t="str">
        <v/>
      </c>
      <c r="M338" s="167" t="str">
        <v/>
      </c>
      <c r="N338" s="167" t="str">
        <v/>
      </c>
      <c r="O338" s="167" t="str">
        <v/>
      </c>
      <c r="P338" s="167" t="str">
        <v/>
      </c>
    </row>
    <row r="339" spans="1:16" x14ac:dyDescent="0.2">
      <c r="A339" s="58" t="str">
        <v/>
      </c>
      <c r="B339" s="144" t="str">
        <v/>
      </c>
      <c r="C339" s="167" t="str">
        <v/>
      </c>
      <c r="D339" s="167" t="str">
        <v/>
      </c>
      <c r="E339" s="167" t="str">
        <v/>
      </c>
      <c r="F339" s="167" t="str">
        <v/>
      </c>
      <c r="G339" s="167" t="str">
        <v/>
      </c>
      <c r="H339" s="167" t="str">
        <v/>
      </c>
      <c r="I339" s="167" t="str">
        <v/>
      </c>
      <c r="J339" s="167" t="str">
        <v/>
      </c>
      <c r="K339" s="167" t="str">
        <v/>
      </c>
      <c r="L339" s="167" t="str">
        <v/>
      </c>
      <c r="M339" s="167" t="str">
        <v/>
      </c>
      <c r="N339" s="167" t="str">
        <v/>
      </c>
      <c r="O339" s="167" t="str">
        <v/>
      </c>
      <c r="P339" s="167" t="str">
        <v/>
      </c>
    </row>
    <row r="340" spans="1:16" x14ac:dyDescent="0.2">
      <c r="A340" s="58" t="str">
        <v/>
      </c>
      <c r="B340" s="144" t="str">
        <v/>
      </c>
      <c r="C340" s="167" t="str">
        <v/>
      </c>
      <c r="D340" s="167" t="str">
        <v/>
      </c>
      <c r="E340" s="167" t="str">
        <v/>
      </c>
      <c r="F340" s="167" t="str">
        <v/>
      </c>
      <c r="G340" s="167" t="str">
        <v/>
      </c>
      <c r="H340" s="167" t="str">
        <v/>
      </c>
      <c r="I340" s="167" t="str">
        <v/>
      </c>
      <c r="J340" s="167" t="str">
        <v/>
      </c>
      <c r="K340" s="167" t="str">
        <v/>
      </c>
      <c r="L340" s="167" t="str">
        <v/>
      </c>
      <c r="M340" s="167" t="str">
        <v/>
      </c>
      <c r="N340" s="167" t="str">
        <v/>
      </c>
      <c r="O340" s="167" t="str">
        <v/>
      </c>
      <c r="P340" s="167" t="str">
        <v/>
      </c>
    </row>
    <row r="341" spans="1:16" x14ac:dyDescent="0.2">
      <c r="A341" s="58" t="str">
        <v/>
      </c>
      <c r="B341" s="144" t="str">
        <v/>
      </c>
      <c r="C341" s="167" t="str">
        <v/>
      </c>
      <c r="D341" s="167" t="str">
        <v/>
      </c>
      <c r="E341" s="167" t="str">
        <v/>
      </c>
      <c r="F341" s="167" t="str">
        <v/>
      </c>
      <c r="G341" s="167" t="str">
        <v/>
      </c>
      <c r="H341" s="167" t="str">
        <v/>
      </c>
      <c r="I341" s="167" t="str">
        <v/>
      </c>
      <c r="J341" s="167" t="str">
        <v/>
      </c>
      <c r="K341" s="167" t="str">
        <v/>
      </c>
      <c r="L341" s="167" t="str">
        <v/>
      </c>
      <c r="M341" s="167" t="str">
        <v/>
      </c>
      <c r="N341" s="167" t="str">
        <v/>
      </c>
      <c r="O341" s="167" t="str">
        <v/>
      </c>
      <c r="P341" s="167" t="str">
        <v/>
      </c>
    </row>
    <row r="342" spans="1:16" x14ac:dyDescent="0.2">
      <c r="A342" s="58" t="str">
        <v/>
      </c>
      <c r="B342" s="144" t="str">
        <v/>
      </c>
      <c r="C342" s="167" t="str">
        <v/>
      </c>
      <c r="D342" s="167" t="str">
        <v/>
      </c>
      <c r="E342" s="167" t="str">
        <v/>
      </c>
      <c r="F342" s="167" t="str">
        <v/>
      </c>
      <c r="G342" s="167" t="str">
        <v/>
      </c>
      <c r="H342" s="167" t="str">
        <v/>
      </c>
      <c r="I342" s="167" t="str">
        <v/>
      </c>
      <c r="J342" s="167" t="str">
        <v/>
      </c>
      <c r="K342" s="167" t="str">
        <v/>
      </c>
      <c r="L342" s="167" t="str">
        <v/>
      </c>
      <c r="M342" s="167" t="str">
        <v/>
      </c>
      <c r="N342" s="167" t="str">
        <v/>
      </c>
      <c r="O342" s="167" t="str">
        <v/>
      </c>
      <c r="P342" s="167" t="str">
        <v/>
      </c>
    </row>
    <row r="343" spans="1:16" x14ac:dyDescent="0.2">
      <c r="A343" s="58" t="str">
        <v/>
      </c>
      <c r="B343" s="144" t="str">
        <v/>
      </c>
      <c r="C343" s="167" t="str">
        <v/>
      </c>
      <c r="D343" s="167" t="str">
        <v/>
      </c>
      <c r="E343" s="167" t="str">
        <v/>
      </c>
      <c r="F343" s="167" t="str">
        <v/>
      </c>
      <c r="G343" s="167" t="str">
        <v/>
      </c>
      <c r="H343" s="167" t="str">
        <v/>
      </c>
      <c r="I343" s="167" t="str">
        <v/>
      </c>
      <c r="J343" s="167" t="str">
        <v/>
      </c>
      <c r="K343" s="167" t="str">
        <v/>
      </c>
      <c r="L343" s="167" t="str">
        <v/>
      </c>
      <c r="M343" s="167" t="str">
        <v/>
      </c>
      <c r="N343" s="167" t="str">
        <v/>
      </c>
      <c r="O343" s="167" t="str">
        <v/>
      </c>
      <c r="P343" s="167" t="str">
        <v/>
      </c>
    </row>
    <row r="344" spans="1:16" x14ac:dyDescent="0.2">
      <c r="A344" s="58" t="str">
        <v/>
      </c>
      <c r="B344" s="144" t="str">
        <v/>
      </c>
      <c r="C344" s="167" t="str">
        <v/>
      </c>
      <c r="D344" s="167" t="str">
        <v/>
      </c>
      <c r="E344" s="167" t="str">
        <v/>
      </c>
      <c r="F344" s="167" t="str">
        <v/>
      </c>
      <c r="G344" s="167" t="str">
        <v/>
      </c>
      <c r="H344" s="167" t="str">
        <v/>
      </c>
      <c r="I344" s="167" t="str">
        <v/>
      </c>
      <c r="J344" s="167" t="str">
        <v/>
      </c>
      <c r="K344" s="167" t="str">
        <v/>
      </c>
      <c r="L344" s="167" t="str">
        <v/>
      </c>
      <c r="M344" s="167" t="str">
        <v/>
      </c>
      <c r="N344" s="167" t="str">
        <v/>
      </c>
      <c r="O344" s="167" t="str">
        <v/>
      </c>
      <c r="P344" s="167" t="str">
        <v/>
      </c>
    </row>
    <row r="345" spans="1:16" x14ac:dyDescent="0.2">
      <c r="A345" s="58" t="str">
        <v/>
      </c>
      <c r="B345" s="144" t="str">
        <v/>
      </c>
      <c r="C345" s="167" t="str">
        <v/>
      </c>
      <c r="D345" s="167" t="str">
        <v/>
      </c>
      <c r="E345" s="167" t="str">
        <v/>
      </c>
      <c r="F345" s="167" t="str">
        <v/>
      </c>
      <c r="G345" s="167" t="str">
        <v/>
      </c>
      <c r="H345" s="167" t="str">
        <v/>
      </c>
      <c r="I345" s="167" t="str">
        <v/>
      </c>
      <c r="J345" s="167" t="str">
        <v/>
      </c>
      <c r="K345" s="167" t="str">
        <v/>
      </c>
      <c r="L345" s="167" t="str">
        <v/>
      </c>
      <c r="M345" s="167" t="str">
        <v/>
      </c>
      <c r="N345" s="167" t="str">
        <v/>
      </c>
      <c r="O345" s="167" t="str">
        <v/>
      </c>
      <c r="P345" s="167" t="str">
        <v/>
      </c>
    </row>
    <row r="346" spans="1:16" x14ac:dyDescent="0.2">
      <c r="A346" s="58" t="str">
        <v/>
      </c>
      <c r="B346" s="144" t="str">
        <v/>
      </c>
      <c r="C346" s="167" t="str">
        <v/>
      </c>
      <c r="D346" s="167" t="str">
        <v/>
      </c>
      <c r="E346" s="167" t="str">
        <v/>
      </c>
      <c r="F346" s="167" t="str">
        <v/>
      </c>
      <c r="G346" s="167" t="str">
        <v/>
      </c>
      <c r="H346" s="167" t="str">
        <v/>
      </c>
      <c r="I346" s="167" t="str">
        <v/>
      </c>
      <c r="J346" s="167" t="str">
        <v/>
      </c>
      <c r="K346" s="167" t="str">
        <v/>
      </c>
      <c r="L346" s="167" t="str">
        <v/>
      </c>
      <c r="M346" s="167" t="str">
        <v/>
      </c>
      <c r="N346" s="167" t="str">
        <v/>
      </c>
      <c r="O346" s="167" t="str">
        <v/>
      </c>
      <c r="P346" s="167" t="str">
        <v/>
      </c>
    </row>
    <row r="347" spans="1:16" x14ac:dyDescent="0.2">
      <c r="A347" s="58" t="str">
        <v/>
      </c>
      <c r="B347" s="144" t="str">
        <v/>
      </c>
      <c r="C347" s="167" t="str">
        <v/>
      </c>
      <c r="D347" s="167" t="str">
        <v/>
      </c>
      <c r="E347" s="167" t="str">
        <v/>
      </c>
      <c r="F347" s="167" t="str">
        <v/>
      </c>
      <c r="G347" s="167" t="str">
        <v/>
      </c>
      <c r="H347" s="167" t="str">
        <v/>
      </c>
      <c r="I347" s="167" t="str">
        <v/>
      </c>
      <c r="J347" s="167" t="str">
        <v/>
      </c>
      <c r="K347" s="167" t="str">
        <v/>
      </c>
      <c r="L347" s="167" t="str">
        <v/>
      </c>
      <c r="M347" s="167" t="str">
        <v/>
      </c>
      <c r="N347" s="167" t="str">
        <v/>
      </c>
      <c r="O347" s="167" t="str">
        <v/>
      </c>
      <c r="P347" s="167" t="str">
        <v/>
      </c>
    </row>
    <row r="348" spans="1:16" x14ac:dyDescent="0.2">
      <c r="A348" s="58" t="str">
        <v/>
      </c>
      <c r="B348" s="144" t="str">
        <v/>
      </c>
      <c r="C348" s="167" t="str">
        <v/>
      </c>
      <c r="D348" s="167" t="str">
        <v/>
      </c>
      <c r="E348" s="167" t="str">
        <v/>
      </c>
      <c r="F348" s="167" t="str">
        <v/>
      </c>
      <c r="G348" s="167" t="str">
        <v/>
      </c>
      <c r="H348" s="167" t="str">
        <v/>
      </c>
      <c r="I348" s="167" t="str">
        <v/>
      </c>
      <c r="J348" s="167" t="str">
        <v/>
      </c>
      <c r="K348" s="167" t="str">
        <v/>
      </c>
      <c r="L348" s="167" t="str">
        <v/>
      </c>
      <c r="M348" s="167" t="str">
        <v/>
      </c>
      <c r="N348" s="167" t="str">
        <v/>
      </c>
      <c r="O348" s="167" t="str">
        <v/>
      </c>
      <c r="P348" s="167" t="str">
        <v/>
      </c>
    </row>
    <row r="349" spans="1:16" x14ac:dyDescent="0.2">
      <c r="A349" s="58" t="str">
        <v/>
      </c>
      <c r="B349" s="144" t="str">
        <v/>
      </c>
      <c r="C349" s="167" t="str">
        <v/>
      </c>
      <c r="D349" s="167" t="str">
        <v/>
      </c>
      <c r="E349" s="167" t="str">
        <v/>
      </c>
      <c r="F349" s="167" t="str">
        <v/>
      </c>
      <c r="G349" s="167" t="str">
        <v/>
      </c>
      <c r="H349" s="167" t="str">
        <v/>
      </c>
      <c r="I349" s="167" t="str">
        <v/>
      </c>
      <c r="J349" s="167" t="str">
        <v/>
      </c>
      <c r="K349" s="167" t="str">
        <v/>
      </c>
      <c r="L349" s="167" t="str">
        <v/>
      </c>
      <c r="M349" s="167" t="str">
        <v/>
      </c>
      <c r="N349" s="167" t="str">
        <v/>
      </c>
      <c r="O349" s="167" t="str">
        <v/>
      </c>
      <c r="P349" s="167" t="str">
        <v/>
      </c>
    </row>
    <row r="350" spans="1:16" x14ac:dyDescent="0.2">
      <c r="A350" s="58" t="str">
        <v/>
      </c>
      <c r="B350" s="144" t="str">
        <v/>
      </c>
      <c r="C350" s="167" t="str">
        <v/>
      </c>
      <c r="D350" s="167" t="str">
        <v/>
      </c>
      <c r="E350" s="167" t="str">
        <v/>
      </c>
      <c r="F350" s="167" t="str">
        <v/>
      </c>
      <c r="G350" s="167" t="str">
        <v/>
      </c>
      <c r="H350" s="167" t="str">
        <v/>
      </c>
      <c r="I350" s="167" t="str">
        <v/>
      </c>
      <c r="J350" s="167" t="str">
        <v/>
      </c>
      <c r="K350" s="167" t="str">
        <v/>
      </c>
      <c r="L350" s="167" t="str">
        <v/>
      </c>
      <c r="M350" s="167" t="str">
        <v/>
      </c>
      <c r="N350" s="167" t="str">
        <v/>
      </c>
      <c r="O350" s="167" t="str">
        <v/>
      </c>
      <c r="P350" s="167" t="str">
        <v/>
      </c>
    </row>
    <row r="351" spans="1:16" x14ac:dyDescent="0.2">
      <c r="A351" s="58" t="str">
        <v/>
      </c>
      <c r="B351" s="144" t="str">
        <v/>
      </c>
      <c r="C351" s="167" t="str">
        <v/>
      </c>
      <c r="D351" s="167" t="str">
        <v/>
      </c>
      <c r="E351" s="167" t="str">
        <v/>
      </c>
      <c r="F351" s="167" t="str">
        <v/>
      </c>
      <c r="G351" s="167" t="str">
        <v/>
      </c>
      <c r="H351" s="167" t="str">
        <v/>
      </c>
      <c r="I351" s="167" t="str">
        <v/>
      </c>
      <c r="J351" s="167" t="str">
        <v/>
      </c>
      <c r="K351" s="167" t="str">
        <v/>
      </c>
      <c r="L351" s="167" t="str">
        <v/>
      </c>
      <c r="M351" s="167" t="str">
        <v/>
      </c>
      <c r="N351" s="167" t="str">
        <v/>
      </c>
      <c r="O351" s="167" t="str">
        <v/>
      </c>
      <c r="P351" s="167" t="str">
        <v/>
      </c>
    </row>
    <row r="352" spans="1:16" x14ac:dyDescent="0.2">
      <c r="A352" s="58" t="str">
        <v/>
      </c>
      <c r="B352" s="144" t="str">
        <v/>
      </c>
      <c r="C352" s="167" t="str">
        <v/>
      </c>
      <c r="D352" s="167" t="str">
        <v/>
      </c>
      <c r="E352" s="167" t="str">
        <v/>
      </c>
      <c r="F352" s="167" t="str">
        <v/>
      </c>
      <c r="G352" s="167" t="str">
        <v/>
      </c>
      <c r="H352" s="167" t="str">
        <v/>
      </c>
      <c r="I352" s="167" t="str">
        <v/>
      </c>
      <c r="J352" s="167" t="str">
        <v/>
      </c>
      <c r="K352" s="167" t="str">
        <v/>
      </c>
      <c r="L352" s="167" t="str">
        <v/>
      </c>
      <c r="M352" s="167" t="str">
        <v/>
      </c>
      <c r="N352" s="167" t="str">
        <v/>
      </c>
      <c r="O352" s="167" t="str">
        <v/>
      </c>
      <c r="P352" s="167" t="str">
        <v/>
      </c>
    </row>
    <row r="353" spans="1:16" x14ac:dyDescent="0.2">
      <c r="A353" s="58" t="str">
        <v/>
      </c>
      <c r="B353" s="144" t="str">
        <v/>
      </c>
      <c r="C353" s="167" t="str">
        <v/>
      </c>
      <c r="D353" s="167" t="str">
        <v/>
      </c>
      <c r="E353" s="167" t="str">
        <v/>
      </c>
      <c r="F353" s="167" t="str">
        <v/>
      </c>
      <c r="G353" s="167" t="str">
        <v/>
      </c>
      <c r="H353" s="167" t="str">
        <v/>
      </c>
      <c r="I353" s="167" t="str">
        <v/>
      </c>
      <c r="J353" s="167" t="str">
        <v/>
      </c>
      <c r="K353" s="167" t="str">
        <v/>
      </c>
      <c r="L353" s="167" t="str">
        <v/>
      </c>
      <c r="M353" s="167" t="str">
        <v/>
      </c>
      <c r="N353" s="167" t="str">
        <v/>
      </c>
      <c r="O353" s="167" t="str">
        <v/>
      </c>
      <c r="P353" s="167" t="str">
        <v/>
      </c>
    </row>
    <row r="354" spans="1:16" x14ac:dyDescent="0.2">
      <c r="A354" s="58" t="str">
        <v/>
      </c>
      <c r="B354" s="144" t="str">
        <v/>
      </c>
      <c r="C354" s="167" t="str">
        <v/>
      </c>
      <c r="D354" s="167" t="str">
        <v/>
      </c>
      <c r="E354" s="167" t="str">
        <v/>
      </c>
      <c r="F354" s="167" t="str">
        <v/>
      </c>
      <c r="G354" s="167" t="str">
        <v/>
      </c>
      <c r="H354" s="167" t="str">
        <v/>
      </c>
      <c r="I354" s="167" t="str">
        <v/>
      </c>
      <c r="J354" s="167" t="str">
        <v/>
      </c>
      <c r="K354" s="167" t="str">
        <v/>
      </c>
      <c r="L354" s="167" t="str">
        <v/>
      </c>
      <c r="M354" s="167" t="str">
        <v/>
      </c>
      <c r="N354" s="167" t="str">
        <v/>
      </c>
      <c r="O354" s="167" t="str">
        <v/>
      </c>
      <c r="P354" s="167" t="str">
        <v/>
      </c>
    </row>
    <row r="355" spans="1:16" x14ac:dyDescent="0.2">
      <c r="A355" s="58" t="str">
        <v/>
      </c>
      <c r="B355" s="144" t="str">
        <v/>
      </c>
      <c r="C355" s="167" t="str">
        <v/>
      </c>
      <c r="D355" s="167" t="str">
        <v/>
      </c>
      <c r="E355" s="167" t="str">
        <v/>
      </c>
      <c r="F355" s="167" t="str">
        <v/>
      </c>
      <c r="G355" s="167" t="str">
        <v/>
      </c>
      <c r="H355" s="167" t="str">
        <v/>
      </c>
      <c r="I355" s="167" t="str">
        <v/>
      </c>
      <c r="J355" s="167" t="str">
        <v/>
      </c>
      <c r="K355" s="167" t="str">
        <v/>
      </c>
      <c r="L355" s="167" t="str">
        <v/>
      </c>
      <c r="M355" s="167" t="str">
        <v/>
      </c>
      <c r="N355" s="167" t="str">
        <v/>
      </c>
      <c r="O355" s="167" t="str">
        <v/>
      </c>
      <c r="P355" s="167" t="str">
        <v/>
      </c>
    </row>
    <row r="356" spans="1:16" x14ac:dyDescent="0.2">
      <c r="A356" s="58" t="str">
        <v/>
      </c>
      <c r="B356" s="144" t="str">
        <v/>
      </c>
      <c r="C356" s="167" t="str">
        <v/>
      </c>
      <c r="D356" s="167" t="str">
        <v/>
      </c>
      <c r="E356" s="167" t="str">
        <v/>
      </c>
      <c r="F356" s="167" t="str">
        <v/>
      </c>
      <c r="G356" s="167" t="str">
        <v/>
      </c>
      <c r="H356" s="167" t="str">
        <v/>
      </c>
      <c r="I356" s="167" t="str">
        <v/>
      </c>
      <c r="J356" s="167" t="str">
        <v/>
      </c>
      <c r="K356" s="167" t="str">
        <v/>
      </c>
      <c r="L356" s="167" t="str">
        <v/>
      </c>
      <c r="M356" s="167" t="str">
        <v/>
      </c>
      <c r="N356" s="167" t="str">
        <v/>
      </c>
      <c r="O356" s="167" t="str">
        <v/>
      </c>
      <c r="P356" s="167" t="str">
        <v/>
      </c>
    </row>
    <row r="357" spans="1:16" x14ac:dyDescent="0.2">
      <c r="A357" s="58" t="str">
        <v/>
      </c>
      <c r="B357" s="144" t="str">
        <v/>
      </c>
      <c r="C357" s="167" t="str">
        <v/>
      </c>
      <c r="D357" s="167" t="str">
        <v/>
      </c>
      <c r="E357" s="167" t="str">
        <v/>
      </c>
      <c r="F357" s="167" t="str">
        <v/>
      </c>
      <c r="G357" s="167" t="str">
        <v/>
      </c>
      <c r="H357" s="167" t="str">
        <v/>
      </c>
      <c r="I357" s="167" t="str">
        <v/>
      </c>
      <c r="J357" s="167" t="str">
        <v/>
      </c>
      <c r="K357" s="167" t="str">
        <v/>
      </c>
      <c r="L357" s="167" t="str">
        <v/>
      </c>
      <c r="M357" s="167" t="str">
        <v/>
      </c>
      <c r="N357" s="167" t="str">
        <v/>
      </c>
      <c r="O357" s="167" t="str">
        <v/>
      </c>
      <c r="P357" s="167" t="str">
        <v/>
      </c>
    </row>
    <row r="358" spans="1:16" x14ac:dyDescent="0.2">
      <c r="A358" s="58" t="str">
        <v/>
      </c>
      <c r="B358" s="144" t="str">
        <v/>
      </c>
      <c r="C358" s="167" t="str">
        <v/>
      </c>
      <c r="D358" s="167" t="str">
        <v/>
      </c>
      <c r="E358" s="167" t="str">
        <v/>
      </c>
      <c r="F358" s="167" t="str">
        <v/>
      </c>
      <c r="G358" s="167" t="str">
        <v/>
      </c>
      <c r="H358" s="167" t="str">
        <v/>
      </c>
      <c r="I358" s="167" t="str">
        <v/>
      </c>
      <c r="J358" s="167" t="str">
        <v/>
      </c>
      <c r="K358" s="167" t="str">
        <v/>
      </c>
      <c r="L358" s="167" t="str">
        <v/>
      </c>
      <c r="M358" s="167" t="str">
        <v/>
      </c>
      <c r="N358" s="167" t="str">
        <v/>
      </c>
      <c r="O358" s="167" t="str">
        <v/>
      </c>
      <c r="P358" s="167" t="str">
        <v/>
      </c>
    </row>
    <row r="359" spans="1:16" x14ac:dyDescent="0.2">
      <c r="A359" s="58" t="str">
        <v/>
      </c>
      <c r="B359" s="144" t="str">
        <v/>
      </c>
      <c r="C359" s="167" t="str">
        <v/>
      </c>
      <c r="D359" s="167" t="str">
        <v/>
      </c>
      <c r="E359" s="167" t="str">
        <v/>
      </c>
      <c r="F359" s="167" t="str">
        <v/>
      </c>
      <c r="G359" s="167" t="str">
        <v/>
      </c>
      <c r="H359" s="167" t="str">
        <v/>
      </c>
      <c r="I359" s="167" t="str">
        <v/>
      </c>
      <c r="J359" s="167" t="str">
        <v/>
      </c>
      <c r="K359" s="167" t="str">
        <v/>
      </c>
      <c r="L359" s="167" t="str">
        <v/>
      </c>
      <c r="M359" s="167" t="str">
        <v/>
      </c>
      <c r="N359" s="167" t="str">
        <v/>
      </c>
      <c r="O359" s="167" t="str">
        <v/>
      </c>
      <c r="P359" s="167" t="str">
        <v/>
      </c>
    </row>
    <row r="360" spans="1:16" x14ac:dyDescent="0.2">
      <c r="A360" s="58" t="str">
        <v/>
      </c>
      <c r="B360" s="144" t="str">
        <v/>
      </c>
      <c r="C360" s="167" t="str">
        <v/>
      </c>
      <c r="D360" s="167" t="str">
        <v/>
      </c>
      <c r="E360" s="167" t="str">
        <v/>
      </c>
      <c r="F360" s="167" t="str">
        <v/>
      </c>
      <c r="G360" s="167" t="str">
        <v/>
      </c>
      <c r="H360" s="167" t="str">
        <v/>
      </c>
      <c r="I360" s="167" t="str">
        <v/>
      </c>
      <c r="J360" s="167" t="str">
        <v/>
      </c>
      <c r="K360" s="167" t="str">
        <v/>
      </c>
      <c r="L360" s="167" t="str">
        <v/>
      </c>
      <c r="M360" s="167" t="str">
        <v/>
      </c>
      <c r="N360" s="167" t="str">
        <v/>
      </c>
      <c r="O360" s="167" t="str">
        <v/>
      </c>
      <c r="P360" s="167" t="str">
        <v/>
      </c>
    </row>
    <row r="361" spans="1:16" x14ac:dyDescent="0.2">
      <c r="A361" s="58" t="str">
        <v/>
      </c>
      <c r="B361" s="144" t="str">
        <v/>
      </c>
      <c r="C361" s="167" t="str">
        <v/>
      </c>
      <c r="D361" s="167" t="str">
        <v/>
      </c>
      <c r="E361" s="167" t="str">
        <v/>
      </c>
      <c r="F361" s="167" t="str">
        <v/>
      </c>
      <c r="G361" s="167" t="str">
        <v/>
      </c>
      <c r="H361" s="167" t="str">
        <v/>
      </c>
      <c r="I361" s="167" t="str">
        <v/>
      </c>
      <c r="J361" s="167" t="str">
        <v/>
      </c>
      <c r="K361" s="167" t="str">
        <v/>
      </c>
      <c r="L361" s="167" t="str">
        <v/>
      </c>
      <c r="M361" s="167" t="str">
        <v/>
      </c>
      <c r="N361" s="167" t="str">
        <v/>
      </c>
      <c r="O361" s="167" t="str">
        <v/>
      </c>
      <c r="P361" s="167" t="str">
        <v/>
      </c>
    </row>
    <row r="362" spans="1:16" x14ac:dyDescent="0.2">
      <c r="A362" s="58" t="str">
        <v/>
      </c>
      <c r="B362" s="144" t="str">
        <v/>
      </c>
      <c r="C362" s="167" t="str">
        <v/>
      </c>
      <c r="D362" s="167" t="str">
        <v/>
      </c>
      <c r="E362" s="167" t="str">
        <v/>
      </c>
      <c r="F362" s="167" t="str">
        <v/>
      </c>
      <c r="G362" s="167" t="str">
        <v/>
      </c>
      <c r="H362" s="167" t="str">
        <v/>
      </c>
      <c r="I362" s="167" t="str">
        <v/>
      </c>
      <c r="J362" s="167" t="str">
        <v/>
      </c>
      <c r="K362" s="167" t="str">
        <v/>
      </c>
      <c r="L362" s="167" t="str">
        <v/>
      </c>
      <c r="M362" s="167" t="str">
        <v/>
      </c>
      <c r="N362" s="167" t="str">
        <v/>
      </c>
      <c r="O362" s="167" t="str">
        <v/>
      </c>
      <c r="P362" s="167" t="str">
        <v/>
      </c>
    </row>
    <row r="363" spans="1:16" x14ac:dyDescent="0.2">
      <c r="A363" s="58" t="str">
        <v/>
      </c>
      <c r="B363" s="144" t="str">
        <v/>
      </c>
      <c r="C363" s="167" t="str">
        <v/>
      </c>
      <c r="D363" s="167" t="str">
        <v/>
      </c>
      <c r="E363" s="167" t="str">
        <v/>
      </c>
      <c r="F363" s="167" t="str">
        <v/>
      </c>
      <c r="G363" s="167" t="str">
        <v/>
      </c>
      <c r="H363" s="167" t="str">
        <v/>
      </c>
      <c r="I363" s="167" t="str">
        <v/>
      </c>
      <c r="J363" s="167" t="str">
        <v/>
      </c>
      <c r="K363" s="167" t="str">
        <v/>
      </c>
      <c r="L363" s="167" t="str">
        <v/>
      </c>
      <c r="M363" s="167" t="str">
        <v/>
      </c>
      <c r="N363" s="167" t="str">
        <v/>
      </c>
      <c r="O363" s="167" t="str">
        <v/>
      </c>
      <c r="P363" s="167" t="str">
        <v/>
      </c>
    </row>
    <row r="364" spans="1:16" x14ac:dyDescent="0.2">
      <c r="A364" s="58" t="str">
        <v/>
      </c>
      <c r="B364" s="144" t="str">
        <v/>
      </c>
      <c r="C364" s="167" t="str">
        <v/>
      </c>
      <c r="D364" s="167" t="str">
        <v/>
      </c>
      <c r="E364" s="167" t="str">
        <v/>
      </c>
      <c r="F364" s="167" t="str">
        <v/>
      </c>
      <c r="G364" s="167" t="str">
        <v/>
      </c>
      <c r="H364" s="167" t="str">
        <v/>
      </c>
      <c r="I364" s="167" t="str">
        <v/>
      </c>
      <c r="J364" s="167" t="str">
        <v/>
      </c>
      <c r="K364" s="167" t="str">
        <v/>
      </c>
      <c r="L364" s="167" t="str">
        <v/>
      </c>
      <c r="M364" s="167" t="str">
        <v/>
      </c>
      <c r="N364" s="167" t="str">
        <v/>
      </c>
      <c r="O364" s="167" t="str">
        <v/>
      </c>
      <c r="P364" s="167" t="str">
        <v/>
      </c>
    </row>
    <row r="365" spans="1:16" x14ac:dyDescent="0.2">
      <c r="A365" s="58" t="str">
        <v/>
      </c>
      <c r="B365" s="144" t="str">
        <v/>
      </c>
      <c r="C365" s="167" t="str">
        <v/>
      </c>
      <c r="D365" s="167" t="str">
        <v/>
      </c>
      <c r="E365" s="167" t="str">
        <v/>
      </c>
      <c r="F365" s="167" t="str">
        <v/>
      </c>
      <c r="G365" s="167" t="str">
        <v/>
      </c>
      <c r="H365" s="167" t="str">
        <v/>
      </c>
      <c r="I365" s="167" t="str">
        <v/>
      </c>
      <c r="J365" s="167" t="str">
        <v/>
      </c>
      <c r="K365" s="167" t="str">
        <v/>
      </c>
      <c r="L365" s="167" t="str">
        <v/>
      </c>
      <c r="M365" s="167" t="str">
        <v/>
      </c>
      <c r="N365" s="167" t="str">
        <v/>
      </c>
      <c r="O365" s="167" t="str">
        <v/>
      </c>
      <c r="P365" s="167" t="str">
        <v/>
      </c>
    </row>
    <row r="366" spans="1:16" x14ac:dyDescent="0.2">
      <c r="A366" s="58" t="str">
        <v/>
      </c>
      <c r="B366" s="144" t="str">
        <v/>
      </c>
      <c r="C366" s="167" t="str">
        <v/>
      </c>
      <c r="D366" s="167" t="str">
        <v/>
      </c>
      <c r="E366" s="167" t="str">
        <v/>
      </c>
      <c r="F366" s="167" t="str">
        <v/>
      </c>
      <c r="G366" s="167" t="str">
        <v/>
      </c>
      <c r="H366" s="167" t="str">
        <v/>
      </c>
      <c r="I366" s="167" t="str">
        <v/>
      </c>
      <c r="J366" s="167" t="str">
        <v/>
      </c>
      <c r="K366" s="167" t="str">
        <v/>
      </c>
      <c r="L366" s="167" t="str">
        <v/>
      </c>
      <c r="M366" s="167" t="str">
        <v/>
      </c>
      <c r="N366" s="167" t="str">
        <v/>
      </c>
      <c r="O366" s="167" t="str">
        <v/>
      </c>
      <c r="P366" s="167" t="str">
        <v/>
      </c>
    </row>
    <row r="367" spans="1:16" x14ac:dyDescent="0.2">
      <c r="A367" s="58" t="str">
        <v/>
      </c>
      <c r="B367" s="144" t="str">
        <v/>
      </c>
      <c r="C367" s="167" t="str">
        <v/>
      </c>
      <c r="D367" s="167" t="str">
        <v/>
      </c>
      <c r="E367" s="167" t="str">
        <v/>
      </c>
      <c r="F367" s="167" t="str">
        <v/>
      </c>
      <c r="G367" s="167" t="str">
        <v/>
      </c>
      <c r="H367" s="167" t="str">
        <v/>
      </c>
      <c r="I367" s="167" t="str">
        <v/>
      </c>
      <c r="J367" s="167" t="str">
        <v/>
      </c>
      <c r="K367" s="167" t="str">
        <v/>
      </c>
      <c r="L367" s="167" t="str">
        <v/>
      </c>
      <c r="M367" s="167" t="str">
        <v/>
      </c>
      <c r="N367" s="167" t="str">
        <v/>
      </c>
      <c r="O367" s="167" t="str">
        <v/>
      </c>
      <c r="P367" s="167" t="str">
        <v/>
      </c>
    </row>
    <row r="368" spans="1:16" x14ac:dyDescent="0.2">
      <c r="A368" s="58" t="str">
        <v/>
      </c>
      <c r="B368" s="144" t="str">
        <v/>
      </c>
      <c r="C368" s="167" t="str">
        <v/>
      </c>
      <c r="D368" s="167" t="str">
        <v/>
      </c>
      <c r="E368" s="167" t="str">
        <v/>
      </c>
      <c r="F368" s="167" t="str">
        <v/>
      </c>
      <c r="G368" s="167" t="str">
        <v/>
      </c>
      <c r="H368" s="167" t="str">
        <v/>
      </c>
      <c r="I368" s="167" t="str">
        <v/>
      </c>
      <c r="J368" s="167" t="str">
        <v/>
      </c>
      <c r="K368" s="167" t="str">
        <v/>
      </c>
      <c r="L368" s="167" t="str">
        <v/>
      </c>
      <c r="M368" s="167" t="str">
        <v/>
      </c>
      <c r="N368" s="167" t="str">
        <v/>
      </c>
      <c r="O368" s="167" t="str">
        <v/>
      </c>
      <c r="P368" s="167" t="str">
        <v/>
      </c>
    </row>
    <row r="369" spans="1:16" x14ac:dyDescent="0.2">
      <c r="A369" s="58" t="str">
        <v/>
      </c>
      <c r="B369" s="144" t="str">
        <v/>
      </c>
      <c r="C369" s="167" t="str">
        <v/>
      </c>
      <c r="D369" s="167" t="str">
        <v/>
      </c>
      <c r="E369" s="167" t="str">
        <v/>
      </c>
      <c r="F369" s="167" t="str">
        <v/>
      </c>
      <c r="G369" s="167" t="str">
        <v/>
      </c>
      <c r="H369" s="167" t="str">
        <v/>
      </c>
      <c r="I369" s="167" t="str">
        <v/>
      </c>
      <c r="J369" s="167" t="str">
        <v/>
      </c>
      <c r="K369" s="167" t="str">
        <v/>
      </c>
      <c r="L369" s="167" t="str">
        <v/>
      </c>
      <c r="M369" s="167" t="str">
        <v/>
      </c>
      <c r="N369" s="167" t="str">
        <v/>
      </c>
      <c r="O369" s="167" t="str">
        <v/>
      </c>
      <c r="P369" s="167" t="str">
        <v/>
      </c>
    </row>
    <row r="370" spans="1:16" x14ac:dyDescent="0.2">
      <c r="A370" s="58" t="str">
        <v/>
      </c>
      <c r="B370" s="144" t="str">
        <v/>
      </c>
      <c r="C370" s="167" t="str">
        <v/>
      </c>
      <c r="D370" s="167" t="str">
        <v/>
      </c>
      <c r="E370" s="167" t="str">
        <v/>
      </c>
      <c r="F370" s="167" t="str">
        <v/>
      </c>
      <c r="G370" s="167" t="str">
        <v/>
      </c>
      <c r="H370" s="167" t="str">
        <v/>
      </c>
      <c r="I370" s="167" t="str">
        <v/>
      </c>
      <c r="J370" s="167" t="str">
        <v/>
      </c>
      <c r="K370" s="167" t="str">
        <v/>
      </c>
      <c r="L370" s="167" t="str">
        <v/>
      </c>
      <c r="M370" s="167" t="str">
        <v/>
      </c>
      <c r="N370" s="167" t="str">
        <v/>
      </c>
      <c r="O370" s="167" t="str">
        <v/>
      </c>
      <c r="P370" s="167" t="str">
        <v/>
      </c>
    </row>
    <row r="371" spans="1:16" x14ac:dyDescent="0.2">
      <c r="A371" s="58" t="str">
        <v/>
      </c>
      <c r="B371" s="144" t="str">
        <v/>
      </c>
      <c r="C371" s="167" t="str">
        <v/>
      </c>
      <c r="D371" s="167" t="str">
        <v/>
      </c>
      <c r="E371" s="167" t="str">
        <v/>
      </c>
      <c r="F371" s="167" t="str">
        <v/>
      </c>
      <c r="G371" s="167" t="str">
        <v/>
      </c>
      <c r="H371" s="167" t="str">
        <v/>
      </c>
      <c r="I371" s="167" t="str">
        <v/>
      </c>
      <c r="J371" s="167" t="str">
        <v/>
      </c>
      <c r="K371" s="167" t="str">
        <v/>
      </c>
      <c r="L371" s="167" t="str">
        <v/>
      </c>
      <c r="M371" s="167" t="str">
        <v/>
      </c>
      <c r="N371" s="167" t="str">
        <v/>
      </c>
      <c r="O371" s="167" t="str">
        <v/>
      </c>
      <c r="P371" s="167" t="str">
        <v/>
      </c>
    </row>
    <row r="372" spans="1:16" x14ac:dyDescent="0.2">
      <c r="A372" s="58" t="str">
        <v/>
      </c>
      <c r="B372" s="144" t="str">
        <v/>
      </c>
      <c r="C372" s="167" t="str">
        <v/>
      </c>
      <c r="D372" s="167" t="str">
        <v/>
      </c>
      <c r="E372" s="167" t="str">
        <v/>
      </c>
      <c r="F372" s="167" t="str">
        <v/>
      </c>
      <c r="G372" s="167" t="str">
        <v/>
      </c>
      <c r="H372" s="167" t="str">
        <v/>
      </c>
      <c r="I372" s="167" t="str">
        <v/>
      </c>
      <c r="J372" s="167" t="str">
        <v/>
      </c>
      <c r="K372" s="167" t="str">
        <v/>
      </c>
      <c r="L372" s="167" t="str">
        <v/>
      </c>
      <c r="M372" s="167" t="str">
        <v/>
      </c>
      <c r="N372" s="167" t="str">
        <v/>
      </c>
      <c r="O372" s="167" t="str">
        <v/>
      </c>
      <c r="P372" s="167" t="str">
        <v/>
      </c>
    </row>
    <row r="373" spans="1:16" x14ac:dyDescent="0.2">
      <c r="A373" s="58" t="str">
        <v/>
      </c>
      <c r="B373" s="144" t="str">
        <v/>
      </c>
      <c r="C373" s="167" t="str">
        <v/>
      </c>
      <c r="D373" s="167" t="str">
        <v/>
      </c>
      <c r="E373" s="167" t="str">
        <v/>
      </c>
      <c r="F373" s="167" t="str">
        <v/>
      </c>
      <c r="G373" s="167" t="str">
        <v/>
      </c>
      <c r="H373" s="167" t="str">
        <v/>
      </c>
      <c r="I373" s="167" t="str">
        <v/>
      </c>
      <c r="J373" s="167" t="str">
        <v/>
      </c>
      <c r="K373" s="167" t="str">
        <v/>
      </c>
      <c r="L373" s="167" t="str">
        <v/>
      </c>
      <c r="M373" s="167" t="str">
        <v/>
      </c>
      <c r="N373" s="167" t="str">
        <v/>
      </c>
      <c r="O373" s="167" t="str">
        <v/>
      </c>
      <c r="P373" s="167" t="str">
        <v/>
      </c>
    </row>
    <row r="374" spans="1:16" x14ac:dyDescent="0.2">
      <c r="A374" s="58" t="str">
        <v/>
      </c>
      <c r="B374" s="144" t="str">
        <v/>
      </c>
      <c r="C374" s="167" t="str">
        <v/>
      </c>
      <c r="D374" s="167" t="str">
        <v/>
      </c>
      <c r="E374" s="167" t="str">
        <v/>
      </c>
      <c r="F374" s="167" t="str">
        <v/>
      </c>
      <c r="G374" s="167" t="str">
        <v/>
      </c>
      <c r="H374" s="167" t="str">
        <v/>
      </c>
      <c r="I374" s="167" t="str">
        <v/>
      </c>
      <c r="J374" s="167" t="str">
        <v/>
      </c>
      <c r="K374" s="167" t="str">
        <v/>
      </c>
      <c r="L374" s="167" t="str">
        <v/>
      </c>
      <c r="M374" s="167" t="str">
        <v/>
      </c>
      <c r="N374" s="167" t="str">
        <v/>
      </c>
      <c r="O374" s="167" t="str">
        <v/>
      </c>
      <c r="P374" s="167" t="str">
        <v/>
      </c>
    </row>
    <row r="375" spans="1:16" x14ac:dyDescent="0.2">
      <c r="A375" s="58" t="str">
        <v/>
      </c>
      <c r="B375" s="144" t="str">
        <v/>
      </c>
      <c r="C375" s="167" t="str">
        <v/>
      </c>
      <c r="D375" s="167" t="str">
        <v/>
      </c>
      <c r="E375" s="167" t="str">
        <v/>
      </c>
      <c r="F375" s="167" t="str">
        <v/>
      </c>
      <c r="G375" s="167" t="str">
        <v/>
      </c>
      <c r="H375" s="167" t="str">
        <v/>
      </c>
      <c r="I375" s="167" t="str">
        <v/>
      </c>
      <c r="J375" s="167" t="str">
        <v/>
      </c>
      <c r="K375" s="167" t="str">
        <v/>
      </c>
      <c r="L375" s="167" t="str">
        <v/>
      </c>
      <c r="M375" s="167" t="str">
        <v/>
      </c>
      <c r="N375" s="167" t="str">
        <v/>
      </c>
      <c r="O375" s="167" t="str">
        <v/>
      </c>
      <c r="P375" s="167" t="str">
        <v/>
      </c>
    </row>
    <row r="376" spans="1:16" x14ac:dyDescent="0.2">
      <c r="A376" s="58" t="str">
        <v/>
      </c>
      <c r="B376" s="144" t="str">
        <v/>
      </c>
      <c r="C376" s="167" t="str">
        <v/>
      </c>
      <c r="D376" s="167" t="str">
        <v/>
      </c>
      <c r="E376" s="167" t="str">
        <v/>
      </c>
      <c r="F376" s="167" t="str">
        <v/>
      </c>
      <c r="G376" s="167" t="str">
        <v/>
      </c>
      <c r="H376" s="167" t="str">
        <v/>
      </c>
      <c r="I376" s="167" t="str">
        <v/>
      </c>
      <c r="J376" s="167" t="str">
        <v/>
      </c>
      <c r="K376" s="167" t="str">
        <v/>
      </c>
      <c r="L376" s="167" t="str">
        <v/>
      </c>
      <c r="M376" s="167" t="str">
        <v/>
      </c>
      <c r="N376" s="167" t="str">
        <v/>
      </c>
      <c r="O376" s="167" t="str">
        <v/>
      </c>
      <c r="P376" s="167" t="str">
        <v/>
      </c>
    </row>
    <row r="377" spans="1:16" x14ac:dyDescent="0.2">
      <c r="A377" s="58" t="str">
        <v/>
      </c>
      <c r="B377" s="144" t="str">
        <v/>
      </c>
      <c r="C377" s="167" t="str">
        <v/>
      </c>
      <c r="D377" s="167" t="str">
        <v/>
      </c>
      <c r="E377" s="167" t="str">
        <v/>
      </c>
      <c r="F377" s="167" t="str">
        <v/>
      </c>
      <c r="G377" s="167" t="str">
        <v/>
      </c>
      <c r="H377" s="167" t="str">
        <v/>
      </c>
      <c r="I377" s="167" t="str">
        <v/>
      </c>
      <c r="J377" s="167" t="str">
        <v/>
      </c>
      <c r="K377" s="167" t="str">
        <v/>
      </c>
      <c r="L377" s="167" t="str">
        <v/>
      </c>
      <c r="M377" s="167" t="str">
        <v/>
      </c>
      <c r="N377" s="167" t="str">
        <v/>
      </c>
      <c r="O377" s="167" t="str">
        <v/>
      </c>
      <c r="P377" s="167" t="str">
        <v/>
      </c>
    </row>
    <row r="378" spans="1:16" x14ac:dyDescent="0.2">
      <c r="A378" s="58" t="str">
        <v/>
      </c>
      <c r="B378" s="144" t="str">
        <v/>
      </c>
      <c r="C378" s="167" t="str">
        <v/>
      </c>
      <c r="D378" s="167" t="str">
        <v/>
      </c>
      <c r="E378" s="167" t="str">
        <v/>
      </c>
      <c r="F378" s="167" t="str">
        <v/>
      </c>
      <c r="G378" s="167" t="str">
        <v/>
      </c>
      <c r="H378" s="167" t="str">
        <v/>
      </c>
      <c r="I378" s="167" t="str">
        <v/>
      </c>
      <c r="J378" s="167" t="str">
        <v/>
      </c>
      <c r="K378" s="167" t="str">
        <v/>
      </c>
      <c r="L378" s="167" t="str">
        <v/>
      </c>
      <c r="M378" s="167" t="str">
        <v/>
      </c>
      <c r="N378" s="167" t="str">
        <v/>
      </c>
      <c r="O378" s="167" t="str">
        <v/>
      </c>
      <c r="P378" s="167" t="str">
        <v/>
      </c>
    </row>
    <row r="379" spans="1:16" x14ac:dyDescent="0.2">
      <c r="A379" s="58" t="str">
        <v/>
      </c>
      <c r="B379" s="144" t="str">
        <v/>
      </c>
      <c r="C379" s="167" t="str">
        <v/>
      </c>
      <c r="D379" s="167" t="str">
        <v/>
      </c>
      <c r="E379" s="167" t="str">
        <v/>
      </c>
      <c r="F379" s="167" t="str">
        <v/>
      </c>
      <c r="G379" s="167" t="str">
        <v/>
      </c>
      <c r="H379" s="167" t="str">
        <v/>
      </c>
      <c r="I379" s="167" t="str">
        <v/>
      </c>
      <c r="J379" s="167" t="str">
        <v/>
      </c>
      <c r="K379" s="167" t="str">
        <v/>
      </c>
      <c r="L379" s="167" t="str">
        <v/>
      </c>
      <c r="M379" s="167" t="str">
        <v/>
      </c>
      <c r="N379" s="167" t="str">
        <v/>
      </c>
      <c r="O379" s="167" t="str">
        <v/>
      </c>
      <c r="P379" s="167" t="str">
        <v/>
      </c>
    </row>
    <row r="380" spans="1:16" x14ac:dyDescent="0.2">
      <c r="A380" s="58" t="str">
        <v/>
      </c>
      <c r="B380" s="144" t="str">
        <v/>
      </c>
      <c r="C380" s="167" t="str">
        <v/>
      </c>
      <c r="D380" s="167" t="str">
        <v/>
      </c>
      <c r="E380" s="167" t="str">
        <v/>
      </c>
      <c r="F380" s="167" t="str">
        <v/>
      </c>
      <c r="G380" s="167" t="str">
        <v/>
      </c>
      <c r="H380" s="167" t="str">
        <v/>
      </c>
      <c r="I380" s="167" t="str">
        <v/>
      </c>
      <c r="J380" s="167" t="str">
        <v/>
      </c>
      <c r="K380" s="167" t="str">
        <v/>
      </c>
      <c r="L380" s="167" t="str">
        <v/>
      </c>
      <c r="M380" s="167" t="str">
        <v/>
      </c>
      <c r="N380" s="167" t="str">
        <v/>
      </c>
      <c r="O380" s="167" t="str">
        <v/>
      </c>
      <c r="P380" s="167" t="str">
        <v/>
      </c>
    </row>
    <row r="381" spans="1:16" x14ac:dyDescent="0.2">
      <c r="A381" s="58" t="str">
        <v/>
      </c>
      <c r="B381" s="144" t="str">
        <v/>
      </c>
      <c r="C381" s="167" t="str">
        <v/>
      </c>
      <c r="D381" s="167" t="str">
        <v/>
      </c>
      <c r="E381" s="167" t="str">
        <v/>
      </c>
      <c r="F381" s="167" t="str">
        <v/>
      </c>
      <c r="G381" s="167" t="str">
        <v/>
      </c>
      <c r="H381" s="167" t="str">
        <v/>
      </c>
      <c r="I381" s="167" t="str">
        <v/>
      </c>
      <c r="J381" s="167" t="str">
        <v/>
      </c>
      <c r="K381" s="167" t="str">
        <v/>
      </c>
      <c r="L381" s="167" t="str">
        <v/>
      </c>
      <c r="M381" s="167" t="str">
        <v/>
      </c>
      <c r="N381" s="167" t="str">
        <v/>
      </c>
      <c r="O381" s="167" t="str">
        <v/>
      </c>
      <c r="P381" s="167" t="str">
        <v/>
      </c>
    </row>
    <row r="382" spans="1:16" x14ac:dyDescent="0.2">
      <c r="A382" s="58" t="str">
        <v/>
      </c>
      <c r="B382" s="144" t="str">
        <v/>
      </c>
      <c r="C382" s="167" t="str">
        <v/>
      </c>
      <c r="D382" s="167" t="str">
        <v/>
      </c>
      <c r="E382" s="167" t="str">
        <v/>
      </c>
      <c r="F382" s="167" t="str">
        <v/>
      </c>
      <c r="G382" s="167" t="str">
        <v/>
      </c>
      <c r="H382" s="167" t="str">
        <v/>
      </c>
      <c r="I382" s="167" t="str">
        <v/>
      </c>
      <c r="J382" s="167" t="str">
        <v/>
      </c>
      <c r="K382" s="167" t="str">
        <v/>
      </c>
      <c r="L382" s="167" t="str">
        <v/>
      </c>
      <c r="M382" s="167" t="str">
        <v/>
      </c>
      <c r="N382" s="167" t="str">
        <v/>
      </c>
      <c r="O382" s="167" t="str">
        <v/>
      </c>
      <c r="P382" s="167" t="str">
        <v/>
      </c>
    </row>
    <row r="383" spans="1:16" x14ac:dyDescent="0.2">
      <c r="A383" s="58" t="str">
        <v/>
      </c>
      <c r="B383" s="144" t="str">
        <v/>
      </c>
      <c r="C383" s="167" t="str">
        <v/>
      </c>
      <c r="D383" s="167" t="str">
        <v/>
      </c>
      <c r="E383" s="167" t="str">
        <v/>
      </c>
      <c r="F383" s="167" t="str">
        <v/>
      </c>
      <c r="G383" s="167" t="str">
        <v/>
      </c>
      <c r="H383" s="167" t="str">
        <v/>
      </c>
      <c r="I383" s="167" t="str">
        <v/>
      </c>
      <c r="J383" s="167" t="str">
        <v/>
      </c>
      <c r="K383" s="167" t="str">
        <v/>
      </c>
      <c r="L383" s="167" t="str">
        <v/>
      </c>
      <c r="M383" s="167" t="str">
        <v/>
      </c>
      <c r="N383" s="167" t="str">
        <v/>
      </c>
      <c r="O383" s="167" t="str">
        <v/>
      </c>
      <c r="P383" s="167" t="str">
        <v/>
      </c>
    </row>
    <row r="384" spans="1:16" x14ac:dyDescent="0.2">
      <c r="A384" s="58" t="str">
        <v/>
      </c>
      <c r="B384" s="144" t="str">
        <v/>
      </c>
      <c r="C384" s="167" t="str">
        <v/>
      </c>
      <c r="D384" s="167" t="str">
        <v/>
      </c>
      <c r="E384" s="167" t="str">
        <v/>
      </c>
      <c r="F384" s="167" t="str">
        <v/>
      </c>
      <c r="G384" s="167" t="str">
        <v/>
      </c>
      <c r="H384" s="167" t="str">
        <v/>
      </c>
      <c r="I384" s="167" t="str">
        <v/>
      </c>
      <c r="J384" s="167" t="str">
        <v/>
      </c>
      <c r="K384" s="167" t="str">
        <v/>
      </c>
      <c r="L384" s="167" t="str">
        <v/>
      </c>
      <c r="M384" s="167" t="str">
        <v/>
      </c>
      <c r="N384" s="167" t="str">
        <v/>
      </c>
      <c r="O384" s="167" t="str">
        <v/>
      </c>
      <c r="P384" s="167" t="str">
        <v/>
      </c>
    </row>
    <row r="385" spans="1:16" x14ac:dyDescent="0.2">
      <c r="A385" s="58" t="str">
        <v/>
      </c>
      <c r="B385" s="144" t="str">
        <v/>
      </c>
      <c r="C385" s="167" t="str">
        <v/>
      </c>
      <c r="D385" s="167" t="str">
        <v/>
      </c>
      <c r="E385" s="167" t="str">
        <v/>
      </c>
      <c r="F385" s="167" t="str">
        <v/>
      </c>
      <c r="G385" s="167" t="str">
        <v/>
      </c>
      <c r="H385" s="167" t="str">
        <v/>
      </c>
      <c r="I385" s="167" t="str">
        <v/>
      </c>
      <c r="J385" s="167" t="str">
        <v/>
      </c>
      <c r="K385" s="167" t="str">
        <v/>
      </c>
      <c r="L385" s="167" t="str">
        <v/>
      </c>
      <c r="M385" s="167" t="str">
        <v/>
      </c>
      <c r="N385" s="167" t="str">
        <v/>
      </c>
      <c r="O385" s="167" t="str">
        <v/>
      </c>
      <c r="P385" s="167" t="str">
        <v/>
      </c>
    </row>
    <row r="386" spans="1:16" x14ac:dyDescent="0.2">
      <c r="A386" s="58" t="str">
        <v/>
      </c>
      <c r="B386" s="144" t="str">
        <v/>
      </c>
      <c r="C386" s="167" t="str">
        <v/>
      </c>
      <c r="D386" s="167" t="str">
        <v/>
      </c>
      <c r="E386" s="167" t="str">
        <v/>
      </c>
      <c r="F386" s="167" t="str">
        <v/>
      </c>
      <c r="G386" s="167" t="str">
        <v/>
      </c>
      <c r="H386" s="167" t="str">
        <v/>
      </c>
      <c r="I386" s="167" t="str">
        <v/>
      </c>
      <c r="J386" s="167" t="str">
        <v/>
      </c>
      <c r="K386" s="167" t="str">
        <v/>
      </c>
      <c r="L386" s="167" t="str">
        <v/>
      </c>
      <c r="M386" s="167" t="str">
        <v/>
      </c>
      <c r="N386" s="167" t="str">
        <v/>
      </c>
      <c r="O386" s="167" t="str">
        <v/>
      </c>
      <c r="P386" s="167" t="str">
        <v/>
      </c>
    </row>
    <row r="387" spans="1:16" x14ac:dyDescent="0.2">
      <c r="A387" s="58" t="str">
        <v/>
      </c>
      <c r="B387" s="144" t="str">
        <v/>
      </c>
      <c r="C387" s="167" t="str">
        <v/>
      </c>
      <c r="D387" s="167" t="str">
        <v/>
      </c>
      <c r="E387" s="167" t="str">
        <v/>
      </c>
      <c r="F387" s="167" t="str">
        <v/>
      </c>
      <c r="G387" s="167" t="str">
        <v/>
      </c>
      <c r="H387" s="167" t="str">
        <v/>
      </c>
      <c r="I387" s="167" t="str">
        <v/>
      </c>
      <c r="J387" s="167" t="str">
        <v/>
      </c>
      <c r="K387" s="167" t="str">
        <v/>
      </c>
      <c r="L387" s="167" t="str">
        <v/>
      </c>
      <c r="M387" s="167" t="str">
        <v/>
      </c>
      <c r="N387" s="167" t="str">
        <v/>
      </c>
      <c r="O387" s="167" t="str">
        <v/>
      </c>
      <c r="P387" s="167" t="str">
        <v/>
      </c>
    </row>
    <row r="388" spans="1:16" x14ac:dyDescent="0.2">
      <c r="A388" s="58" t="str">
        <v/>
      </c>
      <c r="B388" s="144" t="str">
        <v/>
      </c>
      <c r="C388" s="167" t="str">
        <v/>
      </c>
      <c r="D388" s="167" t="str">
        <v/>
      </c>
      <c r="E388" s="167" t="str">
        <v/>
      </c>
      <c r="F388" s="167" t="str">
        <v/>
      </c>
      <c r="G388" s="167" t="str">
        <v/>
      </c>
      <c r="H388" s="167" t="str">
        <v/>
      </c>
      <c r="I388" s="167" t="str">
        <v/>
      </c>
      <c r="J388" s="167" t="str">
        <v/>
      </c>
      <c r="K388" s="167" t="str">
        <v/>
      </c>
      <c r="L388" s="167" t="str">
        <v/>
      </c>
      <c r="M388" s="167" t="str">
        <v/>
      </c>
      <c r="N388" s="167" t="str">
        <v/>
      </c>
      <c r="O388" s="167" t="str">
        <v/>
      </c>
      <c r="P388" s="167" t="str">
        <v/>
      </c>
    </row>
    <row r="389" spans="1:16" x14ac:dyDescent="0.2">
      <c r="A389" s="58" t="str">
        <v/>
      </c>
      <c r="B389" s="144" t="str">
        <v/>
      </c>
      <c r="C389" s="167" t="str">
        <v/>
      </c>
      <c r="D389" s="167" t="str">
        <v/>
      </c>
      <c r="E389" s="167" t="str">
        <v/>
      </c>
      <c r="F389" s="167" t="str">
        <v/>
      </c>
      <c r="G389" s="167" t="str">
        <v/>
      </c>
      <c r="H389" s="167" t="str">
        <v/>
      </c>
      <c r="I389" s="167" t="str">
        <v/>
      </c>
      <c r="J389" s="167" t="str">
        <v/>
      </c>
      <c r="K389" s="167" t="str">
        <v/>
      </c>
      <c r="L389" s="167" t="str">
        <v/>
      </c>
      <c r="M389" s="167" t="str">
        <v/>
      </c>
      <c r="N389" s="167" t="str">
        <v/>
      </c>
      <c r="O389" s="167" t="str">
        <v/>
      </c>
      <c r="P389" s="167" t="str">
        <v/>
      </c>
    </row>
    <row r="390" spans="1:16" x14ac:dyDescent="0.2">
      <c r="A390" s="58" t="str">
        <v/>
      </c>
      <c r="B390" s="144" t="str">
        <v/>
      </c>
      <c r="C390" s="167" t="str">
        <v/>
      </c>
      <c r="D390" s="167" t="str">
        <v/>
      </c>
      <c r="E390" s="167" t="str">
        <v/>
      </c>
      <c r="F390" s="167" t="str">
        <v/>
      </c>
      <c r="G390" s="167" t="str">
        <v/>
      </c>
      <c r="H390" s="167" t="str">
        <v/>
      </c>
      <c r="I390" s="167" t="str">
        <v/>
      </c>
      <c r="J390" s="167" t="str">
        <v/>
      </c>
      <c r="K390" s="167" t="str">
        <v/>
      </c>
      <c r="L390" s="167" t="str">
        <v/>
      </c>
      <c r="M390" s="167" t="str">
        <v/>
      </c>
      <c r="N390" s="167" t="str">
        <v/>
      </c>
      <c r="O390" s="167" t="str">
        <v/>
      </c>
      <c r="P390" s="167" t="str">
        <v/>
      </c>
    </row>
    <row r="391" spans="1:16" x14ac:dyDescent="0.2">
      <c r="A391" s="58" t="str">
        <v/>
      </c>
      <c r="B391" s="144" t="str">
        <v/>
      </c>
      <c r="C391" s="167" t="str">
        <v/>
      </c>
      <c r="D391" s="167" t="str">
        <v/>
      </c>
      <c r="E391" s="167" t="str">
        <v/>
      </c>
      <c r="F391" s="167" t="str">
        <v/>
      </c>
      <c r="G391" s="167" t="str">
        <v/>
      </c>
      <c r="H391" s="167" t="str">
        <v/>
      </c>
      <c r="I391" s="167" t="str">
        <v/>
      </c>
      <c r="J391" s="167" t="str">
        <v/>
      </c>
      <c r="K391" s="167" t="str">
        <v/>
      </c>
      <c r="L391" s="167" t="str">
        <v/>
      </c>
      <c r="M391" s="167" t="str">
        <v/>
      </c>
      <c r="N391" s="167" t="str">
        <v/>
      </c>
      <c r="O391" s="167" t="str">
        <v/>
      </c>
      <c r="P391" s="167" t="str">
        <v/>
      </c>
    </row>
    <row r="392" spans="1:16" x14ac:dyDescent="0.2">
      <c r="A392" s="58" t="str">
        <v/>
      </c>
      <c r="B392" s="144" t="str">
        <v/>
      </c>
      <c r="C392" s="167" t="str">
        <v/>
      </c>
      <c r="D392" s="167" t="str">
        <v/>
      </c>
      <c r="E392" s="167" t="str">
        <v/>
      </c>
      <c r="F392" s="167" t="str">
        <v/>
      </c>
      <c r="G392" s="167" t="str">
        <v/>
      </c>
      <c r="H392" s="167" t="str">
        <v/>
      </c>
      <c r="I392" s="167" t="str">
        <v/>
      </c>
      <c r="J392" s="167" t="str">
        <v/>
      </c>
      <c r="K392" s="167" t="str">
        <v/>
      </c>
      <c r="L392" s="167" t="str">
        <v/>
      </c>
      <c r="M392" s="167" t="str">
        <v/>
      </c>
      <c r="N392" s="167" t="str">
        <v/>
      </c>
      <c r="O392" s="167" t="str">
        <v/>
      </c>
      <c r="P392" s="167" t="str">
        <v/>
      </c>
    </row>
    <row r="393" spans="1:16" x14ac:dyDescent="0.2">
      <c r="A393" s="58" t="str">
        <v/>
      </c>
      <c r="B393" s="144" t="str">
        <v/>
      </c>
      <c r="C393" s="167" t="str">
        <v/>
      </c>
      <c r="D393" s="167" t="str">
        <v/>
      </c>
      <c r="E393" s="167" t="str">
        <v/>
      </c>
      <c r="F393" s="167" t="str">
        <v/>
      </c>
      <c r="G393" s="167" t="str">
        <v/>
      </c>
      <c r="H393" s="167" t="str">
        <v/>
      </c>
      <c r="I393" s="167" t="str">
        <v/>
      </c>
      <c r="J393" s="167" t="str">
        <v/>
      </c>
      <c r="K393" s="167" t="str">
        <v/>
      </c>
      <c r="L393" s="167" t="str">
        <v/>
      </c>
      <c r="M393" s="167" t="str">
        <v/>
      </c>
      <c r="N393" s="167" t="str">
        <v/>
      </c>
      <c r="O393" s="167" t="str">
        <v/>
      </c>
      <c r="P393" s="167" t="str">
        <v/>
      </c>
    </row>
    <row r="394" spans="1:16" x14ac:dyDescent="0.2">
      <c r="A394" s="58" t="str">
        <v/>
      </c>
      <c r="B394" s="144" t="str">
        <v/>
      </c>
      <c r="C394" s="167" t="str">
        <v/>
      </c>
      <c r="D394" s="167" t="str">
        <v/>
      </c>
      <c r="E394" s="167" t="str">
        <v/>
      </c>
      <c r="F394" s="167" t="str">
        <v/>
      </c>
      <c r="G394" s="167" t="str">
        <v/>
      </c>
      <c r="H394" s="167" t="str">
        <v/>
      </c>
      <c r="I394" s="167" t="str">
        <v/>
      </c>
      <c r="J394" s="167" t="str">
        <v/>
      </c>
      <c r="K394" s="167" t="str">
        <v/>
      </c>
      <c r="L394" s="167" t="str">
        <v/>
      </c>
      <c r="M394" s="167" t="str">
        <v/>
      </c>
      <c r="N394" s="167" t="str">
        <v/>
      </c>
      <c r="O394" s="167" t="str">
        <v/>
      </c>
      <c r="P394" s="167" t="str">
        <v/>
      </c>
    </row>
    <row r="395" spans="1:16" x14ac:dyDescent="0.2">
      <c r="A395" s="58" t="str">
        <v/>
      </c>
      <c r="B395" s="144" t="str">
        <v/>
      </c>
      <c r="C395" s="167" t="str">
        <v/>
      </c>
      <c r="D395" s="167" t="str">
        <v/>
      </c>
      <c r="E395" s="167" t="str">
        <v/>
      </c>
      <c r="F395" s="167" t="str">
        <v/>
      </c>
      <c r="G395" s="167" t="str">
        <v/>
      </c>
      <c r="H395" s="167" t="str">
        <v/>
      </c>
      <c r="I395" s="167" t="str">
        <v/>
      </c>
      <c r="J395" s="167" t="str">
        <v/>
      </c>
      <c r="K395" s="167" t="str">
        <v/>
      </c>
      <c r="L395" s="167" t="str">
        <v/>
      </c>
      <c r="M395" s="167" t="str">
        <v/>
      </c>
      <c r="N395" s="167" t="str">
        <v/>
      </c>
      <c r="O395" s="167" t="str">
        <v/>
      </c>
      <c r="P395" s="167" t="str">
        <v/>
      </c>
    </row>
    <row r="396" spans="1:16" x14ac:dyDescent="0.2">
      <c r="A396" s="58" t="str">
        <v/>
      </c>
      <c r="B396" s="144" t="str">
        <v/>
      </c>
      <c r="C396" s="167" t="str">
        <v/>
      </c>
      <c r="D396" s="167" t="str">
        <v/>
      </c>
      <c r="E396" s="167" t="str">
        <v/>
      </c>
      <c r="F396" s="167" t="str">
        <v/>
      </c>
      <c r="G396" s="167" t="str">
        <v/>
      </c>
      <c r="H396" s="167" t="str">
        <v/>
      </c>
      <c r="I396" s="167" t="str">
        <v/>
      </c>
      <c r="J396" s="167" t="str">
        <v/>
      </c>
      <c r="K396" s="167" t="str">
        <v/>
      </c>
      <c r="L396" s="167" t="str">
        <v/>
      </c>
      <c r="M396" s="167" t="str">
        <v/>
      </c>
      <c r="N396" s="167" t="str">
        <v/>
      </c>
      <c r="O396" s="167" t="str">
        <v/>
      </c>
      <c r="P396" s="167" t="str">
        <v/>
      </c>
    </row>
    <row r="397" spans="1:16" x14ac:dyDescent="0.2">
      <c r="A397" s="58" t="str">
        <v/>
      </c>
      <c r="B397" s="144" t="str">
        <v/>
      </c>
      <c r="C397" s="167" t="str">
        <v/>
      </c>
      <c r="D397" s="167" t="str">
        <v/>
      </c>
      <c r="E397" s="167" t="str">
        <v/>
      </c>
      <c r="F397" s="167" t="str">
        <v/>
      </c>
      <c r="G397" s="167" t="str">
        <v/>
      </c>
      <c r="H397" s="167" t="str">
        <v/>
      </c>
      <c r="I397" s="167" t="str">
        <v/>
      </c>
      <c r="J397" s="167" t="str">
        <v/>
      </c>
      <c r="K397" s="167" t="str">
        <v/>
      </c>
      <c r="L397" s="167" t="str">
        <v/>
      </c>
      <c r="M397" s="167" t="str">
        <v/>
      </c>
      <c r="N397" s="167" t="str">
        <v/>
      </c>
      <c r="O397" s="167" t="str">
        <v/>
      </c>
      <c r="P397" s="167" t="str">
        <v/>
      </c>
    </row>
    <row r="398" spans="1:16" x14ac:dyDescent="0.2">
      <c r="A398" s="58" t="str">
        <v/>
      </c>
      <c r="B398" s="144" t="str">
        <v/>
      </c>
      <c r="C398" s="167" t="str">
        <v/>
      </c>
      <c r="D398" s="167" t="str">
        <v/>
      </c>
      <c r="E398" s="167" t="str">
        <v/>
      </c>
      <c r="F398" s="167" t="str">
        <v/>
      </c>
      <c r="G398" s="167" t="str">
        <v/>
      </c>
      <c r="H398" s="167" t="str">
        <v/>
      </c>
      <c r="I398" s="167" t="str">
        <v/>
      </c>
      <c r="J398" s="167" t="str">
        <v/>
      </c>
      <c r="K398" s="167" t="str">
        <v/>
      </c>
      <c r="L398" s="167" t="str">
        <v/>
      </c>
      <c r="M398" s="167" t="str">
        <v/>
      </c>
      <c r="N398" s="167" t="str">
        <v/>
      </c>
      <c r="O398" s="167" t="str">
        <v/>
      </c>
      <c r="P398" s="167" t="str">
        <v/>
      </c>
    </row>
    <row r="399" spans="1:16" x14ac:dyDescent="0.2">
      <c r="A399" s="58" t="str">
        <v/>
      </c>
      <c r="B399" s="144" t="str">
        <v/>
      </c>
      <c r="C399" s="167" t="str">
        <v/>
      </c>
      <c r="D399" s="167" t="str">
        <v/>
      </c>
      <c r="E399" s="167" t="str">
        <v/>
      </c>
      <c r="F399" s="167" t="str">
        <v/>
      </c>
      <c r="G399" s="167" t="str">
        <v/>
      </c>
      <c r="H399" s="167" t="str">
        <v/>
      </c>
      <c r="I399" s="167" t="str">
        <v/>
      </c>
      <c r="J399" s="167" t="str">
        <v/>
      </c>
      <c r="K399" s="167" t="str">
        <v/>
      </c>
      <c r="L399" s="167" t="str">
        <v/>
      </c>
      <c r="M399" s="167" t="str">
        <v/>
      </c>
      <c r="N399" s="167" t="str">
        <v/>
      </c>
      <c r="O399" s="167" t="str">
        <v/>
      </c>
      <c r="P399" s="167" t="str">
        <v/>
      </c>
    </row>
    <row r="400" spans="1:16" x14ac:dyDescent="0.2">
      <c r="A400" s="58" t="str">
        <v/>
      </c>
      <c r="B400" s="144" t="str">
        <v/>
      </c>
      <c r="C400" s="167" t="str">
        <v/>
      </c>
      <c r="D400" s="167" t="str">
        <v/>
      </c>
      <c r="E400" s="167" t="str">
        <v/>
      </c>
      <c r="F400" s="167" t="str">
        <v/>
      </c>
      <c r="G400" s="167" t="str">
        <v/>
      </c>
      <c r="H400" s="167" t="str">
        <v/>
      </c>
      <c r="I400" s="167" t="str">
        <v/>
      </c>
      <c r="J400" s="167" t="str">
        <v/>
      </c>
      <c r="K400" s="167" t="str">
        <v/>
      </c>
      <c r="L400" s="167" t="str">
        <v/>
      </c>
      <c r="M400" s="167" t="str">
        <v/>
      </c>
      <c r="N400" s="167" t="str">
        <v/>
      </c>
      <c r="O400" s="167" t="str">
        <v/>
      </c>
      <c r="P400" s="167" t="str">
        <v/>
      </c>
    </row>
    <row r="401" spans="1:16" x14ac:dyDescent="0.2">
      <c r="A401" s="58" t="str">
        <v/>
      </c>
      <c r="B401" s="144" t="str">
        <v/>
      </c>
      <c r="C401" s="167" t="str">
        <v/>
      </c>
      <c r="D401" s="167" t="str">
        <v/>
      </c>
      <c r="E401" s="167" t="str">
        <v/>
      </c>
      <c r="F401" s="167" t="str">
        <v/>
      </c>
      <c r="G401" s="167" t="str">
        <v/>
      </c>
      <c r="H401" s="167" t="str">
        <v/>
      </c>
      <c r="I401" s="167" t="str">
        <v/>
      </c>
      <c r="J401" s="167" t="str">
        <v/>
      </c>
      <c r="K401" s="167" t="str">
        <v/>
      </c>
      <c r="L401" s="167" t="str">
        <v/>
      </c>
      <c r="M401" s="167" t="str">
        <v/>
      </c>
      <c r="N401" s="167" t="str">
        <v/>
      </c>
      <c r="O401" s="167" t="str">
        <v/>
      </c>
      <c r="P401" s="167" t="str">
        <v/>
      </c>
    </row>
    <row r="402" spans="1:16" x14ac:dyDescent="0.2">
      <c r="A402" s="58" t="str">
        <v/>
      </c>
      <c r="B402" s="144" t="str">
        <v/>
      </c>
      <c r="C402" s="167" t="str">
        <v/>
      </c>
      <c r="D402" s="167" t="str">
        <v/>
      </c>
      <c r="E402" s="167" t="str">
        <v/>
      </c>
      <c r="F402" s="167" t="str">
        <v/>
      </c>
      <c r="G402" s="167" t="str">
        <v/>
      </c>
      <c r="H402" s="167" t="str">
        <v/>
      </c>
      <c r="I402" s="167" t="str">
        <v/>
      </c>
      <c r="J402" s="167" t="str">
        <v/>
      </c>
      <c r="K402" s="167" t="str">
        <v/>
      </c>
      <c r="L402" s="167" t="str">
        <v/>
      </c>
      <c r="M402" s="167" t="str">
        <v/>
      </c>
      <c r="N402" s="167" t="str">
        <v/>
      </c>
      <c r="O402" s="167" t="str">
        <v/>
      </c>
      <c r="P402" s="167" t="str">
        <v/>
      </c>
    </row>
    <row r="403" spans="1:16" x14ac:dyDescent="0.2">
      <c r="A403" s="58" t="str">
        <v/>
      </c>
      <c r="B403" s="144" t="str">
        <v/>
      </c>
      <c r="C403" s="167" t="str">
        <v/>
      </c>
      <c r="D403" s="167" t="str">
        <v/>
      </c>
      <c r="E403" s="167" t="str">
        <v/>
      </c>
      <c r="F403" s="167" t="str">
        <v/>
      </c>
      <c r="G403" s="167" t="str">
        <v/>
      </c>
      <c r="H403" s="167" t="str">
        <v/>
      </c>
      <c r="I403" s="167" t="str">
        <v/>
      </c>
      <c r="J403" s="167" t="str">
        <v/>
      </c>
      <c r="K403" s="167" t="str">
        <v/>
      </c>
      <c r="L403" s="167" t="str">
        <v/>
      </c>
      <c r="M403" s="167" t="str">
        <v/>
      </c>
      <c r="N403" s="167" t="str">
        <v/>
      </c>
      <c r="O403" s="167" t="str">
        <v/>
      </c>
      <c r="P403" s="167" t="str">
        <v/>
      </c>
    </row>
    <row r="404" spans="1:16" x14ac:dyDescent="0.2">
      <c r="A404" s="58" t="str">
        <v/>
      </c>
      <c r="B404" s="144" t="str">
        <v/>
      </c>
      <c r="C404" s="167" t="str">
        <v/>
      </c>
      <c r="D404" s="167" t="str">
        <v/>
      </c>
      <c r="E404" s="167" t="str">
        <v/>
      </c>
      <c r="F404" s="167" t="str">
        <v/>
      </c>
      <c r="G404" s="167" t="str">
        <v/>
      </c>
      <c r="H404" s="167" t="str">
        <v/>
      </c>
      <c r="I404" s="167" t="str">
        <v/>
      </c>
      <c r="J404" s="167" t="str">
        <v/>
      </c>
      <c r="K404" s="167" t="str">
        <v/>
      </c>
      <c r="L404" s="167" t="str">
        <v/>
      </c>
      <c r="M404" s="167" t="str">
        <v/>
      </c>
      <c r="N404" s="167" t="str">
        <v/>
      </c>
      <c r="O404" s="167" t="str">
        <v/>
      </c>
      <c r="P404" s="167" t="str">
        <v/>
      </c>
    </row>
    <row r="405" spans="1:16" x14ac:dyDescent="0.2">
      <c r="A405" s="58" t="str">
        <v/>
      </c>
      <c r="B405" s="144" t="str">
        <v/>
      </c>
      <c r="C405" s="167" t="str">
        <v/>
      </c>
      <c r="D405" s="167" t="str">
        <v/>
      </c>
      <c r="E405" s="167" t="str">
        <v/>
      </c>
      <c r="F405" s="167" t="str">
        <v/>
      </c>
      <c r="G405" s="167" t="str">
        <v/>
      </c>
      <c r="H405" s="167" t="str">
        <v/>
      </c>
      <c r="I405" s="167" t="str">
        <v/>
      </c>
      <c r="J405" s="167" t="str">
        <v/>
      </c>
      <c r="K405" s="167" t="str">
        <v/>
      </c>
      <c r="L405" s="167" t="str">
        <v/>
      </c>
      <c r="M405" s="167" t="str">
        <v/>
      </c>
      <c r="N405" s="167" t="str">
        <v/>
      </c>
      <c r="O405" s="167" t="str">
        <v/>
      </c>
      <c r="P405" s="167" t="str">
        <v/>
      </c>
    </row>
    <row r="406" spans="1:16" x14ac:dyDescent="0.2">
      <c r="A406" s="58" t="str">
        <v/>
      </c>
      <c r="B406" s="144" t="str">
        <v/>
      </c>
      <c r="C406" s="167" t="str">
        <v/>
      </c>
      <c r="D406" s="167" t="str">
        <v/>
      </c>
      <c r="E406" s="167" t="str">
        <v/>
      </c>
      <c r="F406" s="167" t="str">
        <v/>
      </c>
      <c r="G406" s="167" t="str">
        <v/>
      </c>
      <c r="H406" s="167" t="str">
        <v/>
      </c>
      <c r="I406" s="167" t="str">
        <v/>
      </c>
      <c r="J406" s="167" t="str">
        <v/>
      </c>
      <c r="K406" s="167" t="str">
        <v/>
      </c>
      <c r="L406" s="167" t="str">
        <v/>
      </c>
      <c r="M406" s="167" t="str">
        <v/>
      </c>
      <c r="N406" s="167" t="str">
        <v/>
      </c>
      <c r="O406" s="167" t="str">
        <v/>
      </c>
      <c r="P406" s="167" t="str">
        <v/>
      </c>
    </row>
    <row r="407" spans="1:16" x14ac:dyDescent="0.2">
      <c r="A407" s="58" t="str">
        <v/>
      </c>
      <c r="B407" s="144" t="str">
        <v/>
      </c>
      <c r="C407" s="167" t="str">
        <v/>
      </c>
      <c r="D407" s="167" t="str">
        <v/>
      </c>
      <c r="E407" s="167" t="str">
        <v/>
      </c>
      <c r="F407" s="167" t="str">
        <v/>
      </c>
      <c r="G407" s="167" t="str">
        <v/>
      </c>
      <c r="H407" s="167" t="str">
        <v/>
      </c>
      <c r="I407" s="167" t="str">
        <v/>
      </c>
      <c r="J407" s="167" t="str">
        <v/>
      </c>
      <c r="K407" s="167" t="str">
        <v/>
      </c>
      <c r="L407" s="167" t="str">
        <v/>
      </c>
      <c r="M407" s="167" t="str">
        <v/>
      </c>
      <c r="N407" s="167" t="str">
        <v/>
      </c>
      <c r="O407" s="167" t="str">
        <v/>
      </c>
      <c r="P407" s="167" t="str">
        <v/>
      </c>
    </row>
    <row r="408" spans="1:16" x14ac:dyDescent="0.2">
      <c r="A408" s="58" t="str">
        <v/>
      </c>
      <c r="B408" s="144" t="str">
        <v/>
      </c>
      <c r="C408" s="167" t="str">
        <v/>
      </c>
      <c r="D408" s="167" t="str">
        <v/>
      </c>
      <c r="E408" s="167" t="str">
        <v/>
      </c>
      <c r="F408" s="167" t="str">
        <v/>
      </c>
      <c r="G408" s="167" t="str">
        <v/>
      </c>
      <c r="H408" s="167" t="str">
        <v/>
      </c>
      <c r="I408" s="167" t="str">
        <v/>
      </c>
      <c r="J408" s="167" t="str">
        <v/>
      </c>
      <c r="K408" s="167" t="str">
        <v/>
      </c>
      <c r="L408" s="167" t="str">
        <v/>
      </c>
      <c r="M408" s="167" t="str">
        <v/>
      </c>
      <c r="N408" s="167" t="str">
        <v/>
      </c>
      <c r="O408" s="167" t="str">
        <v/>
      </c>
      <c r="P408" s="167" t="str">
        <v/>
      </c>
    </row>
    <row r="409" spans="1:16" x14ac:dyDescent="0.2">
      <c r="A409" s="58" t="str">
        <v/>
      </c>
      <c r="B409" s="144" t="str">
        <v/>
      </c>
      <c r="C409" s="167" t="str">
        <v/>
      </c>
      <c r="D409" s="167" t="str">
        <v/>
      </c>
      <c r="E409" s="167" t="str">
        <v/>
      </c>
      <c r="F409" s="167" t="str">
        <v/>
      </c>
      <c r="G409" s="167" t="str">
        <v/>
      </c>
      <c r="H409" s="167" t="str">
        <v/>
      </c>
      <c r="I409" s="167" t="str">
        <v/>
      </c>
      <c r="J409" s="167" t="str">
        <v/>
      </c>
      <c r="K409" s="167" t="str">
        <v/>
      </c>
      <c r="L409" s="167" t="str">
        <v/>
      </c>
      <c r="M409" s="167" t="str">
        <v/>
      </c>
      <c r="N409" s="167" t="str">
        <v/>
      </c>
      <c r="O409" s="167" t="str">
        <v/>
      </c>
      <c r="P409" s="167" t="str">
        <v/>
      </c>
    </row>
    <row r="410" spans="1:16" x14ac:dyDescent="0.2">
      <c r="A410" s="58" t="str">
        <v/>
      </c>
      <c r="B410" s="144" t="str">
        <v/>
      </c>
      <c r="C410" s="167" t="str">
        <v/>
      </c>
      <c r="D410" s="167" t="str">
        <v/>
      </c>
      <c r="E410" s="167" t="str">
        <v/>
      </c>
      <c r="F410" s="167" t="str">
        <v/>
      </c>
      <c r="G410" s="167" t="str">
        <v/>
      </c>
      <c r="H410" s="167" t="str">
        <v/>
      </c>
      <c r="I410" s="167" t="str">
        <v/>
      </c>
      <c r="J410" s="167" t="str">
        <v/>
      </c>
      <c r="K410" s="167" t="str">
        <v/>
      </c>
      <c r="L410" s="167" t="str">
        <v/>
      </c>
      <c r="M410" s="167" t="str">
        <v/>
      </c>
      <c r="N410" s="167" t="str">
        <v/>
      </c>
      <c r="O410" s="167" t="str">
        <v/>
      </c>
      <c r="P410" s="167" t="str">
        <v/>
      </c>
    </row>
    <row r="411" spans="1:16" x14ac:dyDescent="0.2">
      <c r="A411" s="58" t="str">
        <v/>
      </c>
      <c r="B411" s="144" t="str">
        <v/>
      </c>
      <c r="C411" s="167" t="str">
        <v/>
      </c>
      <c r="D411" s="167" t="str">
        <v/>
      </c>
      <c r="E411" s="167" t="str">
        <v/>
      </c>
      <c r="F411" s="167" t="str">
        <v/>
      </c>
      <c r="G411" s="167" t="str">
        <v/>
      </c>
      <c r="H411" s="167" t="str">
        <v/>
      </c>
      <c r="I411" s="167" t="str">
        <v/>
      </c>
      <c r="J411" s="167" t="str">
        <v/>
      </c>
      <c r="K411" s="167" t="str">
        <v/>
      </c>
      <c r="L411" s="167" t="str">
        <v/>
      </c>
      <c r="M411" s="167" t="str">
        <v/>
      </c>
      <c r="N411" s="167" t="str">
        <v/>
      </c>
      <c r="O411" s="167" t="str">
        <v/>
      </c>
      <c r="P411" s="167" t="str">
        <v/>
      </c>
    </row>
    <row r="412" spans="1:16" x14ac:dyDescent="0.2">
      <c r="A412" s="58" t="str">
        <v/>
      </c>
      <c r="B412" s="144" t="str">
        <v/>
      </c>
      <c r="C412" s="167" t="str">
        <v/>
      </c>
      <c r="D412" s="167" t="str">
        <v/>
      </c>
      <c r="E412" s="167" t="str">
        <v/>
      </c>
      <c r="F412" s="167" t="str">
        <v/>
      </c>
      <c r="G412" s="167" t="str">
        <v/>
      </c>
      <c r="H412" s="167" t="str">
        <v/>
      </c>
      <c r="I412" s="167" t="str">
        <v/>
      </c>
      <c r="J412" s="167" t="str">
        <v/>
      </c>
      <c r="K412" s="167" t="str">
        <v/>
      </c>
      <c r="L412" s="167" t="str">
        <v/>
      </c>
      <c r="M412" s="167" t="str">
        <v/>
      </c>
      <c r="N412" s="167" t="str">
        <v/>
      </c>
      <c r="O412" s="167" t="str">
        <v/>
      </c>
      <c r="P412" s="167" t="str">
        <v/>
      </c>
    </row>
    <row r="413" spans="1:16" x14ac:dyDescent="0.2">
      <c r="A413" s="58" t="str">
        <v/>
      </c>
      <c r="B413" s="144" t="str">
        <v/>
      </c>
      <c r="C413" s="167" t="str">
        <v/>
      </c>
      <c r="D413" s="167" t="str">
        <v/>
      </c>
      <c r="E413" s="167" t="str">
        <v/>
      </c>
      <c r="F413" s="167" t="str">
        <v/>
      </c>
      <c r="G413" s="167" t="str">
        <v/>
      </c>
      <c r="H413" s="167" t="str">
        <v/>
      </c>
      <c r="I413" s="167" t="str">
        <v/>
      </c>
      <c r="J413" s="167" t="str">
        <v/>
      </c>
      <c r="K413" s="167" t="str">
        <v/>
      </c>
      <c r="L413" s="167" t="str">
        <v/>
      </c>
      <c r="M413" s="167" t="str">
        <v/>
      </c>
      <c r="N413" s="167" t="str">
        <v/>
      </c>
      <c r="O413" s="167" t="str">
        <v/>
      </c>
      <c r="P413" s="167" t="str">
        <v/>
      </c>
    </row>
    <row r="414" spans="1:16" x14ac:dyDescent="0.2">
      <c r="A414" s="58" t="str">
        <v/>
      </c>
      <c r="B414" s="144" t="str">
        <v/>
      </c>
      <c r="C414" s="167" t="str">
        <v/>
      </c>
      <c r="D414" s="167" t="str">
        <v/>
      </c>
      <c r="E414" s="167" t="str">
        <v/>
      </c>
      <c r="F414" s="167" t="str">
        <v/>
      </c>
      <c r="G414" s="167" t="str">
        <v/>
      </c>
      <c r="H414" s="167" t="str">
        <v/>
      </c>
      <c r="I414" s="167" t="str">
        <v/>
      </c>
      <c r="J414" s="167" t="str">
        <v/>
      </c>
      <c r="K414" s="167" t="str">
        <v/>
      </c>
      <c r="L414" s="167" t="str">
        <v/>
      </c>
      <c r="M414" s="167" t="str">
        <v/>
      </c>
      <c r="N414" s="167" t="str">
        <v/>
      </c>
      <c r="O414" s="167" t="str">
        <v/>
      </c>
      <c r="P414" s="167" t="str">
        <v/>
      </c>
    </row>
    <row r="415" spans="1:16" x14ac:dyDescent="0.2">
      <c r="A415" s="58" t="str">
        <v/>
      </c>
      <c r="B415" s="144" t="str">
        <v/>
      </c>
      <c r="C415" s="167" t="str">
        <v/>
      </c>
      <c r="D415" s="167" t="str">
        <v/>
      </c>
      <c r="E415" s="167" t="str">
        <v/>
      </c>
      <c r="F415" s="167" t="str">
        <v/>
      </c>
      <c r="G415" s="167" t="str">
        <v/>
      </c>
      <c r="H415" s="167" t="str">
        <v/>
      </c>
      <c r="I415" s="167" t="str">
        <v/>
      </c>
      <c r="J415" s="167" t="str">
        <v/>
      </c>
      <c r="K415" s="167" t="str">
        <v/>
      </c>
      <c r="L415" s="167" t="str">
        <v/>
      </c>
      <c r="M415" s="167" t="str">
        <v/>
      </c>
      <c r="N415" s="167" t="str">
        <v/>
      </c>
      <c r="O415" s="167" t="str">
        <v/>
      </c>
      <c r="P415" s="167" t="str">
        <v/>
      </c>
    </row>
    <row r="416" spans="1:16" x14ac:dyDescent="0.2">
      <c r="A416" s="58" t="str">
        <v/>
      </c>
      <c r="B416" s="144" t="str">
        <v/>
      </c>
      <c r="C416" s="167" t="str">
        <v/>
      </c>
      <c r="D416" s="167" t="str">
        <v/>
      </c>
      <c r="E416" s="167" t="str">
        <v/>
      </c>
      <c r="F416" s="167" t="str">
        <v/>
      </c>
      <c r="G416" s="167" t="str">
        <v/>
      </c>
      <c r="H416" s="167" t="str">
        <v/>
      </c>
      <c r="I416" s="167" t="str">
        <v/>
      </c>
      <c r="J416" s="167" t="str">
        <v/>
      </c>
      <c r="K416" s="167" t="str">
        <v/>
      </c>
      <c r="L416" s="167" t="str">
        <v/>
      </c>
      <c r="M416" s="167" t="str">
        <v/>
      </c>
      <c r="N416" s="167" t="str">
        <v/>
      </c>
      <c r="O416" s="167" t="str">
        <v/>
      </c>
      <c r="P416" s="167" t="str">
        <v/>
      </c>
    </row>
    <row r="417" spans="1:16" x14ac:dyDescent="0.2">
      <c r="A417" s="58" t="str">
        <v/>
      </c>
      <c r="B417" s="144" t="str">
        <v/>
      </c>
      <c r="C417" s="167" t="str">
        <v/>
      </c>
      <c r="D417" s="167" t="str">
        <v/>
      </c>
      <c r="E417" s="167" t="str">
        <v/>
      </c>
      <c r="F417" s="167" t="str">
        <v/>
      </c>
      <c r="G417" s="167" t="str">
        <v/>
      </c>
      <c r="H417" s="167" t="str">
        <v/>
      </c>
      <c r="I417" s="167" t="str">
        <v/>
      </c>
      <c r="J417" s="167" t="str">
        <v/>
      </c>
      <c r="K417" s="167" t="str">
        <v/>
      </c>
      <c r="L417" s="167" t="str">
        <v/>
      </c>
      <c r="M417" s="167" t="str">
        <v/>
      </c>
      <c r="N417" s="167" t="str">
        <v/>
      </c>
      <c r="O417" s="167" t="str">
        <v/>
      </c>
      <c r="P417" s="167" t="str">
        <v/>
      </c>
    </row>
    <row r="418" spans="1:16" x14ac:dyDescent="0.2">
      <c r="A418" s="58" t="str">
        <v/>
      </c>
      <c r="B418" s="144" t="str">
        <v/>
      </c>
      <c r="C418" s="167" t="str">
        <v/>
      </c>
      <c r="D418" s="167" t="str">
        <v/>
      </c>
      <c r="E418" s="167" t="str">
        <v/>
      </c>
      <c r="F418" s="167" t="str">
        <v/>
      </c>
      <c r="G418" s="167" t="str">
        <v/>
      </c>
      <c r="H418" s="167" t="str">
        <v/>
      </c>
      <c r="I418" s="167" t="str">
        <v/>
      </c>
      <c r="J418" s="167" t="str">
        <v/>
      </c>
      <c r="K418" s="167" t="str">
        <v/>
      </c>
      <c r="L418" s="167" t="str">
        <v/>
      </c>
      <c r="M418" s="167" t="str">
        <v/>
      </c>
      <c r="N418" s="167" t="str">
        <v/>
      </c>
      <c r="O418" s="167" t="str">
        <v/>
      </c>
      <c r="P418" s="167" t="str">
        <v/>
      </c>
    </row>
    <row r="419" spans="1:16" x14ac:dyDescent="0.2">
      <c r="A419" s="58" t="str">
        <v/>
      </c>
      <c r="B419" s="144" t="str">
        <v/>
      </c>
      <c r="C419" s="167" t="str">
        <v/>
      </c>
      <c r="D419" s="167" t="str">
        <v/>
      </c>
      <c r="E419" s="167" t="str">
        <v/>
      </c>
      <c r="F419" s="167" t="str">
        <v/>
      </c>
      <c r="G419" s="167" t="str">
        <v/>
      </c>
      <c r="H419" s="167" t="str">
        <v/>
      </c>
      <c r="I419" s="167" t="str">
        <v/>
      </c>
      <c r="J419" s="167" t="str">
        <v/>
      </c>
      <c r="K419" s="167" t="str">
        <v/>
      </c>
      <c r="L419" s="167" t="str">
        <v/>
      </c>
      <c r="M419" s="167" t="str">
        <v/>
      </c>
      <c r="N419" s="167" t="str">
        <v/>
      </c>
      <c r="O419" s="167" t="str">
        <v/>
      </c>
      <c r="P419" s="167" t="str">
        <v/>
      </c>
    </row>
    <row r="420" spans="1:16" x14ac:dyDescent="0.2">
      <c r="A420" s="58" t="str">
        <v/>
      </c>
      <c r="B420" s="144" t="str">
        <v/>
      </c>
      <c r="C420" s="167" t="str">
        <v/>
      </c>
      <c r="D420" s="167" t="str">
        <v/>
      </c>
      <c r="E420" s="167" t="str">
        <v/>
      </c>
      <c r="F420" s="167" t="str">
        <v/>
      </c>
      <c r="G420" s="167" t="str">
        <v/>
      </c>
      <c r="H420" s="167" t="str">
        <v/>
      </c>
      <c r="I420" s="167" t="str">
        <v/>
      </c>
      <c r="J420" s="167" t="str">
        <v/>
      </c>
      <c r="K420" s="167" t="str">
        <v/>
      </c>
      <c r="L420" s="167" t="str">
        <v/>
      </c>
      <c r="M420" s="167" t="str">
        <v/>
      </c>
      <c r="N420" s="167" t="str">
        <v/>
      </c>
      <c r="O420" s="167" t="str">
        <v/>
      </c>
      <c r="P420" s="167" t="str">
        <v/>
      </c>
    </row>
    <row r="421" spans="1:16" x14ac:dyDescent="0.2">
      <c r="A421" s="58" t="str">
        <v/>
      </c>
      <c r="B421" s="144" t="str">
        <v/>
      </c>
      <c r="C421" s="167" t="str">
        <v/>
      </c>
      <c r="D421" s="167" t="str">
        <v/>
      </c>
      <c r="E421" s="167" t="str">
        <v/>
      </c>
      <c r="F421" s="167" t="str">
        <v/>
      </c>
      <c r="G421" s="167" t="str">
        <v/>
      </c>
      <c r="H421" s="167" t="str">
        <v/>
      </c>
      <c r="I421" s="167" t="str">
        <v/>
      </c>
      <c r="J421" s="167" t="str">
        <v/>
      </c>
      <c r="K421" s="167" t="str">
        <v/>
      </c>
      <c r="L421" s="167" t="str">
        <v/>
      </c>
      <c r="M421" s="167" t="str">
        <v/>
      </c>
      <c r="N421" s="167" t="str">
        <v/>
      </c>
      <c r="O421" s="167" t="str">
        <v/>
      </c>
      <c r="P421" s="167" t="str">
        <v/>
      </c>
    </row>
    <row r="422" spans="1:16" x14ac:dyDescent="0.2">
      <c r="A422" s="58" t="str">
        <v/>
      </c>
      <c r="B422" s="144" t="str">
        <v/>
      </c>
      <c r="C422" s="167" t="str">
        <v/>
      </c>
      <c r="D422" s="167" t="str">
        <v/>
      </c>
      <c r="E422" s="167" t="str">
        <v/>
      </c>
      <c r="F422" s="167" t="str">
        <v/>
      </c>
      <c r="G422" s="167" t="str">
        <v/>
      </c>
      <c r="H422" s="167" t="str">
        <v/>
      </c>
      <c r="I422" s="167" t="str">
        <v/>
      </c>
      <c r="J422" s="167" t="str">
        <v/>
      </c>
      <c r="K422" s="167" t="str">
        <v/>
      </c>
      <c r="L422" s="167" t="str">
        <v/>
      </c>
      <c r="M422" s="167" t="str">
        <v/>
      </c>
      <c r="N422" s="167" t="str">
        <v/>
      </c>
      <c r="O422" s="167" t="str">
        <v/>
      </c>
      <c r="P422" s="167" t="str">
        <v/>
      </c>
    </row>
    <row r="423" spans="1:16" x14ac:dyDescent="0.2">
      <c r="A423" s="58" t="str">
        <v/>
      </c>
      <c r="B423" s="144" t="str">
        <v/>
      </c>
      <c r="C423" s="167" t="str">
        <v/>
      </c>
      <c r="D423" s="167" t="str">
        <v/>
      </c>
      <c r="E423" s="167" t="str">
        <v/>
      </c>
      <c r="F423" s="167" t="str">
        <v/>
      </c>
      <c r="G423" s="167" t="str">
        <v/>
      </c>
      <c r="H423" s="167" t="str">
        <v/>
      </c>
      <c r="I423" s="167" t="str">
        <v/>
      </c>
      <c r="J423" s="167" t="str">
        <v/>
      </c>
      <c r="K423" s="167" t="str">
        <v/>
      </c>
      <c r="L423" s="167" t="str">
        <v/>
      </c>
      <c r="M423" s="167" t="str">
        <v/>
      </c>
      <c r="N423" s="167" t="str">
        <v/>
      </c>
      <c r="O423" s="167" t="str">
        <v/>
      </c>
      <c r="P423" s="167" t="str">
        <v/>
      </c>
    </row>
    <row r="424" spans="1:16" x14ac:dyDescent="0.2">
      <c r="A424" s="58" t="str">
        <v/>
      </c>
      <c r="B424" s="144" t="str">
        <v/>
      </c>
      <c r="C424" s="167" t="str">
        <v/>
      </c>
      <c r="D424" s="167" t="str">
        <v/>
      </c>
      <c r="E424" s="167" t="str">
        <v/>
      </c>
      <c r="F424" s="167" t="str">
        <v/>
      </c>
      <c r="G424" s="167" t="str">
        <v/>
      </c>
      <c r="H424" s="167" t="str">
        <v/>
      </c>
      <c r="I424" s="167" t="str">
        <v/>
      </c>
      <c r="J424" s="167" t="str">
        <v/>
      </c>
      <c r="K424" s="167" t="str">
        <v/>
      </c>
      <c r="L424" s="167" t="str">
        <v/>
      </c>
      <c r="M424" s="167" t="str">
        <v/>
      </c>
      <c r="N424" s="167" t="str">
        <v/>
      </c>
      <c r="O424" s="167" t="str">
        <v/>
      </c>
      <c r="P424" s="167" t="str">
        <v/>
      </c>
    </row>
    <row r="425" spans="1:16" x14ac:dyDescent="0.2">
      <c r="A425" s="58" t="str">
        <v/>
      </c>
      <c r="B425" s="144" t="str">
        <v/>
      </c>
      <c r="C425" s="167" t="str">
        <v/>
      </c>
      <c r="D425" s="167" t="str">
        <v/>
      </c>
      <c r="E425" s="167" t="str">
        <v/>
      </c>
      <c r="F425" s="167" t="str">
        <v/>
      </c>
      <c r="G425" s="167" t="str">
        <v/>
      </c>
      <c r="H425" s="167" t="str">
        <v/>
      </c>
      <c r="I425" s="167" t="str">
        <v/>
      </c>
      <c r="J425" s="167" t="str">
        <v/>
      </c>
      <c r="K425" s="167" t="str">
        <v/>
      </c>
      <c r="L425" s="167" t="str">
        <v/>
      </c>
      <c r="M425" s="167" t="str">
        <v/>
      </c>
      <c r="N425" s="167" t="str">
        <v/>
      </c>
      <c r="O425" s="167" t="str">
        <v/>
      </c>
      <c r="P425" s="167" t="str">
        <v/>
      </c>
    </row>
    <row r="426" spans="1:16" x14ac:dyDescent="0.2">
      <c r="A426" s="58" t="str">
        <v/>
      </c>
      <c r="B426" s="144" t="str">
        <v/>
      </c>
      <c r="C426" s="167" t="str">
        <v/>
      </c>
      <c r="D426" s="167" t="str">
        <v/>
      </c>
      <c r="E426" s="167" t="str">
        <v/>
      </c>
      <c r="F426" s="167" t="str">
        <v/>
      </c>
      <c r="G426" s="167" t="str">
        <v/>
      </c>
      <c r="H426" s="167" t="str">
        <v/>
      </c>
      <c r="I426" s="167" t="str">
        <v/>
      </c>
      <c r="J426" s="167" t="str">
        <v/>
      </c>
      <c r="K426" s="167" t="str">
        <v/>
      </c>
      <c r="L426" s="167" t="str">
        <v/>
      </c>
      <c r="M426" s="167" t="str">
        <v/>
      </c>
      <c r="N426" s="167" t="str">
        <v/>
      </c>
      <c r="O426" s="167" t="str">
        <v/>
      </c>
      <c r="P426" s="167" t="str">
        <v/>
      </c>
    </row>
    <row r="427" spans="1:16" x14ac:dyDescent="0.2">
      <c r="A427" s="58" t="str">
        <v/>
      </c>
      <c r="B427" s="144" t="str">
        <v/>
      </c>
      <c r="C427" s="167" t="str">
        <v/>
      </c>
      <c r="D427" s="167" t="str">
        <v/>
      </c>
      <c r="E427" s="167" t="str">
        <v/>
      </c>
      <c r="F427" s="167" t="str">
        <v/>
      </c>
      <c r="G427" s="167" t="str">
        <v/>
      </c>
      <c r="H427" s="167" t="str">
        <v/>
      </c>
      <c r="I427" s="167" t="str">
        <v/>
      </c>
      <c r="J427" s="167" t="str">
        <v/>
      </c>
      <c r="K427" s="167" t="str">
        <v/>
      </c>
      <c r="L427" s="167" t="str">
        <v/>
      </c>
      <c r="M427" s="167" t="str">
        <v/>
      </c>
      <c r="N427" s="167" t="str">
        <v/>
      </c>
      <c r="O427" s="167" t="str">
        <v/>
      </c>
      <c r="P427" s="167" t="str">
        <v/>
      </c>
    </row>
    <row r="428" spans="1:16" x14ac:dyDescent="0.2">
      <c r="A428" s="58" t="str">
        <v/>
      </c>
      <c r="B428" s="144" t="str">
        <v/>
      </c>
      <c r="C428" s="167" t="str">
        <v/>
      </c>
      <c r="D428" s="167" t="str">
        <v/>
      </c>
      <c r="E428" s="167" t="str">
        <v/>
      </c>
      <c r="F428" s="167" t="str">
        <v/>
      </c>
      <c r="G428" s="167" t="str">
        <v/>
      </c>
      <c r="H428" s="167" t="str">
        <v/>
      </c>
      <c r="I428" s="167" t="str">
        <v/>
      </c>
      <c r="J428" s="167" t="str">
        <v/>
      </c>
      <c r="K428" s="167" t="str">
        <v/>
      </c>
      <c r="L428" s="167" t="str">
        <v/>
      </c>
      <c r="M428" s="167" t="str">
        <v/>
      </c>
      <c r="N428" s="167" t="str">
        <v/>
      </c>
      <c r="O428" s="167" t="str">
        <v/>
      </c>
      <c r="P428" s="167" t="str">
        <v/>
      </c>
    </row>
    <row r="429" spans="1:16" x14ac:dyDescent="0.2">
      <c r="A429" s="58" t="str">
        <v/>
      </c>
      <c r="B429" s="144" t="str">
        <v/>
      </c>
      <c r="C429" s="167" t="str">
        <v/>
      </c>
      <c r="D429" s="167" t="str">
        <v/>
      </c>
      <c r="E429" s="167" t="str">
        <v/>
      </c>
      <c r="F429" s="167" t="str">
        <v/>
      </c>
      <c r="G429" s="167" t="str">
        <v/>
      </c>
      <c r="H429" s="167" t="str">
        <v/>
      </c>
      <c r="I429" s="167" t="str">
        <v/>
      </c>
      <c r="J429" s="167" t="str">
        <v/>
      </c>
      <c r="K429" s="167" t="str">
        <v/>
      </c>
      <c r="L429" s="167" t="str">
        <v/>
      </c>
      <c r="M429" s="167" t="str">
        <v/>
      </c>
      <c r="N429" s="167" t="str">
        <v/>
      </c>
      <c r="O429" s="167" t="str">
        <v/>
      </c>
      <c r="P429" s="167" t="str">
        <v/>
      </c>
    </row>
    <row r="430" spans="1:16" x14ac:dyDescent="0.2">
      <c r="A430" s="58" t="str">
        <v/>
      </c>
      <c r="B430" s="144" t="str">
        <v/>
      </c>
      <c r="C430" s="167" t="str">
        <v/>
      </c>
      <c r="D430" s="167" t="str">
        <v/>
      </c>
      <c r="E430" s="167" t="str">
        <v/>
      </c>
      <c r="F430" s="167" t="str">
        <v/>
      </c>
      <c r="G430" s="167" t="str">
        <v/>
      </c>
      <c r="H430" s="167" t="str">
        <v/>
      </c>
      <c r="I430" s="167" t="str">
        <v/>
      </c>
      <c r="J430" s="167" t="str">
        <v/>
      </c>
      <c r="K430" s="167" t="str">
        <v/>
      </c>
      <c r="L430" s="167" t="str">
        <v/>
      </c>
      <c r="M430" s="167" t="str">
        <v/>
      </c>
      <c r="N430" s="167" t="str">
        <v/>
      </c>
      <c r="O430" s="167" t="str">
        <v/>
      </c>
      <c r="P430" s="167" t="str">
        <v/>
      </c>
    </row>
    <row r="431" spans="1:16" x14ac:dyDescent="0.2">
      <c r="A431" s="58" t="str">
        <v/>
      </c>
      <c r="B431" s="144" t="str">
        <v/>
      </c>
      <c r="C431" s="167" t="str">
        <v/>
      </c>
      <c r="D431" s="167" t="str">
        <v/>
      </c>
      <c r="E431" s="167" t="str">
        <v/>
      </c>
      <c r="F431" s="167" t="str">
        <v/>
      </c>
      <c r="G431" s="167" t="str">
        <v/>
      </c>
      <c r="H431" s="167" t="str">
        <v/>
      </c>
      <c r="I431" s="167" t="str">
        <v/>
      </c>
      <c r="J431" s="167" t="str">
        <v/>
      </c>
      <c r="K431" s="167" t="str">
        <v/>
      </c>
      <c r="L431" s="167" t="str">
        <v/>
      </c>
      <c r="M431" s="167" t="str">
        <v/>
      </c>
      <c r="N431" s="167" t="str">
        <v/>
      </c>
      <c r="O431" s="167" t="str">
        <v/>
      </c>
      <c r="P431" s="167" t="str">
        <v/>
      </c>
    </row>
    <row r="432" spans="1:16" x14ac:dyDescent="0.2">
      <c r="A432" s="58" t="str">
        <v/>
      </c>
      <c r="B432" s="144" t="str">
        <v/>
      </c>
      <c r="C432" s="167" t="str">
        <v/>
      </c>
      <c r="D432" s="167" t="str">
        <v/>
      </c>
      <c r="E432" s="167" t="str">
        <v/>
      </c>
      <c r="F432" s="167" t="str">
        <v/>
      </c>
      <c r="G432" s="167" t="str">
        <v/>
      </c>
      <c r="H432" s="167" t="str">
        <v/>
      </c>
      <c r="I432" s="167" t="str">
        <v/>
      </c>
      <c r="J432" s="167" t="str">
        <v/>
      </c>
      <c r="K432" s="167" t="str">
        <v/>
      </c>
      <c r="L432" s="167" t="str">
        <v/>
      </c>
      <c r="M432" s="167" t="str">
        <v/>
      </c>
      <c r="N432" s="167" t="str">
        <v/>
      </c>
      <c r="O432" s="167" t="str">
        <v/>
      </c>
      <c r="P432" s="167" t="str">
        <v/>
      </c>
    </row>
    <row r="433" spans="1:16" x14ac:dyDescent="0.2">
      <c r="A433" s="58" t="str">
        <v/>
      </c>
      <c r="B433" s="144" t="str">
        <v/>
      </c>
      <c r="C433" s="167" t="str">
        <v/>
      </c>
      <c r="D433" s="167" t="str">
        <v/>
      </c>
      <c r="E433" s="167" t="str">
        <v/>
      </c>
      <c r="F433" s="167" t="str">
        <v/>
      </c>
      <c r="G433" s="167" t="str">
        <v/>
      </c>
      <c r="H433" s="167" t="str">
        <v/>
      </c>
      <c r="I433" s="167" t="str">
        <v/>
      </c>
      <c r="J433" s="167" t="str">
        <v/>
      </c>
      <c r="K433" s="167" t="str">
        <v/>
      </c>
      <c r="L433" s="167" t="str">
        <v/>
      </c>
      <c r="M433" s="167" t="str">
        <v/>
      </c>
      <c r="N433" s="167" t="str">
        <v/>
      </c>
      <c r="O433" s="167" t="str">
        <v/>
      </c>
      <c r="P433" s="167" t="str">
        <v/>
      </c>
    </row>
    <row r="434" spans="1:16" x14ac:dyDescent="0.2">
      <c r="A434" s="58" t="str">
        <v/>
      </c>
      <c r="B434" s="144" t="str">
        <v/>
      </c>
      <c r="C434" s="167" t="str">
        <v/>
      </c>
      <c r="D434" s="167" t="str">
        <v/>
      </c>
      <c r="E434" s="167" t="str">
        <v/>
      </c>
      <c r="F434" s="167" t="str">
        <v/>
      </c>
      <c r="G434" s="167" t="str">
        <v/>
      </c>
      <c r="H434" s="167" t="str">
        <v/>
      </c>
      <c r="I434" s="167" t="str">
        <v/>
      </c>
      <c r="J434" s="167" t="str">
        <v/>
      </c>
      <c r="K434" s="167" t="str">
        <v/>
      </c>
      <c r="L434" s="167" t="str">
        <v/>
      </c>
      <c r="M434" s="167" t="str">
        <v/>
      </c>
      <c r="N434" s="167" t="str">
        <v/>
      </c>
      <c r="O434" s="167" t="str">
        <v/>
      </c>
      <c r="P434" s="167" t="str">
        <v/>
      </c>
    </row>
    <row r="435" spans="1:16" x14ac:dyDescent="0.2">
      <c r="A435" s="58" t="str">
        <v/>
      </c>
      <c r="B435" s="144" t="str">
        <v/>
      </c>
      <c r="C435" s="167" t="str">
        <v/>
      </c>
      <c r="D435" s="167" t="str">
        <v/>
      </c>
      <c r="E435" s="167" t="str">
        <v/>
      </c>
      <c r="F435" s="167" t="str">
        <v/>
      </c>
      <c r="G435" s="167" t="str">
        <v/>
      </c>
      <c r="H435" s="167" t="str">
        <v/>
      </c>
      <c r="I435" s="167" t="str">
        <v/>
      </c>
      <c r="J435" s="167" t="str">
        <v/>
      </c>
      <c r="K435" s="167" t="str">
        <v/>
      </c>
      <c r="L435" s="167" t="str">
        <v/>
      </c>
      <c r="M435" s="167" t="str">
        <v/>
      </c>
      <c r="N435" s="167" t="str">
        <v/>
      </c>
      <c r="O435" s="167" t="str">
        <v/>
      </c>
      <c r="P435" s="167" t="str">
        <v/>
      </c>
    </row>
    <row r="436" spans="1:16" x14ac:dyDescent="0.2">
      <c r="A436" s="58" t="str">
        <v/>
      </c>
      <c r="B436" s="144" t="str">
        <v/>
      </c>
      <c r="C436" s="167" t="str">
        <v/>
      </c>
      <c r="D436" s="167" t="str">
        <v/>
      </c>
      <c r="E436" s="167" t="str">
        <v/>
      </c>
      <c r="F436" s="167" t="str">
        <v/>
      </c>
      <c r="G436" s="167" t="str">
        <v/>
      </c>
      <c r="H436" s="167" t="str">
        <v/>
      </c>
      <c r="I436" s="167" t="str">
        <v/>
      </c>
      <c r="J436" s="167" t="str">
        <v/>
      </c>
      <c r="K436" s="167" t="str">
        <v/>
      </c>
      <c r="L436" s="167" t="str">
        <v/>
      </c>
      <c r="M436" s="167" t="str">
        <v/>
      </c>
      <c r="N436" s="167" t="str">
        <v/>
      </c>
      <c r="O436" s="167" t="str">
        <v/>
      </c>
      <c r="P436" s="167" t="str">
        <v/>
      </c>
    </row>
    <row r="437" spans="1:16" x14ac:dyDescent="0.2">
      <c r="A437" s="58" t="str">
        <v/>
      </c>
      <c r="B437" s="144" t="str">
        <v/>
      </c>
      <c r="C437" s="167" t="str">
        <v/>
      </c>
      <c r="D437" s="167" t="str">
        <v/>
      </c>
      <c r="E437" s="167" t="str">
        <v/>
      </c>
      <c r="F437" s="167" t="str">
        <v/>
      </c>
      <c r="G437" s="167" t="str">
        <v/>
      </c>
      <c r="H437" s="167" t="str">
        <v/>
      </c>
      <c r="I437" s="167" t="str">
        <v/>
      </c>
      <c r="J437" s="167" t="str">
        <v/>
      </c>
      <c r="K437" s="167" t="str">
        <v/>
      </c>
      <c r="L437" s="167" t="str">
        <v/>
      </c>
      <c r="M437" s="167" t="str">
        <v/>
      </c>
      <c r="N437" s="167" t="str">
        <v/>
      </c>
      <c r="O437" s="167" t="str">
        <v/>
      </c>
      <c r="P437" s="167" t="str">
        <v/>
      </c>
    </row>
    <row r="438" spans="1:16" x14ac:dyDescent="0.2">
      <c r="A438" s="58" t="str">
        <v/>
      </c>
      <c r="B438" s="144" t="str">
        <v/>
      </c>
      <c r="C438" s="167" t="str">
        <v/>
      </c>
      <c r="D438" s="167" t="str">
        <v/>
      </c>
      <c r="E438" s="167" t="str">
        <v/>
      </c>
      <c r="F438" s="167" t="str">
        <v/>
      </c>
      <c r="G438" s="167" t="str">
        <v/>
      </c>
      <c r="H438" s="167" t="str">
        <v/>
      </c>
      <c r="I438" s="167" t="str">
        <v/>
      </c>
      <c r="J438" s="167" t="str">
        <v/>
      </c>
      <c r="K438" s="167" t="str">
        <v/>
      </c>
      <c r="L438" s="167" t="str">
        <v/>
      </c>
      <c r="M438" s="167" t="str">
        <v/>
      </c>
      <c r="N438" s="167" t="str">
        <v/>
      </c>
      <c r="O438" s="167" t="str">
        <v/>
      </c>
      <c r="P438" s="167" t="str">
        <v/>
      </c>
    </row>
    <row r="439" spans="1:16" x14ac:dyDescent="0.2">
      <c r="A439" s="58" t="str">
        <v/>
      </c>
      <c r="B439" s="144" t="str">
        <v/>
      </c>
      <c r="C439" s="167" t="str">
        <v/>
      </c>
      <c r="D439" s="167" t="str">
        <v/>
      </c>
      <c r="E439" s="167" t="str">
        <v/>
      </c>
      <c r="F439" s="167" t="str">
        <v/>
      </c>
      <c r="G439" s="167" t="str">
        <v/>
      </c>
      <c r="H439" s="167" t="str">
        <v/>
      </c>
      <c r="I439" s="167" t="str">
        <v/>
      </c>
      <c r="J439" s="167" t="str">
        <v/>
      </c>
      <c r="K439" s="167" t="str">
        <v/>
      </c>
      <c r="L439" s="167" t="str">
        <v/>
      </c>
      <c r="M439" s="167" t="str">
        <v/>
      </c>
      <c r="N439" s="167" t="str">
        <v/>
      </c>
      <c r="O439" s="167" t="str">
        <v/>
      </c>
      <c r="P439" s="167" t="str">
        <v/>
      </c>
    </row>
    <row r="440" spans="1:16" x14ac:dyDescent="0.2">
      <c r="A440" s="58" t="str">
        <v/>
      </c>
      <c r="B440" s="144" t="str">
        <v/>
      </c>
      <c r="C440" s="167" t="str">
        <v/>
      </c>
      <c r="D440" s="167" t="str">
        <v/>
      </c>
      <c r="E440" s="167" t="str">
        <v/>
      </c>
      <c r="F440" s="167" t="str">
        <v/>
      </c>
      <c r="G440" s="167" t="str">
        <v/>
      </c>
      <c r="H440" s="167" t="str">
        <v/>
      </c>
      <c r="I440" s="167" t="str">
        <v/>
      </c>
      <c r="J440" s="167" t="str">
        <v/>
      </c>
      <c r="K440" s="167" t="str">
        <v/>
      </c>
      <c r="L440" s="167" t="str">
        <v/>
      </c>
      <c r="M440" s="167" t="str">
        <v/>
      </c>
      <c r="N440" s="167" t="str">
        <v/>
      </c>
      <c r="O440" s="167" t="str">
        <v/>
      </c>
      <c r="P440" s="167" t="str">
        <v/>
      </c>
    </row>
    <row r="441" spans="1:16" x14ac:dyDescent="0.2">
      <c r="A441" s="58" t="str">
        <v/>
      </c>
      <c r="B441" s="144" t="str">
        <v/>
      </c>
      <c r="C441" s="167" t="str">
        <v/>
      </c>
      <c r="D441" s="167" t="str">
        <v/>
      </c>
      <c r="E441" s="167" t="str">
        <v/>
      </c>
      <c r="F441" s="167" t="str">
        <v/>
      </c>
      <c r="G441" s="167" t="str">
        <v/>
      </c>
      <c r="H441" s="167" t="str">
        <v/>
      </c>
      <c r="I441" s="167" t="str">
        <v/>
      </c>
      <c r="J441" s="167" t="str">
        <v/>
      </c>
      <c r="K441" s="167" t="str">
        <v/>
      </c>
      <c r="L441" s="167" t="str">
        <v/>
      </c>
      <c r="M441" s="167" t="str">
        <v/>
      </c>
      <c r="N441" s="167" t="str">
        <v/>
      </c>
      <c r="O441" s="167" t="str">
        <v/>
      </c>
      <c r="P441" s="167" t="str">
        <v/>
      </c>
    </row>
    <row r="442" spans="1:16" x14ac:dyDescent="0.2">
      <c r="A442" s="58" t="str">
        <v/>
      </c>
      <c r="B442" s="144" t="str">
        <v/>
      </c>
      <c r="C442" s="167" t="str">
        <v/>
      </c>
      <c r="D442" s="167" t="str">
        <v/>
      </c>
      <c r="E442" s="167" t="str">
        <v/>
      </c>
      <c r="F442" s="167" t="str">
        <v/>
      </c>
      <c r="G442" s="167" t="str">
        <v/>
      </c>
      <c r="H442" s="167" t="str">
        <v/>
      </c>
      <c r="I442" s="167" t="str">
        <v/>
      </c>
      <c r="J442" s="167" t="str">
        <v/>
      </c>
      <c r="K442" s="167" t="str">
        <v/>
      </c>
      <c r="L442" s="167" t="str">
        <v/>
      </c>
      <c r="M442" s="167" t="str">
        <v/>
      </c>
      <c r="N442" s="167" t="str">
        <v/>
      </c>
      <c r="O442" s="167" t="str">
        <v/>
      </c>
      <c r="P442" s="167" t="str">
        <v/>
      </c>
    </row>
    <row r="443" spans="1:16" x14ac:dyDescent="0.2">
      <c r="A443" s="58" t="str">
        <v/>
      </c>
      <c r="B443" s="144" t="str">
        <v/>
      </c>
      <c r="C443" s="167" t="str">
        <v/>
      </c>
      <c r="D443" s="167" t="str">
        <v/>
      </c>
      <c r="E443" s="167" t="str">
        <v/>
      </c>
      <c r="F443" s="167" t="str">
        <v/>
      </c>
      <c r="G443" s="167" t="str">
        <v/>
      </c>
      <c r="H443" s="167" t="str">
        <v/>
      </c>
      <c r="I443" s="167" t="str">
        <v/>
      </c>
      <c r="J443" s="167" t="str">
        <v/>
      </c>
      <c r="K443" s="167" t="str">
        <v/>
      </c>
      <c r="L443" s="167" t="str">
        <v/>
      </c>
      <c r="M443" s="167" t="str">
        <v/>
      </c>
      <c r="N443" s="167" t="str">
        <v/>
      </c>
      <c r="O443" s="167" t="str">
        <v/>
      </c>
      <c r="P443" s="167" t="str">
        <v/>
      </c>
    </row>
    <row r="444" spans="1:16" x14ac:dyDescent="0.2">
      <c r="A444" s="58" t="str">
        <v/>
      </c>
      <c r="B444" s="144" t="str">
        <v/>
      </c>
      <c r="C444" s="167" t="str">
        <v/>
      </c>
      <c r="D444" s="167" t="str">
        <v/>
      </c>
      <c r="E444" s="167" t="str">
        <v/>
      </c>
      <c r="F444" s="167" t="str">
        <v/>
      </c>
      <c r="G444" s="167" t="str">
        <v/>
      </c>
      <c r="H444" s="167" t="str">
        <v/>
      </c>
      <c r="I444" s="167" t="str">
        <v/>
      </c>
      <c r="J444" s="167" t="str">
        <v/>
      </c>
      <c r="K444" s="167" t="str">
        <v/>
      </c>
      <c r="L444" s="167" t="str">
        <v/>
      </c>
      <c r="M444" s="167" t="str">
        <v/>
      </c>
      <c r="N444" s="167" t="str">
        <v/>
      </c>
      <c r="O444" s="167" t="str">
        <v/>
      </c>
      <c r="P444" s="167" t="str">
        <v/>
      </c>
    </row>
    <row r="445" spans="1:16" x14ac:dyDescent="0.2">
      <c r="A445" s="58" t="str">
        <v/>
      </c>
      <c r="B445" s="144" t="str">
        <v/>
      </c>
      <c r="C445" s="167" t="str">
        <v/>
      </c>
      <c r="D445" s="167" t="str">
        <v/>
      </c>
      <c r="E445" s="167" t="str">
        <v/>
      </c>
      <c r="F445" s="167" t="str">
        <v/>
      </c>
      <c r="G445" s="167" t="str">
        <v/>
      </c>
      <c r="H445" s="167" t="str">
        <v/>
      </c>
      <c r="I445" s="167" t="str">
        <v/>
      </c>
      <c r="J445" s="167" t="str">
        <v/>
      </c>
      <c r="K445" s="167" t="str">
        <v/>
      </c>
      <c r="L445" s="167" t="str">
        <v/>
      </c>
      <c r="M445" s="167" t="str">
        <v/>
      </c>
      <c r="N445" s="167" t="str">
        <v/>
      </c>
      <c r="O445" s="167" t="str">
        <v/>
      </c>
      <c r="P445" s="167" t="str">
        <v/>
      </c>
    </row>
    <row r="446" spans="1:16" x14ac:dyDescent="0.2">
      <c r="A446" s="58" t="str">
        <v/>
      </c>
      <c r="B446" s="144" t="str">
        <v/>
      </c>
      <c r="C446" s="167" t="str">
        <v/>
      </c>
      <c r="D446" s="167" t="str">
        <v/>
      </c>
      <c r="E446" s="167" t="str">
        <v/>
      </c>
      <c r="F446" s="167" t="str">
        <v/>
      </c>
      <c r="G446" s="167" t="str">
        <v/>
      </c>
      <c r="H446" s="167" t="str">
        <v/>
      </c>
      <c r="I446" s="167" t="str">
        <v/>
      </c>
      <c r="J446" s="167" t="str">
        <v/>
      </c>
      <c r="K446" s="167" t="str">
        <v/>
      </c>
      <c r="L446" s="167" t="str">
        <v/>
      </c>
      <c r="M446" s="167" t="str">
        <v/>
      </c>
      <c r="N446" s="167" t="str">
        <v/>
      </c>
      <c r="O446" s="167" t="str">
        <v/>
      </c>
      <c r="P446" s="167" t="str">
        <v/>
      </c>
    </row>
    <row r="447" spans="1:16" x14ac:dyDescent="0.2">
      <c r="A447" s="58" t="str">
        <v/>
      </c>
      <c r="B447" s="144" t="str">
        <v/>
      </c>
      <c r="C447" s="167" t="str">
        <v/>
      </c>
      <c r="D447" s="167" t="str">
        <v/>
      </c>
      <c r="E447" s="167" t="str">
        <v/>
      </c>
      <c r="F447" s="167" t="str">
        <v/>
      </c>
      <c r="G447" s="167" t="str">
        <v/>
      </c>
      <c r="H447" s="167" t="str">
        <v/>
      </c>
      <c r="I447" s="167" t="str">
        <v/>
      </c>
      <c r="J447" s="167" t="str">
        <v/>
      </c>
      <c r="K447" s="167" t="str">
        <v/>
      </c>
      <c r="L447" s="167" t="str">
        <v/>
      </c>
      <c r="M447" s="167" t="str">
        <v/>
      </c>
      <c r="N447" s="167" t="str">
        <v/>
      </c>
      <c r="O447" s="167" t="str">
        <v/>
      </c>
      <c r="P447" s="167" t="str">
        <v/>
      </c>
    </row>
    <row r="448" spans="1:16" x14ac:dyDescent="0.2">
      <c r="A448" s="58" t="str">
        <v/>
      </c>
      <c r="B448" s="144" t="str">
        <v/>
      </c>
      <c r="C448" s="167" t="str">
        <v/>
      </c>
      <c r="D448" s="167" t="str">
        <v/>
      </c>
      <c r="E448" s="167" t="str">
        <v/>
      </c>
      <c r="F448" s="167" t="str">
        <v/>
      </c>
      <c r="G448" s="167" t="str">
        <v/>
      </c>
      <c r="H448" s="167" t="str">
        <v/>
      </c>
      <c r="I448" s="167" t="str">
        <v/>
      </c>
      <c r="J448" s="167" t="str">
        <v/>
      </c>
      <c r="K448" s="167" t="str">
        <v/>
      </c>
      <c r="L448" s="167" t="str">
        <v/>
      </c>
      <c r="M448" s="167" t="str">
        <v/>
      </c>
      <c r="N448" s="167" t="str">
        <v/>
      </c>
      <c r="O448" s="167" t="str">
        <v/>
      </c>
      <c r="P448" s="167" t="str">
        <v/>
      </c>
    </row>
    <row r="449" spans="1:16" x14ac:dyDescent="0.2">
      <c r="A449" s="58" t="str">
        <v/>
      </c>
      <c r="B449" s="144" t="str">
        <v/>
      </c>
      <c r="C449" s="167" t="str">
        <v/>
      </c>
      <c r="D449" s="167" t="str">
        <v/>
      </c>
      <c r="E449" s="167" t="str">
        <v/>
      </c>
      <c r="F449" s="167" t="str">
        <v/>
      </c>
      <c r="G449" s="167" t="str">
        <v/>
      </c>
      <c r="H449" s="167" t="str">
        <v/>
      </c>
      <c r="I449" s="167" t="str">
        <v/>
      </c>
      <c r="J449" s="167" t="str">
        <v/>
      </c>
      <c r="K449" s="167" t="str">
        <v/>
      </c>
      <c r="L449" s="167" t="str">
        <v/>
      </c>
      <c r="M449" s="167" t="str">
        <v/>
      </c>
      <c r="N449" s="167" t="str">
        <v/>
      </c>
      <c r="O449" s="167" t="str">
        <v/>
      </c>
      <c r="P449" s="167" t="str">
        <v/>
      </c>
    </row>
    <row r="450" spans="1:16" x14ac:dyDescent="0.2">
      <c r="A450" s="58" t="str">
        <v/>
      </c>
      <c r="B450" s="144" t="str">
        <v/>
      </c>
      <c r="C450" s="167" t="str">
        <v/>
      </c>
      <c r="D450" s="167" t="str">
        <v/>
      </c>
      <c r="E450" s="167" t="str">
        <v/>
      </c>
      <c r="F450" s="167" t="str">
        <v/>
      </c>
      <c r="G450" s="167" t="str">
        <v/>
      </c>
      <c r="H450" s="167" t="str">
        <v/>
      </c>
      <c r="I450" s="167" t="str">
        <v/>
      </c>
      <c r="J450" s="167" t="str">
        <v/>
      </c>
      <c r="K450" s="167" t="str">
        <v/>
      </c>
      <c r="L450" s="167" t="str">
        <v/>
      </c>
      <c r="M450" s="167" t="str">
        <v/>
      </c>
      <c r="N450" s="167" t="str">
        <v/>
      </c>
      <c r="O450" s="167" t="str">
        <v/>
      </c>
      <c r="P450" s="167" t="str">
        <v/>
      </c>
    </row>
    <row r="451" spans="1:16" x14ac:dyDescent="0.2">
      <c r="A451" s="58" t="str">
        <v/>
      </c>
      <c r="B451" s="144" t="str">
        <v/>
      </c>
      <c r="C451" s="167" t="str">
        <v/>
      </c>
      <c r="D451" s="167" t="str">
        <v/>
      </c>
      <c r="E451" s="167" t="str">
        <v/>
      </c>
      <c r="F451" s="167" t="str">
        <v/>
      </c>
      <c r="G451" s="167" t="str">
        <v/>
      </c>
      <c r="H451" s="167" t="str">
        <v/>
      </c>
      <c r="I451" s="167" t="str">
        <v/>
      </c>
      <c r="J451" s="167" t="str">
        <v/>
      </c>
      <c r="K451" s="167" t="str">
        <v/>
      </c>
      <c r="L451" s="167" t="str">
        <v/>
      </c>
      <c r="M451" s="167" t="str">
        <v/>
      </c>
      <c r="N451" s="167" t="str">
        <v/>
      </c>
      <c r="O451" s="167" t="str">
        <v/>
      </c>
      <c r="P451" s="167" t="str">
        <v/>
      </c>
    </row>
    <row r="452" spans="1:16" x14ac:dyDescent="0.2">
      <c r="A452" s="58" t="str">
        <v/>
      </c>
      <c r="B452" s="144" t="str">
        <v/>
      </c>
      <c r="C452" s="167" t="str">
        <v/>
      </c>
      <c r="D452" s="167" t="str">
        <v/>
      </c>
      <c r="E452" s="167" t="str">
        <v/>
      </c>
      <c r="F452" s="167" t="str">
        <v/>
      </c>
      <c r="G452" s="167" t="str">
        <v/>
      </c>
      <c r="H452" s="167" t="str">
        <v/>
      </c>
      <c r="I452" s="167" t="str">
        <v/>
      </c>
      <c r="J452" s="167" t="str">
        <v/>
      </c>
      <c r="K452" s="167" t="str">
        <v/>
      </c>
      <c r="L452" s="167" t="str">
        <v/>
      </c>
      <c r="M452" s="167" t="str">
        <v/>
      </c>
      <c r="N452" s="167" t="str">
        <v/>
      </c>
      <c r="O452" s="167" t="str">
        <v/>
      </c>
      <c r="P452" s="167" t="str">
        <v/>
      </c>
    </row>
    <row r="453" spans="1:16" x14ac:dyDescent="0.2">
      <c r="A453" s="58" t="str">
        <v/>
      </c>
      <c r="B453" s="144" t="str">
        <v/>
      </c>
      <c r="C453" s="167" t="str">
        <v/>
      </c>
      <c r="D453" s="167" t="str">
        <v/>
      </c>
      <c r="E453" s="167" t="str">
        <v/>
      </c>
      <c r="F453" s="167" t="str">
        <v/>
      </c>
      <c r="G453" s="167" t="str">
        <v/>
      </c>
      <c r="H453" s="167" t="str">
        <v/>
      </c>
      <c r="I453" s="167" t="str">
        <v/>
      </c>
      <c r="J453" s="167" t="str">
        <v/>
      </c>
      <c r="K453" s="167" t="str">
        <v/>
      </c>
      <c r="L453" s="167" t="str">
        <v/>
      </c>
      <c r="M453" s="167" t="str">
        <v/>
      </c>
      <c r="N453" s="167" t="str">
        <v/>
      </c>
      <c r="O453" s="167" t="str">
        <v/>
      </c>
      <c r="P453" s="167" t="str">
        <v/>
      </c>
    </row>
    <row r="454" spans="1:16" x14ac:dyDescent="0.2">
      <c r="A454" s="58" t="str">
        <v/>
      </c>
      <c r="B454" s="144" t="str">
        <v/>
      </c>
      <c r="C454" s="167" t="str">
        <v/>
      </c>
      <c r="D454" s="167" t="str">
        <v/>
      </c>
      <c r="E454" s="167" t="str">
        <v/>
      </c>
      <c r="F454" s="167" t="str">
        <v/>
      </c>
      <c r="G454" s="167" t="str">
        <v/>
      </c>
      <c r="H454" s="167" t="str">
        <v/>
      </c>
      <c r="I454" s="167" t="str">
        <v/>
      </c>
      <c r="J454" s="167" t="str">
        <v/>
      </c>
      <c r="K454" s="167" t="str">
        <v/>
      </c>
      <c r="L454" s="167" t="str">
        <v/>
      </c>
      <c r="M454" s="167" t="str">
        <v/>
      </c>
      <c r="N454" s="167" t="str">
        <v/>
      </c>
      <c r="O454" s="167" t="str">
        <v/>
      </c>
      <c r="P454" s="167" t="str">
        <v/>
      </c>
    </row>
    <row r="455" spans="1:16" x14ac:dyDescent="0.2">
      <c r="A455" s="58" t="str">
        <v/>
      </c>
      <c r="B455" s="144" t="str">
        <v/>
      </c>
      <c r="C455" s="167" t="str">
        <v/>
      </c>
      <c r="D455" s="167" t="str">
        <v/>
      </c>
      <c r="E455" s="167" t="str">
        <v/>
      </c>
      <c r="F455" s="167" t="str">
        <v/>
      </c>
      <c r="G455" s="167" t="str">
        <v/>
      </c>
      <c r="H455" s="167" t="str">
        <v/>
      </c>
      <c r="I455" s="167" t="str">
        <v/>
      </c>
      <c r="J455" s="167" t="str">
        <v/>
      </c>
      <c r="K455" s="167" t="str">
        <v/>
      </c>
      <c r="L455" s="167" t="str">
        <v/>
      </c>
      <c r="M455" s="167" t="str">
        <v/>
      </c>
      <c r="N455" s="167" t="str">
        <v/>
      </c>
      <c r="O455" s="167" t="str">
        <v/>
      </c>
      <c r="P455" s="167" t="str">
        <v/>
      </c>
    </row>
    <row r="456" spans="1:16" x14ac:dyDescent="0.2">
      <c r="A456" s="58" t="str">
        <v/>
      </c>
      <c r="B456" s="144" t="str">
        <v/>
      </c>
      <c r="C456" s="167" t="str">
        <v/>
      </c>
      <c r="D456" s="167" t="str">
        <v/>
      </c>
      <c r="E456" s="167" t="str">
        <v/>
      </c>
      <c r="F456" s="167" t="str">
        <v/>
      </c>
      <c r="G456" s="167" t="str">
        <v/>
      </c>
      <c r="H456" s="167" t="str">
        <v/>
      </c>
      <c r="I456" s="167" t="str">
        <v/>
      </c>
      <c r="J456" s="167" t="str">
        <v/>
      </c>
      <c r="K456" s="167" t="str">
        <v/>
      </c>
      <c r="L456" s="167" t="str">
        <v/>
      </c>
      <c r="M456" s="167" t="str">
        <v/>
      </c>
      <c r="N456" s="167" t="str">
        <v/>
      </c>
      <c r="O456" s="167" t="str">
        <v/>
      </c>
      <c r="P456" s="167" t="str">
        <v/>
      </c>
    </row>
    <row r="457" spans="1:16" x14ac:dyDescent="0.2">
      <c r="A457" s="58" t="str">
        <v/>
      </c>
      <c r="B457" s="144" t="str">
        <v/>
      </c>
      <c r="C457" s="167" t="str">
        <v/>
      </c>
      <c r="D457" s="167" t="str">
        <v/>
      </c>
      <c r="E457" s="167" t="str">
        <v/>
      </c>
      <c r="F457" s="167" t="str">
        <v/>
      </c>
      <c r="G457" s="167" t="str">
        <v/>
      </c>
      <c r="H457" s="167" t="str">
        <v/>
      </c>
      <c r="I457" s="167" t="str">
        <v/>
      </c>
      <c r="J457" s="167" t="str">
        <v/>
      </c>
      <c r="K457" s="167" t="str">
        <v/>
      </c>
      <c r="L457" s="167" t="str">
        <v/>
      </c>
      <c r="M457" s="167" t="str">
        <v/>
      </c>
      <c r="N457" s="167" t="str">
        <v/>
      </c>
      <c r="O457" s="167" t="str">
        <v/>
      </c>
      <c r="P457" s="167" t="str">
        <v/>
      </c>
    </row>
    <row r="458" spans="1:16" x14ac:dyDescent="0.2">
      <c r="A458" s="58" t="str">
        <v/>
      </c>
      <c r="B458" s="144" t="str">
        <v/>
      </c>
      <c r="C458" s="167" t="str">
        <v/>
      </c>
      <c r="D458" s="167" t="str">
        <v/>
      </c>
      <c r="E458" s="167" t="str">
        <v/>
      </c>
      <c r="F458" s="167" t="str">
        <v/>
      </c>
      <c r="G458" s="167" t="str">
        <v/>
      </c>
      <c r="H458" s="167" t="str">
        <v/>
      </c>
      <c r="I458" s="167" t="str">
        <v/>
      </c>
      <c r="J458" s="167" t="str">
        <v/>
      </c>
      <c r="K458" s="167" t="str">
        <v/>
      </c>
      <c r="L458" s="167" t="str">
        <v/>
      </c>
      <c r="M458" s="167" t="str">
        <v/>
      </c>
      <c r="N458" s="167" t="str">
        <v/>
      </c>
      <c r="O458" s="167" t="str">
        <v/>
      </c>
      <c r="P458" s="167" t="str">
        <v/>
      </c>
    </row>
    <row r="459" spans="1:16" x14ac:dyDescent="0.2">
      <c r="A459" s="58" t="str">
        <v/>
      </c>
      <c r="B459" s="144" t="str">
        <v/>
      </c>
      <c r="C459" s="167" t="str">
        <v/>
      </c>
      <c r="D459" s="167" t="str">
        <v/>
      </c>
      <c r="E459" s="167" t="str">
        <v/>
      </c>
      <c r="F459" s="167" t="str">
        <v/>
      </c>
      <c r="G459" s="167" t="str">
        <v/>
      </c>
      <c r="H459" s="167" t="str">
        <v/>
      </c>
      <c r="I459" s="167" t="str">
        <v/>
      </c>
      <c r="J459" s="167" t="str">
        <v/>
      </c>
      <c r="K459" s="167" t="str">
        <v/>
      </c>
      <c r="L459" s="167" t="str">
        <v/>
      </c>
      <c r="M459" s="167" t="str">
        <v/>
      </c>
      <c r="N459" s="167" t="str">
        <v/>
      </c>
      <c r="O459" s="167" t="str">
        <v/>
      </c>
      <c r="P459" s="167" t="str">
        <v/>
      </c>
    </row>
    <row r="460" spans="1:16" x14ac:dyDescent="0.2">
      <c r="A460" s="58" t="str">
        <v/>
      </c>
      <c r="B460" s="144" t="str">
        <v/>
      </c>
      <c r="C460" s="167" t="str">
        <v/>
      </c>
      <c r="D460" s="167" t="str">
        <v/>
      </c>
      <c r="E460" s="167" t="str">
        <v/>
      </c>
      <c r="F460" s="167" t="str">
        <v/>
      </c>
      <c r="G460" s="167" t="str">
        <v/>
      </c>
      <c r="H460" s="167" t="str">
        <v/>
      </c>
      <c r="I460" s="167" t="str">
        <v/>
      </c>
      <c r="J460" s="167" t="str">
        <v/>
      </c>
      <c r="K460" s="167" t="str">
        <v/>
      </c>
      <c r="L460" s="167" t="str">
        <v/>
      </c>
      <c r="M460" s="167" t="str">
        <v/>
      </c>
      <c r="N460" s="167" t="str">
        <v/>
      </c>
      <c r="O460" s="167" t="str">
        <v/>
      </c>
      <c r="P460" s="167" t="str">
        <v/>
      </c>
    </row>
    <row r="461" spans="1:16" x14ac:dyDescent="0.2">
      <c r="A461" s="58" t="str">
        <v/>
      </c>
      <c r="B461" s="144" t="str">
        <v/>
      </c>
      <c r="C461" s="167" t="str">
        <v/>
      </c>
      <c r="D461" s="167" t="str">
        <v/>
      </c>
      <c r="E461" s="167" t="str">
        <v/>
      </c>
      <c r="F461" s="167" t="str">
        <v/>
      </c>
      <c r="G461" s="167" t="str">
        <v/>
      </c>
      <c r="H461" s="167" t="str">
        <v/>
      </c>
      <c r="I461" s="167" t="str">
        <v/>
      </c>
      <c r="J461" s="167" t="str">
        <v/>
      </c>
      <c r="K461" s="167" t="str">
        <v/>
      </c>
      <c r="L461" s="167" t="str">
        <v/>
      </c>
      <c r="M461" s="167" t="str">
        <v/>
      </c>
      <c r="N461" s="167" t="str">
        <v/>
      </c>
      <c r="O461" s="167" t="str">
        <v/>
      </c>
      <c r="P461" s="167" t="str">
        <v/>
      </c>
    </row>
    <row r="462" spans="1:16" x14ac:dyDescent="0.2">
      <c r="A462" s="58" t="str">
        <v/>
      </c>
      <c r="B462" s="144" t="str">
        <v/>
      </c>
      <c r="C462" s="167" t="str">
        <v/>
      </c>
      <c r="D462" s="167" t="str">
        <v/>
      </c>
      <c r="E462" s="167" t="str">
        <v/>
      </c>
      <c r="F462" s="167" t="str">
        <v/>
      </c>
      <c r="G462" s="167" t="str">
        <v/>
      </c>
      <c r="H462" s="167" t="str">
        <v/>
      </c>
      <c r="I462" s="167" t="str">
        <v/>
      </c>
      <c r="J462" s="167" t="str">
        <v/>
      </c>
      <c r="K462" s="167" t="str">
        <v/>
      </c>
      <c r="L462" s="167" t="str">
        <v/>
      </c>
      <c r="M462" s="167" t="str">
        <v/>
      </c>
      <c r="N462" s="167" t="str">
        <v/>
      </c>
      <c r="O462" s="167" t="str">
        <v/>
      </c>
      <c r="P462" s="167" t="str">
        <v/>
      </c>
    </row>
    <row r="463" spans="1:16" x14ac:dyDescent="0.2">
      <c r="A463" s="58" t="str">
        <v/>
      </c>
      <c r="B463" s="144" t="str">
        <v/>
      </c>
      <c r="C463" s="167" t="str">
        <v/>
      </c>
      <c r="D463" s="167" t="str">
        <v/>
      </c>
      <c r="E463" s="167" t="str">
        <v/>
      </c>
      <c r="F463" s="167" t="str">
        <v/>
      </c>
      <c r="G463" s="167" t="str">
        <v/>
      </c>
      <c r="H463" s="167" t="str">
        <v/>
      </c>
      <c r="I463" s="167" t="str">
        <v/>
      </c>
      <c r="J463" s="167" t="str">
        <v/>
      </c>
      <c r="K463" s="167" t="str">
        <v/>
      </c>
      <c r="L463" s="167" t="str">
        <v/>
      </c>
      <c r="M463" s="167" t="str">
        <v/>
      </c>
      <c r="N463" s="167" t="str">
        <v/>
      </c>
      <c r="O463" s="167" t="str">
        <v/>
      </c>
      <c r="P463" s="167" t="str">
        <v/>
      </c>
    </row>
    <row r="464" spans="1:16" x14ac:dyDescent="0.2">
      <c r="A464" s="58" t="str">
        <v/>
      </c>
      <c r="B464" s="144" t="str">
        <v/>
      </c>
      <c r="C464" s="167" t="str">
        <v/>
      </c>
      <c r="D464" s="167" t="str">
        <v/>
      </c>
      <c r="E464" s="167" t="str">
        <v/>
      </c>
      <c r="F464" s="167" t="str">
        <v/>
      </c>
      <c r="G464" s="167" t="str">
        <v/>
      </c>
      <c r="H464" s="167" t="str">
        <v/>
      </c>
      <c r="I464" s="167" t="str">
        <v/>
      </c>
      <c r="J464" s="167" t="str">
        <v/>
      </c>
      <c r="K464" s="167" t="str">
        <v/>
      </c>
      <c r="L464" s="167" t="str">
        <v/>
      </c>
      <c r="M464" s="167" t="str">
        <v/>
      </c>
      <c r="N464" s="167" t="str">
        <v/>
      </c>
      <c r="O464" s="167" t="str">
        <v/>
      </c>
      <c r="P464" s="167" t="str">
        <v/>
      </c>
    </row>
    <row r="465" spans="1:16" x14ac:dyDescent="0.2">
      <c r="A465" s="58" t="str">
        <v/>
      </c>
      <c r="B465" s="144" t="str">
        <v/>
      </c>
      <c r="C465" s="167" t="str">
        <v/>
      </c>
      <c r="D465" s="167" t="str">
        <v/>
      </c>
      <c r="E465" s="167" t="str">
        <v/>
      </c>
      <c r="F465" s="167" t="str">
        <v/>
      </c>
      <c r="G465" s="167" t="str">
        <v/>
      </c>
      <c r="H465" s="167" t="str">
        <v/>
      </c>
      <c r="I465" s="167" t="str">
        <v/>
      </c>
      <c r="J465" s="167" t="str">
        <v/>
      </c>
      <c r="K465" s="167" t="str">
        <v/>
      </c>
      <c r="L465" s="167" t="str">
        <v/>
      </c>
      <c r="M465" s="167" t="str">
        <v/>
      </c>
      <c r="N465" s="167" t="str">
        <v/>
      </c>
      <c r="O465" s="167" t="str">
        <v/>
      </c>
      <c r="P465" s="167" t="str">
        <v/>
      </c>
    </row>
    <row r="466" spans="1:16" x14ac:dyDescent="0.2">
      <c r="A466" s="58" t="str">
        <v/>
      </c>
      <c r="B466" s="144" t="str">
        <v/>
      </c>
      <c r="C466" s="167" t="str">
        <v/>
      </c>
      <c r="D466" s="167" t="str">
        <v/>
      </c>
      <c r="E466" s="167" t="str">
        <v/>
      </c>
      <c r="F466" s="167" t="str">
        <v/>
      </c>
      <c r="G466" s="167" t="str">
        <v/>
      </c>
      <c r="H466" s="167" t="str">
        <v/>
      </c>
      <c r="I466" s="167" t="str">
        <v/>
      </c>
      <c r="J466" s="167" t="str">
        <v/>
      </c>
      <c r="K466" s="167" t="str">
        <v/>
      </c>
      <c r="L466" s="167" t="str">
        <v/>
      </c>
      <c r="M466" s="167" t="str">
        <v/>
      </c>
      <c r="N466" s="167" t="str">
        <v/>
      </c>
      <c r="O466" s="167" t="str">
        <v/>
      </c>
      <c r="P466" s="167" t="str">
        <v/>
      </c>
    </row>
    <row r="467" spans="1:16" x14ac:dyDescent="0.2">
      <c r="A467" s="58" t="str">
        <v/>
      </c>
      <c r="B467" s="144" t="str">
        <v/>
      </c>
      <c r="C467" s="167" t="str">
        <v/>
      </c>
      <c r="D467" s="167" t="str">
        <v/>
      </c>
      <c r="E467" s="167" t="str">
        <v/>
      </c>
      <c r="F467" s="167" t="str">
        <v/>
      </c>
      <c r="G467" s="167" t="str">
        <v/>
      </c>
      <c r="H467" s="167" t="str">
        <v/>
      </c>
      <c r="I467" s="167" t="str">
        <v/>
      </c>
      <c r="J467" s="167" t="str">
        <v/>
      </c>
      <c r="K467" s="167" t="str">
        <v/>
      </c>
      <c r="L467" s="167" t="str">
        <v/>
      </c>
      <c r="M467" s="167" t="str">
        <v/>
      </c>
      <c r="N467" s="167" t="str">
        <v/>
      </c>
      <c r="O467" s="167" t="str">
        <v/>
      </c>
      <c r="P467" s="167" t="str">
        <v/>
      </c>
    </row>
    <row r="468" spans="1:16" x14ac:dyDescent="0.2">
      <c r="A468" s="58" t="str">
        <v/>
      </c>
      <c r="B468" s="144" t="str">
        <v/>
      </c>
      <c r="C468" s="167" t="str">
        <v/>
      </c>
      <c r="D468" s="167" t="str">
        <v/>
      </c>
      <c r="E468" s="167" t="str">
        <v/>
      </c>
      <c r="F468" s="167" t="str">
        <v/>
      </c>
      <c r="G468" s="167" t="str">
        <v/>
      </c>
      <c r="H468" s="167" t="str">
        <v/>
      </c>
      <c r="I468" s="167" t="str">
        <v/>
      </c>
      <c r="J468" s="167" t="str">
        <v/>
      </c>
      <c r="K468" s="167" t="str">
        <v/>
      </c>
      <c r="L468" s="167" t="str">
        <v/>
      </c>
      <c r="M468" s="167" t="str">
        <v/>
      </c>
      <c r="N468" s="167" t="str">
        <v/>
      </c>
      <c r="O468" s="167" t="str">
        <v/>
      </c>
      <c r="P468" s="167" t="str">
        <v/>
      </c>
    </row>
    <row r="469" spans="1:16" x14ac:dyDescent="0.2">
      <c r="A469" s="58" t="str">
        <v/>
      </c>
      <c r="B469" s="144" t="str">
        <v/>
      </c>
      <c r="C469" s="167" t="str">
        <v/>
      </c>
      <c r="D469" s="167" t="str">
        <v/>
      </c>
      <c r="E469" s="167" t="str">
        <v/>
      </c>
      <c r="F469" s="167" t="str">
        <v/>
      </c>
      <c r="G469" s="167" t="str">
        <v/>
      </c>
      <c r="H469" s="167" t="str">
        <v/>
      </c>
      <c r="I469" s="167" t="str">
        <v/>
      </c>
      <c r="J469" s="167" t="str">
        <v/>
      </c>
      <c r="K469" s="167" t="str">
        <v/>
      </c>
      <c r="L469" s="167" t="str">
        <v/>
      </c>
      <c r="M469" s="167" t="str">
        <v/>
      </c>
      <c r="N469" s="167" t="str">
        <v/>
      </c>
      <c r="O469" s="167" t="str">
        <v/>
      </c>
      <c r="P469" s="167" t="str">
        <v/>
      </c>
    </row>
    <row r="470" spans="1:16" x14ac:dyDescent="0.2">
      <c r="A470" s="58" t="str">
        <v/>
      </c>
      <c r="B470" s="144" t="str">
        <v/>
      </c>
      <c r="C470" s="167" t="str">
        <v/>
      </c>
      <c r="D470" s="167" t="str">
        <v/>
      </c>
      <c r="E470" s="167" t="str">
        <v/>
      </c>
      <c r="F470" s="167" t="str">
        <v/>
      </c>
      <c r="G470" s="167" t="str">
        <v/>
      </c>
      <c r="H470" s="167" t="str">
        <v/>
      </c>
      <c r="I470" s="167" t="str">
        <v/>
      </c>
      <c r="J470" s="167" t="str">
        <v/>
      </c>
      <c r="K470" s="167" t="str">
        <v/>
      </c>
      <c r="L470" s="167" t="str">
        <v/>
      </c>
      <c r="M470" s="167" t="str">
        <v/>
      </c>
      <c r="N470" s="167" t="str">
        <v/>
      </c>
      <c r="O470" s="167" t="str">
        <v/>
      </c>
      <c r="P470" s="167" t="str">
        <v/>
      </c>
    </row>
    <row r="471" spans="1:16" x14ac:dyDescent="0.2">
      <c r="A471" s="58" t="str">
        <v/>
      </c>
      <c r="B471" s="144" t="str">
        <v/>
      </c>
      <c r="C471" s="167" t="str">
        <v/>
      </c>
      <c r="D471" s="167" t="str">
        <v/>
      </c>
      <c r="E471" s="167" t="str">
        <v/>
      </c>
      <c r="F471" s="167" t="str">
        <v/>
      </c>
      <c r="G471" s="167" t="str">
        <v/>
      </c>
      <c r="H471" s="167" t="str">
        <v/>
      </c>
      <c r="I471" s="167" t="str">
        <v/>
      </c>
      <c r="J471" s="167" t="str">
        <v/>
      </c>
      <c r="K471" s="167" t="str">
        <v/>
      </c>
      <c r="L471" s="167" t="str">
        <v/>
      </c>
      <c r="M471" s="167" t="str">
        <v/>
      </c>
      <c r="N471" s="167" t="str">
        <v/>
      </c>
      <c r="O471" s="167" t="str">
        <v/>
      </c>
      <c r="P471" s="167" t="str">
        <v/>
      </c>
    </row>
    <row r="472" spans="1:16" x14ac:dyDescent="0.2">
      <c r="A472" s="58" t="str">
        <v/>
      </c>
      <c r="B472" s="144" t="str">
        <v/>
      </c>
      <c r="C472" s="167" t="str">
        <v/>
      </c>
      <c r="D472" s="167" t="str">
        <v/>
      </c>
      <c r="E472" s="167" t="str">
        <v/>
      </c>
      <c r="F472" s="167" t="str">
        <v/>
      </c>
      <c r="G472" s="167" t="str">
        <v/>
      </c>
      <c r="H472" s="167" t="str">
        <v/>
      </c>
      <c r="I472" s="167" t="str">
        <v/>
      </c>
      <c r="J472" s="167" t="str">
        <v/>
      </c>
      <c r="K472" s="167" t="str">
        <v/>
      </c>
      <c r="L472" s="167" t="str">
        <v/>
      </c>
      <c r="M472" s="167" t="str">
        <v/>
      </c>
      <c r="N472" s="167" t="str">
        <v/>
      </c>
      <c r="O472" s="167" t="str">
        <v/>
      </c>
      <c r="P472" s="167" t="str">
        <v/>
      </c>
    </row>
    <row r="473" spans="1:16" x14ac:dyDescent="0.2">
      <c r="A473" s="58" t="str">
        <v/>
      </c>
      <c r="B473" s="144" t="str">
        <v/>
      </c>
      <c r="C473" s="167" t="str">
        <v/>
      </c>
      <c r="D473" s="167" t="str">
        <v/>
      </c>
      <c r="E473" s="167" t="str">
        <v/>
      </c>
      <c r="F473" s="167" t="str">
        <v/>
      </c>
      <c r="G473" s="167" t="str">
        <v/>
      </c>
      <c r="H473" s="167" t="str">
        <v/>
      </c>
      <c r="I473" s="167" t="str">
        <v/>
      </c>
      <c r="J473" s="167" t="str">
        <v/>
      </c>
      <c r="K473" s="167" t="str">
        <v/>
      </c>
      <c r="L473" s="167" t="str">
        <v/>
      </c>
      <c r="M473" s="167" t="str">
        <v/>
      </c>
      <c r="N473" s="167" t="str">
        <v/>
      </c>
      <c r="O473" s="167" t="str">
        <v/>
      </c>
      <c r="P473" s="167" t="str">
        <v/>
      </c>
    </row>
    <row r="474" spans="1:16" x14ac:dyDescent="0.2">
      <c r="A474" s="58" t="str">
        <v/>
      </c>
      <c r="B474" s="144" t="str">
        <v/>
      </c>
      <c r="C474" s="167" t="str">
        <v/>
      </c>
      <c r="D474" s="167" t="str">
        <v/>
      </c>
      <c r="E474" s="167" t="str">
        <v/>
      </c>
      <c r="F474" s="167" t="str">
        <v/>
      </c>
      <c r="G474" s="167" t="str">
        <v/>
      </c>
      <c r="H474" s="167" t="str">
        <v/>
      </c>
      <c r="I474" s="167" t="str">
        <v/>
      </c>
      <c r="J474" s="167" t="str">
        <v/>
      </c>
      <c r="K474" s="167" t="str">
        <v/>
      </c>
      <c r="L474" s="167" t="str">
        <v/>
      </c>
      <c r="M474" s="167" t="str">
        <v/>
      </c>
      <c r="N474" s="167" t="str">
        <v/>
      </c>
      <c r="O474" s="167" t="str">
        <v/>
      </c>
      <c r="P474" s="167" t="str">
        <v/>
      </c>
    </row>
    <row r="475" spans="1:16" x14ac:dyDescent="0.2">
      <c r="A475" s="58" t="str">
        <v/>
      </c>
      <c r="B475" s="144" t="str">
        <v/>
      </c>
      <c r="C475" s="167" t="str">
        <v/>
      </c>
      <c r="D475" s="167" t="str">
        <v/>
      </c>
      <c r="E475" s="167" t="str">
        <v/>
      </c>
      <c r="F475" s="167" t="str">
        <v/>
      </c>
      <c r="G475" s="167" t="str">
        <v/>
      </c>
      <c r="H475" s="167" t="str">
        <v/>
      </c>
      <c r="I475" s="167" t="str">
        <v/>
      </c>
      <c r="J475" s="167" t="str">
        <v/>
      </c>
      <c r="K475" s="167" t="str">
        <v/>
      </c>
      <c r="L475" s="167" t="str">
        <v/>
      </c>
      <c r="M475" s="167" t="str">
        <v/>
      </c>
      <c r="N475" s="167" t="str">
        <v/>
      </c>
      <c r="O475" s="167" t="str">
        <v/>
      </c>
      <c r="P475" s="167" t="str">
        <v/>
      </c>
    </row>
    <row r="476" spans="1:16" x14ac:dyDescent="0.2">
      <c r="A476" s="58" t="str">
        <v/>
      </c>
      <c r="B476" s="144" t="str">
        <v/>
      </c>
      <c r="C476" s="167" t="str">
        <v/>
      </c>
      <c r="D476" s="167" t="str">
        <v/>
      </c>
      <c r="E476" s="167" t="str">
        <v/>
      </c>
      <c r="F476" s="167" t="str">
        <v/>
      </c>
      <c r="G476" s="167" t="str">
        <v/>
      </c>
      <c r="H476" s="167" t="str">
        <v/>
      </c>
      <c r="I476" s="167" t="str">
        <v/>
      </c>
      <c r="J476" s="167" t="str">
        <v/>
      </c>
      <c r="K476" s="167" t="str">
        <v/>
      </c>
      <c r="L476" s="167" t="str">
        <v/>
      </c>
      <c r="M476" s="167" t="str">
        <v/>
      </c>
      <c r="N476" s="167" t="str">
        <v/>
      </c>
      <c r="O476" s="167" t="str">
        <v/>
      </c>
      <c r="P476" s="167" t="str">
        <v/>
      </c>
    </row>
    <row r="477" spans="1:16" x14ac:dyDescent="0.2">
      <c r="A477" s="58" t="str">
        <v/>
      </c>
      <c r="B477" s="144" t="str">
        <v/>
      </c>
      <c r="C477" s="167" t="str">
        <v/>
      </c>
      <c r="D477" s="167" t="str">
        <v/>
      </c>
      <c r="E477" s="167" t="str">
        <v/>
      </c>
      <c r="F477" s="167" t="str">
        <v/>
      </c>
      <c r="G477" s="167" t="str">
        <v/>
      </c>
      <c r="H477" s="167" t="str">
        <v/>
      </c>
      <c r="I477" s="167" t="str">
        <v/>
      </c>
      <c r="J477" s="167" t="str">
        <v/>
      </c>
      <c r="K477" s="167" t="str">
        <v/>
      </c>
      <c r="L477" s="167" t="str">
        <v/>
      </c>
      <c r="M477" s="167" t="str">
        <v/>
      </c>
      <c r="N477" s="167" t="str">
        <v/>
      </c>
      <c r="O477" s="167" t="str">
        <v/>
      </c>
      <c r="P477" s="167" t="str">
        <v/>
      </c>
    </row>
    <row r="478" spans="1:16" x14ac:dyDescent="0.2">
      <c r="A478" s="58" t="str">
        <v/>
      </c>
      <c r="B478" s="144" t="str">
        <v/>
      </c>
      <c r="C478" s="167" t="str">
        <v/>
      </c>
      <c r="D478" s="167" t="str">
        <v/>
      </c>
      <c r="E478" s="167" t="str">
        <v/>
      </c>
      <c r="F478" s="167" t="str">
        <v/>
      </c>
      <c r="G478" s="167" t="str">
        <v/>
      </c>
      <c r="H478" s="167" t="str">
        <v/>
      </c>
      <c r="I478" s="167" t="str">
        <v/>
      </c>
      <c r="J478" s="167" t="str">
        <v/>
      </c>
      <c r="K478" s="167" t="str">
        <v/>
      </c>
      <c r="L478" s="167" t="str">
        <v/>
      </c>
      <c r="M478" s="167" t="str">
        <v/>
      </c>
      <c r="N478" s="167" t="str">
        <v/>
      </c>
      <c r="O478" s="167" t="str">
        <v/>
      </c>
      <c r="P478" s="167" t="str">
        <v/>
      </c>
    </row>
    <row r="479" spans="1:16" x14ac:dyDescent="0.2">
      <c r="A479" s="58" t="str">
        <v/>
      </c>
      <c r="B479" s="144" t="str">
        <v/>
      </c>
      <c r="C479" s="167" t="str">
        <v/>
      </c>
      <c r="D479" s="167" t="str">
        <v/>
      </c>
      <c r="E479" s="167" t="str">
        <v/>
      </c>
      <c r="F479" s="167" t="str">
        <v/>
      </c>
      <c r="G479" s="167" t="str">
        <v/>
      </c>
      <c r="H479" s="167" t="str">
        <v/>
      </c>
      <c r="I479" s="167" t="str">
        <v/>
      </c>
      <c r="J479" s="167" t="str">
        <v/>
      </c>
      <c r="K479" s="167" t="str">
        <v/>
      </c>
      <c r="L479" s="167" t="str">
        <v/>
      </c>
      <c r="M479" s="167" t="str">
        <v/>
      </c>
      <c r="N479" s="167" t="str">
        <v/>
      </c>
      <c r="O479" s="167" t="str">
        <v/>
      </c>
      <c r="P479" s="167" t="str">
        <v/>
      </c>
    </row>
    <row r="480" spans="1:16" x14ac:dyDescent="0.2">
      <c r="A480" s="58" t="str">
        <v/>
      </c>
      <c r="B480" s="144" t="str">
        <v/>
      </c>
      <c r="C480" s="167" t="str">
        <v/>
      </c>
      <c r="D480" s="167" t="str">
        <v/>
      </c>
      <c r="E480" s="167" t="str">
        <v/>
      </c>
      <c r="F480" s="167" t="str">
        <v/>
      </c>
      <c r="G480" s="167" t="str">
        <v/>
      </c>
      <c r="H480" s="167" t="str">
        <v/>
      </c>
      <c r="I480" s="167" t="str">
        <v/>
      </c>
      <c r="J480" s="167" t="str">
        <v/>
      </c>
      <c r="K480" s="167" t="str">
        <v/>
      </c>
      <c r="L480" s="167" t="str">
        <v/>
      </c>
      <c r="M480" s="167" t="str">
        <v/>
      </c>
      <c r="N480" s="167" t="str">
        <v/>
      </c>
      <c r="O480" s="167" t="str">
        <v/>
      </c>
      <c r="P480" s="167" t="str">
        <v/>
      </c>
    </row>
    <row r="481" spans="1:16" x14ac:dyDescent="0.2">
      <c r="A481" s="58" t="str">
        <v/>
      </c>
      <c r="B481" s="144" t="str">
        <v/>
      </c>
      <c r="C481" s="167" t="str">
        <v/>
      </c>
      <c r="D481" s="167" t="str">
        <v/>
      </c>
      <c r="E481" s="167" t="str">
        <v/>
      </c>
      <c r="F481" s="167" t="str">
        <v/>
      </c>
      <c r="G481" s="167" t="str">
        <v/>
      </c>
      <c r="H481" s="167" t="str">
        <v/>
      </c>
      <c r="I481" s="167" t="str">
        <v/>
      </c>
      <c r="J481" s="167" t="str">
        <v/>
      </c>
      <c r="K481" s="167" t="str">
        <v/>
      </c>
      <c r="L481" s="167" t="str">
        <v/>
      </c>
      <c r="M481" s="167" t="str">
        <v/>
      </c>
      <c r="N481" s="167" t="str">
        <v/>
      </c>
      <c r="O481" s="167" t="str">
        <v/>
      </c>
      <c r="P481" s="167" t="str">
        <v/>
      </c>
    </row>
    <row r="482" spans="1:16" x14ac:dyDescent="0.2">
      <c r="A482" s="58" t="str">
        <v/>
      </c>
      <c r="B482" s="144" t="str">
        <v/>
      </c>
      <c r="C482" s="167" t="str">
        <v/>
      </c>
      <c r="D482" s="167" t="str">
        <v/>
      </c>
      <c r="E482" s="167" t="str">
        <v/>
      </c>
      <c r="F482" s="167" t="str">
        <v/>
      </c>
      <c r="G482" s="167" t="str">
        <v/>
      </c>
      <c r="H482" s="167" t="str">
        <v/>
      </c>
      <c r="I482" s="167" t="str">
        <v/>
      </c>
      <c r="J482" s="167" t="str">
        <v/>
      </c>
      <c r="K482" s="167" t="str">
        <v/>
      </c>
      <c r="L482" s="167" t="str">
        <v/>
      </c>
      <c r="M482" s="167" t="str">
        <v/>
      </c>
      <c r="N482" s="167" t="str">
        <v/>
      </c>
      <c r="O482" s="167" t="str">
        <v/>
      </c>
      <c r="P482" s="167" t="str">
        <v/>
      </c>
    </row>
    <row r="483" spans="1:16" x14ac:dyDescent="0.2">
      <c r="A483" s="58" t="str">
        <v/>
      </c>
      <c r="B483" s="144" t="str">
        <v/>
      </c>
      <c r="C483" s="167" t="str">
        <v/>
      </c>
      <c r="D483" s="167" t="str">
        <v/>
      </c>
      <c r="E483" s="167" t="str">
        <v/>
      </c>
      <c r="F483" s="167" t="str">
        <v/>
      </c>
      <c r="G483" s="167" t="str">
        <v/>
      </c>
      <c r="H483" s="167" t="str">
        <v/>
      </c>
      <c r="I483" s="167" t="str">
        <v/>
      </c>
      <c r="J483" s="167" t="str">
        <v/>
      </c>
      <c r="K483" s="167" t="str">
        <v/>
      </c>
      <c r="L483" s="167" t="str">
        <v/>
      </c>
      <c r="M483" s="167" t="str">
        <v/>
      </c>
      <c r="N483" s="167" t="str">
        <v/>
      </c>
      <c r="O483" s="167" t="str">
        <v/>
      </c>
      <c r="P483" s="167" t="str">
        <v/>
      </c>
    </row>
    <row r="484" spans="1:16" x14ac:dyDescent="0.2">
      <c r="A484" s="58" t="str">
        <v/>
      </c>
      <c r="B484" s="144" t="str">
        <v/>
      </c>
      <c r="C484" s="167" t="str">
        <v/>
      </c>
      <c r="D484" s="167" t="str">
        <v/>
      </c>
      <c r="E484" s="167" t="str">
        <v/>
      </c>
      <c r="F484" s="167" t="str">
        <v/>
      </c>
      <c r="G484" s="167" t="str">
        <v/>
      </c>
      <c r="H484" s="167" t="str">
        <v/>
      </c>
      <c r="I484" s="167" t="str">
        <v/>
      </c>
      <c r="J484" s="167" t="str">
        <v/>
      </c>
      <c r="K484" s="167" t="str">
        <v/>
      </c>
      <c r="L484" s="167" t="str">
        <v/>
      </c>
      <c r="M484" s="167" t="str">
        <v/>
      </c>
      <c r="N484" s="167" t="str">
        <v/>
      </c>
      <c r="O484" s="167" t="str">
        <v/>
      </c>
      <c r="P484" s="167" t="str">
        <v/>
      </c>
    </row>
    <row r="485" spans="1:16" x14ac:dyDescent="0.2">
      <c r="A485" s="58" t="str">
        <v/>
      </c>
      <c r="B485" s="144" t="str">
        <v/>
      </c>
      <c r="C485" s="167" t="str">
        <v/>
      </c>
      <c r="D485" s="167" t="str">
        <v/>
      </c>
      <c r="E485" s="167" t="str">
        <v/>
      </c>
      <c r="F485" s="167" t="str">
        <v/>
      </c>
      <c r="G485" s="167" t="str">
        <v/>
      </c>
      <c r="H485" s="167" t="str">
        <v/>
      </c>
      <c r="I485" s="167" t="str">
        <v/>
      </c>
      <c r="J485" s="167" t="str">
        <v/>
      </c>
      <c r="K485" s="167" t="str">
        <v/>
      </c>
      <c r="L485" s="167" t="str">
        <v/>
      </c>
      <c r="M485" s="167" t="str">
        <v/>
      </c>
      <c r="N485" s="167" t="str">
        <v/>
      </c>
      <c r="O485" s="167" t="str">
        <v/>
      </c>
      <c r="P485" s="167" t="str">
        <v/>
      </c>
    </row>
    <row r="486" spans="1:16" x14ac:dyDescent="0.2">
      <c r="A486" s="58" t="str">
        <v/>
      </c>
      <c r="B486" s="144" t="str">
        <v/>
      </c>
      <c r="C486" s="167" t="str">
        <v/>
      </c>
      <c r="D486" s="167" t="str">
        <v/>
      </c>
      <c r="E486" s="167" t="str">
        <v/>
      </c>
      <c r="F486" s="167" t="str">
        <v/>
      </c>
      <c r="G486" s="167" t="str">
        <v/>
      </c>
      <c r="H486" s="167" t="str">
        <v/>
      </c>
      <c r="I486" s="167" t="str">
        <v/>
      </c>
      <c r="J486" s="167" t="str">
        <v/>
      </c>
      <c r="K486" s="167" t="str">
        <v/>
      </c>
      <c r="L486" s="167" t="str">
        <v/>
      </c>
      <c r="M486" s="167" t="str">
        <v/>
      </c>
      <c r="N486" s="167" t="str">
        <v/>
      </c>
      <c r="O486" s="167" t="str">
        <v/>
      </c>
      <c r="P486" s="167" t="str">
        <v/>
      </c>
    </row>
    <row r="487" spans="1:16" x14ac:dyDescent="0.2">
      <c r="A487" s="58" t="str">
        <v/>
      </c>
      <c r="B487" s="144" t="str">
        <v/>
      </c>
      <c r="C487" s="167" t="str">
        <v/>
      </c>
      <c r="D487" s="167" t="str">
        <v/>
      </c>
      <c r="E487" s="167" t="str">
        <v/>
      </c>
      <c r="F487" s="167" t="str">
        <v/>
      </c>
      <c r="G487" s="167" t="str">
        <v/>
      </c>
      <c r="H487" s="167" t="str">
        <v/>
      </c>
      <c r="I487" s="167" t="str">
        <v/>
      </c>
      <c r="J487" s="167" t="str">
        <v/>
      </c>
      <c r="K487" s="167" t="str">
        <v/>
      </c>
      <c r="L487" s="167" t="str">
        <v/>
      </c>
      <c r="M487" s="167" t="str">
        <v/>
      </c>
      <c r="N487" s="167" t="str">
        <v/>
      </c>
      <c r="O487" s="167" t="str">
        <v/>
      </c>
      <c r="P487" s="167" t="str">
        <v/>
      </c>
    </row>
    <row r="488" spans="1:16" x14ac:dyDescent="0.2">
      <c r="A488" s="58" t="str">
        <v/>
      </c>
      <c r="B488" s="144" t="str">
        <v/>
      </c>
      <c r="C488" s="167" t="str">
        <v/>
      </c>
      <c r="D488" s="167" t="str">
        <v/>
      </c>
      <c r="E488" s="167" t="str">
        <v/>
      </c>
      <c r="F488" s="167" t="str">
        <v/>
      </c>
      <c r="G488" s="167" t="str">
        <v/>
      </c>
      <c r="H488" s="167" t="str">
        <v/>
      </c>
      <c r="I488" s="167" t="str">
        <v/>
      </c>
      <c r="J488" s="167" t="str">
        <v/>
      </c>
      <c r="K488" s="167" t="str">
        <v/>
      </c>
      <c r="L488" s="167" t="str">
        <v/>
      </c>
      <c r="M488" s="167" t="str">
        <v/>
      </c>
      <c r="N488" s="167" t="str">
        <v/>
      </c>
      <c r="O488" s="167" t="str">
        <v/>
      </c>
      <c r="P488" s="167" t="str">
        <v/>
      </c>
    </row>
    <row r="489" spans="1:16" x14ac:dyDescent="0.2">
      <c r="A489" s="58" t="str">
        <v/>
      </c>
      <c r="B489" s="144" t="str">
        <v/>
      </c>
      <c r="C489" s="167" t="str">
        <v/>
      </c>
      <c r="D489" s="167" t="str">
        <v/>
      </c>
      <c r="E489" s="167" t="str">
        <v/>
      </c>
      <c r="F489" s="167" t="str">
        <v/>
      </c>
      <c r="G489" s="167" t="str">
        <v/>
      </c>
      <c r="H489" s="167" t="str">
        <v/>
      </c>
      <c r="I489" s="167" t="str">
        <v/>
      </c>
      <c r="J489" s="167" t="str">
        <v/>
      </c>
      <c r="K489" s="167" t="str">
        <v/>
      </c>
      <c r="L489" s="167" t="str">
        <v/>
      </c>
      <c r="M489" s="167" t="str">
        <v/>
      </c>
      <c r="N489" s="167" t="str">
        <v/>
      </c>
      <c r="O489" s="167" t="str">
        <v/>
      </c>
      <c r="P489" s="167" t="str">
        <v/>
      </c>
    </row>
    <row r="490" spans="1:16" x14ac:dyDescent="0.2">
      <c r="A490" s="58" t="str">
        <v/>
      </c>
      <c r="B490" s="144" t="str">
        <v/>
      </c>
      <c r="C490" s="167" t="str">
        <v/>
      </c>
      <c r="D490" s="167" t="str">
        <v/>
      </c>
      <c r="E490" s="167" t="str">
        <v/>
      </c>
      <c r="F490" s="167" t="str">
        <v/>
      </c>
      <c r="G490" s="167" t="str">
        <v/>
      </c>
      <c r="H490" s="167" t="str">
        <v/>
      </c>
      <c r="I490" s="167" t="str">
        <v/>
      </c>
      <c r="J490" s="167" t="str">
        <v/>
      </c>
      <c r="K490" s="167" t="str">
        <v/>
      </c>
      <c r="L490" s="167" t="str">
        <v/>
      </c>
      <c r="M490" s="167" t="str">
        <v/>
      </c>
      <c r="N490" s="167" t="str">
        <v/>
      </c>
      <c r="O490" s="167" t="str">
        <v/>
      </c>
      <c r="P490" s="167" t="str">
        <v/>
      </c>
    </row>
    <row r="491" spans="1:16" x14ac:dyDescent="0.2">
      <c r="A491" s="58" t="str">
        <v/>
      </c>
      <c r="B491" s="144" t="str">
        <v/>
      </c>
      <c r="C491" s="167" t="str">
        <v/>
      </c>
      <c r="D491" s="167" t="str">
        <v/>
      </c>
      <c r="E491" s="167" t="str">
        <v/>
      </c>
      <c r="F491" s="167" t="str">
        <v/>
      </c>
      <c r="G491" s="167" t="str">
        <v/>
      </c>
      <c r="H491" s="167" t="str">
        <v/>
      </c>
      <c r="I491" s="167" t="str">
        <v/>
      </c>
      <c r="J491" s="167" t="str">
        <v/>
      </c>
      <c r="K491" s="167" t="str">
        <v/>
      </c>
      <c r="L491" s="167" t="str">
        <v/>
      </c>
      <c r="M491" s="167" t="str">
        <v/>
      </c>
      <c r="N491" s="167" t="str">
        <v/>
      </c>
      <c r="O491" s="167" t="str">
        <v/>
      </c>
      <c r="P491" s="167" t="str">
        <v/>
      </c>
    </row>
    <row r="492" spans="1:16" x14ac:dyDescent="0.2">
      <c r="A492" s="58" t="str">
        <v/>
      </c>
      <c r="B492" s="144" t="str">
        <v/>
      </c>
      <c r="C492" s="167" t="str">
        <v/>
      </c>
      <c r="D492" s="167" t="str">
        <v/>
      </c>
      <c r="E492" s="167" t="str">
        <v/>
      </c>
      <c r="F492" s="167" t="str">
        <v/>
      </c>
      <c r="G492" s="167" t="str">
        <v/>
      </c>
      <c r="H492" s="167" t="str">
        <v/>
      </c>
      <c r="I492" s="167" t="str">
        <v/>
      </c>
      <c r="J492" s="167" t="str">
        <v/>
      </c>
      <c r="K492" s="167" t="str">
        <v/>
      </c>
      <c r="L492" s="167" t="str">
        <v/>
      </c>
      <c r="M492" s="167" t="str">
        <v/>
      </c>
      <c r="N492" s="167" t="str">
        <v/>
      </c>
      <c r="O492" s="167" t="str">
        <v/>
      </c>
      <c r="P492" s="167" t="str">
        <v/>
      </c>
    </row>
    <row r="493" spans="1:16" x14ac:dyDescent="0.2">
      <c r="A493" s="58" t="str">
        <v/>
      </c>
      <c r="B493" s="144" t="str">
        <v/>
      </c>
      <c r="C493" s="167" t="str">
        <v/>
      </c>
      <c r="D493" s="167" t="str">
        <v/>
      </c>
      <c r="E493" s="167" t="str">
        <v/>
      </c>
      <c r="F493" s="167" t="str">
        <v/>
      </c>
      <c r="G493" s="167" t="str">
        <v/>
      </c>
      <c r="H493" s="167" t="str">
        <v/>
      </c>
      <c r="I493" s="167" t="str">
        <v/>
      </c>
      <c r="J493" s="167" t="str">
        <v/>
      </c>
      <c r="K493" s="167" t="str">
        <v/>
      </c>
      <c r="L493" s="167" t="str">
        <v/>
      </c>
      <c r="M493" s="167" t="str">
        <v/>
      </c>
      <c r="N493" s="167" t="str">
        <v/>
      </c>
      <c r="O493" s="167" t="str">
        <v/>
      </c>
      <c r="P493" s="167" t="str">
        <v/>
      </c>
    </row>
    <row r="494" spans="1:16" x14ac:dyDescent="0.2">
      <c r="A494" s="58" t="str">
        <v/>
      </c>
      <c r="B494" s="144" t="str">
        <v/>
      </c>
      <c r="C494" s="167" t="str">
        <v/>
      </c>
      <c r="D494" s="167" t="str">
        <v/>
      </c>
      <c r="E494" s="167" t="str">
        <v/>
      </c>
      <c r="F494" s="167" t="str">
        <v/>
      </c>
      <c r="G494" s="167" t="str">
        <v/>
      </c>
      <c r="H494" s="167" t="str">
        <v/>
      </c>
      <c r="I494" s="167" t="str">
        <v/>
      </c>
      <c r="J494" s="167" t="str">
        <v/>
      </c>
      <c r="K494" s="167" t="str">
        <v/>
      </c>
      <c r="L494" s="167" t="str">
        <v/>
      </c>
      <c r="M494" s="167" t="str">
        <v/>
      </c>
      <c r="N494" s="167" t="str">
        <v/>
      </c>
      <c r="O494" s="167" t="str">
        <v/>
      </c>
      <c r="P494" s="167" t="str">
        <v/>
      </c>
    </row>
    <row r="495" spans="1:16" x14ac:dyDescent="0.2">
      <c r="A495" s="58" t="str">
        <v/>
      </c>
      <c r="B495" s="144" t="str">
        <v/>
      </c>
      <c r="C495" s="167" t="str">
        <v/>
      </c>
      <c r="D495" s="167" t="str">
        <v/>
      </c>
      <c r="E495" s="167" t="str">
        <v/>
      </c>
      <c r="F495" s="167" t="str">
        <v/>
      </c>
      <c r="G495" s="167" t="str">
        <v/>
      </c>
      <c r="H495" s="167" t="str">
        <v/>
      </c>
      <c r="I495" s="167" t="str">
        <v/>
      </c>
      <c r="J495" s="167" t="str">
        <v/>
      </c>
      <c r="K495" s="167" t="str">
        <v/>
      </c>
      <c r="L495" s="167" t="str">
        <v/>
      </c>
      <c r="M495" s="167" t="str">
        <v/>
      </c>
      <c r="N495" s="167" t="str">
        <v/>
      </c>
      <c r="O495" s="167" t="str">
        <v/>
      </c>
      <c r="P495" s="167" t="str">
        <v/>
      </c>
    </row>
    <row r="496" spans="1:16" x14ac:dyDescent="0.2">
      <c r="A496" s="58" t="str">
        <v/>
      </c>
      <c r="B496" s="144" t="str">
        <v/>
      </c>
      <c r="C496" s="167" t="str">
        <v/>
      </c>
      <c r="D496" s="167" t="str">
        <v/>
      </c>
      <c r="E496" s="167" t="str">
        <v/>
      </c>
      <c r="F496" s="167" t="str">
        <v/>
      </c>
      <c r="G496" s="167" t="str">
        <v/>
      </c>
      <c r="H496" s="167" t="str">
        <v/>
      </c>
      <c r="I496" s="167" t="str">
        <v/>
      </c>
      <c r="J496" s="167" t="str">
        <v/>
      </c>
      <c r="K496" s="167" t="str">
        <v/>
      </c>
      <c r="L496" s="167" t="str">
        <v/>
      </c>
      <c r="M496" s="167" t="str">
        <v/>
      </c>
      <c r="N496" s="167" t="str">
        <v/>
      </c>
      <c r="O496" s="167" t="str">
        <v/>
      </c>
      <c r="P496" s="167" t="str">
        <v/>
      </c>
    </row>
    <row r="497" spans="1:16" x14ac:dyDescent="0.2">
      <c r="A497" s="58" t="str">
        <v/>
      </c>
      <c r="B497" s="144" t="str">
        <v/>
      </c>
      <c r="C497" s="167" t="str">
        <v/>
      </c>
      <c r="D497" s="167" t="str">
        <v/>
      </c>
      <c r="E497" s="167" t="str">
        <v/>
      </c>
      <c r="F497" s="167" t="str">
        <v/>
      </c>
      <c r="G497" s="167" t="str">
        <v/>
      </c>
      <c r="H497" s="167" t="str">
        <v/>
      </c>
      <c r="I497" s="167" t="str">
        <v/>
      </c>
      <c r="J497" s="167" t="str">
        <v/>
      </c>
      <c r="K497" s="167" t="str">
        <v/>
      </c>
      <c r="L497" s="167" t="str">
        <v/>
      </c>
      <c r="M497" s="167" t="str">
        <v/>
      </c>
      <c r="N497" s="167" t="str">
        <v/>
      </c>
      <c r="O497" s="167" t="str">
        <v/>
      </c>
      <c r="P497" s="167" t="str">
        <v/>
      </c>
    </row>
    <row r="498" spans="1:16" x14ac:dyDescent="0.2">
      <c r="A498" s="58" t="str">
        <v/>
      </c>
      <c r="B498" s="144" t="str">
        <v/>
      </c>
      <c r="C498" s="167" t="str">
        <v/>
      </c>
      <c r="D498" s="167" t="str">
        <v/>
      </c>
      <c r="E498" s="167" t="str">
        <v/>
      </c>
      <c r="F498" s="167" t="str">
        <v/>
      </c>
      <c r="G498" s="167" t="str">
        <v/>
      </c>
      <c r="H498" s="167" t="str">
        <v/>
      </c>
      <c r="I498" s="167" t="str">
        <v/>
      </c>
      <c r="J498" s="167" t="str">
        <v/>
      </c>
      <c r="K498" s="167" t="str">
        <v/>
      </c>
      <c r="L498" s="167" t="str">
        <v/>
      </c>
      <c r="M498" s="167" t="str">
        <v/>
      </c>
      <c r="N498" s="167" t="str">
        <v/>
      </c>
      <c r="O498" s="167" t="str">
        <v/>
      </c>
      <c r="P498" s="167" t="str">
        <v/>
      </c>
    </row>
    <row r="499" spans="1:16" x14ac:dyDescent="0.2">
      <c r="A499" s="58" t="str">
        <v/>
      </c>
      <c r="B499" s="144" t="str">
        <v/>
      </c>
      <c r="C499" s="167" t="str">
        <v/>
      </c>
      <c r="D499" s="167" t="str">
        <v/>
      </c>
      <c r="E499" s="167" t="str">
        <v/>
      </c>
      <c r="F499" s="167" t="str">
        <v/>
      </c>
      <c r="G499" s="167" t="str">
        <v/>
      </c>
      <c r="H499" s="167" t="str">
        <v/>
      </c>
      <c r="I499" s="167" t="str">
        <v/>
      </c>
      <c r="J499" s="167" t="str">
        <v/>
      </c>
      <c r="K499" s="167" t="str">
        <v/>
      </c>
      <c r="L499" s="167" t="str">
        <v/>
      </c>
      <c r="M499" s="167" t="str">
        <v/>
      </c>
      <c r="N499" s="167" t="str">
        <v/>
      </c>
      <c r="O499" s="167" t="str">
        <v/>
      </c>
      <c r="P499" s="167" t="str">
        <v/>
      </c>
    </row>
    <row r="500" spans="1:16" x14ac:dyDescent="0.2">
      <c r="A500" s="58" t="str">
        <v/>
      </c>
      <c r="B500" s="144" t="str">
        <v/>
      </c>
      <c r="C500" s="167" t="str">
        <v/>
      </c>
      <c r="D500" s="167" t="str">
        <v/>
      </c>
      <c r="E500" s="167" t="str">
        <v/>
      </c>
      <c r="F500" s="167" t="str">
        <v/>
      </c>
      <c r="G500" s="167" t="str">
        <v/>
      </c>
      <c r="H500" s="167" t="str">
        <v/>
      </c>
      <c r="I500" s="167" t="str">
        <v/>
      </c>
      <c r="J500" s="167" t="str">
        <v/>
      </c>
      <c r="K500" s="167" t="str">
        <v/>
      </c>
      <c r="L500" s="167" t="str">
        <v/>
      </c>
      <c r="M500" s="167" t="str">
        <v/>
      </c>
      <c r="N500" s="167" t="str">
        <v/>
      </c>
      <c r="O500" s="167" t="str">
        <v/>
      </c>
      <c r="P500" s="167" t="str">
        <v/>
      </c>
    </row>
    <row r="501" spans="1:16" x14ac:dyDescent="0.2">
      <c r="A501" s="58" t="str">
        <v/>
      </c>
      <c r="B501" s="144" t="str">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44" t="str">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44" t="str">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44" t="str">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44" t="str">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44" t="str">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44" t="str">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44" t="str">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44" t="str">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44" t="str">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44" t="str">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44" t="str">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44" t="str">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44" t="str">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44" t="str">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44" t="str">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44" t="str">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44" t="str">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44" t="str">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44" t="str">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44" t="str">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44" t="str">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44" t="str">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44" t="str">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44" t="str">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44" t="str">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44" t="str">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44" t="str">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44" t="str">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44" t="str">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44" t="str">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44" t="str">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44" t="str">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44" t="str">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44" t="str">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44" t="str">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44" t="str">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44" t="str">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44" t="str">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44" t="str">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44" t="str">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44" t="str">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44" t="str">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44" t="str">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44" t="str">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44" t="str">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44" t="str">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44" t="str">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44" t="str">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44" t="str">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44" t="str">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44" t="str">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44" t="str">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44" t="str">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44" t="str">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44" t="str">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44" t="str">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44" t="str">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44" t="str">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44" t="str">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44" t="str">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44" t="str">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44" t="str">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44" t="str">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44" t="str">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44" t="str">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44" t="str">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44" t="str">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44" t="str">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44" t="str">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44" t="str">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44" t="str">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44" t="str">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44" t="str">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44" t="str">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44" t="str">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44" t="str">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44" t="str">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44" t="str">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44" t="str">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44" t="str">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44" t="str">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44" t="str">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44" t="str">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44" t="str">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44" t="str">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44" t="str">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44" t="str">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44" t="str">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44" t="str">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44" t="str">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44" t="str">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44" t="str">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44" t="str">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44" t="str">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44" t="str">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44" t="str">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44" t="str">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44" t="str">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44" t="str">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44" t="str">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44" t="str">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44" t="str">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44" t="str">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44" t="str">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44" t="str">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44" t="str">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44" t="str">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44" t="str">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44" t="str">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44" t="str">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44" t="str">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44" t="str">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44" t="str">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44" t="str">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44" t="str">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44" t="str">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44" t="str">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44" t="str">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44" t="str">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44" t="str">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44" t="str">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44" t="str">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44" t="str">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44" t="str">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44" t="str">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44" t="str">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44" t="str">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44" t="str">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44" t="str">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44" t="str">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44" t="str">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44" t="str">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44" t="str">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44" t="str">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44" t="str">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44" t="str">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44" t="str">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44" t="str">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44" t="str">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44" t="str">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44" t="str">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44" t="str">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44" t="str">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44" t="str">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44" t="str">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44" t="str">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44" t="str">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44" t="str">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44" t="str">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44" t="str">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44" t="str">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44" t="str">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44" t="str">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44" t="str">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44" t="str">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44" t="str">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44" t="str">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44" t="str">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44" t="str">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44" t="str">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44" t="str">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44" t="str">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44" t="str">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44" t="str">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44" t="str">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44" t="str">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44" t="str">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44" t="str">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44" t="str">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44" t="str">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44" t="str">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44" t="str">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44" t="str">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44" t="str">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44" t="str">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44" t="str">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44" t="str">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44" t="str">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44" t="str">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44" t="str">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44" t="str">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44" t="str">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44" t="str">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44" t="str">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44" t="str">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44" t="str">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44" t="str">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44" t="str">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44" t="str">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44" t="str">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44" t="str">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44" t="str">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44" t="str">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44" t="str">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44" t="str">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44" t="str">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44" t="str">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44" t="str">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44" t="str">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44" t="str">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44" t="str">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44" t="str">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44" t="str">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44" t="str">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44" t="str">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44" t="str">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44" t="str">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44" t="str">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44" t="str">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44" t="str">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44" t="str">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44" t="str">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44" t="str">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44" t="str">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44" t="str">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44" t="str">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44" t="str">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44" t="str">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44" t="str">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44" t="str">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44" t="str">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44" t="str">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44" t="str">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44" t="str">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44" t="str">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44" t="str">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44" t="str">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44" t="str">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44" t="str">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44" t="str">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44" t="str">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44" t="str">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44" t="str">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44" t="str">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44" t="str">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44" t="str">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44" t="str">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44" t="str">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44" t="str">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44" t="str">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44" t="str">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44" t="str">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44" t="str">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44" t="str">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44" t="str">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44" t="str">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44" t="str">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44" t="str">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44" t="str">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44" t="str">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44" t="str">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44" t="str">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44" t="str">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44" t="str">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44" t="str">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44" t="str">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44" t="str">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44" t="str">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44" t="str">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44" t="str">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44" t="str">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44" t="str">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44" t="str">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44" t="str">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44" t="str">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44" t="str">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44" t="str">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44" t="str">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44" t="str">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44" t="str">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44" t="str">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44" t="str">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44" t="str">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44" t="str">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44" t="str">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44" t="str">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44" t="str">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44" t="str">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44" t="str">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44" t="str">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44" t="str">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44" t="str">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44" t="str">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44" t="str">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44" t="str">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44" t="str">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44" t="str">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44" t="str">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44" t="str">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44" t="str">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44" t="str">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44" t="str">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44" t="str">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44" t="str">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44" t="str">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44" t="str">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44" t="str">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44" t="str">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44" t="str">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44" t="str">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44" t="str">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44" t="str">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44" t="str">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44" t="str">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44" t="str">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44" t="str">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44" t="str">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44" t="str">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44" t="str">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44" t="str">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44" t="str">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44" t="str">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44" t="str">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44" t="str">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44" t="str">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44" t="str">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44" t="str">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44" t="str">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44" t="str">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44" t="str">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44" t="str">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44" t="str">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44" t="str">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44" t="str">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44" t="str">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44" t="str">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44" t="str">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44" t="str">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44" t="str">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44" t="str">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44" t="str">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44" t="str">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44" t="str">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44" t="str">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44" t="str">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44" t="str">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44" t="str">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44" t="str">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44" t="str">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44" t="str">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44" t="str">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44" t="str">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44" t="str">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44" t="str">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44" t="str">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44" t="str">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44" t="str">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44" t="str">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44" t="str">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44" t="str">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44" t="str">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44" t="str">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44" t="str">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44" t="str">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44" t="str">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44" t="str">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44" t="str">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44" t="str">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44" t="str">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44" t="str">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44" t="str">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44" t="str">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44" t="str">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44" t="str">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44" t="str">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44" t="str">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44" t="str">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44" t="str">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44" t="str">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44" t="str">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44" t="str">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44" t="str">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44" t="str">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44" t="str">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44" t="str">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44" t="str">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44" t="str">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44" t="str">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44" t="str">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44" t="str">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44" t="str">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44" t="str">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44" t="str">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44" t="str">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44" t="str">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44" t="str">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44" t="str">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44" t="str">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44" t="str">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44" t="str">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44" t="str">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44" t="str">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44" t="str">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44" t="str">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44" t="str">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44" t="str">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44" t="str">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44" t="str">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44" t="str">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44" t="str">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44" t="str">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44" t="str">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selectLockedCells="1"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B1" zoomScaleNormal="100" workbookViewId="0">
      <selection activeCell="B903" sqref="B903"/>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62">
        <f>Main!$D$16</f>
        <v>0</v>
      </c>
      <c r="C1" s="156">
        <f>$B$1-$B$2</f>
        <v>0</v>
      </c>
      <c r="D1" s="156"/>
      <c r="E1" s="162">
        <f>B1-D2</f>
        <v>0</v>
      </c>
      <c r="F1" s="38" t="s">
        <v>106</v>
      </c>
      <c r="P1" s="156" t="str">
        <f>IF(Main!$E$30="","A10",ADDRESS(13+(MATCH(Main!$E$30,Data_Sheet!$A$14:$A$903,0)),1,4))</f>
        <v>A10</v>
      </c>
    </row>
    <row r="2" spans="1:16" x14ac:dyDescent="0.2">
      <c r="B2" s="162">
        <f>Main!$D$19</f>
        <v>0</v>
      </c>
      <c r="C2" s="156">
        <f>$B$1+$B$2</f>
        <v>0</v>
      </c>
      <c r="D2" s="156">
        <f>(Main!$D$19)/2</f>
        <v>0</v>
      </c>
      <c r="E2" s="162">
        <f>B1+D2</f>
        <v>0</v>
      </c>
      <c r="I2" s="111" t="s">
        <v>575</v>
      </c>
      <c r="M2" s="677" t="s">
        <v>134</v>
      </c>
      <c r="N2" s="677"/>
      <c r="O2" s="677"/>
      <c r="P2" s="156"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f>Main!D5</f>
        <v>0</v>
      </c>
      <c r="M5" s="678" t="s">
        <v>222</v>
      </c>
      <c r="N5" s="679"/>
      <c r="O5" s="680"/>
    </row>
    <row r="6" spans="1:16" ht="13.5" thickBot="1" x14ac:dyDescent="0.25">
      <c r="B6" s="159" t="s">
        <v>7</v>
      </c>
      <c r="C6" s="89">
        <f>Main!D6</f>
        <v>0</v>
      </c>
      <c r="D6" s="44"/>
      <c r="E6" s="44"/>
      <c r="F6" s="44"/>
      <c r="G6" s="44"/>
      <c r="H6" s="44"/>
      <c r="I6" s="86" t="s">
        <v>10</v>
      </c>
      <c r="J6" s="46">
        <f>Main!D16</f>
        <v>0</v>
      </c>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I8" s="91"/>
      <c r="J8" s="168"/>
      <c r="K8" s="168"/>
      <c r="L8" s="144"/>
      <c r="M8" s="169"/>
      <c r="N8" s="169"/>
      <c r="O8" s="169"/>
    </row>
    <row r="9" spans="1:16" x14ac:dyDescent="0.2">
      <c r="B9" s="159"/>
      <c r="C9" s="89"/>
      <c r="D9" s="44"/>
      <c r="E9" s="44"/>
      <c r="F9" s="44"/>
      <c r="G9" s="44"/>
      <c r="I9" s="172" t="str">
        <f>IF(Main!K15="SIM Load Hot",Main!N59,"")</f>
        <v/>
      </c>
      <c r="J9" s="170"/>
      <c r="K9" s="168"/>
      <c r="L9" s="144"/>
      <c r="M9" s="169"/>
      <c r="N9" s="169"/>
      <c r="O9" s="169"/>
    </row>
    <row r="10" spans="1:16" s="96" customFormat="1" x14ac:dyDescent="0.2">
      <c r="A10" s="145"/>
      <c r="B10" s="160"/>
      <c r="I10" s="172" t="str">
        <f>IF(AND(Main!E60 &lt;&gt; "", Main!K60 &lt;&gt;""),Main!N60,IF(AND(Main!E61&lt;&gt;"",Main!K61&lt;&gt;""),Main!N61,""))</f>
        <v/>
      </c>
    </row>
    <row r="11" spans="1:16" s="96" customFormat="1" x14ac:dyDescent="0.2">
      <c r="A11" s="145"/>
      <c r="B11" s="160"/>
      <c r="I11" s="172"/>
    </row>
    <row r="12" spans="1:16" s="96" customFormat="1" x14ac:dyDescent="0.2">
      <c r="A12" s="145"/>
      <c r="B12" s="144">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96" customFormat="1" x14ac:dyDescent="0.2">
      <c r="A13" s="145"/>
      <c r="B13" s="144"/>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96" customFormat="1" x14ac:dyDescent="0.2">
      <c r="A14" s="145" t="str" cm="1">
        <f t="array" ref="A14:A903">TEXT(B14:B903, "h:mm")</f>
        <v/>
      </c>
      <c r="B14" s="144" t="str">
        <f>IFERROR(TIMEVALUE(DaqBook_RAW_Data!Q4),IFERROR(TIMEVALUE(DaqBook_RAW_Data!A4),""))</f>
        <v/>
      </c>
      <c r="C14" s="167" t="str" cm="1">
        <f t="array" ref="C14:P903">IF(DaqBook_RAW_Data!R4:AE893 = "", "", DaqBook_RAW_Data!R4:AE893)</f>
        <v/>
      </c>
      <c r="D14" s="167" t="str">
        <v/>
      </c>
      <c r="E14" s="167" t="str">
        <v/>
      </c>
      <c r="F14" s="167" t="str">
        <v/>
      </c>
      <c r="G14" s="167" t="str">
        <v/>
      </c>
      <c r="H14" s="167" t="str">
        <v/>
      </c>
      <c r="I14" s="167" t="str">
        <v/>
      </c>
      <c r="J14" s="167" t="str">
        <v/>
      </c>
      <c r="K14" s="167" t="str">
        <v/>
      </c>
      <c r="L14" s="167" t="str">
        <v/>
      </c>
      <c r="M14" s="167" t="str">
        <v/>
      </c>
      <c r="N14" s="167" t="str">
        <v/>
      </c>
      <c r="O14" s="167" t="str">
        <v/>
      </c>
      <c r="P14" s="167" t="str">
        <v/>
      </c>
    </row>
    <row r="15" spans="1:16" s="96" customFormat="1" x14ac:dyDescent="0.2">
      <c r="A15" s="145" t="str">
        <v/>
      </c>
      <c r="B15" s="144" t="str">
        <f>IFERROR(TIMEVALUE(DaqBook_RAW_Data!Q5),IFERROR(TIMEVALUE(DaqBook_RAW_Data!A5),""))</f>
        <v/>
      </c>
      <c r="C15" s="167" t="str">
        <v/>
      </c>
      <c r="D15" s="167" t="str">
        <v/>
      </c>
      <c r="E15" s="167" t="str">
        <v/>
      </c>
      <c r="F15" s="167" t="str">
        <v/>
      </c>
      <c r="G15" s="167" t="str">
        <v/>
      </c>
      <c r="H15" s="167" t="str">
        <v/>
      </c>
      <c r="I15" s="167" t="str">
        <v/>
      </c>
      <c r="J15" s="167" t="str">
        <v/>
      </c>
      <c r="K15" s="167" t="str">
        <v/>
      </c>
      <c r="L15" s="167" t="str">
        <v/>
      </c>
      <c r="M15" s="167" t="str">
        <v/>
      </c>
      <c r="N15" s="167" t="str">
        <v/>
      </c>
      <c r="O15" s="167" t="str">
        <v/>
      </c>
      <c r="P15" s="167" t="str">
        <v/>
      </c>
    </row>
    <row r="16" spans="1:16" s="96" customFormat="1" x14ac:dyDescent="0.2">
      <c r="A16" s="145" t="str">
        <v/>
      </c>
      <c r="B16" s="144" t="str">
        <f>IFERROR(TIMEVALUE(DaqBook_RAW_Data!Q6),IFERROR(TIMEVALUE(DaqBook_RAW_Data!A6),""))</f>
        <v/>
      </c>
      <c r="C16" s="167" t="str">
        <v/>
      </c>
      <c r="D16" s="167" t="str">
        <v/>
      </c>
      <c r="E16" s="167" t="str">
        <v/>
      </c>
      <c r="F16" s="167" t="str">
        <v/>
      </c>
      <c r="G16" s="167" t="str">
        <v/>
      </c>
      <c r="H16" s="167" t="str">
        <v/>
      </c>
      <c r="I16" s="167" t="str">
        <v/>
      </c>
      <c r="J16" s="167" t="str">
        <v/>
      </c>
      <c r="K16" s="167" t="str">
        <v/>
      </c>
      <c r="L16" s="167" t="str">
        <v/>
      </c>
      <c r="M16" s="167" t="str">
        <v/>
      </c>
      <c r="N16" s="167" t="str">
        <v/>
      </c>
      <c r="O16" s="167" t="str">
        <v/>
      </c>
      <c r="P16" s="167" t="str">
        <v/>
      </c>
    </row>
    <row r="17" spans="1:17" s="96" customFormat="1" x14ac:dyDescent="0.2">
      <c r="A17" s="145" t="str">
        <v/>
      </c>
      <c r="B17" s="144" t="str">
        <f>IFERROR(TIMEVALUE(DaqBook_RAW_Data!Q7),IFERROR(TIMEVALUE(DaqBook_RAW_Data!A7),""))</f>
        <v/>
      </c>
      <c r="C17" s="167" t="str">
        <v/>
      </c>
      <c r="D17" s="167" t="str">
        <v/>
      </c>
      <c r="E17" s="167" t="str">
        <v/>
      </c>
      <c r="F17" s="167" t="str">
        <v/>
      </c>
      <c r="G17" s="167" t="str">
        <v/>
      </c>
      <c r="H17" s="167" t="str">
        <v/>
      </c>
      <c r="I17" s="167" t="str">
        <v/>
      </c>
      <c r="J17" s="167" t="str">
        <v/>
      </c>
      <c r="K17" s="167" t="str">
        <v/>
      </c>
      <c r="L17" s="167" t="str">
        <v/>
      </c>
      <c r="M17" s="167" t="str">
        <v/>
      </c>
      <c r="N17" s="167" t="str">
        <v/>
      </c>
      <c r="O17" s="167" t="str">
        <v/>
      </c>
      <c r="P17" s="167" t="str">
        <v/>
      </c>
    </row>
    <row r="18" spans="1:17" s="96" customFormat="1" x14ac:dyDescent="0.2">
      <c r="A18" s="145" t="str">
        <v/>
      </c>
      <c r="B18" s="144" t="str">
        <f>IFERROR(TIMEVALUE(DaqBook_RAW_Data!Q8),IFERROR(TIMEVALUE(DaqBook_RAW_Data!A8),""))</f>
        <v/>
      </c>
      <c r="C18" s="167" t="str">
        <v/>
      </c>
      <c r="D18" s="167" t="str">
        <v/>
      </c>
      <c r="E18" s="167" t="str">
        <v/>
      </c>
      <c r="F18" s="167" t="str">
        <v/>
      </c>
      <c r="G18" s="167" t="str">
        <v/>
      </c>
      <c r="H18" s="167" t="str">
        <v/>
      </c>
      <c r="I18" s="167" t="str">
        <v/>
      </c>
      <c r="J18" s="167" t="str">
        <v/>
      </c>
      <c r="K18" s="167" t="str">
        <v/>
      </c>
      <c r="L18" s="167" t="str">
        <v/>
      </c>
      <c r="M18" s="167" t="str">
        <v/>
      </c>
      <c r="N18" s="167" t="str">
        <v/>
      </c>
      <c r="O18" s="167" t="str">
        <v/>
      </c>
      <c r="P18" s="167" t="str">
        <v/>
      </c>
    </row>
    <row r="19" spans="1:17" s="96" customFormat="1" x14ac:dyDescent="0.2">
      <c r="A19" s="145" t="str">
        <v/>
      </c>
      <c r="B19" s="144" t="str">
        <f>IFERROR(TIMEVALUE(DaqBook_RAW_Data!Q9),IFERROR(TIMEVALUE(DaqBook_RAW_Data!A9),""))</f>
        <v/>
      </c>
      <c r="C19" s="167" t="str">
        <v/>
      </c>
      <c r="D19" s="167" t="str">
        <v/>
      </c>
      <c r="E19" s="167" t="str">
        <v/>
      </c>
      <c r="F19" s="167" t="str">
        <v/>
      </c>
      <c r="G19" s="167" t="str">
        <v/>
      </c>
      <c r="H19" s="167" t="str">
        <v/>
      </c>
      <c r="I19" s="167" t="str">
        <v/>
      </c>
      <c r="J19" s="167" t="str">
        <v/>
      </c>
      <c r="K19" s="167" t="str">
        <v/>
      </c>
      <c r="L19" s="167" t="str">
        <v/>
      </c>
      <c r="M19" s="167" t="str">
        <v/>
      </c>
      <c r="N19" s="167" t="str">
        <v/>
      </c>
      <c r="O19" s="167" t="str">
        <v/>
      </c>
      <c r="P19" s="167" t="str">
        <v/>
      </c>
    </row>
    <row r="20" spans="1:17" s="96" customFormat="1" x14ac:dyDescent="0.2">
      <c r="A20" s="145" t="str">
        <v/>
      </c>
      <c r="B20" s="144" t="str">
        <f>IFERROR(TIMEVALUE(DaqBook_RAW_Data!Q10),IFERROR(TIMEVALUE(DaqBook_RAW_Data!A10),""))</f>
        <v/>
      </c>
      <c r="C20" s="167" t="str">
        <v/>
      </c>
      <c r="D20" s="167" t="str">
        <v/>
      </c>
      <c r="E20" s="167" t="str">
        <v/>
      </c>
      <c r="F20" s="167" t="str">
        <v/>
      </c>
      <c r="G20" s="167" t="str">
        <v/>
      </c>
      <c r="H20" s="167" t="str">
        <v/>
      </c>
      <c r="I20" s="167" t="str">
        <v/>
      </c>
      <c r="J20" s="167" t="str">
        <v/>
      </c>
      <c r="K20" s="167" t="str">
        <v/>
      </c>
      <c r="L20" s="167" t="str">
        <v/>
      </c>
      <c r="M20" s="167" t="str">
        <v/>
      </c>
      <c r="N20" s="167" t="str">
        <v/>
      </c>
      <c r="O20" s="167" t="str">
        <v/>
      </c>
      <c r="P20" s="167" t="str">
        <v/>
      </c>
    </row>
    <row r="21" spans="1:17" s="96" customFormat="1" x14ac:dyDescent="0.2">
      <c r="A21" s="145" t="str">
        <v/>
      </c>
      <c r="B21" s="144" t="str">
        <f>IFERROR(TIMEVALUE(DaqBook_RAW_Data!Q11),IFERROR(TIMEVALUE(DaqBook_RAW_Data!A11),""))</f>
        <v/>
      </c>
      <c r="C21" s="167" t="str">
        <v/>
      </c>
      <c r="D21" s="167" t="str">
        <v/>
      </c>
      <c r="E21" s="167" t="str">
        <v/>
      </c>
      <c r="F21" s="167" t="str">
        <v/>
      </c>
      <c r="G21" s="167" t="str">
        <v/>
      </c>
      <c r="H21" s="167" t="str">
        <v/>
      </c>
      <c r="I21" s="167" t="str">
        <v/>
      </c>
      <c r="J21" s="167" t="str">
        <v/>
      </c>
      <c r="K21" s="167" t="str">
        <v/>
      </c>
      <c r="L21" s="167" t="str">
        <v/>
      </c>
      <c r="M21" s="167" t="str">
        <v/>
      </c>
      <c r="N21" s="167" t="str">
        <v/>
      </c>
      <c r="O21" s="167" t="str">
        <v/>
      </c>
      <c r="P21" s="167" t="str">
        <v/>
      </c>
    </row>
    <row r="22" spans="1:17" s="96" customFormat="1" x14ac:dyDescent="0.2">
      <c r="A22" s="145" t="str">
        <v/>
      </c>
      <c r="B22" s="144" t="str">
        <f>IFERROR(TIMEVALUE(DaqBook_RAW_Data!Q12),IFERROR(TIMEVALUE(DaqBook_RAW_Data!A12),""))</f>
        <v/>
      </c>
      <c r="C22" s="167" t="str">
        <v/>
      </c>
      <c r="D22" s="167" t="str">
        <v/>
      </c>
      <c r="E22" s="167" t="str">
        <v/>
      </c>
      <c r="F22" s="167" t="str">
        <v/>
      </c>
      <c r="G22" s="167" t="str">
        <v/>
      </c>
      <c r="H22" s="167" t="str">
        <v/>
      </c>
      <c r="I22" s="167" t="str">
        <v/>
      </c>
      <c r="J22" s="167" t="str">
        <v/>
      </c>
      <c r="K22" s="167" t="str">
        <v/>
      </c>
      <c r="L22" s="167" t="str">
        <v/>
      </c>
      <c r="M22" s="167" t="str">
        <v/>
      </c>
      <c r="N22" s="167" t="str">
        <v/>
      </c>
      <c r="O22" s="167" t="str">
        <v/>
      </c>
      <c r="P22" s="167" t="str">
        <v/>
      </c>
    </row>
    <row r="23" spans="1:17" s="96" customFormat="1" x14ac:dyDescent="0.2">
      <c r="A23" s="145" t="str">
        <v/>
      </c>
      <c r="B23" s="144" t="str">
        <f>IFERROR(TIMEVALUE(DaqBook_RAW_Data!Q13),IFERROR(TIMEVALUE(DaqBook_RAW_Data!A13),""))</f>
        <v/>
      </c>
      <c r="C23" s="167" t="str">
        <v/>
      </c>
      <c r="D23" s="167" t="str">
        <v/>
      </c>
      <c r="E23" s="167" t="str">
        <v/>
      </c>
      <c r="F23" s="167" t="str">
        <v/>
      </c>
      <c r="G23" s="167" t="str">
        <v/>
      </c>
      <c r="H23" s="167" t="str">
        <v/>
      </c>
      <c r="I23" s="167" t="str">
        <v/>
      </c>
      <c r="J23" s="167" t="str">
        <v/>
      </c>
      <c r="K23" s="167" t="str">
        <v/>
      </c>
      <c r="L23" s="167" t="str">
        <v/>
      </c>
      <c r="M23" s="167" t="str">
        <v/>
      </c>
      <c r="N23" s="167" t="str">
        <v/>
      </c>
      <c r="O23" s="167" t="str">
        <v/>
      </c>
      <c r="P23" s="167" t="str">
        <v/>
      </c>
    </row>
    <row r="24" spans="1:17" s="96" customFormat="1" x14ac:dyDescent="0.2">
      <c r="A24" s="145" t="str">
        <v/>
      </c>
      <c r="B24" s="144" t="str">
        <f>IFERROR(TIMEVALUE(DaqBook_RAW_Data!Q14),IFERROR(TIMEVALUE(DaqBook_RAW_Data!A14),""))</f>
        <v/>
      </c>
      <c r="C24" s="167" t="str">
        <v/>
      </c>
      <c r="D24" s="167" t="str">
        <v/>
      </c>
      <c r="E24" s="167" t="str">
        <v/>
      </c>
      <c r="F24" s="167" t="str">
        <v/>
      </c>
      <c r="G24" s="167" t="str">
        <v/>
      </c>
      <c r="H24" s="167" t="str">
        <v/>
      </c>
      <c r="I24" s="167" t="str">
        <v/>
      </c>
      <c r="J24" s="167" t="str">
        <v/>
      </c>
      <c r="K24" s="167" t="str">
        <v/>
      </c>
      <c r="L24" s="167" t="str">
        <v/>
      </c>
      <c r="M24" s="167" t="str">
        <v/>
      </c>
      <c r="N24" s="167" t="str">
        <v/>
      </c>
      <c r="O24" s="167" t="str">
        <v/>
      </c>
      <c r="P24" s="167" t="str">
        <v/>
      </c>
    </row>
    <row r="25" spans="1:17" s="96" customFormat="1" x14ac:dyDescent="0.2">
      <c r="A25" s="145" t="str">
        <v/>
      </c>
      <c r="B25" s="144" t="str">
        <f>IFERROR(TIMEVALUE(DaqBook_RAW_Data!Q15),IFERROR(TIMEVALUE(DaqBook_RAW_Data!A15),""))</f>
        <v/>
      </c>
      <c r="C25" s="167" t="str">
        <v/>
      </c>
      <c r="D25" s="167" t="str">
        <v/>
      </c>
      <c r="E25" s="167" t="str">
        <v/>
      </c>
      <c r="F25" s="167" t="str">
        <v/>
      </c>
      <c r="G25" s="167" t="str">
        <v/>
      </c>
      <c r="H25" s="167" t="str">
        <v/>
      </c>
      <c r="I25" s="167" t="str">
        <v/>
      </c>
      <c r="J25" s="167" t="str">
        <v/>
      </c>
      <c r="K25" s="167" t="str">
        <v/>
      </c>
      <c r="L25" s="167" t="str">
        <v/>
      </c>
      <c r="M25" s="167" t="str">
        <v/>
      </c>
      <c r="N25" s="167" t="str">
        <v/>
      </c>
      <c r="O25" s="167" t="str">
        <v/>
      </c>
      <c r="P25" s="167" t="str">
        <v/>
      </c>
    </row>
    <row r="26" spans="1:17" s="96" customFormat="1" x14ac:dyDescent="0.2">
      <c r="A26" s="145" t="str">
        <v/>
      </c>
      <c r="B26" s="144" t="str">
        <f>IFERROR(TIMEVALUE(DaqBook_RAW_Data!Q16),IFERROR(TIMEVALUE(DaqBook_RAW_Data!A16),""))</f>
        <v/>
      </c>
      <c r="C26" s="167" t="str">
        <v/>
      </c>
      <c r="D26" s="167" t="str">
        <v/>
      </c>
      <c r="E26" s="167" t="str">
        <v/>
      </c>
      <c r="F26" s="167" t="str">
        <v/>
      </c>
      <c r="G26" s="167" t="str">
        <v/>
      </c>
      <c r="H26" s="167" t="str">
        <v/>
      </c>
      <c r="I26" s="167" t="str">
        <v/>
      </c>
      <c r="J26" s="167" t="str">
        <v/>
      </c>
      <c r="K26" s="167" t="str">
        <v/>
      </c>
      <c r="L26" s="167" t="str">
        <v/>
      </c>
      <c r="M26" s="167" t="str">
        <v/>
      </c>
      <c r="N26" s="167" t="str">
        <v/>
      </c>
      <c r="O26" s="167" t="str">
        <v/>
      </c>
      <c r="P26" s="167" t="str">
        <v/>
      </c>
    </row>
    <row r="27" spans="1:17" s="96" customFormat="1" x14ac:dyDescent="0.2">
      <c r="A27" s="145" t="str">
        <v/>
      </c>
      <c r="B27" s="144" t="str">
        <f>IFERROR(TIMEVALUE(DaqBook_RAW_Data!Q17),IFERROR(TIMEVALUE(DaqBook_RAW_Data!A17),""))</f>
        <v/>
      </c>
      <c r="C27" s="167" t="str">
        <v/>
      </c>
      <c r="D27" s="167" t="str">
        <v/>
      </c>
      <c r="E27" s="167" t="str">
        <v/>
      </c>
      <c r="F27" s="167" t="str">
        <v/>
      </c>
      <c r="G27" s="167" t="str">
        <v/>
      </c>
      <c r="H27" s="167" t="str">
        <v/>
      </c>
      <c r="I27" s="167" t="str">
        <v/>
      </c>
      <c r="J27" s="167" t="str">
        <v/>
      </c>
      <c r="K27" s="167" t="str">
        <v/>
      </c>
      <c r="L27" s="167" t="str">
        <v/>
      </c>
      <c r="M27" s="167" t="str">
        <v/>
      </c>
      <c r="N27" s="167" t="str">
        <v/>
      </c>
      <c r="O27" s="167" t="str">
        <v/>
      </c>
      <c r="P27" s="167" t="str">
        <v/>
      </c>
      <c r="Q27" s="146"/>
    </row>
    <row r="28" spans="1:17" s="96" customFormat="1" x14ac:dyDescent="0.2">
      <c r="A28" s="145" t="str">
        <v/>
      </c>
      <c r="B28" s="144" t="str">
        <f>IFERROR(TIMEVALUE(DaqBook_RAW_Data!Q18),IFERROR(TIMEVALUE(DaqBook_RAW_Data!A18),""))</f>
        <v/>
      </c>
      <c r="C28" s="167" t="str">
        <v/>
      </c>
      <c r="D28" s="167" t="str">
        <v/>
      </c>
      <c r="E28" s="167" t="str">
        <v/>
      </c>
      <c r="F28" s="167" t="str">
        <v/>
      </c>
      <c r="G28" s="167" t="str">
        <v/>
      </c>
      <c r="H28" s="167" t="str">
        <v/>
      </c>
      <c r="I28" s="167" t="str">
        <v/>
      </c>
      <c r="J28" s="167" t="str">
        <v/>
      </c>
      <c r="K28" s="167" t="str">
        <v/>
      </c>
      <c r="L28" s="167" t="str">
        <v/>
      </c>
      <c r="M28" s="167" t="str">
        <v/>
      </c>
      <c r="N28" s="167" t="str">
        <v/>
      </c>
      <c r="O28" s="167" t="str">
        <v/>
      </c>
      <c r="P28" s="167" t="str">
        <v/>
      </c>
    </row>
    <row r="29" spans="1:17" s="96" customFormat="1" x14ac:dyDescent="0.2">
      <c r="A29" s="145" t="str">
        <v/>
      </c>
      <c r="B29" s="144" t="str">
        <f>IFERROR(TIMEVALUE(DaqBook_RAW_Data!Q19),IFERROR(TIMEVALUE(DaqBook_RAW_Data!A19),""))</f>
        <v/>
      </c>
      <c r="C29" s="167" t="str">
        <v/>
      </c>
      <c r="D29" s="167" t="str">
        <v/>
      </c>
      <c r="E29" s="167" t="str">
        <v/>
      </c>
      <c r="F29" s="167" t="str">
        <v/>
      </c>
      <c r="G29" s="167" t="str">
        <v/>
      </c>
      <c r="H29" s="167" t="str">
        <v/>
      </c>
      <c r="I29" s="167" t="str">
        <v/>
      </c>
      <c r="J29" s="167" t="str">
        <v/>
      </c>
      <c r="K29" s="167" t="str">
        <v/>
      </c>
      <c r="L29" s="167" t="str">
        <v/>
      </c>
      <c r="M29" s="167" t="str">
        <v/>
      </c>
      <c r="N29" s="167" t="str">
        <v/>
      </c>
      <c r="O29" s="167" t="str">
        <v/>
      </c>
      <c r="P29" s="167" t="str">
        <v/>
      </c>
    </row>
    <row r="30" spans="1:17" s="96" customFormat="1" x14ac:dyDescent="0.2">
      <c r="A30" s="145" t="str">
        <v/>
      </c>
      <c r="B30" s="144" t="str">
        <f>IFERROR(TIMEVALUE(DaqBook_RAW_Data!Q20),IFERROR(TIMEVALUE(DaqBook_RAW_Data!A20),""))</f>
        <v/>
      </c>
      <c r="C30" s="167" t="str">
        <v/>
      </c>
      <c r="D30" s="167" t="str">
        <v/>
      </c>
      <c r="E30" s="167" t="str">
        <v/>
      </c>
      <c r="F30" s="167" t="str">
        <v/>
      </c>
      <c r="G30" s="167" t="str">
        <v/>
      </c>
      <c r="H30" s="167" t="str">
        <v/>
      </c>
      <c r="I30" s="167" t="str">
        <v/>
      </c>
      <c r="J30" s="167" t="str">
        <v/>
      </c>
      <c r="K30" s="167" t="str">
        <v/>
      </c>
      <c r="L30" s="167" t="str">
        <v/>
      </c>
      <c r="M30" s="167" t="str">
        <v/>
      </c>
      <c r="N30" s="167" t="str">
        <v/>
      </c>
      <c r="O30" s="167" t="str">
        <v/>
      </c>
      <c r="P30" s="167" t="str">
        <v/>
      </c>
    </row>
    <row r="31" spans="1:17" s="96" customFormat="1" x14ac:dyDescent="0.2">
      <c r="A31" s="145" t="str">
        <v/>
      </c>
      <c r="B31" s="144" t="str">
        <f>IFERROR(TIMEVALUE(DaqBook_RAW_Data!Q21),IFERROR(TIMEVALUE(DaqBook_RAW_Data!A21),""))</f>
        <v/>
      </c>
      <c r="C31" s="167" t="str">
        <v/>
      </c>
      <c r="D31" s="167" t="str">
        <v/>
      </c>
      <c r="E31" s="167" t="str">
        <v/>
      </c>
      <c r="F31" s="167" t="str">
        <v/>
      </c>
      <c r="G31" s="167" t="str">
        <v/>
      </c>
      <c r="H31" s="167" t="str">
        <v/>
      </c>
      <c r="I31" s="167" t="str">
        <v/>
      </c>
      <c r="J31" s="167" t="str">
        <v/>
      </c>
      <c r="K31" s="167" t="str">
        <v/>
      </c>
      <c r="L31" s="167" t="str">
        <v/>
      </c>
      <c r="M31" s="167" t="str">
        <v/>
      </c>
      <c r="N31" s="167" t="str">
        <v/>
      </c>
      <c r="O31" s="167" t="str">
        <v/>
      </c>
      <c r="P31" s="167" t="str">
        <v/>
      </c>
    </row>
    <row r="32" spans="1:17" s="96" customFormat="1" x14ac:dyDescent="0.2">
      <c r="A32" s="145" t="str">
        <v/>
      </c>
      <c r="B32" s="144" t="str">
        <f>IFERROR(TIMEVALUE(DaqBook_RAW_Data!Q22),IFERROR(TIMEVALUE(DaqBook_RAW_Data!A22),""))</f>
        <v/>
      </c>
      <c r="C32" s="167" t="str">
        <v/>
      </c>
      <c r="D32" s="167" t="str">
        <v/>
      </c>
      <c r="E32" s="167" t="str">
        <v/>
      </c>
      <c r="F32" s="167" t="str">
        <v/>
      </c>
      <c r="G32" s="167" t="str">
        <v/>
      </c>
      <c r="H32" s="167" t="str">
        <v/>
      </c>
      <c r="I32" s="167" t="str">
        <v/>
      </c>
      <c r="J32" s="167" t="str">
        <v/>
      </c>
      <c r="K32" s="167" t="str">
        <v/>
      </c>
      <c r="L32" s="167" t="str">
        <v/>
      </c>
      <c r="M32" s="167" t="str">
        <v/>
      </c>
      <c r="N32" s="167" t="str">
        <v/>
      </c>
      <c r="O32" s="167" t="str">
        <v/>
      </c>
      <c r="P32" s="167" t="str">
        <v/>
      </c>
    </row>
    <row r="33" spans="1:16" s="96" customFormat="1" x14ac:dyDescent="0.2">
      <c r="A33" s="145" t="str">
        <v/>
      </c>
      <c r="B33" s="144" t="str">
        <f>IFERROR(TIMEVALUE(DaqBook_RAW_Data!Q23),IFERROR(TIMEVALUE(DaqBook_RAW_Data!A23),""))</f>
        <v/>
      </c>
      <c r="C33" s="167" t="str">
        <v/>
      </c>
      <c r="D33" s="167" t="str">
        <v/>
      </c>
      <c r="E33" s="167" t="str">
        <v/>
      </c>
      <c r="F33" s="167" t="str">
        <v/>
      </c>
      <c r="G33" s="167" t="str">
        <v/>
      </c>
      <c r="H33" s="167" t="str">
        <v/>
      </c>
      <c r="I33" s="167" t="str">
        <v/>
      </c>
      <c r="J33" s="167" t="str">
        <v/>
      </c>
      <c r="K33" s="167" t="str">
        <v/>
      </c>
      <c r="L33" s="167" t="str">
        <v/>
      </c>
      <c r="M33" s="167" t="str">
        <v/>
      </c>
      <c r="N33" s="167" t="str">
        <v/>
      </c>
      <c r="O33" s="167" t="str">
        <v/>
      </c>
      <c r="P33" s="167" t="str">
        <v/>
      </c>
    </row>
    <row r="34" spans="1:16" s="96" customFormat="1" x14ac:dyDescent="0.2">
      <c r="A34" s="145" t="str">
        <v/>
      </c>
      <c r="B34" s="144" t="str">
        <f>IFERROR(TIMEVALUE(DaqBook_RAW_Data!Q24),IFERROR(TIMEVALUE(DaqBook_RAW_Data!A24),""))</f>
        <v/>
      </c>
      <c r="C34" s="167" t="str">
        <v/>
      </c>
      <c r="D34" s="167" t="str">
        <v/>
      </c>
      <c r="E34" s="167" t="str">
        <v/>
      </c>
      <c r="F34" s="167" t="str">
        <v/>
      </c>
      <c r="G34" s="167" t="str">
        <v/>
      </c>
      <c r="H34" s="167" t="str">
        <v/>
      </c>
      <c r="I34" s="167" t="str">
        <v/>
      </c>
      <c r="J34" s="167" t="str">
        <v/>
      </c>
      <c r="K34" s="167" t="str">
        <v/>
      </c>
      <c r="L34" s="167" t="str">
        <v/>
      </c>
      <c r="M34" s="167" t="str">
        <v/>
      </c>
      <c r="N34" s="167" t="str">
        <v/>
      </c>
      <c r="O34" s="167" t="str">
        <v/>
      </c>
      <c r="P34" s="167" t="str">
        <v/>
      </c>
    </row>
    <row r="35" spans="1:16" s="96" customFormat="1" x14ac:dyDescent="0.2">
      <c r="A35" s="145" t="str">
        <v/>
      </c>
      <c r="B35" s="144" t="str">
        <f>IFERROR(TIMEVALUE(DaqBook_RAW_Data!Q25),IFERROR(TIMEVALUE(DaqBook_RAW_Data!A25),""))</f>
        <v/>
      </c>
      <c r="C35" s="167" t="str">
        <v/>
      </c>
      <c r="D35" s="167" t="str">
        <v/>
      </c>
      <c r="E35" s="167" t="str">
        <v/>
      </c>
      <c r="F35" s="167" t="str">
        <v/>
      </c>
      <c r="G35" s="167" t="str">
        <v/>
      </c>
      <c r="H35" s="167" t="str">
        <v/>
      </c>
      <c r="I35" s="167" t="str">
        <v/>
      </c>
      <c r="J35" s="167" t="str">
        <v/>
      </c>
      <c r="K35" s="167" t="str">
        <v/>
      </c>
      <c r="L35" s="167" t="str">
        <v/>
      </c>
      <c r="M35" s="167" t="str">
        <v/>
      </c>
      <c r="N35" s="167" t="str">
        <v/>
      </c>
      <c r="O35" s="167" t="str">
        <v/>
      </c>
      <c r="P35" s="167" t="str">
        <v/>
      </c>
    </row>
    <row r="36" spans="1:16" s="96" customFormat="1" x14ac:dyDescent="0.2">
      <c r="A36" s="145" t="str">
        <v/>
      </c>
      <c r="B36" s="144" t="str">
        <f>IFERROR(TIMEVALUE(DaqBook_RAW_Data!Q26),IFERROR(TIMEVALUE(DaqBook_RAW_Data!A26),""))</f>
        <v/>
      </c>
      <c r="C36" s="167" t="str">
        <v/>
      </c>
      <c r="D36" s="167" t="str">
        <v/>
      </c>
      <c r="E36" s="167" t="str">
        <v/>
      </c>
      <c r="F36" s="167" t="str">
        <v/>
      </c>
      <c r="G36" s="167" t="str">
        <v/>
      </c>
      <c r="H36" s="167" t="str">
        <v/>
      </c>
      <c r="I36" s="167" t="str">
        <v/>
      </c>
      <c r="J36" s="167" t="str">
        <v/>
      </c>
      <c r="K36" s="167" t="str">
        <v/>
      </c>
      <c r="L36" s="167" t="str">
        <v/>
      </c>
      <c r="M36" s="167" t="str">
        <v/>
      </c>
      <c r="N36" s="167" t="str">
        <v/>
      </c>
      <c r="O36" s="167" t="str">
        <v/>
      </c>
      <c r="P36" s="167" t="str">
        <v/>
      </c>
    </row>
    <row r="37" spans="1:16" s="96" customFormat="1" x14ac:dyDescent="0.2">
      <c r="A37" s="145" t="str">
        <v/>
      </c>
      <c r="B37" s="144" t="str">
        <f>IFERROR(TIMEVALUE(DaqBook_RAW_Data!Q27),IFERROR(TIMEVALUE(DaqBook_RAW_Data!A27),""))</f>
        <v/>
      </c>
      <c r="C37" s="167" t="str">
        <v/>
      </c>
      <c r="D37" s="167" t="str">
        <v/>
      </c>
      <c r="E37" s="167" t="str">
        <v/>
      </c>
      <c r="F37" s="167" t="str">
        <v/>
      </c>
      <c r="G37" s="167" t="str">
        <v/>
      </c>
      <c r="H37" s="167" t="str">
        <v/>
      </c>
      <c r="I37" s="167" t="str">
        <v/>
      </c>
      <c r="J37" s="167" t="str">
        <v/>
      </c>
      <c r="K37" s="167" t="str">
        <v/>
      </c>
      <c r="L37" s="167" t="str">
        <v/>
      </c>
      <c r="M37" s="167" t="str">
        <v/>
      </c>
      <c r="N37" s="167" t="str">
        <v/>
      </c>
      <c r="O37" s="167" t="str">
        <v/>
      </c>
      <c r="P37" s="167" t="str">
        <v/>
      </c>
    </row>
    <row r="38" spans="1:16" s="96" customFormat="1" x14ac:dyDescent="0.2">
      <c r="A38" s="145" t="str">
        <v/>
      </c>
      <c r="B38" s="144" t="str">
        <f>IFERROR(TIMEVALUE(DaqBook_RAW_Data!Q28),IFERROR(TIMEVALUE(DaqBook_RAW_Data!A28),""))</f>
        <v/>
      </c>
      <c r="C38" s="167" t="str">
        <v/>
      </c>
      <c r="D38" s="167" t="str">
        <v/>
      </c>
      <c r="E38" s="167" t="str">
        <v/>
      </c>
      <c r="F38" s="167" t="str">
        <v/>
      </c>
      <c r="G38" s="167" t="str">
        <v/>
      </c>
      <c r="H38" s="167" t="str">
        <v/>
      </c>
      <c r="I38" s="167" t="str">
        <v/>
      </c>
      <c r="J38" s="167" t="str">
        <v/>
      </c>
      <c r="K38" s="167" t="str">
        <v/>
      </c>
      <c r="L38" s="167" t="str">
        <v/>
      </c>
      <c r="M38" s="167" t="str">
        <v/>
      </c>
      <c r="N38" s="167" t="str">
        <v/>
      </c>
      <c r="O38" s="167" t="str">
        <v/>
      </c>
      <c r="P38" s="167" t="str">
        <v/>
      </c>
    </row>
    <row r="39" spans="1:16" s="96" customFormat="1" x14ac:dyDescent="0.2">
      <c r="A39" s="145" t="str">
        <v/>
      </c>
      <c r="B39" s="144" t="str">
        <f>IFERROR(TIMEVALUE(DaqBook_RAW_Data!Q29),IFERROR(TIMEVALUE(DaqBook_RAW_Data!A29),""))</f>
        <v/>
      </c>
      <c r="C39" s="167" t="str">
        <v/>
      </c>
      <c r="D39" s="167" t="str">
        <v/>
      </c>
      <c r="E39" s="167" t="str">
        <v/>
      </c>
      <c r="F39" s="167" t="str">
        <v/>
      </c>
      <c r="G39" s="167" t="str">
        <v/>
      </c>
      <c r="H39" s="167" t="str">
        <v/>
      </c>
      <c r="I39" s="167" t="str">
        <v/>
      </c>
      <c r="J39" s="167" t="str">
        <v/>
      </c>
      <c r="K39" s="167" t="str">
        <v/>
      </c>
      <c r="L39" s="167" t="str">
        <v/>
      </c>
      <c r="M39" s="167" t="str">
        <v/>
      </c>
      <c r="N39" s="167" t="str">
        <v/>
      </c>
      <c r="O39" s="167" t="str">
        <v/>
      </c>
      <c r="P39" s="167" t="str">
        <v/>
      </c>
    </row>
    <row r="40" spans="1:16" s="96" customFormat="1" x14ac:dyDescent="0.2">
      <c r="A40" s="145" t="str">
        <v/>
      </c>
      <c r="B40" s="144" t="str">
        <f>IFERROR(TIMEVALUE(DaqBook_RAW_Data!Q30),IFERROR(TIMEVALUE(DaqBook_RAW_Data!A30),""))</f>
        <v/>
      </c>
      <c r="C40" s="167" t="str">
        <v/>
      </c>
      <c r="D40" s="167" t="str">
        <v/>
      </c>
      <c r="E40" s="167" t="str">
        <v/>
      </c>
      <c r="F40" s="167" t="str">
        <v/>
      </c>
      <c r="G40" s="167" t="str">
        <v/>
      </c>
      <c r="H40" s="167" t="str">
        <v/>
      </c>
      <c r="I40" s="167" t="str">
        <v/>
      </c>
      <c r="J40" s="167" t="str">
        <v/>
      </c>
      <c r="K40" s="167" t="str">
        <v/>
      </c>
      <c r="L40" s="167" t="str">
        <v/>
      </c>
      <c r="M40" s="167" t="str">
        <v/>
      </c>
      <c r="N40" s="167" t="str">
        <v/>
      </c>
      <c r="O40" s="167" t="str">
        <v/>
      </c>
      <c r="P40" s="167" t="str">
        <v/>
      </c>
    </row>
    <row r="41" spans="1:16" s="96" customFormat="1" x14ac:dyDescent="0.2">
      <c r="A41" s="145" t="str">
        <v/>
      </c>
      <c r="B41" s="144" t="str">
        <f>IFERROR(TIMEVALUE(DaqBook_RAW_Data!Q31),IFERROR(TIMEVALUE(DaqBook_RAW_Data!A31),""))</f>
        <v/>
      </c>
      <c r="C41" s="167" t="str">
        <v/>
      </c>
      <c r="D41" s="167" t="str">
        <v/>
      </c>
      <c r="E41" s="167" t="str">
        <v/>
      </c>
      <c r="F41" s="167" t="str">
        <v/>
      </c>
      <c r="G41" s="167" t="str">
        <v/>
      </c>
      <c r="H41" s="167" t="str">
        <v/>
      </c>
      <c r="I41" s="167" t="str">
        <v/>
      </c>
      <c r="J41" s="167" t="str">
        <v/>
      </c>
      <c r="K41" s="167" t="str">
        <v/>
      </c>
      <c r="L41" s="167" t="str">
        <v/>
      </c>
      <c r="M41" s="167" t="str">
        <v/>
      </c>
      <c r="N41" s="167" t="str">
        <v/>
      </c>
      <c r="O41" s="167" t="str">
        <v/>
      </c>
      <c r="P41" s="167" t="str">
        <v/>
      </c>
    </row>
    <row r="42" spans="1:16" s="96" customFormat="1" x14ac:dyDescent="0.2">
      <c r="A42" s="145" t="str">
        <v/>
      </c>
      <c r="B42" s="144" t="str">
        <f>IFERROR(TIMEVALUE(DaqBook_RAW_Data!Q32),IFERROR(TIMEVALUE(DaqBook_RAW_Data!A32),""))</f>
        <v/>
      </c>
      <c r="C42" s="167" t="str">
        <v/>
      </c>
      <c r="D42" s="167" t="str">
        <v/>
      </c>
      <c r="E42" s="167" t="str">
        <v/>
      </c>
      <c r="F42" s="167" t="str">
        <v/>
      </c>
      <c r="G42" s="167" t="str">
        <v/>
      </c>
      <c r="H42" s="167" t="str">
        <v/>
      </c>
      <c r="I42" s="167" t="str">
        <v/>
      </c>
      <c r="J42" s="167" t="str">
        <v/>
      </c>
      <c r="K42" s="167" t="str">
        <v/>
      </c>
      <c r="L42" s="167" t="str">
        <v/>
      </c>
      <c r="M42" s="167" t="str">
        <v/>
      </c>
      <c r="N42" s="167" t="str">
        <v/>
      </c>
      <c r="O42" s="167" t="str">
        <v/>
      </c>
      <c r="P42" s="167" t="str">
        <v/>
      </c>
    </row>
    <row r="43" spans="1:16" s="96" customFormat="1" x14ac:dyDescent="0.2">
      <c r="A43" s="145" t="str">
        <v/>
      </c>
      <c r="B43" s="144" t="str">
        <f>IFERROR(TIMEVALUE(DaqBook_RAW_Data!Q33),IFERROR(TIMEVALUE(DaqBook_RAW_Data!A33),""))</f>
        <v/>
      </c>
      <c r="C43" s="167" t="str">
        <v/>
      </c>
      <c r="D43" s="167" t="str">
        <v/>
      </c>
      <c r="E43" s="167" t="str">
        <v/>
      </c>
      <c r="F43" s="167" t="str">
        <v/>
      </c>
      <c r="G43" s="167" t="str">
        <v/>
      </c>
      <c r="H43" s="167" t="str">
        <v/>
      </c>
      <c r="I43" s="167" t="str">
        <v/>
      </c>
      <c r="J43" s="167" t="str">
        <v/>
      </c>
      <c r="K43" s="167" t="str">
        <v/>
      </c>
      <c r="L43" s="167" t="str">
        <v/>
      </c>
      <c r="M43" s="167" t="str">
        <v/>
      </c>
      <c r="N43" s="167" t="str">
        <v/>
      </c>
      <c r="O43" s="167" t="str">
        <v/>
      </c>
      <c r="P43" s="167" t="str">
        <v/>
      </c>
    </row>
    <row r="44" spans="1:16" s="96" customFormat="1" x14ac:dyDescent="0.2">
      <c r="A44" s="145" t="str">
        <v/>
      </c>
      <c r="B44" s="144" t="str">
        <f>IFERROR(TIMEVALUE(DaqBook_RAW_Data!Q34),IFERROR(TIMEVALUE(DaqBook_RAW_Data!A34),""))</f>
        <v/>
      </c>
      <c r="C44" s="167" t="str">
        <v/>
      </c>
      <c r="D44" s="167" t="str">
        <v/>
      </c>
      <c r="E44" s="167" t="str">
        <v/>
      </c>
      <c r="F44" s="167" t="str">
        <v/>
      </c>
      <c r="G44" s="167" t="str">
        <v/>
      </c>
      <c r="H44" s="167" t="str">
        <v/>
      </c>
      <c r="I44" s="167" t="str">
        <v/>
      </c>
      <c r="J44" s="167" t="str">
        <v/>
      </c>
      <c r="K44" s="167" t="str">
        <v/>
      </c>
      <c r="L44" s="167" t="str">
        <v/>
      </c>
      <c r="M44" s="167" t="str">
        <v/>
      </c>
      <c r="N44" s="167" t="str">
        <v/>
      </c>
      <c r="O44" s="167" t="str">
        <v/>
      </c>
      <c r="P44" s="167" t="str">
        <v/>
      </c>
    </row>
    <row r="45" spans="1:16" s="96" customFormat="1" x14ac:dyDescent="0.2">
      <c r="A45" s="145" t="str">
        <v/>
      </c>
      <c r="B45" s="144" t="str">
        <f>IFERROR(TIMEVALUE(DaqBook_RAW_Data!Q35),IFERROR(TIMEVALUE(DaqBook_RAW_Data!A35),""))</f>
        <v/>
      </c>
      <c r="C45" s="167" t="str">
        <v/>
      </c>
      <c r="D45" s="167" t="str">
        <v/>
      </c>
      <c r="E45" s="167" t="str">
        <v/>
      </c>
      <c r="F45" s="167" t="str">
        <v/>
      </c>
      <c r="G45" s="167" t="str">
        <v/>
      </c>
      <c r="H45" s="167" t="str">
        <v/>
      </c>
      <c r="I45" s="167" t="str">
        <v/>
      </c>
      <c r="J45" s="167" t="str">
        <v/>
      </c>
      <c r="K45" s="167" t="str">
        <v/>
      </c>
      <c r="L45" s="167" t="str">
        <v/>
      </c>
      <c r="M45" s="167" t="str">
        <v/>
      </c>
      <c r="N45" s="167" t="str">
        <v/>
      </c>
      <c r="O45" s="167" t="str">
        <v/>
      </c>
      <c r="P45" s="167" t="str">
        <v/>
      </c>
    </row>
    <row r="46" spans="1:16" s="96" customFormat="1" x14ac:dyDescent="0.2">
      <c r="A46" s="145" t="str">
        <v/>
      </c>
      <c r="B46" s="144" t="str">
        <f>IFERROR(TIMEVALUE(DaqBook_RAW_Data!Q36),IFERROR(TIMEVALUE(DaqBook_RAW_Data!A36),""))</f>
        <v/>
      </c>
      <c r="C46" s="167" t="str">
        <v/>
      </c>
      <c r="D46" s="167" t="str">
        <v/>
      </c>
      <c r="E46" s="167" t="str">
        <v/>
      </c>
      <c r="F46" s="167" t="str">
        <v/>
      </c>
      <c r="G46" s="167" t="str">
        <v/>
      </c>
      <c r="H46" s="167" t="str">
        <v/>
      </c>
      <c r="I46" s="167" t="str">
        <v/>
      </c>
      <c r="J46" s="167" t="str">
        <v/>
      </c>
      <c r="K46" s="167" t="str">
        <v/>
      </c>
      <c r="L46" s="167" t="str">
        <v/>
      </c>
      <c r="M46" s="167" t="str">
        <v/>
      </c>
      <c r="N46" s="167" t="str">
        <v/>
      </c>
      <c r="O46" s="167" t="str">
        <v/>
      </c>
      <c r="P46" s="167" t="str">
        <v/>
      </c>
    </row>
    <row r="47" spans="1:16" s="96" customFormat="1" x14ac:dyDescent="0.2">
      <c r="A47" s="145" t="str">
        <v/>
      </c>
      <c r="B47" s="144" t="str">
        <f>IFERROR(TIMEVALUE(DaqBook_RAW_Data!Q37),IFERROR(TIMEVALUE(DaqBook_RAW_Data!A37),""))</f>
        <v/>
      </c>
      <c r="C47" s="167" t="str">
        <v/>
      </c>
      <c r="D47" s="167" t="str">
        <v/>
      </c>
      <c r="E47" s="167" t="str">
        <v/>
      </c>
      <c r="F47" s="167" t="str">
        <v/>
      </c>
      <c r="G47" s="167" t="str">
        <v/>
      </c>
      <c r="H47" s="167" t="str">
        <v/>
      </c>
      <c r="I47" s="167" t="str">
        <v/>
      </c>
      <c r="J47" s="167" t="str">
        <v/>
      </c>
      <c r="K47" s="167" t="str">
        <v/>
      </c>
      <c r="L47" s="167" t="str">
        <v/>
      </c>
      <c r="M47" s="167" t="str">
        <v/>
      </c>
      <c r="N47" s="167" t="str">
        <v/>
      </c>
      <c r="O47" s="167" t="str">
        <v/>
      </c>
      <c r="P47" s="167" t="str">
        <v/>
      </c>
    </row>
    <row r="48" spans="1:16" s="96" customFormat="1" x14ac:dyDescent="0.2">
      <c r="A48" s="145" t="str">
        <v/>
      </c>
      <c r="B48" s="144" t="str">
        <f>IFERROR(TIMEVALUE(DaqBook_RAW_Data!Q38),IFERROR(TIMEVALUE(DaqBook_RAW_Data!A38),""))</f>
        <v/>
      </c>
      <c r="C48" s="167" t="str">
        <v/>
      </c>
      <c r="D48" s="167" t="str">
        <v/>
      </c>
      <c r="E48" s="167" t="str">
        <v/>
      </c>
      <c r="F48" s="167" t="str">
        <v/>
      </c>
      <c r="G48" s="167" t="str">
        <v/>
      </c>
      <c r="H48" s="167" t="str">
        <v/>
      </c>
      <c r="I48" s="167" t="str">
        <v/>
      </c>
      <c r="J48" s="167" t="str">
        <v/>
      </c>
      <c r="K48" s="167" t="str">
        <v/>
      </c>
      <c r="L48" s="167" t="str">
        <v/>
      </c>
      <c r="M48" s="167" t="str">
        <v/>
      </c>
      <c r="N48" s="167" t="str">
        <v/>
      </c>
      <c r="O48" s="167" t="str">
        <v/>
      </c>
      <c r="P48" s="167" t="str">
        <v/>
      </c>
    </row>
    <row r="49" spans="1:16" s="96" customFormat="1" x14ac:dyDescent="0.2">
      <c r="A49" s="145" t="str">
        <v/>
      </c>
      <c r="B49" s="144" t="str">
        <f>IFERROR(TIMEVALUE(DaqBook_RAW_Data!Q39),IFERROR(TIMEVALUE(DaqBook_RAW_Data!A39),""))</f>
        <v/>
      </c>
      <c r="C49" s="167" t="str">
        <v/>
      </c>
      <c r="D49" s="167" t="str">
        <v/>
      </c>
      <c r="E49" s="167" t="str">
        <v/>
      </c>
      <c r="F49" s="167" t="str">
        <v/>
      </c>
      <c r="G49" s="167" t="str">
        <v/>
      </c>
      <c r="H49" s="167" t="str">
        <v/>
      </c>
      <c r="I49" s="167" t="str">
        <v/>
      </c>
      <c r="J49" s="167" t="str">
        <v/>
      </c>
      <c r="K49" s="167" t="str">
        <v/>
      </c>
      <c r="L49" s="167" t="str">
        <v/>
      </c>
      <c r="M49" s="167" t="str">
        <v/>
      </c>
      <c r="N49" s="167" t="str">
        <v/>
      </c>
      <c r="O49" s="167" t="str">
        <v/>
      </c>
      <c r="P49" s="167" t="str">
        <v/>
      </c>
    </row>
    <row r="50" spans="1:16" s="96" customFormat="1" x14ac:dyDescent="0.2">
      <c r="A50" s="145" t="str">
        <v/>
      </c>
      <c r="B50" s="144" t="str">
        <f>IFERROR(TIMEVALUE(DaqBook_RAW_Data!Q40),IFERROR(TIMEVALUE(DaqBook_RAW_Data!A40),""))</f>
        <v/>
      </c>
      <c r="C50" s="167" t="str">
        <v/>
      </c>
      <c r="D50" s="167" t="str">
        <v/>
      </c>
      <c r="E50" s="167" t="str">
        <v/>
      </c>
      <c r="F50" s="167" t="str">
        <v/>
      </c>
      <c r="G50" s="167" t="str">
        <v/>
      </c>
      <c r="H50" s="167" t="str">
        <v/>
      </c>
      <c r="I50" s="167" t="str">
        <v/>
      </c>
      <c r="J50" s="167" t="str">
        <v/>
      </c>
      <c r="K50" s="167" t="str">
        <v/>
      </c>
      <c r="L50" s="167" t="str">
        <v/>
      </c>
      <c r="M50" s="167" t="str">
        <v/>
      </c>
      <c r="N50" s="167" t="str">
        <v/>
      </c>
      <c r="O50" s="167" t="str">
        <v/>
      </c>
      <c r="P50" s="167" t="str">
        <v/>
      </c>
    </row>
    <row r="51" spans="1:16" s="96" customFormat="1" x14ac:dyDescent="0.2">
      <c r="A51" s="145" t="str">
        <v/>
      </c>
      <c r="B51" s="144" t="str">
        <f>IFERROR(TIMEVALUE(DaqBook_RAW_Data!Q41),IFERROR(TIMEVALUE(DaqBook_RAW_Data!A41),""))</f>
        <v/>
      </c>
      <c r="C51" s="167" t="str">
        <v/>
      </c>
      <c r="D51" s="167" t="str">
        <v/>
      </c>
      <c r="E51" s="167" t="str">
        <v/>
      </c>
      <c r="F51" s="167" t="str">
        <v/>
      </c>
      <c r="G51" s="167" t="str">
        <v/>
      </c>
      <c r="H51" s="167" t="str">
        <v/>
      </c>
      <c r="I51" s="167" t="str">
        <v/>
      </c>
      <c r="J51" s="167" t="str">
        <v/>
      </c>
      <c r="K51" s="167" t="str">
        <v/>
      </c>
      <c r="L51" s="167" t="str">
        <v/>
      </c>
      <c r="M51" s="167" t="str">
        <v/>
      </c>
      <c r="N51" s="167" t="str">
        <v/>
      </c>
      <c r="O51" s="167" t="str">
        <v/>
      </c>
      <c r="P51" s="167" t="str">
        <v/>
      </c>
    </row>
    <row r="52" spans="1:16" s="96" customFormat="1" x14ac:dyDescent="0.2">
      <c r="A52" s="145" t="str">
        <v/>
      </c>
      <c r="B52" s="144" t="str">
        <f>IFERROR(TIMEVALUE(DaqBook_RAW_Data!Q42),IFERROR(TIMEVALUE(DaqBook_RAW_Data!A42),""))</f>
        <v/>
      </c>
      <c r="C52" s="167" t="str">
        <v/>
      </c>
      <c r="D52" s="167" t="str">
        <v/>
      </c>
      <c r="E52" s="167" t="str">
        <v/>
      </c>
      <c r="F52" s="167" t="str">
        <v/>
      </c>
      <c r="G52" s="167" t="str">
        <v/>
      </c>
      <c r="H52" s="167" t="str">
        <v/>
      </c>
      <c r="I52" s="167" t="str">
        <v/>
      </c>
      <c r="J52" s="167" t="str">
        <v/>
      </c>
      <c r="K52" s="167" t="str">
        <v/>
      </c>
      <c r="L52" s="167" t="str">
        <v/>
      </c>
      <c r="M52" s="167" t="str">
        <v/>
      </c>
      <c r="N52" s="167" t="str">
        <v/>
      </c>
      <c r="O52" s="167" t="str">
        <v/>
      </c>
      <c r="P52" s="167" t="str">
        <v/>
      </c>
    </row>
    <row r="53" spans="1:16" s="96" customFormat="1" x14ac:dyDescent="0.2">
      <c r="A53" s="145" t="str">
        <v/>
      </c>
      <c r="B53" s="144" t="str">
        <f>IFERROR(TIMEVALUE(DaqBook_RAW_Data!Q43),IFERROR(TIMEVALUE(DaqBook_RAW_Data!A43),""))</f>
        <v/>
      </c>
      <c r="C53" s="167" t="str">
        <v/>
      </c>
      <c r="D53" s="167" t="str">
        <v/>
      </c>
      <c r="E53" s="167" t="str">
        <v/>
      </c>
      <c r="F53" s="167" t="str">
        <v/>
      </c>
      <c r="G53" s="167" t="str">
        <v/>
      </c>
      <c r="H53" s="167" t="str">
        <v/>
      </c>
      <c r="I53" s="167" t="str">
        <v/>
      </c>
      <c r="J53" s="167" t="str">
        <v/>
      </c>
      <c r="K53" s="167" t="str">
        <v/>
      </c>
      <c r="L53" s="167" t="str">
        <v/>
      </c>
      <c r="M53" s="167" t="str">
        <v/>
      </c>
      <c r="N53" s="167" t="str">
        <v/>
      </c>
      <c r="O53" s="167" t="str">
        <v/>
      </c>
      <c r="P53" s="167" t="str">
        <v/>
      </c>
    </row>
    <row r="54" spans="1:16" s="96" customFormat="1" x14ac:dyDescent="0.2">
      <c r="A54" s="145" t="str">
        <v/>
      </c>
      <c r="B54" s="144" t="str">
        <f>IFERROR(TIMEVALUE(DaqBook_RAW_Data!Q44),IFERROR(TIMEVALUE(DaqBook_RAW_Data!A44),""))</f>
        <v/>
      </c>
      <c r="C54" s="167" t="str">
        <v/>
      </c>
      <c r="D54" s="167" t="str">
        <v/>
      </c>
      <c r="E54" s="167" t="str">
        <v/>
      </c>
      <c r="F54" s="167" t="str">
        <v/>
      </c>
      <c r="G54" s="167" t="str">
        <v/>
      </c>
      <c r="H54" s="167" t="str">
        <v/>
      </c>
      <c r="I54" s="167" t="str">
        <v/>
      </c>
      <c r="J54" s="167" t="str">
        <v/>
      </c>
      <c r="K54" s="167" t="str">
        <v/>
      </c>
      <c r="L54" s="167" t="str">
        <v/>
      </c>
      <c r="M54" s="167" t="str">
        <v/>
      </c>
      <c r="N54" s="167" t="str">
        <v/>
      </c>
      <c r="O54" s="167" t="str">
        <v/>
      </c>
      <c r="P54" s="167" t="str">
        <v/>
      </c>
    </row>
    <row r="55" spans="1:16" s="96" customFormat="1" x14ac:dyDescent="0.2">
      <c r="A55" s="145" t="str">
        <v/>
      </c>
      <c r="B55" s="144" t="str">
        <f>IFERROR(TIMEVALUE(DaqBook_RAW_Data!Q45),IFERROR(TIMEVALUE(DaqBook_RAW_Data!A45),""))</f>
        <v/>
      </c>
      <c r="C55" s="167" t="str">
        <v/>
      </c>
      <c r="D55" s="167" t="str">
        <v/>
      </c>
      <c r="E55" s="167" t="str">
        <v/>
      </c>
      <c r="F55" s="167" t="str">
        <v/>
      </c>
      <c r="G55" s="167" t="str">
        <v/>
      </c>
      <c r="H55" s="167" t="str">
        <v/>
      </c>
      <c r="I55" s="167" t="str">
        <v/>
      </c>
      <c r="J55" s="167" t="str">
        <v/>
      </c>
      <c r="K55" s="167" t="str">
        <v/>
      </c>
      <c r="L55" s="167" t="str">
        <v/>
      </c>
      <c r="M55" s="167" t="str">
        <v/>
      </c>
      <c r="N55" s="167" t="str">
        <v/>
      </c>
      <c r="O55" s="167" t="str">
        <v/>
      </c>
      <c r="P55" s="167" t="str">
        <v/>
      </c>
    </row>
    <row r="56" spans="1:16" s="96" customFormat="1" x14ac:dyDescent="0.2">
      <c r="A56" s="145" t="str">
        <v/>
      </c>
      <c r="B56" s="144" t="str">
        <f>IFERROR(TIMEVALUE(DaqBook_RAW_Data!Q46),IFERROR(TIMEVALUE(DaqBook_RAW_Data!A46),""))</f>
        <v/>
      </c>
      <c r="C56" s="167" t="str">
        <v/>
      </c>
      <c r="D56" s="167" t="str">
        <v/>
      </c>
      <c r="E56" s="167" t="str">
        <v/>
      </c>
      <c r="F56" s="167" t="str">
        <v/>
      </c>
      <c r="G56" s="167" t="str">
        <v/>
      </c>
      <c r="H56" s="167" t="str">
        <v/>
      </c>
      <c r="I56" s="167" t="str">
        <v/>
      </c>
      <c r="J56" s="167" t="str">
        <v/>
      </c>
      <c r="K56" s="167" t="str">
        <v/>
      </c>
      <c r="L56" s="167" t="str">
        <v/>
      </c>
      <c r="M56" s="167" t="str">
        <v/>
      </c>
      <c r="N56" s="167" t="str">
        <v/>
      </c>
      <c r="O56" s="167" t="str">
        <v/>
      </c>
      <c r="P56" s="167" t="str">
        <v/>
      </c>
    </row>
    <row r="57" spans="1:16" s="96" customFormat="1" x14ac:dyDescent="0.2">
      <c r="A57" s="145" t="str">
        <v/>
      </c>
      <c r="B57" s="144" t="str">
        <f>IFERROR(TIMEVALUE(DaqBook_RAW_Data!Q47),IFERROR(TIMEVALUE(DaqBook_RAW_Data!A47),""))</f>
        <v/>
      </c>
      <c r="C57" s="167" t="str">
        <v/>
      </c>
      <c r="D57" s="167" t="str">
        <v/>
      </c>
      <c r="E57" s="167" t="str">
        <v/>
      </c>
      <c r="F57" s="167" t="str">
        <v/>
      </c>
      <c r="G57" s="167" t="str">
        <v/>
      </c>
      <c r="H57" s="167" t="str">
        <v/>
      </c>
      <c r="I57" s="167" t="str">
        <v/>
      </c>
      <c r="J57" s="167" t="str">
        <v/>
      </c>
      <c r="K57" s="167" t="str">
        <v/>
      </c>
      <c r="L57" s="167" t="str">
        <v/>
      </c>
      <c r="M57" s="167" t="str">
        <v/>
      </c>
      <c r="N57" s="167" t="str">
        <v/>
      </c>
      <c r="O57" s="167" t="str">
        <v/>
      </c>
      <c r="P57" s="167" t="str">
        <v/>
      </c>
    </row>
    <row r="58" spans="1:16" s="96" customFormat="1" x14ac:dyDescent="0.2">
      <c r="A58" s="145" t="str">
        <v/>
      </c>
      <c r="B58" s="144" t="str">
        <f>IFERROR(TIMEVALUE(DaqBook_RAW_Data!Q48),IFERROR(TIMEVALUE(DaqBook_RAW_Data!A48),""))</f>
        <v/>
      </c>
      <c r="C58" s="167" t="str">
        <v/>
      </c>
      <c r="D58" s="167" t="str">
        <v/>
      </c>
      <c r="E58" s="167" t="str">
        <v/>
      </c>
      <c r="F58" s="167" t="str">
        <v/>
      </c>
      <c r="G58" s="167" t="str">
        <v/>
      </c>
      <c r="H58" s="167" t="str">
        <v/>
      </c>
      <c r="I58" s="167" t="str">
        <v/>
      </c>
      <c r="J58" s="167" t="str">
        <v/>
      </c>
      <c r="K58" s="167" t="str">
        <v/>
      </c>
      <c r="L58" s="167" t="str">
        <v/>
      </c>
      <c r="M58" s="167" t="str">
        <v/>
      </c>
      <c r="N58" s="167" t="str">
        <v/>
      </c>
      <c r="O58" s="167" t="str">
        <v/>
      </c>
      <c r="P58" s="167" t="str">
        <v/>
      </c>
    </row>
    <row r="59" spans="1:16" s="96" customFormat="1" x14ac:dyDescent="0.2">
      <c r="A59" s="145" t="str">
        <v/>
      </c>
      <c r="B59" s="144" t="str">
        <f>IFERROR(TIMEVALUE(DaqBook_RAW_Data!Q49),IFERROR(TIMEVALUE(DaqBook_RAW_Data!A49),""))</f>
        <v/>
      </c>
      <c r="C59" s="167" t="str">
        <v/>
      </c>
      <c r="D59" s="167" t="str">
        <v/>
      </c>
      <c r="E59" s="167" t="str">
        <v/>
      </c>
      <c r="F59" s="167" t="str">
        <v/>
      </c>
      <c r="G59" s="167" t="str">
        <v/>
      </c>
      <c r="H59" s="167" t="str">
        <v/>
      </c>
      <c r="I59" s="167" t="str">
        <v/>
      </c>
      <c r="J59" s="167" t="str">
        <v/>
      </c>
      <c r="K59" s="167" t="str">
        <v/>
      </c>
      <c r="L59" s="167" t="str">
        <v/>
      </c>
      <c r="M59" s="167" t="str">
        <v/>
      </c>
      <c r="N59" s="167" t="str">
        <v/>
      </c>
      <c r="O59" s="167" t="str">
        <v/>
      </c>
      <c r="P59" s="167" t="str">
        <v/>
      </c>
    </row>
    <row r="60" spans="1:16" s="96" customFormat="1" x14ac:dyDescent="0.2">
      <c r="A60" s="145" t="str">
        <v/>
      </c>
      <c r="B60" s="144" t="str">
        <f>IFERROR(TIMEVALUE(DaqBook_RAW_Data!Q50),IFERROR(TIMEVALUE(DaqBook_RAW_Data!A50),""))</f>
        <v/>
      </c>
      <c r="C60" s="167" t="str">
        <v/>
      </c>
      <c r="D60" s="167" t="str">
        <v/>
      </c>
      <c r="E60" s="167" t="str">
        <v/>
      </c>
      <c r="F60" s="167" t="str">
        <v/>
      </c>
      <c r="G60" s="167" t="str">
        <v/>
      </c>
      <c r="H60" s="167" t="str">
        <v/>
      </c>
      <c r="I60" s="167" t="str">
        <v/>
      </c>
      <c r="J60" s="167" t="str">
        <v/>
      </c>
      <c r="K60" s="167" t="str">
        <v/>
      </c>
      <c r="L60" s="167" t="str">
        <v/>
      </c>
      <c r="M60" s="167" t="str">
        <v/>
      </c>
      <c r="N60" s="167" t="str">
        <v/>
      </c>
      <c r="O60" s="167" t="str">
        <v/>
      </c>
      <c r="P60" s="167" t="str">
        <v/>
      </c>
    </row>
    <row r="61" spans="1:16" s="96" customFormat="1" x14ac:dyDescent="0.2">
      <c r="A61" s="145" t="str">
        <v/>
      </c>
      <c r="B61" s="144" t="str">
        <f>IFERROR(TIMEVALUE(DaqBook_RAW_Data!Q51),IFERROR(TIMEVALUE(DaqBook_RAW_Data!A51),""))</f>
        <v/>
      </c>
      <c r="C61" s="167" t="str">
        <v/>
      </c>
      <c r="D61" s="167" t="str">
        <v/>
      </c>
      <c r="E61" s="167" t="str">
        <v/>
      </c>
      <c r="F61" s="167" t="str">
        <v/>
      </c>
      <c r="G61" s="167" t="str">
        <v/>
      </c>
      <c r="H61" s="167" t="str">
        <v/>
      </c>
      <c r="I61" s="167" t="str">
        <v/>
      </c>
      <c r="J61" s="167" t="str">
        <v/>
      </c>
      <c r="K61" s="167" t="str">
        <v/>
      </c>
      <c r="L61" s="167" t="str">
        <v/>
      </c>
      <c r="M61" s="167" t="str">
        <v/>
      </c>
      <c r="N61" s="167" t="str">
        <v/>
      </c>
      <c r="O61" s="167" t="str">
        <v/>
      </c>
      <c r="P61" s="167" t="str">
        <v/>
      </c>
    </row>
    <row r="62" spans="1:16" s="96" customFormat="1" x14ac:dyDescent="0.2">
      <c r="A62" s="145" t="str">
        <v/>
      </c>
      <c r="B62" s="144" t="str">
        <f>IFERROR(TIMEVALUE(DaqBook_RAW_Data!Q52),IFERROR(TIMEVALUE(DaqBook_RAW_Data!A52),""))</f>
        <v/>
      </c>
      <c r="C62" s="167" t="str">
        <v/>
      </c>
      <c r="D62" s="167" t="str">
        <v/>
      </c>
      <c r="E62" s="167" t="str">
        <v/>
      </c>
      <c r="F62" s="167" t="str">
        <v/>
      </c>
      <c r="G62" s="167" t="str">
        <v/>
      </c>
      <c r="H62" s="167" t="str">
        <v/>
      </c>
      <c r="I62" s="167" t="str">
        <v/>
      </c>
      <c r="J62" s="167" t="str">
        <v/>
      </c>
      <c r="K62" s="167" t="str">
        <v/>
      </c>
      <c r="L62" s="167" t="str">
        <v/>
      </c>
      <c r="M62" s="167" t="str">
        <v/>
      </c>
      <c r="N62" s="167" t="str">
        <v/>
      </c>
      <c r="O62" s="167" t="str">
        <v/>
      </c>
      <c r="P62" s="167" t="str">
        <v/>
      </c>
    </row>
    <row r="63" spans="1:16" s="96" customFormat="1" x14ac:dyDescent="0.2">
      <c r="A63" s="145" t="str">
        <v/>
      </c>
      <c r="B63" s="144" t="str">
        <f>IFERROR(TIMEVALUE(DaqBook_RAW_Data!Q53),IFERROR(TIMEVALUE(DaqBook_RAW_Data!A53),""))</f>
        <v/>
      </c>
      <c r="C63" s="167" t="str">
        <v/>
      </c>
      <c r="D63" s="167" t="str">
        <v/>
      </c>
      <c r="E63" s="167" t="str">
        <v/>
      </c>
      <c r="F63" s="167" t="str">
        <v/>
      </c>
      <c r="G63" s="167" t="str">
        <v/>
      </c>
      <c r="H63" s="167" t="str">
        <v/>
      </c>
      <c r="I63" s="167" t="str">
        <v/>
      </c>
      <c r="J63" s="167" t="str">
        <v/>
      </c>
      <c r="K63" s="167" t="str">
        <v/>
      </c>
      <c r="L63" s="167" t="str">
        <v/>
      </c>
      <c r="M63" s="167" t="str">
        <v/>
      </c>
      <c r="N63" s="167" t="str">
        <v/>
      </c>
      <c r="O63" s="167" t="str">
        <v/>
      </c>
      <c r="P63" s="167" t="str">
        <v/>
      </c>
    </row>
    <row r="64" spans="1:16" s="96" customFormat="1" x14ac:dyDescent="0.2">
      <c r="A64" s="145" t="str">
        <v/>
      </c>
      <c r="B64" s="144" t="str">
        <f>IFERROR(TIMEVALUE(DaqBook_RAW_Data!Q54),IFERROR(TIMEVALUE(DaqBook_RAW_Data!A54),""))</f>
        <v/>
      </c>
      <c r="C64" s="167" t="str">
        <v/>
      </c>
      <c r="D64" s="167" t="str">
        <v/>
      </c>
      <c r="E64" s="167" t="str">
        <v/>
      </c>
      <c r="F64" s="167" t="str">
        <v/>
      </c>
      <c r="G64" s="167" t="str">
        <v/>
      </c>
      <c r="H64" s="167" t="str">
        <v/>
      </c>
      <c r="I64" s="167" t="str">
        <v/>
      </c>
      <c r="J64" s="167" t="str">
        <v/>
      </c>
      <c r="K64" s="167" t="str">
        <v/>
      </c>
      <c r="L64" s="167" t="str">
        <v/>
      </c>
      <c r="M64" s="167" t="str">
        <v/>
      </c>
      <c r="N64" s="167" t="str">
        <v/>
      </c>
      <c r="O64" s="167" t="str">
        <v/>
      </c>
      <c r="P64" s="167" t="str">
        <v/>
      </c>
    </row>
    <row r="65" spans="1:16" s="96" customFormat="1" x14ac:dyDescent="0.2">
      <c r="A65" s="145" t="str">
        <v/>
      </c>
      <c r="B65" s="144" t="str">
        <f>IFERROR(TIMEVALUE(DaqBook_RAW_Data!Q55),IFERROR(TIMEVALUE(DaqBook_RAW_Data!A55),""))</f>
        <v/>
      </c>
      <c r="C65" s="167" t="str">
        <v/>
      </c>
      <c r="D65" s="167" t="str">
        <v/>
      </c>
      <c r="E65" s="167" t="str">
        <v/>
      </c>
      <c r="F65" s="167" t="str">
        <v/>
      </c>
      <c r="G65" s="167" t="str">
        <v/>
      </c>
      <c r="H65" s="167" t="str">
        <v/>
      </c>
      <c r="I65" s="167" t="str">
        <v/>
      </c>
      <c r="J65" s="167" t="str">
        <v/>
      </c>
      <c r="K65" s="167" t="str">
        <v/>
      </c>
      <c r="L65" s="167" t="str">
        <v/>
      </c>
      <c r="M65" s="167" t="str">
        <v/>
      </c>
      <c r="N65" s="167" t="str">
        <v/>
      </c>
      <c r="O65" s="167" t="str">
        <v/>
      </c>
      <c r="P65" s="167" t="str">
        <v/>
      </c>
    </row>
    <row r="66" spans="1:16" s="96" customFormat="1" x14ac:dyDescent="0.2">
      <c r="A66" s="145" t="str">
        <v/>
      </c>
      <c r="B66" s="144" t="str">
        <f>IFERROR(TIMEVALUE(DaqBook_RAW_Data!Q56),IFERROR(TIMEVALUE(DaqBook_RAW_Data!A56),""))</f>
        <v/>
      </c>
      <c r="C66" s="167" t="str">
        <v/>
      </c>
      <c r="D66" s="167" t="str">
        <v/>
      </c>
      <c r="E66" s="167" t="str">
        <v/>
      </c>
      <c r="F66" s="167" t="str">
        <v/>
      </c>
      <c r="G66" s="167" t="str">
        <v/>
      </c>
      <c r="H66" s="167" t="str">
        <v/>
      </c>
      <c r="I66" s="167" t="str">
        <v/>
      </c>
      <c r="J66" s="167" t="str">
        <v/>
      </c>
      <c r="K66" s="167" t="str">
        <v/>
      </c>
      <c r="L66" s="167" t="str">
        <v/>
      </c>
      <c r="M66" s="167" t="str">
        <v/>
      </c>
      <c r="N66" s="167" t="str">
        <v/>
      </c>
      <c r="O66" s="167" t="str">
        <v/>
      </c>
      <c r="P66" s="167" t="str">
        <v/>
      </c>
    </row>
    <row r="67" spans="1:16" s="96" customFormat="1" x14ac:dyDescent="0.2">
      <c r="A67" s="145" t="str">
        <v/>
      </c>
      <c r="B67" s="144" t="str">
        <f>IFERROR(TIMEVALUE(DaqBook_RAW_Data!Q57),IFERROR(TIMEVALUE(DaqBook_RAW_Data!A57),""))</f>
        <v/>
      </c>
      <c r="C67" s="167" t="str">
        <v/>
      </c>
      <c r="D67" s="167" t="str">
        <v/>
      </c>
      <c r="E67" s="167" t="str">
        <v/>
      </c>
      <c r="F67" s="167" t="str">
        <v/>
      </c>
      <c r="G67" s="167" t="str">
        <v/>
      </c>
      <c r="H67" s="167" t="str">
        <v/>
      </c>
      <c r="I67" s="167" t="str">
        <v/>
      </c>
      <c r="J67" s="167" t="str">
        <v/>
      </c>
      <c r="K67" s="167" t="str">
        <v/>
      </c>
      <c r="L67" s="167" t="str">
        <v/>
      </c>
      <c r="M67" s="167" t="str">
        <v/>
      </c>
      <c r="N67" s="167" t="str">
        <v/>
      </c>
      <c r="O67" s="167" t="str">
        <v/>
      </c>
      <c r="P67" s="167" t="str">
        <v/>
      </c>
    </row>
    <row r="68" spans="1:16" s="96" customFormat="1" x14ac:dyDescent="0.2">
      <c r="A68" s="145" t="str">
        <v/>
      </c>
      <c r="B68" s="144" t="str">
        <f>IFERROR(TIMEVALUE(DaqBook_RAW_Data!Q58),IFERROR(TIMEVALUE(DaqBook_RAW_Data!A58),""))</f>
        <v/>
      </c>
      <c r="C68" s="167" t="str">
        <v/>
      </c>
      <c r="D68" s="167" t="str">
        <v/>
      </c>
      <c r="E68" s="167" t="str">
        <v/>
      </c>
      <c r="F68" s="167" t="str">
        <v/>
      </c>
      <c r="G68" s="167" t="str">
        <v/>
      </c>
      <c r="H68" s="167" t="str">
        <v/>
      </c>
      <c r="I68" s="167" t="str">
        <v/>
      </c>
      <c r="J68" s="167" t="str">
        <v/>
      </c>
      <c r="K68" s="167" t="str">
        <v/>
      </c>
      <c r="L68" s="167" t="str">
        <v/>
      </c>
      <c r="M68" s="167" t="str">
        <v/>
      </c>
      <c r="N68" s="167" t="str">
        <v/>
      </c>
      <c r="O68" s="167" t="str">
        <v/>
      </c>
      <c r="P68" s="167" t="str">
        <v/>
      </c>
    </row>
    <row r="69" spans="1:16" s="96" customFormat="1" x14ac:dyDescent="0.2">
      <c r="A69" s="145" t="str">
        <v/>
      </c>
      <c r="B69" s="144" t="str">
        <f>IFERROR(TIMEVALUE(DaqBook_RAW_Data!Q59),IFERROR(TIMEVALUE(DaqBook_RAW_Data!A59),""))</f>
        <v/>
      </c>
      <c r="C69" s="167" t="str">
        <v/>
      </c>
      <c r="D69" s="167" t="str">
        <v/>
      </c>
      <c r="E69" s="167" t="str">
        <v/>
      </c>
      <c r="F69" s="167" t="str">
        <v/>
      </c>
      <c r="G69" s="167" t="str">
        <v/>
      </c>
      <c r="H69" s="167" t="str">
        <v/>
      </c>
      <c r="I69" s="167" t="str">
        <v/>
      </c>
      <c r="J69" s="167" t="str">
        <v/>
      </c>
      <c r="K69" s="167" t="str">
        <v/>
      </c>
      <c r="L69" s="167" t="str">
        <v/>
      </c>
      <c r="M69" s="167" t="str">
        <v/>
      </c>
      <c r="N69" s="167" t="str">
        <v/>
      </c>
      <c r="O69" s="167" t="str">
        <v/>
      </c>
      <c r="P69" s="167" t="str">
        <v/>
      </c>
    </row>
    <row r="70" spans="1:16" s="96" customFormat="1" x14ac:dyDescent="0.2">
      <c r="A70" s="145" t="str">
        <v/>
      </c>
      <c r="B70" s="144" t="str">
        <f>IFERROR(TIMEVALUE(DaqBook_RAW_Data!Q60),IFERROR(TIMEVALUE(DaqBook_RAW_Data!A60),""))</f>
        <v/>
      </c>
      <c r="C70" s="167" t="str">
        <v/>
      </c>
      <c r="D70" s="167" t="str">
        <v/>
      </c>
      <c r="E70" s="167" t="str">
        <v/>
      </c>
      <c r="F70" s="167" t="str">
        <v/>
      </c>
      <c r="G70" s="167" t="str">
        <v/>
      </c>
      <c r="H70" s="167" t="str">
        <v/>
      </c>
      <c r="I70" s="167" t="str">
        <v/>
      </c>
      <c r="J70" s="167" t="str">
        <v/>
      </c>
      <c r="K70" s="167" t="str">
        <v/>
      </c>
      <c r="L70" s="167" t="str">
        <v/>
      </c>
      <c r="M70" s="167" t="str">
        <v/>
      </c>
      <c r="N70" s="167" t="str">
        <v/>
      </c>
      <c r="O70" s="167" t="str">
        <v/>
      </c>
      <c r="P70" s="167" t="str">
        <v/>
      </c>
    </row>
    <row r="71" spans="1:16" s="96" customFormat="1" x14ac:dyDescent="0.2">
      <c r="A71" s="145" t="str">
        <v/>
      </c>
      <c r="B71" s="144" t="str">
        <f>IFERROR(TIMEVALUE(DaqBook_RAW_Data!Q61),IFERROR(TIMEVALUE(DaqBook_RAW_Data!A61),""))</f>
        <v/>
      </c>
      <c r="C71" s="167" t="str">
        <v/>
      </c>
      <c r="D71" s="167" t="str">
        <v/>
      </c>
      <c r="E71" s="167" t="str">
        <v/>
      </c>
      <c r="F71" s="167" t="str">
        <v/>
      </c>
      <c r="G71" s="167" t="str">
        <v/>
      </c>
      <c r="H71" s="167" t="str">
        <v/>
      </c>
      <c r="I71" s="167" t="str">
        <v/>
      </c>
      <c r="J71" s="167" t="str">
        <v/>
      </c>
      <c r="K71" s="167" t="str">
        <v/>
      </c>
      <c r="L71" s="167" t="str">
        <v/>
      </c>
      <c r="M71" s="167" t="str">
        <v/>
      </c>
      <c r="N71" s="167" t="str">
        <v/>
      </c>
      <c r="O71" s="167" t="str">
        <v/>
      </c>
      <c r="P71" s="167" t="str">
        <v/>
      </c>
    </row>
    <row r="72" spans="1:16" s="96" customFormat="1" x14ac:dyDescent="0.2">
      <c r="A72" s="145" t="str">
        <v/>
      </c>
      <c r="B72" s="144" t="str">
        <f>IFERROR(TIMEVALUE(DaqBook_RAW_Data!Q62),IFERROR(TIMEVALUE(DaqBook_RAW_Data!A62),""))</f>
        <v/>
      </c>
      <c r="C72" s="167" t="str">
        <v/>
      </c>
      <c r="D72" s="167" t="str">
        <v/>
      </c>
      <c r="E72" s="167" t="str">
        <v/>
      </c>
      <c r="F72" s="167" t="str">
        <v/>
      </c>
      <c r="G72" s="167" t="str">
        <v/>
      </c>
      <c r="H72" s="167" t="str">
        <v/>
      </c>
      <c r="I72" s="167" t="str">
        <v/>
      </c>
      <c r="J72" s="167" t="str">
        <v/>
      </c>
      <c r="K72" s="167" t="str">
        <v/>
      </c>
      <c r="L72" s="167" t="str">
        <v/>
      </c>
      <c r="M72" s="167" t="str">
        <v/>
      </c>
      <c r="N72" s="167" t="str">
        <v/>
      </c>
      <c r="O72" s="167" t="str">
        <v/>
      </c>
      <c r="P72" s="167" t="str">
        <v/>
      </c>
    </row>
    <row r="73" spans="1:16" s="96" customFormat="1" x14ac:dyDescent="0.2">
      <c r="A73" s="145" t="str">
        <v/>
      </c>
      <c r="B73" s="144" t="str">
        <f>IFERROR(TIMEVALUE(DaqBook_RAW_Data!Q63),IFERROR(TIMEVALUE(DaqBook_RAW_Data!A63),""))</f>
        <v/>
      </c>
      <c r="C73" s="167" t="str">
        <v/>
      </c>
      <c r="D73" s="167" t="str">
        <v/>
      </c>
      <c r="E73" s="167" t="str">
        <v/>
      </c>
      <c r="F73" s="167" t="str">
        <v/>
      </c>
      <c r="G73" s="167" t="str">
        <v/>
      </c>
      <c r="H73" s="167" t="str">
        <v/>
      </c>
      <c r="I73" s="167" t="str">
        <v/>
      </c>
      <c r="J73" s="167" t="str">
        <v/>
      </c>
      <c r="K73" s="167" t="str">
        <v/>
      </c>
      <c r="L73" s="167" t="str">
        <v/>
      </c>
      <c r="M73" s="167" t="str">
        <v/>
      </c>
      <c r="N73" s="167" t="str">
        <v/>
      </c>
      <c r="O73" s="167" t="str">
        <v/>
      </c>
      <c r="P73" s="167" t="str">
        <v/>
      </c>
    </row>
    <row r="74" spans="1:16" s="96" customFormat="1" x14ac:dyDescent="0.2">
      <c r="A74" s="145" t="str">
        <v/>
      </c>
      <c r="B74" s="144" t="str">
        <f>IFERROR(TIMEVALUE(DaqBook_RAW_Data!Q64),IFERROR(TIMEVALUE(DaqBook_RAW_Data!A64),""))</f>
        <v/>
      </c>
      <c r="C74" s="167" t="str">
        <v/>
      </c>
      <c r="D74" s="167" t="str">
        <v/>
      </c>
      <c r="E74" s="167" t="str">
        <v/>
      </c>
      <c r="F74" s="167" t="str">
        <v/>
      </c>
      <c r="G74" s="167" t="str">
        <v/>
      </c>
      <c r="H74" s="167" t="str">
        <v/>
      </c>
      <c r="I74" s="167" t="str">
        <v/>
      </c>
      <c r="J74" s="167" t="str">
        <v/>
      </c>
      <c r="K74" s="167" t="str">
        <v/>
      </c>
      <c r="L74" s="167" t="str">
        <v/>
      </c>
      <c r="M74" s="167" t="str">
        <v/>
      </c>
      <c r="N74" s="167" t="str">
        <v/>
      </c>
      <c r="O74" s="167" t="str">
        <v/>
      </c>
      <c r="P74" s="167" t="str">
        <v/>
      </c>
    </row>
    <row r="75" spans="1:16" s="96" customFormat="1" x14ac:dyDescent="0.2">
      <c r="A75" s="145" t="str">
        <v/>
      </c>
      <c r="B75" s="144" t="str">
        <f>IFERROR(TIMEVALUE(DaqBook_RAW_Data!Q65),IFERROR(TIMEVALUE(DaqBook_RAW_Data!A65),""))</f>
        <v/>
      </c>
      <c r="C75" s="167" t="str">
        <v/>
      </c>
      <c r="D75" s="167" t="str">
        <v/>
      </c>
      <c r="E75" s="167" t="str">
        <v/>
      </c>
      <c r="F75" s="167" t="str">
        <v/>
      </c>
      <c r="G75" s="167" t="str">
        <v/>
      </c>
      <c r="H75" s="167" t="str">
        <v/>
      </c>
      <c r="I75" s="167" t="str">
        <v/>
      </c>
      <c r="J75" s="167" t="str">
        <v/>
      </c>
      <c r="K75" s="167" t="str">
        <v/>
      </c>
      <c r="L75" s="167" t="str">
        <v/>
      </c>
      <c r="M75" s="167" t="str">
        <v/>
      </c>
      <c r="N75" s="167" t="str">
        <v/>
      </c>
      <c r="O75" s="167" t="str">
        <v/>
      </c>
      <c r="P75" s="167" t="str">
        <v/>
      </c>
    </row>
    <row r="76" spans="1:16" s="96" customFormat="1" x14ac:dyDescent="0.2">
      <c r="A76" s="145" t="str">
        <v/>
      </c>
      <c r="B76" s="144" t="str">
        <f>IFERROR(TIMEVALUE(DaqBook_RAW_Data!Q66),IFERROR(TIMEVALUE(DaqBook_RAW_Data!A66),""))</f>
        <v/>
      </c>
      <c r="C76" s="167" t="str">
        <v/>
      </c>
      <c r="D76" s="167" t="str">
        <v/>
      </c>
      <c r="E76" s="167" t="str">
        <v/>
      </c>
      <c r="F76" s="167" t="str">
        <v/>
      </c>
      <c r="G76" s="167" t="str">
        <v/>
      </c>
      <c r="H76" s="167" t="str">
        <v/>
      </c>
      <c r="I76" s="167" t="str">
        <v/>
      </c>
      <c r="J76" s="167" t="str">
        <v/>
      </c>
      <c r="K76" s="167" t="str">
        <v/>
      </c>
      <c r="L76" s="167" t="str">
        <v/>
      </c>
      <c r="M76" s="167" t="str">
        <v/>
      </c>
      <c r="N76" s="167" t="str">
        <v/>
      </c>
      <c r="O76" s="167" t="str">
        <v/>
      </c>
      <c r="P76" s="167" t="str">
        <v/>
      </c>
    </row>
    <row r="77" spans="1:16" s="96" customFormat="1" x14ac:dyDescent="0.2">
      <c r="A77" s="145" t="str">
        <v/>
      </c>
      <c r="B77" s="144" t="str">
        <f>IFERROR(TIMEVALUE(DaqBook_RAW_Data!Q67),IFERROR(TIMEVALUE(DaqBook_RAW_Data!A67),""))</f>
        <v/>
      </c>
      <c r="C77" s="167" t="str">
        <v/>
      </c>
      <c r="D77" s="167" t="str">
        <v/>
      </c>
      <c r="E77" s="167" t="str">
        <v/>
      </c>
      <c r="F77" s="167" t="str">
        <v/>
      </c>
      <c r="G77" s="167" t="str">
        <v/>
      </c>
      <c r="H77" s="167" t="str">
        <v/>
      </c>
      <c r="I77" s="167" t="str">
        <v/>
      </c>
      <c r="J77" s="167" t="str">
        <v/>
      </c>
      <c r="K77" s="167" t="str">
        <v/>
      </c>
      <c r="L77" s="167" t="str">
        <v/>
      </c>
      <c r="M77" s="167" t="str">
        <v/>
      </c>
      <c r="N77" s="167" t="str">
        <v/>
      </c>
      <c r="O77" s="167" t="str">
        <v/>
      </c>
      <c r="P77" s="167" t="str">
        <v/>
      </c>
    </row>
    <row r="78" spans="1:16" s="96" customFormat="1" x14ac:dyDescent="0.2">
      <c r="A78" s="145" t="str">
        <v/>
      </c>
      <c r="B78" s="144" t="str">
        <f>IFERROR(TIMEVALUE(DaqBook_RAW_Data!Q68),IFERROR(TIMEVALUE(DaqBook_RAW_Data!A68),""))</f>
        <v/>
      </c>
      <c r="C78" s="167" t="str">
        <v/>
      </c>
      <c r="D78" s="167" t="str">
        <v/>
      </c>
      <c r="E78" s="167" t="str">
        <v/>
      </c>
      <c r="F78" s="167" t="str">
        <v/>
      </c>
      <c r="G78" s="167" t="str">
        <v/>
      </c>
      <c r="H78" s="167" t="str">
        <v/>
      </c>
      <c r="I78" s="167" t="str">
        <v/>
      </c>
      <c r="J78" s="167" t="str">
        <v/>
      </c>
      <c r="K78" s="167" t="str">
        <v/>
      </c>
      <c r="L78" s="167" t="str">
        <v/>
      </c>
      <c r="M78" s="167" t="str">
        <v/>
      </c>
      <c r="N78" s="167" t="str">
        <v/>
      </c>
      <c r="O78" s="167" t="str">
        <v/>
      </c>
      <c r="P78" s="167" t="str">
        <v/>
      </c>
    </row>
    <row r="79" spans="1:16" s="98" customFormat="1" x14ac:dyDescent="0.2">
      <c r="A79" s="97" t="str">
        <v/>
      </c>
      <c r="B79" s="144" t="str">
        <f>IFERROR(TIMEVALUE(DaqBook_RAW_Data!Q69),IFERROR(TIMEVALUE(DaqBook_RAW_Data!A69),""))</f>
        <v/>
      </c>
      <c r="C79" s="167" t="str">
        <v/>
      </c>
      <c r="D79" s="167" t="str">
        <v/>
      </c>
      <c r="E79" s="167" t="str">
        <v/>
      </c>
      <c r="F79" s="167" t="str">
        <v/>
      </c>
      <c r="G79" s="167" t="str">
        <v/>
      </c>
      <c r="H79" s="167" t="str">
        <v/>
      </c>
      <c r="I79" s="167" t="str">
        <v/>
      </c>
      <c r="J79" s="167" t="str">
        <v/>
      </c>
      <c r="K79" s="167" t="str">
        <v/>
      </c>
      <c r="L79" s="167" t="str">
        <v/>
      </c>
      <c r="M79" s="167" t="str">
        <v/>
      </c>
      <c r="N79" s="167" t="str">
        <v/>
      </c>
      <c r="O79" s="167" t="str">
        <v/>
      </c>
      <c r="P79" s="167" t="str">
        <v/>
      </c>
    </row>
    <row r="80" spans="1:16" s="98" customFormat="1" x14ac:dyDescent="0.2">
      <c r="A80" s="97" t="str">
        <v/>
      </c>
      <c r="B80" s="144" t="str">
        <f>IFERROR(TIMEVALUE(DaqBook_RAW_Data!Q70),IFERROR(TIMEVALUE(DaqBook_RAW_Data!A70),""))</f>
        <v/>
      </c>
      <c r="C80" s="167" t="str">
        <v/>
      </c>
      <c r="D80" s="167" t="str">
        <v/>
      </c>
      <c r="E80" s="167" t="str">
        <v/>
      </c>
      <c r="F80" s="167" t="str">
        <v/>
      </c>
      <c r="G80" s="167" t="str">
        <v/>
      </c>
      <c r="H80" s="167" t="str">
        <v/>
      </c>
      <c r="I80" s="167" t="str">
        <v/>
      </c>
      <c r="J80" s="167" t="str">
        <v/>
      </c>
      <c r="K80" s="167" t="str">
        <v/>
      </c>
      <c r="L80" s="167" t="str">
        <v/>
      </c>
      <c r="M80" s="167" t="str">
        <v/>
      </c>
      <c r="N80" s="167" t="str">
        <v/>
      </c>
      <c r="O80" s="167" t="str">
        <v/>
      </c>
      <c r="P80" s="167" t="str">
        <v/>
      </c>
    </row>
    <row r="81" spans="1:16" s="98" customFormat="1" x14ac:dyDescent="0.2">
      <c r="A81" s="97" t="str">
        <v/>
      </c>
      <c r="B81" s="144" t="str">
        <f>IFERROR(TIMEVALUE(DaqBook_RAW_Data!Q71),IFERROR(TIMEVALUE(DaqBook_RAW_Data!A71),""))</f>
        <v/>
      </c>
      <c r="C81" s="167" t="str">
        <v/>
      </c>
      <c r="D81" s="167" t="str">
        <v/>
      </c>
      <c r="E81" s="167" t="str">
        <v/>
      </c>
      <c r="F81" s="167" t="str">
        <v/>
      </c>
      <c r="G81" s="167" t="str">
        <v/>
      </c>
      <c r="H81" s="167" t="str">
        <v/>
      </c>
      <c r="I81" s="167" t="str">
        <v/>
      </c>
      <c r="J81" s="167" t="str">
        <v/>
      </c>
      <c r="K81" s="167" t="str">
        <v/>
      </c>
      <c r="L81" s="167" t="str">
        <v/>
      </c>
      <c r="M81" s="167" t="str">
        <v/>
      </c>
      <c r="N81" s="167" t="str">
        <v/>
      </c>
      <c r="O81" s="167" t="str">
        <v/>
      </c>
      <c r="P81" s="167" t="str">
        <v/>
      </c>
    </row>
    <row r="82" spans="1:16" s="98" customFormat="1" x14ac:dyDescent="0.2">
      <c r="A82" s="97" t="str">
        <v/>
      </c>
      <c r="B82" s="144" t="str">
        <f>IFERROR(TIMEVALUE(DaqBook_RAW_Data!Q72),IFERROR(TIMEVALUE(DaqBook_RAW_Data!A72),""))</f>
        <v/>
      </c>
      <c r="C82" s="167" t="str">
        <v/>
      </c>
      <c r="D82" s="167" t="str">
        <v/>
      </c>
      <c r="E82" s="167" t="str">
        <v/>
      </c>
      <c r="F82" s="167" t="str">
        <v/>
      </c>
      <c r="G82" s="167" t="str">
        <v/>
      </c>
      <c r="H82" s="167" t="str">
        <v/>
      </c>
      <c r="I82" s="167" t="str">
        <v/>
      </c>
      <c r="J82" s="167" t="str">
        <v/>
      </c>
      <c r="K82" s="167" t="str">
        <v/>
      </c>
      <c r="L82" s="167" t="str">
        <v/>
      </c>
      <c r="M82" s="167" t="str">
        <v/>
      </c>
      <c r="N82" s="167" t="str">
        <v/>
      </c>
      <c r="O82" s="167" t="str">
        <v/>
      </c>
      <c r="P82" s="167" t="str">
        <v/>
      </c>
    </row>
    <row r="83" spans="1:16" s="98" customFormat="1" x14ac:dyDescent="0.2">
      <c r="A83" s="97" t="str">
        <v/>
      </c>
      <c r="B83" s="144" t="str">
        <f>IFERROR(TIMEVALUE(DaqBook_RAW_Data!Q73),IFERROR(TIMEVALUE(DaqBook_RAW_Data!A73),""))</f>
        <v/>
      </c>
      <c r="C83" s="167" t="str">
        <v/>
      </c>
      <c r="D83" s="167" t="str">
        <v/>
      </c>
      <c r="E83" s="167" t="str">
        <v/>
      </c>
      <c r="F83" s="167" t="str">
        <v/>
      </c>
      <c r="G83" s="167" t="str">
        <v/>
      </c>
      <c r="H83" s="167" t="str">
        <v/>
      </c>
      <c r="I83" s="167" t="str">
        <v/>
      </c>
      <c r="J83" s="167" t="str">
        <v/>
      </c>
      <c r="K83" s="167" t="str">
        <v/>
      </c>
      <c r="L83" s="167" t="str">
        <v/>
      </c>
      <c r="M83" s="167" t="str">
        <v/>
      </c>
      <c r="N83" s="167" t="str">
        <v/>
      </c>
      <c r="O83" s="167" t="str">
        <v/>
      </c>
      <c r="P83" s="167" t="str">
        <v/>
      </c>
    </row>
    <row r="84" spans="1:16" s="96" customFormat="1" x14ac:dyDescent="0.2">
      <c r="A84" s="145" t="str">
        <v/>
      </c>
      <c r="B84" s="144" t="str">
        <f>IFERROR(TIMEVALUE(DaqBook_RAW_Data!Q74),IFERROR(TIMEVALUE(DaqBook_RAW_Data!A74),""))</f>
        <v/>
      </c>
      <c r="C84" s="167" t="str">
        <v/>
      </c>
      <c r="D84" s="167" t="str">
        <v/>
      </c>
      <c r="E84" s="167" t="str">
        <v/>
      </c>
      <c r="F84" s="167" t="str">
        <v/>
      </c>
      <c r="G84" s="167" t="str">
        <v/>
      </c>
      <c r="H84" s="167" t="str">
        <v/>
      </c>
      <c r="I84" s="167" t="str">
        <v/>
      </c>
      <c r="J84" s="167" t="str">
        <v/>
      </c>
      <c r="K84" s="167" t="str">
        <v/>
      </c>
      <c r="L84" s="167" t="str">
        <v/>
      </c>
      <c r="M84" s="167" t="str">
        <v/>
      </c>
      <c r="N84" s="167" t="str">
        <v/>
      </c>
      <c r="O84" s="167" t="str">
        <v/>
      </c>
      <c r="P84" s="167" t="str">
        <v/>
      </c>
    </row>
    <row r="85" spans="1:16" s="96" customFormat="1" x14ac:dyDescent="0.2">
      <c r="A85" s="145" t="str">
        <v/>
      </c>
      <c r="B85" s="144" t="str">
        <f>IFERROR(TIMEVALUE(DaqBook_RAW_Data!Q75),IFERROR(TIMEVALUE(DaqBook_RAW_Data!A75),""))</f>
        <v/>
      </c>
      <c r="C85" s="167" t="str">
        <v/>
      </c>
      <c r="D85" s="167" t="str">
        <v/>
      </c>
      <c r="E85" s="167" t="str">
        <v/>
      </c>
      <c r="F85" s="167" t="str">
        <v/>
      </c>
      <c r="G85" s="167" t="str">
        <v/>
      </c>
      <c r="H85" s="167" t="str">
        <v/>
      </c>
      <c r="I85" s="167" t="str">
        <v/>
      </c>
      <c r="J85" s="167" t="str">
        <v/>
      </c>
      <c r="K85" s="167" t="str">
        <v/>
      </c>
      <c r="L85" s="167" t="str">
        <v/>
      </c>
      <c r="M85" s="167" t="str">
        <v/>
      </c>
      <c r="N85" s="167" t="str">
        <v/>
      </c>
      <c r="O85" s="167" t="str">
        <v/>
      </c>
      <c r="P85" s="167" t="str">
        <v/>
      </c>
    </row>
    <row r="86" spans="1:16" s="96" customFormat="1" x14ac:dyDescent="0.2">
      <c r="A86" s="145" t="str">
        <v/>
      </c>
      <c r="B86" s="144" t="str">
        <f>IFERROR(TIMEVALUE(DaqBook_RAW_Data!Q76),IFERROR(TIMEVALUE(DaqBook_RAW_Data!A76),""))</f>
        <v/>
      </c>
      <c r="C86" s="167" t="str">
        <v/>
      </c>
      <c r="D86" s="167" t="str">
        <v/>
      </c>
      <c r="E86" s="167" t="str">
        <v/>
      </c>
      <c r="F86" s="167" t="str">
        <v/>
      </c>
      <c r="G86" s="167" t="str">
        <v/>
      </c>
      <c r="H86" s="167" t="str">
        <v/>
      </c>
      <c r="I86" s="167" t="str">
        <v/>
      </c>
      <c r="J86" s="167" t="str">
        <v/>
      </c>
      <c r="K86" s="167" t="str">
        <v/>
      </c>
      <c r="L86" s="167" t="str">
        <v/>
      </c>
      <c r="M86" s="167" t="str">
        <v/>
      </c>
      <c r="N86" s="167" t="str">
        <v/>
      </c>
      <c r="O86" s="167" t="str">
        <v/>
      </c>
      <c r="P86" s="167" t="str">
        <v/>
      </c>
    </row>
    <row r="87" spans="1:16" s="96" customFormat="1" x14ac:dyDescent="0.2">
      <c r="A87" s="145" t="str">
        <v/>
      </c>
      <c r="B87" s="144" t="str">
        <f>IFERROR(TIMEVALUE(DaqBook_RAW_Data!Q77),IFERROR(TIMEVALUE(DaqBook_RAW_Data!A77),""))</f>
        <v/>
      </c>
      <c r="C87" s="167" t="str">
        <v/>
      </c>
      <c r="D87" s="167" t="str">
        <v/>
      </c>
      <c r="E87" s="167" t="str">
        <v/>
      </c>
      <c r="F87" s="167" t="str">
        <v/>
      </c>
      <c r="G87" s="167" t="str">
        <v/>
      </c>
      <c r="H87" s="167" t="str">
        <v/>
      </c>
      <c r="I87" s="167" t="str">
        <v/>
      </c>
      <c r="J87" s="167" t="str">
        <v/>
      </c>
      <c r="K87" s="167" t="str">
        <v/>
      </c>
      <c r="L87" s="167" t="str">
        <v/>
      </c>
      <c r="M87" s="167" t="str">
        <v/>
      </c>
      <c r="N87" s="167" t="str">
        <v/>
      </c>
      <c r="O87" s="167" t="str">
        <v/>
      </c>
      <c r="P87" s="167" t="str">
        <v/>
      </c>
    </row>
    <row r="88" spans="1:16" s="96" customFormat="1" x14ac:dyDescent="0.2">
      <c r="A88" s="145" t="str">
        <v/>
      </c>
      <c r="B88" s="144" t="str">
        <f>IFERROR(TIMEVALUE(DaqBook_RAW_Data!Q78),IFERROR(TIMEVALUE(DaqBook_RAW_Data!A78),""))</f>
        <v/>
      </c>
      <c r="C88" s="167" t="str">
        <v/>
      </c>
      <c r="D88" s="167" t="str">
        <v/>
      </c>
      <c r="E88" s="167" t="str">
        <v/>
      </c>
      <c r="F88" s="167" t="str">
        <v/>
      </c>
      <c r="G88" s="167" t="str">
        <v/>
      </c>
      <c r="H88" s="167" t="str">
        <v/>
      </c>
      <c r="I88" s="167" t="str">
        <v/>
      </c>
      <c r="J88" s="167" t="str">
        <v/>
      </c>
      <c r="K88" s="167" t="str">
        <v/>
      </c>
      <c r="L88" s="167" t="str">
        <v/>
      </c>
      <c r="M88" s="167" t="str">
        <v/>
      </c>
      <c r="N88" s="167" t="str">
        <v/>
      </c>
      <c r="O88" s="167" t="str">
        <v/>
      </c>
      <c r="P88" s="167" t="str">
        <v/>
      </c>
    </row>
    <row r="89" spans="1:16" s="96" customFormat="1" x14ac:dyDescent="0.2">
      <c r="A89" s="145" t="str">
        <v/>
      </c>
      <c r="B89" s="144" t="str">
        <f>IFERROR(TIMEVALUE(DaqBook_RAW_Data!Q79),IFERROR(TIMEVALUE(DaqBook_RAW_Data!A79),""))</f>
        <v/>
      </c>
      <c r="C89" s="167" t="str">
        <v/>
      </c>
      <c r="D89" s="167" t="str">
        <v/>
      </c>
      <c r="E89" s="167" t="str">
        <v/>
      </c>
      <c r="F89" s="167" t="str">
        <v/>
      </c>
      <c r="G89" s="167" t="str">
        <v/>
      </c>
      <c r="H89" s="167" t="str">
        <v/>
      </c>
      <c r="I89" s="167" t="str">
        <v/>
      </c>
      <c r="J89" s="167" t="str">
        <v/>
      </c>
      <c r="K89" s="167" t="str">
        <v/>
      </c>
      <c r="L89" s="167" t="str">
        <v/>
      </c>
      <c r="M89" s="167" t="str">
        <v/>
      </c>
      <c r="N89" s="167" t="str">
        <v/>
      </c>
      <c r="O89" s="167" t="str">
        <v/>
      </c>
      <c r="P89" s="167" t="str">
        <v/>
      </c>
    </row>
    <row r="90" spans="1:16" s="96" customFormat="1" x14ac:dyDescent="0.2">
      <c r="A90" s="145" t="str">
        <v/>
      </c>
      <c r="B90" s="144" t="str">
        <f>IFERROR(TIMEVALUE(DaqBook_RAW_Data!Q80),IFERROR(TIMEVALUE(DaqBook_RAW_Data!A80),""))</f>
        <v/>
      </c>
      <c r="C90" s="167" t="str">
        <v/>
      </c>
      <c r="D90" s="167" t="str">
        <v/>
      </c>
      <c r="E90" s="167" t="str">
        <v/>
      </c>
      <c r="F90" s="167" t="str">
        <v/>
      </c>
      <c r="G90" s="167" t="str">
        <v/>
      </c>
      <c r="H90" s="167" t="str">
        <v/>
      </c>
      <c r="I90" s="167" t="str">
        <v/>
      </c>
      <c r="J90" s="167" t="str">
        <v/>
      </c>
      <c r="K90" s="167" t="str">
        <v/>
      </c>
      <c r="L90" s="167" t="str">
        <v/>
      </c>
      <c r="M90" s="167" t="str">
        <v/>
      </c>
      <c r="N90" s="167" t="str">
        <v/>
      </c>
      <c r="O90" s="167" t="str">
        <v/>
      </c>
      <c r="P90" s="167" t="str">
        <v/>
      </c>
    </row>
    <row r="91" spans="1:16" s="96" customFormat="1" x14ac:dyDescent="0.2">
      <c r="A91" s="145" t="str">
        <v/>
      </c>
      <c r="B91" s="144" t="str">
        <f>IFERROR(TIMEVALUE(DaqBook_RAW_Data!Q81),IFERROR(TIMEVALUE(DaqBook_RAW_Data!A81),""))</f>
        <v/>
      </c>
      <c r="C91" s="167" t="str">
        <v/>
      </c>
      <c r="D91" s="167" t="str">
        <v/>
      </c>
      <c r="E91" s="167" t="str">
        <v/>
      </c>
      <c r="F91" s="167" t="str">
        <v/>
      </c>
      <c r="G91" s="167" t="str">
        <v/>
      </c>
      <c r="H91" s="167" t="str">
        <v/>
      </c>
      <c r="I91" s="167" t="str">
        <v/>
      </c>
      <c r="J91" s="167" t="str">
        <v/>
      </c>
      <c r="K91" s="167" t="str">
        <v/>
      </c>
      <c r="L91" s="167" t="str">
        <v/>
      </c>
      <c r="M91" s="167" t="str">
        <v/>
      </c>
      <c r="N91" s="167" t="str">
        <v/>
      </c>
      <c r="O91" s="167" t="str">
        <v/>
      </c>
      <c r="P91" s="167" t="str">
        <v/>
      </c>
    </row>
    <row r="92" spans="1:16" s="96" customFormat="1" x14ac:dyDescent="0.2">
      <c r="A92" s="145" t="str">
        <v/>
      </c>
      <c r="B92" s="144" t="str">
        <f>IFERROR(TIMEVALUE(DaqBook_RAW_Data!Q82),IFERROR(TIMEVALUE(DaqBook_RAW_Data!A82),""))</f>
        <v/>
      </c>
      <c r="C92" s="167" t="str">
        <v/>
      </c>
      <c r="D92" s="167" t="str">
        <v/>
      </c>
      <c r="E92" s="167" t="str">
        <v/>
      </c>
      <c r="F92" s="167" t="str">
        <v/>
      </c>
      <c r="G92" s="167" t="str">
        <v/>
      </c>
      <c r="H92" s="167" t="str">
        <v/>
      </c>
      <c r="I92" s="167" t="str">
        <v/>
      </c>
      <c r="J92" s="167" t="str">
        <v/>
      </c>
      <c r="K92" s="167" t="str">
        <v/>
      </c>
      <c r="L92" s="167" t="str">
        <v/>
      </c>
      <c r="M92" s="167" t="str">
        <v/>
      </c>
      <c r="N92" s="167" t="str">
        <v/>
      </c>
      <c r="O92" s="167" t="str">
        <v/>
      </c>
      <c r="P92" s="167" t="str">
        <v/>
      </c>
    </row>
    <row r="93" spans="1:16" s="96" customFormat="1" x14ac:dyDescent="0.2">
      <c r="A93" s="145" t="str">
        <v/>
      </c>
      <c r="B93" s="144" t="str">
        <f>IFERROR(TIMEVALUE(DaqBook_RAW_Data!Q83),IFERROR(TIMEVALUE(DaqBook_RAW_Data!A83),""))</f>
        <v/>
      </c>
      <c r="C93" s="167" t="str">
        <v/>
      </c>
      <c r="D93" s="167" t="str">
        <v/>
      </c>
      <c r="E93" s="167" t="str">
        <v/>
      </c>
      <c r="F93" s="167" t="str">
        <v/>
      </c>
      <c r="G93" s="167" t="str">
        <v/>
      </c>
      <c r="H93" s="167" t="str">
        <v/>
      </c>
      <c r="I93" s="167" t="str">
        <v/>
      </c>
      <c r="J93" s="167" t="str">
        <v/>
      </c>
      <c r="K93" s="167" t="str">
        <v/>
      </c>
      <c r="L93" s="167" t="str">
        <v/>
      </c>
      <c r="M93" s="167" t="str">
        <v/>
      </c>
      <c r="N93" s="167" t="str">
        <v/>
      </c>
      <c r="O93" s="167" t="str">
        <v/>
      </c>
      <c r="P93" s="167" t="str">
        <v/>
      </c>
    </row>
    <row r="94" spans="1:16" s="96" customFormat="1" x14ac:dyDescent="0.2">
      <c r="A94" s="145" t="str">
        <v/>
      </c>
      <c r="B94" s="144" t="str">
        <f>IFERROR(TIMEVALUE(DaqBook_RAW_Data!Q84),IFERROR(TIMEVALUE(DaqBook_RAW_Data!A84),""))</f>
        <v/>
      </c>
      <c r="C94" s="167" t="str">
        <v/>
      </c>
      <c r="D94" s="167" t="str">
        <v/>
      </c>
      <c r="E94" s="167" t="str">
        <v/>
      </c>
      <c r="F94" s="167" t="str">
        <v/>
      </c>
      <c r="G94" s="167" t="str">
        <v/>
      </c>
      <c r="H94" s="167" t="str">
        <v/>
      </c>
      <c r="I94" s="167" t="str">
        <v/>
      </c>
      <c r="J94" s="167" t="str">
        <v/>
      </c>
      <c r="K94" s="167" t="str">
        <v/>
      </c>
      <c r="L94" s="167" t="str">
        <v/>
      </c>
      <c r="M94" s="167" t="str">
        <v/>
      </c>
      <c r="N94" s="167" t="str">
        <v/>
      </c>
      <c r="O94" s="167" t="str">
        <v/>
      </c>
      <c r="P94" s="167" t="str">
        <v/>
      </c>
    </row>
    <row r="95" spans="1:16" s="96" customFormat="1" x14ac:dyDescent="0.2">
      <c r="A95" s="145" t="str">
        <v/>
      </c>
      <c r="B95" s="144" t="str">
        <f>IFERROR(TIMEVALUE(DaqBook_RAW_Data!Q85),IFERROR(TIMEVALUE(DaqBook_RAW_Data!A85),""))</f>
        <v/>
      </c>
      <c r="C95" s="167" t="str">
        <v/>
      </c>
      <c r="D95" s="167" t="str">
        <v/>
      </c>
      <c r="E95" s="167" t="str">
        <v/>
      </c>
      <c r="F95" s="167" t="str">
        <v/>
      </c>
      <c r="G95" s="167" t="str">
        <v/>
      </c>
      <c r="H95" s="167" t="str">
        <v/>
      </c>
      <c r="I95" s="167" t="str">
        <v/>
      </c>
      <c r="J95" s="167" t="str">
        <v/>
      </c>
      <c r="K95" s="167" t="str">
        <v/>
      </c>
      <c r="L95" s="167" t="str">
        <v/>
      </c>
      <c r="M95" s="167" t="str">
        <v/>
      </c>
      <c r="N95" s="167" t="str">
        <v/>
      </c>
      <c r="O95" s="167" t="str">
        <v/>
      </c>
      <c r="P95" s="167" t="str">
        <v/>
      </c>
    </row>
    <row r="96" spans="1:16" s="96" customFormat="1" x14ac:dyDescent="0.2">
      <c r="A96" s="145" t="str">
        <v/>
      </c>
      <c r="B96" s="144" t="str">
        <f>IFERROR(TIMEVALUE(DaqBook_RAW_Data!Q86),IFERROR(TIMEVALUE(DaqBook_RAW_Data!A86),""))</f>
        <v/>
      </c>
      <c r="C96" s="167" t="str">
        <v/>
      </c>
      <c r="D96" s="167" t="str">
        <v/>
      </c>
      <c r="E96" s="167" t="str">
        <v/>
      </c>
      <c r="F96" s="167" t="str">
        <v/>
      </c>
      <c r="G96" s="167" t="str">
        <v/>
      </c>
      <c r="H96" s="167" t="str">
        <v/>
      </c>
      <c r="I96" s="167" t="str">
        <v/>
      </c>
      <c r="J96" s="167" t="str">
        <v/>
      </c>
      <c r="K96" s="167" t="str">
        <v/>
      </c>
      <c r="L96" s="167" t="str">
        <v/>
      </c>
      <c r="M96" s="167" t="str">
        <v/>
      </c>
      <c r="N96" s="167" t="str">
        <v/>
      </c>
      <c r="O96" s="167" t="str">
        <v/>
      </c>
      <c r="P96" s="167" t="str">
        <v/>
      </c>
    </row>
    <row r="97" spans="1:16" s="96" customFormat="1" x14ac:dyDescent="0.2">
      <c r="A97" s="145" t="str">
        <v/>
      </c>
      <c r="B97" s="144" t="str">
        <f>IFERROR(TIMEVALUE(DaqBook_RAW_Data!Q87),IFERROR(TIMEVALUE(DaqBook_RAW_Data!A87),""))</f>
        <v/>
      </c>
      <c r="C97" s="167" t="str">
        <v/>
      </c>
      <c r="D97" s="167" t="str">
        <v/>
      </c>
      <c r="E97" s="167" t="str">
        <v/>
      </c>
      <c r="F97" s="167" t="str">
        <v/>
      </c>
      <c r="G97" s="167" t="str">
        <v/>
      </c>
      <c r="H97" s="167" t="str">
        <v/>
      </c>
      <c r="I97" s="167" t="str">
        <v/>
      </c>
      <c r="J97" s="167" t="str">
        <v/>
      </c>
      <c r="K97" s="167" t="str">
        <v/>
      </c>
      <c r="L97" s="167" t="str">
        <v/>
      </c>
      <c r="M97" s="167" t="str">
        <v/>
      </c>
      <c r="N97" s="167" t="str">
        <v/>
      </c>
      <c r="O97" s="167" t="str">
        <v/>
      </c>
      <c r="P97" s="167" t="str">
        <v/>
      </c>
    </row>
    <row r="98" spans="1:16" s="96" customFormat="1" x14ac:dyDescent="0.2">
      <c r="A98" s="145" t="str">
        <v/>
      </c>
      <c r="B98" s="144" t="str">
        <f>IFERROR(TIMEVALUE(DaqBook_RAW_Data!Q88),IFERROR(TIMEVALUE(DaqBook_RAW_Data!A88),""))</f>
        <v/>
      </c>
      <c r="C98" s="167" t="str">
        <v/>
      </c>
      <c r="D98" s="167" t="str">
        <v/>
      </c>
      <c r="E98" s="167" t="str">
        <v/>
      </c>
      <c r="F98" s="167" t="str">
        <v/>
      </c>
      <c r="G98" s="167" t="str">
        <v/>
      </c>
      <c r="H98" s="167" t="str">
        <v/>
      </c>
      <c r="I98" s="167" t="str">
        <v/>
      </c>
      <c r="J98" s="167" t="str">
        <v/>
      </c>
      <c r="K98" s="167" t="str">
        <v/>
      </c>
      <c r="L98" s="167" t="str">
        <v/>
      </c>
      <c r="M98" s="167" t="str">
        <v/>
      </c>
      <c r="N98" s="167" t="str">
        <v/>
      </c>
      <c r="O98" s="167" t="str">
        <v/>
      </c>
      <c r="P98" s="167" t="str">
        <v/>
      </c>
    </row>
    <row r="99" spans="1:16" s="96" customFormat="1" x14ac:dyDescent="0.2">
      <c r="A99" s="145" t="str">
        <v/>
      </c>
      <c r="B99" s="144" t="str">
        <f>IFERROR(TIMEVALUE(DaqBook_RAW_Data!Q89),IFERROR(TIMEVALUE(DaqBook_RAW_Data!A89),""))</f>
        <v/>
      </c>
      <c r="C99" s="167" t="str">
        <v/>
      </c>
      <c r="D99" s="167" t="str">
        <v/>
      </c>
      <c r="E99" s="167" t="str">
        <v/>
      </c>
      <c r="F99" s="167" t="str">
        <v/>
      </c>
      <c r="G99" s="167" t="str">
        <v/>
      </c>
      <c r="H99" s="167" t="str">
        <v/>
      </c>
      <c r="I99" s="167" t="str">
        <v/>
      </c>
      <c r="J99" s="167" t="str">
        <v/>
      </c>
      <c r="K99" s="167" t="str">
        <v/>
      </c>
      <c r="L99" s="167" t="str">
        <v/>
      </c>
      <c r="M99" s="167" t="str">
        <v/>
      </c>
      <c r="N99" s="167" t="str">
        <v/>
      </c>
      <c r="O99" s="167" t="str">
        <v/>
      </c>
      <c r="P99" s="167" t="str">
        <v/>
      </c>
    </row>
    <row r="100" spans="1:16" s="96" customFormat="1" x14ac:dyDescent="0.2">
      <c r="A100" s="145" t="str">
        <v/>
      </c>
      <c r="B100" s="144" t="str">
        <f>IFERROR(TIMEVALUE(DaqBook_RAW_Data!Q90),IFERROR(TIMEVALUE(DaqBook_RAW_Data!A90),""))</f>
        <v/>
      </c>
      <c r="C100" s="167" t="str">
        <v/>
      </c>
      <c r="D100" s="167" t="str">
        <v/>
      </c>
      <c r="E100" s="167" t="str">
        <v/>
      </c>
      <c r="F100" s="167" t="str">
        <v/>
      </c>
      <c r="G100" s="167" t="str">
        <v/>
      </c>
      <c r="H100" s="167" t="str">
        <v/>
      </c>
      <c r="I100" s="167" t="str">
        <v/>
      </c>
      <c r="J100" s="167" t="str">
        <v/>
      </c>
      <c r="K100" s="167" t="str">
        <v/>
      </c>
      <c r="L100" s="167" t="str">
        <v/>
      </c>
      <c r="M100" s="167" t="str">
        <v/>
      </c>
      <c r="N100" s="167" t="str">
        <v/>
      </c>
      <c r="O100" s="167" t="str">
        <v/>
      </c>
      <c r="P100" s="167" t="str">
        <v/>
      </c>
    </row>
    <row r="101" spans="1:16" s="96" customFormat="1" x14ac:dyDescent="0.2">
      <c r="A101" s="145" t="str">
        <v/>
      </c>
      <c r="B101" s="144" t="str">
        <f>IFERROR(TIMEVALUE(DaqBook_RAW_Data!Q91),IFERROR(TIMEVALUE(DaqBook_RAW_Data!A91),""))</f>
        <v/>
      </c>
      <c r="C101" s="167" t="str">
        <v/>
      </c>
      <c r="D101" s="167" t="str">
        <v/>
      </c>
      <c r="E101" s="167" t="str">
        <v/>
      </c>
      <c r="F101" s="167" t="str">
        <v/>
      </c>
      <c r="G101" s="167" t="str">
        <v/>
      </c>
      <c r="H101" s="167" t="str">
        <v/>
      </c>
      <c r="I101" s="167" t="str">
        <v/>
      </c>
      <c r="J101" s="167" t="str">
        <v/>
      </c>
      <c r="K101" s="167" t="str">
        <v/>
      </c>
      <c r="L101" s="167" t="str">
        <v/>
      </c>
      <c r="M101" s="167" t="str">
        <v/>
      </c>
      <c r="N101" s="167" t="str">
        <v/>
      </c>
      <c r="O101" s="167" t="str">
        <v/>
      </c>
      <c r="P101" s="167" t="str">
        <v/>
      </c>
    </row>
    <row r="102" spans="1:16" s="96" customFormat="1" x14ac:dyDescent="0.2">
      <c r="A102" s="145" t="str">
        <v/>
      </c>
      <c r="B102" s="144" t="str">
        <f>IFERROR(TIMEVALUE(DaqBook_RAW_Data!Q92),IFERROR(TIMEVALUE(DaqBook_RAW_Data!A92),""))</f>
        <v/>
      </c>
      <c r="C102" s="167" t="str">
        <v/>
      </c>
      <c r="D102" s="167" t="str">
        <v/>
      </c>
      <c r="E102" s="167" t="str">
        <v/>
      </c>
      <c r="F102" s="167" t="str">
        <v/>
      </c>
      <c r="G102" s="167" t="str">
        <v/>
      </c>
      <c r="H102" s="167" t="str">
        <v/>
      </c>
      <c r="I102" s="167" t="str">
        <v/>
      </c>
      <c r="J102" s="167" t="str">
        <v/>
      </c>
      <c r="K102" s="167" t="str">
        <v/>
      </c>
      <c r="L102" s="167" t="str">
        <v/>
      </c>
      <c r="M102" s="167" t="str">
        <v/>
      </c>
      <c r="N102" s="167" t="str">
        <v/>
      </c>
      <c r="O102" s="167" t="str">
        <v/>
      </c>
      <c r="P102" s="167" t="str">
        <v/>
      </c>
    </row>
    <row r="103" spans="1:16" s="96" customFormat="1" x14ac:dyDescent="0.2">
      <c r="A103" s="145" t="str">
        <v/>
      </c>
      <c r="B103" s="144" t="str">
        <f>IFERROR(TIMEVALUE(DaqBook_RAW_Data!Q93),IFERROR(TIMEVALUE(DaqBook_RAW_Data!A93),""))</f>
        <v/>
      </c>
      <c r="C103" s="167" t="str">
        <v/>
      </c>
      <c r="D103" s="167" t="str">
        <v/>
      </c>
      <c r="E103" s="167" t="str">
        <v/>
      </c>
      <c r="F103" s="167" t="str">
        <v/>
      </c>
      <c r="G103" s="167" t="str">
        <v/>
      </c>
      <c r="H103" s="167" t="str">
        <v/>
      </c>
      <c r="I103" s="167" t="str">
        <v/>
      </c>
      <c r="J103" s="167" t="str">
        <v/>
      </c>
      <c r="K103" s="167" t="str">
        <v/>
      </c>
      <c r="L103" s="167" t="str">
        <v/>
      </c>
      <c r="M103" s="167" t="str">
        <v/>
      </c>
      <c r="N103" s="167" t="str">
        <v/>
      </c>
      <c r="O103" s="167" t="str">
        <v/>
      </c>
      <c r="P103" s="167" t="str">
        <v/>
      </c>
    </row>
    <row r="104" spans="1:16" s="96" customFormat="1" x14ac:dyDescent="0.2">
      <c r="A104" s="145" t="str">
        <v/>
      </c>
      <c r="B104" s="144" t="str">
        <f>IFERROR(TIMEVALUE(DaqBook_RAW_Data!Q94),IFERROR(TIMEVALUE(DaqBook_RAW_Data!A94),""))</f>
        <v/>
      </c>
      <c r="C104" s="167" t="str">
        <v/>
      </c>
      <c r="D104" s="167" t="str">
        <v/>
      </c>
      <c r="E104" s="167" t="str">
        <v/>
      </c>
      <c r="F104" s="167" t="str">
        <v/>
      </c>
      <c r="G104" s="167" t="str">
        <v/>
      </c>
      <c r="H104" s="167" t="str">
        <v/>
      </c>
      <c r="I104" s="167" t="str">
        <v/>
      </c>
      <c r="J104" s="167" t="str">
        <v/>
      </c>
      <c r="K104" s="167" t="str">
        <v/>
      </c>
      <c r="L104" s="167" t="str">
        <v/>
      </c>
      <c r="M104" s="167" t="str">
        <v/>
      </c>
      <c r="N104" s="167" t="str">
        <v/>
      </c>
      <c r="O104" s="167" t="str">
        <v/>
      </c>
      <c r="P104" s="167" t="str">
        <v/>
      </c>
    </row>
    <row r="105" spans="1:16" s="96" customFormat="1" x14ac:dyDescent="0.2">
      <c r="A105" s="145" t="str">
        <v/>
      </c>
      <c r="B105" s="144" t="str">
        <f>IFERROR(TIMEVALUE(DaqBook_RAW_Data!Q95),IFERROR(TIMEVALUE(DaqBook_RAW_Data!A95),""))</f>
        <v/>
      </c>
      <c r="C105" s="167" t="str">
        <v/>
      </c>
      <c r="D105" s="167" t="str">
        <v/>
      </c>
      <c r="E105" s="167" t="str">
        <v/>
      </c>
      <c r="F105" s="167" t="str">
        <v/>
      </c>
      <c r="G105" s="167" t="str">
        <v/>
      </c>
      <c r="H105" s="167" t="str">
        <v/>
      </c>
      <c r="I105" s="167" t="str">
        <v/>
      </c>
      <c r="J105" s="167" t="str">
        <v/>
      </c>
      <c r="K105" s="167" t="str">
        <v/>
      </c>
      <c r="L105" s="167" t="str">
        <v/>
      </c>
      <c r="M105" s="167" t="str">
        <v/>
      </c>
      <c r="N105" s="167" t="str">
        <v/>
      </c>
      <c r="O105" s="167" t="str">
        <v/>
      </c>
      <c r="P105" s="167" t="str">
        <v/>
      </c>
    </row>
    <row r="106" spans="1:16" x14ac:dyDescent="0.2">
      <c r="A106" s="58" t="str">
        <v/>
      </c>
      <c r="B106" s="144" t="str">
        <f>IFERROR(TIMEVALUE(DaqBook_RAW_Data!Q96),IFERROR(TIMEVALUE(DaqBook_RAW_Data!A96),""))</f>
        <v/>
      </c>
      <c r="C106" s="167" t="str">
        <v/>
      </c>
      <c r="D106" s="167" t="str">
        <v/>
      </c>
      <c r="E106" s="167" t="str">
        <v/>
      </c>
      <c r="F106" s="167" t="str">
        <v/>
      </c>
      <c r="G106" s="167" t="str">
        <v/>
      </c>
      <c r="H106" s="167" t="str">
        <v/>
      </c>
      <c r="I106" s="167" t="str">
        <v/>
      </c>
      <c r="J106" s="167" t="str">
        <v/>
      </c>
      <c r="K106" s="167" t="str">
        <v/>
      </c>
      <c r="L106" s="167" t="str">
        <v/>
      </c>
      <c r="M106" s="167" t="str">
        <v/>
      </c>
      <c r="N106" s="167" t="str">
        <v/>
      </c>
      <c r="O106" s="167" t="str">
        <v/>
      </c>
      <c r="P106" s="167" t="str">
        <v/>
      </c>
    </row>
    <row r="107" spans="1:16" x14ac:dyDescent="0.2">
      <c r="A107" s="58" t="str">
        <v/>
      </c>
      <c r="B107" s="144" t="str">
        <f>IFERROR(TIMEVALUE(DaqBook_RAW_Data!Q97),IFERROR(TIMEVALUE(DaqBook_RAW_Data!A97),""))</f>
        <v/>
      </c>
      <c r="C107" s="167" t="str">
        <v/>
      </c>
      <c r="D107" s="167" t="str">
        <v/>
      </c>
      <c r="E107" s="167" t="str">
        <v/>
      </c>
      <c r="F107" s="167" t="str">
        <v/>
      </c>
      <c r="G107" s="167" t="str">
        <v/>
      </c>
      <c r="H107" s="167" t="str">
        <v/>
      </c>
      <c r="I107" s="167" t="str">
        <v/>
      </c>
      <c r="J107" s="167" t="str">
        <v/>
      </c>
      <c r="K107" s="167" t="str">
        <v/>
      </c>
      <c r="L107" s="167" t="str">
        <v/>
      </c>
      <c r="M107" s="167" t="str">
        <v/>
      </c>
      <c r="N107" s="167" t="str">
        <v/>
      </c>
      <c r="O107" s="167" t="str">
        <v/>
      </c>
      <c r="P107" s="167" t="str">
        <v/>
      </c>
    </row>
    <row r="108" spans="1:16" x14ac:dyDescent="0.2">
      <c r="A108" s="58" t="str">
        <v/>
      </c>
      <c r="B108" s="144" t="str">
        <f>IFERROR(TIMEVALUE(DaqBook_RAW_Data!Q98),IFERROR(TIMEVALUE(DaqBook_RAW_Data!A98),""))</f>
        <v/>
      </c>
      <c r="C108" s="167" t="str">
        <v/>
      </c>
      <c r="D108" s="167" t="str">
        <v/>
      </c>
      <c r="E108" s="167" t="str">
        <v/>
      </c>
      <c r="F108" s="167" t="str">
        <v/>
      </c>
      <c r="G108" s="167" t="str">
        <v/>
      </c>
      <c r="H108" s="167" t="str">
        <v/>
      </c>
      <c r="I108" s="167" t="str">
        <v/>
      </c>
      <c r="J108" s="167" t="str">
        <v/>
      </c>
      <c r="K108" s="167" t="str">
        <v/>
      </c>
      <c r="L108" s="167" t="str">
        <v/>
      </c>
      <c r="M108" s="167" t="str">
        <v/>
      </c>
      <c r="N108" s="167" t="str">
        <v/>
      </c>
      <c r="O108" s="167" t="str">
        <v/>
      </c>
      <c r="P108" s="167" t="str">
        <v/>
      </c>
    </row>
    <row r="109" spans="1:16" x14ac:dyDescent="0.2">
      <c r="A109" s="58" t="str">
        <v/>
      </c>
      <c r="B109" s="144" t="str">
        <f>IFERROR(TIMEVALUE(DaqBook_RAW_Data!Q99),IFERROR(TIMEVALUE(DaqBook_RAW_Data!A99),""))</f>
        <v/>
      </c>
      <c r="C109" s="167" t="str">
        <v/>
      </c>
      <c r="D109" s="167" t="str">
        <v/>
      </c>
      <c r="E109" s="167" t="str">
        <v/>
      </c>
      <c r="F109" s="167" t="str">
        <v/>
      </c>
      <c r="G109" s="167" t="str">
        <v/>
      </c>
      <c r="H109" s="167" t="str">
        <v/>
      </c>
      <c r="I109" s="167" t="str">
        <v/>
      </c>
      <c r="J109" s="167" t="str">
        <v/>
      </c>
      <c r="K109" s="167" t="str">
        <v/>
      </c>
      <c r="L109" s="167" t="str">
        <v/>
      </c>
      <c r="M109" s="167" t="str">
        <v/>
      </c>
      <c r="N109" s="167" t="str">
        <v/>
      </c>
      <c r="O109" s="167" t="str">
        <v/>
      </c>
      <c r="P109" s="167" t="str">
        <v/>
      </c>
    </row>
    <row r="110" spans="1:16" x14ac:dyDescent="0.2">
      <c r="A110" s="58" t="str">
        <v/>
      </c>
      <c r="B110" s="144" t="str">
        <f>IFERROR(TIMEVALUE(DaqBook_RAW_Data!Q100),IFERROR(TIMEVALUE(DaqBook_RAW_Data!A100),""))</f>
        <v/>
      </c>
      <c r="C110" s="167" t="str">
        <v/>
      </c>
      <c r="D110" s="167" t="str">
        <v/>
      </c>
      <c r="E110" s="167" t="str">
        <v/>
      </c>
      <c r="F110" s="167" t="str">
        <v/>
      </c>
      <c r="G110" s="167" t="str">
        <v/>
      </c>
      <c r="H110" s="167" t="str">
        <v/>
      </c>
      <c r="I110" s="167" t="str">
        <v/>
      </c>
      <c r="J110" s="167" t="str">
        <v/>
      </c>
      <c r="K110" s="167" t="str">
        <v/>
      </c>
      <c r="L110" s="167" t="str">
        <v/>
      </c>
      <c r="M110" s="167" t="str">
        <v/>
      </c>
      <c r="N110" s="167" t="str">
        <v/>
      </c>
      <c r="O110" s="167" t="str">
        <v/>
      </c>
      <c r="P110" s="167" t="str">
        <v/>
      </c>
    </row>
    <row r="111" spans="1:16" x14ac:dyDescent="0.2">
      <c r="A111" s="58" t="str">
        <v/>
      </c>
      <c r="B111" s="144" t="str">
        <f>IFERROR(TIMEVALUE(DaqBook_RAW_Data!Q101),IFERROR(TIMEVALUE(DaqBook_RAW_Data!A101),""))</f>
        <v/>
      </c>
      <c r="C111" s="167" t="str">
        <v/>
      </c>
      <c r="D111" s="167" t="str">
        <v/>
      </c>
      <c r="E111" s="167" t="str">
        <v/>
      </c>
      <c r="F111" s="167" t="str">
        <v/>
      </c>
      <c r="G111" s="167" t="str">
        <v/>
      </c>
      <c r="H111" s="167" t="str">
        <v/>
      </c>
      <c r="I111" s="167" t="str">
        <v/>
      </c>
      <c r="J111" s="167" t="str">
        <v/>
      </c>
      <c r="K111" s="167" t="str">
        <v/>
      </c>
      <c r="L111" s="167" t="str">
        <v/>
      </c>
      <c r="M111" s="167" t="str">
        <v/>
      </c>
      <c r="N111" s="167" t="str">
        <v/>
      </c>
      <c r="O111" s="167" t="str">
        <v/>
      </c>
      <c r="P111" s="167" t="str">
        <v/>
      </c>
    </row>
    <row r="112" spans="1:16" x14ac:dyDescent="0.2">
      <c r="A112" s="58" t="str">
        <v/>
      </c>
      <c r="B112" s="144" t="str">
        <f>IFERROR(TIMEVALUE(DaqBook_RAW_Data!Q102),IFERROR(TIMEVALUE(DaqBook_RAW_Data!A102),""))</f>
        <v/>
      </c>
      <c r="C112" s="167" t="str">
        <v/>
      </c>
      <c r="D112" s="167" t="str">
        <v/>
      </c>
      <c r="E112" s="167" t="str">
        <v/>
      </c>
      <c r="F112" s="167" t="str">
        <v/>
      </c>
      <c r="G112" s="167" t="str">
        <v/>
      </c>
      <c r="H112" s="167" t="str">
        <v/>
      </c>
      <c r="I112" s="167" t="str">
        <v/>
      </c>
      <c r="J112" s="167" t="str">
        <v/>
      </c>
      <c r="K112" s="167" t="str">
        <v/>
      </c>
      <c r="L112" s="167" t="str">
        <v/>
      </c>
      <c r="M112" s="167" t="str">
        <v/>
      </c>
      <c r="N112" s="167" t="str">
        <v/>
      </c>
      <c r="O112" s="167" t="str">
        <v/>
      </c>
      <c r="P112" s="167" t="str">
        <v/>
      </c>
    </row>
    <row r="113" spans="1:16" x14ac:dyDescent="0.2">
      <c r="A113" s="58" t="str">
        <v/>
      </c>
      <c r="B113" s="144" t="str">
        <f>IFERROR(TIMEVALUE(DaqBook_RAW_Data!Q103),IFERROR(TIMEVALUE(DaqBook_RAW_Data!A103),""))</f>
        <v/>
      </c>
      <c r="C113" s="167" t="str">
        <v/>
      </c>
      <c r="D113" s="167" t="str">
        <v/>
      </c>
      <c r="E113" s="167" t="str">
        <v/>
      </c>
      <c r="F113" s="167" t="str">
        <v/>
      </c>
      <c r="G113" s="167" t="str">
        <v/>
      </c>
      <c r="H113" s="167" t="str">
        <v/>
      </c>
      <c r="I113" s="167" t="str">
        <v/>
      </c>
      <c r="J113" s="167" t="str">
        <v/>
      </c>
      <c r="K113" s="167" t="str">
        <v/>
      </c>
      <c r="L113" s="167" t="str">
        <v/>
      </c>
      <c r="M113" s="167" t="str">
        <v/>
      </c>
      <c r="N113" s="167" t="str">
        <v/>
      </c>
      <c r="O113" s="167" t="str">
        <v/>
      </c>
      <c r="P113" s="167" t="str">
        <v/>
      </c>
    </row>
    <row r="114" spans="1:16" x14ac:dyDescent="0.2">
      <c r="A114" s="58" t="str">
        <v/>
      </c>
      <c r="B114" s="144" t="str">
        <f>IFERROR(TIMEVALUE(DaqBook_RAW_Data!Q104),IFERROR(TIMEVALUE(DaqBook_RAW_Data!A104),""))</f>
        <v/>
      </c>
      <c r="C114" s="167" t="str">
        <v/>
      </c>
      <c r="D114" s="167" t="str">
        <v/>
      </c>
      <c r="E114" s="167" t="str">
        <v/>
      </c>
      <c r="F114" s="167" t="str">
        <v/>
      </c>
      <c r="G114" s="167" t="str">
        <v/>
      </c>
      <c r="H114" s="167" t="str">
        <v/>
      </c>
      <c r="I114" s="167" t="str">
        <v/>
      </c>
      <c r="J114" s="167" t="str">
        <v/>
      </c>
      <c r="K114" s="167" t="str">
        <v/>
      </c>
      <c r="L114" s="167" t="str">
        <v/>
      </c>
      <c r="M114" s="167" t="str">
        <v/>
      </c>
      <c r="N114" s="167" t="str">
        <v/>
      </c>
      <c r="O114" s="167" t="str">
        <v/>
      </c>
      <c r="P114" s="167" t="str">
        <v/>
      </c>
    </row>
    <row r="115" spans="1:16" x14ac:dyDescent="0.2">
      <c r="A115" s="58" t="str">
        <v/>
      </c>
      <c r="B115" s="144" t="str">
        <f>IFERROR(TIMEVALUE(DaqBook_RAW_Data!Q105),IFERROR(TIMEVALUE(DaqBook_RAW_Data!A105),""))</f>
        <v/>
      </c>
      <c r="C115" s="167" t="str">
        <v/>
      </c>
      <c r="D115" s="167" t="str">
        <v/>
      </c>
      <c r="E115" s="167" t="str">
        <v/>
      </c>
      <c r="F115" s="167" t="str">
        <v/>
      </c>
      <c r="G115" s="167" t="str">
        <v/>
      </c>
      <c r="H115" s="167" t="str">
        <v/>
      </c>
      <c r="I115" s="167" t="str">
        <v/>
      </c>
      <c r="J115" s="167" t="str">
        <v/>
      </c>
      <c r="K115" s="167" t="str">
        <v/>
      </c>
      <c r="L115" s="167" t="str">
        <v/>
      </c>
      <c r="M115" s="167" t="str">
        <v/>
      </c>
      <c r="N115" s="167" t="str">
        <v/>
      </c>
      <c r="O115" s="167" t="str">
        <v/>
      </c>
      <c r="P115" s="167" t="str">
        <v/>
      </c>
    </row>
    <row r="116" spans="1:16" x14ac:dyDescent="0.2">
      <c r="A116" s="58" t="str">
        <v/>
      </c>
      <c r="B116" s="144" t="str">
        <f>IFERROR(TIMEVALUE(DaqBook_RAW_Data!Q106),IFERROR(TIMEVALUE(DaqBook_RAW_Data!A106),""))</f>
        <v/>
      </c>
      <c r="C116" s="167" t="str">
        <v/>
      </c>
      <c r="D116" s="167" t="str">
        <v/>
      </c>
      <c r="E116" s="167" t="str">
        <v/>
      </c>
      <c r="F116" s="167" t="str">
        <v/>
      </c>
      <c r="G116" s="167" t="str">
        <v/>
      </c>
      <c r="H116" s="167" t="str">
        <v/>
      </c>
      <c r="I116" s="167" t="str">
        <v/>
      </c>
      <c r="J116" s="167" t="str">
        <v/>
      </c>
      <c r="K116" s="167" t="str">
        <v/>
      </c>
      <c r="L116" s="167" t="str">
        <v/>
      </c>
      <c r="M116" s="167" t="str">
        <v/>
      </c>
      <c r="N116" s="167" t="str">
        <v/>
      </c>
      <c r="O116" s="167" t="str">
        <v/>
      </c>
      <c r="P116" s="167" t="str">
        <v/>
      </c>
    </row>
    <row r="117" spans="1:16" x14ac:dyDescent="0.2">
      <c r="A117" s="58" t="str">
        <v/>
      </c>
      <c r="B117" s="144" t="str">
        <f>IFERROR(TIMEVALUE(DaqBook_RAW_Data!Q107),IFERROR(TIMEVALUE(DaqBook_RAW_Data!A107),""))</f>
        <v/>
      </c>
      <c r="C117" s="167" t="str">
        <v/>
      </c>
      <c r="D117" s="167" t="str">
        <v/>
      </c>
      <c r="E117" s="167" t="str">
        <v/>
      </c>
      <c r="F117" s="167" t="str">
        <v/>
      </c>
      <c r="G117" s="167" t="str">
        <v/>
      </c>
      <c r="H117" s="167" t="str">
        <v/>
      </c>
      <c r="I117" s="167" t="str">
        <v/>
      </c>
      <c r="J117" s="167" t="str">
        <v/>
      </c>
      <c r="K117" s="167" t="str">
        <v/>
      </c>
      <c r="L117" s="167" t="str">
        <v/>
      </c>
      <c r="M117" s="167" t="str">
        <v/>
      </c>
      <c r="N117" s="167" t="str">
        <v/>
      </c>
      <c r="O117" s="167" t="str">
        <v/>
      </c>
      <c r="P117" s="167" t="str">
        <v/>
      </c>
    </row>
    <row r="118" spans="1:16" x14ac:dyDescent="0.2">
      <c r="A118" s="58" t="str">
        <v/>
      </c>
      <c r="B118" s="144" t="str">
        <f>IFERROR(TIMEVALUE(DaqBook_RAW_Data!Q108),IFERROR(TIMEVALUE(DaqBook_RAW_Data!A108),""))</f>
        <v/>
      </c>
      <c r="C118" s="167" t="str">
        <v/>
      </c>
      <c r="D118" s="167" t="str">
        <v/>
      </c>
      <c r="E118" s="167" t="str">
        <v/>
      </c>
      <c r="F118" s="167" t="str">
        <v/>
      </c>
      <c r="G118" s="167" t="str">
        <v/>
      </c>
      <c r="H118" s="167" t="str">
        <v/>
      </c>
      <c r="I118" s="167" t="str">
        <v/>
      </c>
      <c r="J118" s="167" t="str">
        <v/>
      </c>
      <c r="K118" s="167" t="str">
        <v/>
      </c>
      <c r="L118" s="167" t="str">
        <v/>
      </c>
      <c r="M118" s="167" t="str">
        <v/>
      </c>
      <c r="N118" s="167" t="str">
        <v/>
      </c>
      <c r="O118" s="167" t="str">
        <v/>
      </c>
      <c r="P118" s="167" t="str">
        <v/>
      </c>
    </row>
    <row r="119" spans="1:16" x14ac:dyDescent="0.2">
      <c r="A119" s="58" t="str">
        <v/>
      </c>
      <c r="B119" s="144" t="str">
        <f>IFERROR(TIMEVALUE(DaqBook_RAW_Data!Q109),IFERROR(TIMEVALUE(DaqBook_RAW_Data!A109),""))</f>
        <v/>
      </c>
      <c r="C119" s="167" t="str">
        <v/>
      </c>
      <c r="D119" s="167" t="str">
        <v/>
      </c>
      <c r="E119" s="167" t="str">
        <v/>
      </c>
      <c r="F119" s="167" t="str">
        <v/>
      </c>
      <c r="G119" s="167" t="str">
        <v/>
      </c>
      <c r="H119" s="167" t="str">
        <v/>
      </c>
      <c r="I119" s="167" t="str">
        <v/>
      </c>
      <c r="J119" s="167" t="str">
        <v/>
      </c>
      <c r="K119" s="167" t="str">
        <v/>
      </c>
      <c r="L119" s="167" t="str">
        <v/>
      </c>
      <c r="M119" s="167" t="str">
        <v/>
      </c>
      <c r="N119" s="167" t="str">
        <v/>
      </c>
      <c r="O119" s="167" t="str">
        <v/>
      </c>
      <c r="P119" s="167" t="str">
        <v/>
      </c>
    </row>
    <row r="120" spans="1:16" x14ac:dyDescent="0.2">
      <c r="A120" s="58" t="str">
        <v/>
      </c>
      <c r="B120" s="144" t="str">
        <f>IFERROR(TIMEVALUE(DaqBook_RAW_Data!Q110),IFERROR(TIMEVALUE(DaqBook_RAW_Data!A110),""))</f>
        <v/>
      </c>
      <c r="C120" s="167" t="str">
        <v/>
      </c>
      <c r="D120" s="167" t="str">
        <v/>
      </c>
      <c r="E120" s="167" t="str">
        <v/>
      </c>
      <c r="F120" s="167" t="str">
        <v/>
      </c>
      <c r="G120" s="167" t="str">
        <v/>
      </c>
      <c r="H120" s="167" t="str">
        <v/>
      </c>
      <c r="I120" s="167" t="str">
        <v/>
      </c>
      <c r="J120" s="167" t="str">
        <v/>
      </c>
      <c r="K120" s="167" t="str">
        <v/>
      </c>
      <c r="L120" s="167" t="str">
        <v/>
      </c>
      <c r="M120" s="167" t="str">
        <v/>
      </c>
      <c r="N120" s="167" t="str">
        <v/>
      </c>
      <c r="O120" s="167" t="str">
        <v/>
      </c>
      <c r="P120" s="167" t="str">
        <v/>
      </c>
    </row>
    <row r="121" spans="1:16" x14ac:dyDescent="0.2">
      <c r="A121" s="58" t="str">
        <v/>
      </c>
      <c r="B121" s="144" t="str">
        <f>IFERROR(TIMEVALUE(DaqBook_RAW_Data!Q111),IFERROR(TIMEVALUE(DaqBook_RAW_Data!A111),""))</f>
        <v/>
      </c>
      <c r="C121" s="167" t="str">
        <v/>
      </c>
      <c r="D121" s="167" t="str">
        <v/>
      </c>
      <c r="E121" s="167" t="str">
        <v/>
      </c>
      <c r="F121" s="167" t="str">
        <v/>
      </c>
      <c r="G121" s="167" t="str">
        <v/>
      </c>
      <c r="H121" s="167" t="str">
        <v/>
      </c>
      <c r="I121" s="167" t="str">
        <v/>
      </c>
      <c r="J121" s="167" t="str">
        <v/>
      </c>
      <c r="K121" s="167" t="str">
        <v/>
      </c>
      <c r="L121" s="167" t="str">
        <v/>
      </c>
      <c r="M121" s="167" t="str">
        <v/>
      </c>
      <c r="N121" s="167" t="str">
        <v/>
      </c>
      <c r="O121" s="167" t="str">
        <v/>
      </c>
      <c r="P121" s="167" t="str">
        <v/>
      </c>
    </row>
    <row r="122" spans="1:16" x14ac:dyDescent="0.2">
      <c r="A122" s="58" t="str">
        <v/>
      </c>
      <c r="B122" s="144" t="str">
        <f>IFERROR(TIMEVALUE(DaqBook_RAW_Data!Q112),IFERROR(TIMEVALUE(DaqBook_RAW_Data!A112),""))</f>
        <v/>
      </c>
      <c r="C122" s="167" t="str">
        <v/>
      </c>
      <c r="D122" s="167" t="str">
        <v/>
      </c>
      <c r="E122" s="167" t="str">
        <v/>
      </c>
      <c r="F122" s="167" t="str">
        <v/>
      </c>
      <c r="G122" s="167" t="str">
        <v/>
      </c>
      <c r="H122" s="167" t="str">
        <v/>
      </c>
      <c r="I122" s="167" t="str">
        <v/>
      </c>
      <c r="J122" s="167" t="str">
        <v/>
      </c>
      <c r="K122" s="167" t="str">
        <v/>
      </c>
      <c r="L122" s="167" t="str">
        <v/>
      </c>
      <c r="M122" s="167" t="str">
        <v/>
      </c>
      <c r="N122" s="167" t="str">
        <v/>
      </c>
      <c r="O122" s="167" t="str">
        <v/>
      </c>
      <c r="P122" s="167" t="str">
        <v/>
      </c>
    </row>
    <row r="123" spans="1:16" x14ac:dyDescent="0.2">
      <c r="A123" s="58" t="str">
        <v/>
      </c>
      <c r="B123" s="144" t="str">
        <f>IFERROR(TIMEVALUE(DaqBook_RAW_Data!Q113),IFERROR(TIMEVALUE(DaqBook_RAW_Data!A113),""))</f>
        <v/>
      </c>
      <c r="C123" s="167" t="str">
        <v/>
      </c>
      <c r="D123" s="167" t="str">
        <v/>
      </c>
      <c r="E123" s="167" t="str">
        <v/>
      </c>
      <c r="F123" s="167" t="str">
        <v/>
      </c>
      <c r="G123" s="167" t="str">
        <v/>
      </c>
      <c r="H123" s="167" t="str">
        <v/>
      </c>
      <c r="I123" s="167" t="str">
        <v/>
      </c>
      <c r="J123" s="167" t="str">
        <v/>
      </c>
      <c r="K123" s="167" t="str">
        <v/>
      </c>
      <c r="L123" s="167" t="str">
        <v/>
      </c>
      <c r="M123" s="167" t="str">
        <v/>
      </c>
      <c r="N123" s="167" t="str">
        <v/>
      </c>
      <c r="O123" s="167" t="str">
        <v/>
      </c>
      <c r="P123" s="167" t="str">
        <v/>
      </c>
    </row>
    <row r="124" spans="1:16" x14ac:dyDescent="0.2">
      <c r="A124" s="58" t="str">
        <v/>
      </c>
      <c r="B124" s="144" t="str">
        <f>IFERROR(TIMEVALUE(DaqBook_RAW_Data!Q114),IFERROR(TIMEVALUE(DaqBook_RAW_Data!A114),""))</f>
        <v/>
      </c>
      <c r="C124" s="167" t="str">
        <v/>
      </c>
      <c r="D124" s="167" t="str">
        <v/>
      </c>
      <c r="E124" s="167" t="str">
        <v/>
      </c>
      <c r="F124" s="167" t="str">
        <v/>
      </c>
      <c r="G124" s="167" t="str">
        <v/>
      </c>
      <c r="H124" s="167" t="str">
        <v/>
      </c>
      <c r="I124" s="167" t="str">
        <v/>
      </c>
      <c r="J124" s="167" t="str">
        <v/>
      </c>
      <c r="K124" s="167" t="str">
        <v/>
      </c>
      <c r="L124" s="167" t="str">
        <v/>
      </c>
      <c r="M124" s="167" t="str">
        <v/>
      </c>
      <c r="N124" s="167" t="str">
        <v/>
      </c>
      <c r="O124" s="167" t="str">
        <v/>
      </c>
      <c r="P124" s="167" t="str">
        <v/>
      </c>
    </row>
    <row r="125" spans="1:16" x14ac:dyDescent="0.2">
      <c r="A125" s="58" t="str">
        <v/>
      </c>
      <c r="B125" s="144" t="str">
        <f>IFERROR(TIMEVALUE(DaqBook_RAW_Data!Q115),IFERROR(TIMEVALUE(DaqBook_RAW_Data!A115),""))</f>
        <v/>
      </c>
      <c r="C125" s="167" t="str">
        <v/>
      </c>
      <c r="D125" s="167" t="str">
        <v/>
      </c>
      <c r="E125" s="167" t="str">
        <v/>
      </c>
      <c r="F125" s="167" t="str">
        <v/>
      </c>
      <c r="G125" s="167" t="str">
        <v/>
      </c>
      <c r="H125" s="167" t="str">
        <v/>
      </c>
      <c r="I125" s="167" t="str">
        <v/>
      </c>
      <c r="J125" s="167" t="str">
        <v/>
      </c>
      <c r="K125" s="167" t="str">
        <v/>
      </c>
      <c r="L125" s="167" t="str">
        <v/>
      </c>
      <c r="M125" s="167" t="str">
        <v/>
      </c>
      <c r="N125" s="167" t="str">
        <v/>
      </c>
      <c r="O125" s="167" t="str">
        <v/>
      </c>
      <c r="P125" s="167" t="str">
        <v/>
      </c>
    </row>
    <row r="126" spans="1:16" x14ac:dyDescent="0.2">
      <c r="A126" s="58" t="str">
        <v/>
      </c>
      <c r="B126" s="144" t="str">
        <f>IFERROR(TIMEVALUE(DaqBook_RAW_Data!Q116),IFERROR(TIMEVALUE(DaqBook_RAW_Data!A116),""))</f>
        <v/>
      </c>
      <c r="C126" s="167" t="str">
        <v/>
      </c>
      <c r="D126" s="167" t="str">
        <v/>
      </c>
      <c r="E126" s="167" t="str">
        <v/>
      </c>
      <c r="F126" s="167" t="str">
        <v/>
      </c>
      <c r="G126" s="167" t="str">
        <v/>
      </c>
      <c r="H126" s="167" t="str">
        <v/>
      </c>
      <c r="I126" s="167" t="str">
        <v/>
      </c>
      <c r="J126" s="167" t="str">
        <v/>
      </c>
      <c r="K126" s="167" t="str">
        <v/>
      </c>
      <c r="L126" s="167" t="str">
        <v/>
      </c>
      <c r="M126" s="167" t="str">
        <v/>
      </c>
      <c r="N126" s="167" t="str">
        <v/>
      </c>
      <c r="O126" s="167" t="str">
        <v/>
      </c>
      <c r="P126" s="167" t="str">
        <v/>
      </c>
    </row>
    <row r="127" spans="1:16" x14ac:dyDescent="0.2">
      <c r="A127" s="58" t="str">
        <v/>
      </c>
      <c r="B127" s="144" t="str">
        <f>IFERROR(TIMEVALUE(DaqBook_RAW_Data!Q117),IFERROR(TIMEVALUE(DaqBook_RAW_Data!A117),""))</f>
        <v/>
      </c>
      <c r="C127" s="167" t="str">
        <v/>
      </c>
      <c r="D127" s="167" t="str">
        <v/>
      </c>
      <c r="E127" s="167" t="str">
        <v/>
      </c>
      <c r="F127" s="167" t="str">
        <v/>
      </c>
      <c r="G127" s="167" t="str">
        <v/>
      </c>
      <c r="H127" s="167" t="str">
        <v/>
      </c>
      <c r="I127" s="167" t="str">
        <v/>
      </c>
      <c r="J127" s="167" t="str">
        <v/>
      </c>
      <c r="K127" s="167" t="str">
        <v/>
      </c>
      <c r="L127" s="167" t="str">
        <v/>
      </c>
      <c r="M127" s="167" t="str">
        <v/>
      </c>
      <c r="N127" s="167" t="str">
        <v/>
      </c>
      <c r="O127" s="167" t="str">
        <v/>
      </c>
      <c r="P127" s="167" t="str">
        <v/>
      </c>
    </row>
    <row r="128" spans="1:16" x14ac:dyDescent="0.2">
      <c r="A128" s="58" t="str">
        <v/>
      </c>
      <c r="B128" s="144" t="str">
        <f>IFERROR(TIMEVALUE(DaqBook_RAW_Data!Q118),IFERROR(TIMEVALUE(DaqBook_RAW_Data!A118),""))</f>
        <v/>
      </c>
      <c r="C128" s="167" t="str">
        <v/>
      </c>
      <c r="D128" s="167" t="str">
        <v/>
      </c>
      <c r="E128" s="167" t="str">
        <v/>
      </c>
      <c r="F128" s="167" t="str">
        <v/>
      </c>
      <c r="G128" s="167" t="str">
        <v/>
      </c>
      <c r="H128" s="167" t="str">
        <v/>
      </c>
      <c r="I128" s="167" t="str">
        <v/>
      </c>
      <c r="J128" s="167" t="str">
        <v/>
      </c>
      <c r="K128" s="167" t="str">
        <v/>
      </c>
      <c r="L128" s="167" t="str">
        <v/>
      </c>
      <c r="M128" s="167" t="str">
        <v/>
      </c>
      <c r="N128" s="167" t="str">
        <v/>
      </c>
      <c r="O128" s="167" t="str">
        <v/>
      </c>
      <c r="P128" s="167" t="str">
        <v/>
      </c>
    </row>
    <row r="129" spans="1:16" x14ac:dyDescent="0.2">
      <c r="A129" s="58" t="str">
        <v/>
      </c>
      <c r="B129" s="144" t="str">
        <f>IFERROR(TIMEVALUE(DaqBook_RAW_Data!Q119),IFERROR(TIMEVALUE(DaqBook_RAW_Data!A119),""))</f>
        <v/>
      </c>
      <c r="C129" s="167" t="str">
        <v/>
      </c>
      <c r="D129" s="167" t="str">
        <v/>
      </c>
      <c r="E129" s="167" t="str">
        <v/>
      </c>
      <c r="F129" s="167" t="str">
        <v/>
      </c>
      <c r="G129" s="167" t="str">
        <v/>
      </c>
      <c r="H129" s="167" t="str">
        <v/>
      </c>
      <c r="I129" s="167" t="str">
        <v/>
      </c>
      <c r="J129" s="167" t="str">
        <v/>
      </c>
      <c r="K129" s="167" t="str">
        <v/>
      </c>
      <c r="L129" s="167" t="str">
        <v/>
      </c>
      <c r="M129" s="167" t="str">
        <v/>
      </c>
      <c r="N129" s="167" t="str">
        <v/>
      </c>
      <c r="O129" s="167" t="str">
        <v/>
      </c>
      <c r="P129" s="167" t="str">
        <v/>
      </c>
    </row>
    <row r="130" spans="1:16" x14ac:dyDescent="0.2">
      <c r="A130" s="58" t="str">
        <v/>
      </c>
      <c r="B130" s="144" t="str">
        <f>IFERROR(TIMEVALUE(DaqBook_RAW_Data!Q120),IFERROR(TIMEVALUE(DaqBook_RAW_Data!A120),""))</f>
        <v/>
      </c>
      <c r="C130" s="167" t="str">
        <v/>
      </c>
      <c r="D130" s="167" t="str">
        <v/>
      </c>
      <c r="E130" s="167" t="str">
        <v/>
      </c>
      <c r="F130" s="167" t="str">
        <v/>
      </c>
      <c r="G130" s="167" t="str">
        <v/>
      </c>
      <c r="H130" s="167" t="str">
        <v/>
      </c>
      <c r="I130" s="167" t="str">
        <v/>
      </c>
      <c r="J130" s="167" t="str">
        <v/>
      </c>
      <c r="K130" s="167" t="str">
        <v/>
      </c>
      <c r="L130" s="167" t="str">
        <v/>
      </c>
      <c r="M130" s="167" t="str">
        <v/>
      </c>
      <c r="N130" s="167" t="str">
        <v/>
      </c>
      <c r="O130" s="167" t="str">
        <v/>
      </c>
      <c r="P130" s="167" t="str">
        <v/>
      </c>
    </row>
    <row r="131" spans="1:16" x14ac:dyDescent="0.2">
      <c r="A131" s="58" t="str">
        <v/>
      </c>
      <c r="B131" s="144" t="str">
        <f>IFERROR(TIMEVALUE(DaqBook_RAW_Data!Q121),IFERROR(TIMEVALUE(DaqBook_RAW_Data!A121),""))</f>
        <v/>
      </c>
      <c r="C131" s="167" t="str">
        <v/>
      </c>
      <c r="D131" s="167" t="str">
        <v/>
      </c>
      <c r="E131" s="167" t="str">
        <v/>
      </c>
      <c r="F131" s="167" t="str">
        <v/>
      </c>
      <c r="G131" s="167" t="str">
        <v/>
      </c>
      <c r="H131" s="167" t="str">
        <v/>
      </c>
      <c r="I131" s="167" t="str">
        <v/>
      </c>
      <c r="J131" s="167" t="str">
        <v/>
      </c>
      <c r="K131" s="167" t="str">
        <v/>
      </c>
      <c r="L131" s="167" t="str">
        <v/>
      </c>
      <c r="M131" s="167" t="str">
        <v/>
      </c>
      <c r="N131" s="167" t="str">
        <v/>
      </c>
      <c r="O131" s="167" t="str">
        <v/>
      </c>
      <c r="P131" s="167" t="str">
        <v/>
      </c>
    </row>
    <row r="132" spans="1:16" x14ac:dyDescent="0.2">
      <c r="A132" s="58" t="str">
        <v/>
      </c>
      <c r="B132" s="144" t="str">
        <f>IFERROR(TIMEVALUE(DaqBook_RAW_Data!Q122),IFERROR(TIMEVALUE(DaqBook_RAW_Data!A122),""))</f>
        <v/>
      </c>
      <c r="C132" s="167" t="str">
        <v/>
      </c>
      <c r="D132" s="167" t="str">
        <v/>
      </c>
      <c r="E132" s="167" t="str">
        <v/>
      </c>
      <c r="F132" s="167" t="str">
        <v/>
      </c>
      <c r="G132" s="167" t="str">
        <v/>
      </c>
      <c r="H132" s="167" t="str">
        <v/>
      </c>
      <c r="I132" s="167" t="str">
        <v/>
      </c>
      <c r="J132" s="167" t="str">
        <v/>
      </c>
      <c r="K132" s="167" t="str">
        <v/>
      </c>
      <c r="L132" s="167" t="str">
        <v/>
      </c>
      <c r="M132" s="167" t="str">
        <v/>
      </c>
      <c r="N132" s="167" t="str">
        <v/>
      </c>
      <c r="O132" s="167" t="str">
        <v/>
      </c>
      <c r="P132" s="167" t="str">
        <v/>
      </c>
    </row>
    <row r="133" spans="1:16" x14ac:dyDescent="0.2">
      <c r="A133" s="58" t="str">
        <v/>
      </c>
      <c r="B133" s="144" t="str">
        <f>IFERROR(TIMEVALUE(DaqBook_RAW_Data!Q123),IFERROR(TIMEVALUE(DaqBook_RAW_Data!A123),""))</f>
        <v/>
      </c>
      <c r="C133" s="167" t="str">
        <v/>
      </c>
      <c r="D133" s="167" t="str">
        <v/>
      </c>
      <c r="E133" s="167" t="str">
        <v/>
      </c>
      <c r="F133" s="167" t="str">
        <v/>
      </c>
      <c r="G133" s="167" t="str">
        <v/>
      </c>
      <c r="H133" s="167" t="str">
        <v/>
      </c>
      <c r="I133" s="167" t="str">
        <v/>
      </c>
      <c r="J133" s="167" t="str">
        <v/>
      </c>
      <c r="K133" s="167" t="str">
        <v/>
      </c>
      <c r="L133" s="167" t="str">
        <v/>
      </c>
      <c r="M133" s="167" t="str">
        <v/>
      </c>
      <c r="N133" s="167" t="str">
        <v/>
      </c>
      <c r="O133" s="167" t="str">
        <v/>
      </c>
      <c r="P133" s="167" t="str">
        <v/>
      </c>
    </row>
    <row r="134" spans="1:16" x14ac:dyDescent="0.2">
      <c r="A134" s="58" t="str">
        <v/>
      </c>
      <c r="B134" s="144" t="str">
        <f>IFERROR(TIMEVALUE(DaqBook_RAW_Data!Q124),IFERROR(TIMEVALUE(DaqBook_RAW_Data!A124),""))</f>
        <v/>
      </c>
      <c r="C134" s="167" t="str">
        <v/>
      </c>
      <c r="D134" s="167" t="str">
        <v/>
      </c>
      <c r="E134" s="167" t="str">
        <v/>
      </c>
      <c r="F134" s="167" t="str">
        <v/>
      </c>
      <c r="G134" s="167" t="str">
        <v/>
      </c>
      <c r="H134" s="167" t="str">
        <v/>
      </c>
      <c r="I134" s="167" t="str">
        <v/>
      </c>
      <c r="J134" s="167" t="str">
        <v/>
      </c>
      <c r="K134" s="167" t="str">
        <v/>
      </c>
      <c r="L134" s="167" t="str">
        <v/>
      </c>
      <c r="M134" s="167" t="str">
        <v/>
      </c>
      <c r="N134" s="167" t="str">
        <v/>
      </c>
      <c r="O134" s="167" t="str">
        <v/>
      </c>
      <c r="P134" s="167" t="str">
        <v/>
      </c>
    </row>
    <row r="135" spans="1:16" x14ac:dyDescent="0.2">
      <c r="A135" s="58" t="str">
        <v/>
      </c>
      <c r="B135" s="144" t="str">
        <f>IFERROR(TIMEVALUE(DaqBook_RAW_Data!Q125),IFERROR(TIMEVALUE(DaqBook_RAW_Data!A125),""))</f>
        <v/>
      </c>
      <c r="C135" s="167" t="str">
        <v/>
      </c>
      <c r="D135" s="167" t="str">
        <v/>
      </c>
      <c r="E135" s="167" t="str">
        <v/>
      </c>
      <c r="F135" s="167" t="str">
        <v/>
      </c>
      <c r="G135" s="167" t="str">
        <v/>
      </c>
      <c r="H135" s="167" t="str">
        <v/>
      </c>
      <c r="I135" s="167" t="str">
        <v/>
      </c>
      <c r="J135" s="167" t="str">
        <v/>
      </c>
      <c r="K135" s="167" t="str">
        <v/>
      </c>
      <c r="L135" s="167" t="str">
        <v/>
      </c>
      <c r="M135" s="167" t="str">
        <v/>
      </c>
      <c r="N135" s="167" t="str">
        <v/>
      </c>
      <c r="O135" s="167" t="str">
        <v/>
      </c>
      <c r="P135" s="167" t="str">
        <v/>
      </c>
    </row>
    <row r="136" spans="1:16" x14ac:dyDescent="0.2">
      <c r="A136" s="58" t="str">
        <v/>
      </c>
      <c r="B136" s="144" t="str">
        <f>IFERROR(TIMEVALUE(DaqBook_RAW_Data!Q126),IFERROR(TIMEVALUE(DaqBook_RAW_Data!A126),""))</f>
        <v/>
      </c>
      <c r="C136" s="167" t="str">
        <v/>
      </c>
      <c r="D136" s="167" t="str">
        <v/>
      </c>
      <c r="E136" s="167" t="str">
        <v/>
      </c>
      <c r="F136" s="167" t="str">
        <v/>
      </c>
      <c r="G136" s="167" t="str">
        <v/>
      </c>
      <c r="H136" s="167" t="str">
        <v/>
      </c>
      <c r="I136" s="167" t="str">
        <v/>
      </c>
      <c r="J136" s="167" t="str">
        <v/>
      </c>
      <c r="K136" s="167" t="str">
        <v/>
      </c>
      <c r="L136" s="167" t="str">
        <v/>
      </c>
      <c r="M136" s="167" t="str">
        <v/>
      </c>
      <c r="N136" s="167" t="str">
        <v/>
      </c>
      <c r="O136" s="167" t="str">
        <v/>
      </c>
      <c r="P136" s="167" t="str">
        <v/>
      </c>
    </row>
    <row r="137" spans="1:16" x14ac:dyDescent="0.2">
      <c r="A137" s="58" t="str">
        <v/>
      </c>
      <c r="B137" s="144" t="str">
        <f>IFERROR(TIMEVALUE(DaqBook_RAW_Data!Q127),IFERROR(TIMEVALUE(DaqBook_RAW_Data!A127),""))</f>
        <v/>
      </c>
      <c r="C137" s="167" t="str">
        <v/>
      </c>
      <c r="D137" s="167" t="str">
        <v/>
      </c>
      <c r="E137" s="167" t="str">
        <v/>
      </c>
      <c r="F137" s="167" t="str">
        <v/>
      </c>
      <c r="G137" s="167" t="str">
        <v/>
      </c>
      <c r="H137" s="167" t="str">
        <v/>
      </c>
      <c r="I137" s="167" t="str">
        <v/>
      </c>
      <c r="J137" s="167" t="str">
        <v/>
      </c>
      <c r="K137" s="167" t="str">
        <v/>
      </c>
      <c r="L137" s="167" t="str">
        <v/>
      </c>
      <c r="M137" s="167" t="str">
        <v/>
      </c>
      <c r="N137" s="167" t="str">
        <v/>
      </c>
      <c r="O137" s="167" t="str">
        <v/>
      </c>
      <c r="P137" s="167" t="str">
        <v/>
      </c>
    </row>
    <row r="138" spans="1:16" x14ac:dyDescent="0.2">
      <c r="A138" s="58" t="str">
        <v/>
      </c>
      <c r="B138" s="144" t="str">
        <f>IFERROR(TIMEVALUE(DaqBook_RAW_Data!Q128),IFERROR(TIMEVALUE(DaqBook_RAW_Data!A128),""))</f>
        <v/>
      </c>
      <c r="C138" s="167" t="str">
        <v/>
      </c>
      <c r="D138" s="167" t="str">
        <v/>
      </c>
      <c r="E138" s="167" t="str">
        <v/>
      </c>
      <c r="F138" s="167" t="str">
        <v/>
      </c>
      <c r="G138" s="167" t="str">
        <v/>
      </c>
      <c r="H138" s="167" t="str">
        <v/>
      </c>
      <c r="I138" s="167" t="str">
        <v/>
      </c>
      <c r="J138" s="167" t="str">
        <v/>
      </c>
      <c r="K138" s="167" t="str">
        <v/>
      </c>
      <c r="L138" s="167" t="str">
        <v/>
      </c>
      <c r="M138" s="167" t="str">
        <v/>
      </c>
      <c r="N138" s="167" t="str">
        <v/>
      </c>
      <c r="O138" s="167" t="str">
        <v/>
      </c>
      <c r="P138" s="167" t="str">
        <v/>
      </c>
    </row>
    <row r="139" spans="1:16" x14ac:dyDescent="0.2">
      <c r="A139" s="58" t="str">
        <v/>
      </c>
      <c r="B139" s="144" t="str">
        <f>IFERROR(TIMEVALUE(DaqBook_RAW_Data!Q129),IFERROR(TIMEVALUE(DaqBook_RAW_Data!A129),""))</f>
        <v/>
      </c>
      <c r="C139" s="167" t="str">
        <v/>
      </c>
      <c r="D139" s="167" t="str">
        <v/>
      </c>
      <c r="E139" s="167" t="str">
        <v/>
      </c>
      <c r="F139" s="167" t="str">
        <v/>
      </c>
      <c r="G139" s="167" t="str">
        <v/>
      </c>
      <c r="H139" s="167" t="str">
        <v/>
      </c>
      <c r="I139" s="167" t="str">
        <v/>
      </c>
      <c r="J139" s="167" t="str">
        <v/>
      </c>
      <c r="K139" s="167" t="str">
        <v/>
      </c>
      <c r="L139" s="167" t="str">
        <v/>
      </c>
      <c r="M139" s="167" t="str">
        <v/>
      </c>
      <c r="N139" s="167" t="str">
        <v/>
      </c>
      <c r="O139" s="167" t="str">
        <v/>
      </c>
      <c r="P139" s="167" t="str">
        <v/>
      </c>
    </row>
    <row r="140" spans="1:16" x14ac:dyDescent="0.2">
      <c r="A140" s="58" t="str">
        <v/>
      </c>
      <c r="B140" s="144" t="str">
        <f>IFERROR(TIMEVALUE(DaqBook_RAW_Data!Q130),IFERROR(TIMEVALUE(DaqBook_RAW_Data!A130),""))</f>
        <v/>
      </c>
      <c r="C140" s="167" t="str">
        <v/>
      </c>
      <c r="D140" s="167" t="str">
        <v/>
      </c>
      <c r="E140" s="167" t="str">
        <v/>
      </c>
      <c r="F140" s="167" t="str">
        <v/>
      </c>
      <c r="G140" s="167" t="str">
        <v/>
      </c>
      <c r="H140" s="167" t="str">
        <v/>
      </c>
      <c r="I140" s="167" t="str">
        <v/>
      </c>
      <c r="J140" s="167" t="str">
        <v/>
      </c>
      <c r="K140" s="167" t="str">
        <v/>
      </c>
      <c r="L140" s="167" t="str">
        <v/>
      </c>
      <c r="M140" s="167" t="str">
        <v/>
      </c>
      <c r="N140" s="167" t="str">
        <v/>
      </c>
      <c r="O140" s="167" t="str">
        <v/>
      </c>
      <c r="P140" s="167" t="str">
        <v/>
      </c>
    </row>
    <row r="141" spans="1:16" x14ac:dyDescent="0.2">
      <c r="A141" s="58" t="str">
        <v/>
      </c>
      <c r="B141" s="144" t="str">
        <f>IFERROR(TIMEVALUE(DaqBook_RAW_Data!Q131),IFERROR(TIMEVALUE(DaqBook_RAW_Data!A131),""))</f>
        <v/>
      </c>
      <c r="C141" s="167" t="str">
        <v/>
      </c>
      <c r="D141" s="167" t="str">
        <v/>
      </c>
      <c r="E141" s="167" t="str">
        <v/>
      </c>
      <c r="F141" s="167" t="str">
        <v/>
      </c>
      <c r="G141" s="167" t="str">
        <v/>
      </c>
      <c r="H141" s="167" t="str">
        <v/>
      </c>
      <c r="I141" s="167" t="str">
        <v/>
      </c>
      <c r="J141" s="167" t="str">
        <v/>
      </c>
      <c r="K141" s="167" t="str">
        <v/>
      </c>
      <c r="L141" s="167" t="str">
        <v/>
      </c>
      <c r="M141" s="167" t="str">
        <v/>
      </c>
      <c r="N141" s="167" t="str">
        <v/>
      </c>
      <c r="O141" s="167" t="str">
        <v/>
      </c>
      <c r="P141" s="167" t="str">
        <v/>
      </c>
    </row>
    <row r="142" spans="1:16" x14ac:dyDescent="0.2">
      <c r="A142" s="58" t="str">
        <v/>
      </c>
      <c r="B142" s="144" t="str">
        <f>IFERROR(TIMEVALUE(DaqBook_RAW_Data!Q132),IFERROR(TIMEVALUE(DaqBook_RAW_Data!A132),""))</f>
        <v/>
      </c>
      <c r="C142" s="167" t="str">
        <v/>
      </c>
      <c r="D142" s="167" t="str">
        <v/>
      </c>
      <c r="E142" s="167" t="str">
        <v/>
      </c>
      <c r="F142" s="167" t="str">
        <v/>
      </c>
      <c r="G142" s="167" t="str">
        <v/>
      </c>
      <c r="H142" s="167" t="str">
        <v/>
      </c>
      <c r="I142" s="167" t="str">
        <v/>
      </c>
      <c r="J142" s="167" t="str">
        <v/>
      </c>
      <c r="K142" s="167" t="str">
        <v/>
      </c>
      <c r="L142" s="167" t="str">
        <v/>
      </c>
      <c r="M142" s="167" t="str">
        <v/>
      </c>
      <c r="N142" s="167" t="str">
        <v/>
      </c>
      <c r="O142" s="167" t="str">
        <v/>
      </c>
      <c r="P142" s="167" t="str">
        <v/>
      </c>
    </row>
    <row r="143" spans="1:16" x14ac:dyDescent="0.2">
      <c r="A143" s="58" t="str">
        <v/>
      </c>
      <c r="B143" s="144" t="str">
        <f>IFERROR(TIMEVALUE(DaqBook_RAW_Data!Q133),IFERROR(TIMEVALUE(DaqBook_RAW_Data!A133),""))</f>
        <v/>
      </c>
      <c r="C143" s="167" t="str">
        <v/>
      </c>
      <c r="D143" s="167" t="str">
        <v/>
      </c>
      <c r="E143" s="167" t="str">
        <v/>
      </c>
      <c r="F143" s="167" t="str">
        <v/>
      </c>
      <c r="G143" s="167" t="str">
        <v/>
      </c>
      <c r="H143" s="167" t="str">
        <v/>
      </c>
      <c r="I143" s="167" t="str">
        <v/>
      </c>
      <c r="J143" s="167" t="str">
        <v/>
      </c>
      <c r="K143" s="167" t="str">
        <v/>
      </c>
      <c r="L143" s="167" t="str">
        <v/>
      </c>
      <c r="M143" s="167" t="str">
        <v/>
      </c>
      <c r="N143" s="167" t="str">
        <v/>
      </c>
      <c r="O143" s="167" t="str">
        <v/>
      </c>
      <c r="P143" s="167" t="str">
        <v/>
      </c>
    </row>
    <row r="144" spans="1:16" x14ac:dyDescent="0.2">
      <c r="A144" s="58" t="str">
        <v/>
      </c>
      <c r="B144" s="144" t="str">
        <f>IFERROR(TIMEVALUE(DaqBook_RAW_Data!Q134),IFERROR(TIMEVALUE(DaqBook_RAW_Data!A134),""))</f>
        <v/>
      </c>
      <c r="C144" s="167" t="str">
        <v/>
      </c>
      <c r="D144" s="167" t="str">
        <v/>
      </c>
      <c r="E144" s="167" t="str">
        <v/>
      </c>
      <c r="F144" s="167" t="str">
        <v/>
      </c>
      <c r="G144" s="167" t="str">
        <v/>
      </c>
      <c r="H144" s="167" t="str">
        <v/>
      </c>
      <c r="I144" s="167" t="str">
        <v/>
      </c>
      <c r="J144" s="167" t="str">
        <v/>
      </c>
      <c r="K144" s="167" t="str">
        <v/>
      </c>
      <c r="L144" s="167" t="str">
        <v/>
      </c>
      <c r="M144" s="167" t="str">
        <v/>
      </c>
      <c r="N144" s="167" t="str">
        <v/>
      </c>
      <c r="O144" s="167" t="str">
        <v/>
      </c>
      <c r="P144" s="167" t="str">
        <v/>
      </c>
    </row>
    <row r="145" spans="1:16" x14ac:dyDescent="0.2">
      <c r="A145" s="58" t="str">
        <v/>
      </c>
      <c r="B145" s="144" t="str">
        <f>IFERROR(TIMEVALUE(DaqBook_RAW_Data!Q135),IFERROR(TIMEVALUE(DaqBook_RAW_Data!A135),""))</f>
        <v/>
      </c>
      <c r="C145" s="167" t="str">
        <v/>
      </c>
      <c r="D145" s="167" t="str">
        <v/>
      </c>
      <c r="E145" s="167" t="str">
        <v/>
      </c>
      <c r="F145" s="167" t="str">
        <v/>
      </c>
      <c r="G145" s="167" t="str">
        <v/>
      </c>
      <c r="H145" s="167" t="str">
        <v/>
      </c>
      <c r="I145" s="167" t="str">
        <v/>
      </c>
      <c r="J145" s="167" t="str">
        <v/>
      </c>
      <c r="K145" s="167" t="str">
        <v/>
      </c>
      <c r="L145" s="167" t="str">
        <v/>
      </c>
      <c r="M145" s="167" t="str">
        <v/>
      </c>
      <c r="N145" s="167" t="str">
        <v/>
      </c>
      <c r="O145" s="167" t="str">
        <v/>
      </c>
      <c r="P145" s="167" t="str">
        <v/>
      </c>
    </row>
    <row r="146" spans="1:16" x14ac:dyDescent="0.2">
      <c r="A146" s="58" t="str">
        <v/>
      </c>
      <c r="B146" s="144" t="str">
        <f>IFERROR(TIMEVALUE(DaqBook_RAW_Data!Q136),IFERROR(TIMEVALUE(DaqBook_RAW_Data!A136),""))</f>
        <v/>
      </c>
      <c r="C146" s="167" t="str">
        <v/>
      </c>
      <c r="D146" s="167" t="str">
        <v/>
      </c>
      <c r="E146" s="167" t="str">
        <v/>
      </c>
      <c r="F146" s="167" t="str">
        <v/>
      </c>
      <c r="G146" s="167" t="str">
        <v/>
      </c>
      <c r="H146" s="167" t="str">
        <v/>
      </c>
      <c r="I146" s="167" t="str">
        <v/>
      </c>
      <c r="J146" s="167" t="str">
        <v/>
      </c>
      <c r="K146" s="167" t="str">
        <v/>
      </c>
      <c r="L146" s="167" t="str">
        <v/>
      </c>
      <c r="M146" s="167" t="str">
        <v/>
      </c>
      <c r="N146" s="167" t="str">
        <v/>
      </c>
      <c r="O146" s="167" t="str">
        <v/>
      </c>
      <c r="P146" s="167" t="str">
        <v/>
      </c>
    </row>
    <row r="147" spans="1:16" x14ac:dyDescent="0.2">
      <c r="A147" s="58" t="str">
        <v/>
      </c>
      <c r="B147" s="144" t="str">
        <f>IFERROR(TIMEVALUE(DaqBook_RAW_Data!Q137),IFERROR(TIMEVALUE(DaqBook_RAW_Data!A137),""))</f>
        <v/>
      </c>
      <c r="C147" s="167" t="str">
        <v/>
      </c>
      <c r="D147" s="167" t="str">
        <v/>
      </c>
      <c r="E147" s="167" t="str">
        <v/>
      </c>
      <c r="F147" s="167" t="str">
        <v/>
      </c>
      <c r="G147" s="167" t="str">
        <v/>
      </c>
      <c r="H147" s="167" t="str">
        <v/>
      </c>
      <c r="I147" s="167" t="str">
        <v/>
      </c>
      <c r="J147" s="167" t="str">
        <v/>
      </c>
      <c r="K147" s="167" t="str">
        <v/>
      </c>
      <c r="L147" s="167" t="str">
        <v/>
      </c>
      <c r="M147" s="167" t="str">
        <v/>
      </c>
      <c r="N147" s="167" t="str">
        <v/>
      </c>
      <c r="O147" s="167" t="str">
        <v/>
      </c>
      <c r="P147" s="167" t="str">
        <v/>
      </c>
    </row>
    <row r="148" spans="1:16" x14ac:dyDescent="0.2">
      <c r="A148" s="58" t="str">
        <v/>
      </c>
      <c r="B148" s="144" t="str">
        <f>IFERROR(TIMEVALUE(DaqBook_RAW_Data!Q138),IFERROR(TIMEVALUE(DaqBook_RAW_Data!A138),""))</f>
        <v/>
      </c>
      <c r="C148" s="167" t="str">
        <v/>
      </c>
      <c r="D148" s="167" t="str">
        <v/>
      </c>
      <c r="E148" s="167" t="str">
        <v/>
      </c>
      <c r="F148" s="167" t="str">
        <v/>
      </c>
      <c r="G148" s="167" t="str">
        <v/>
      </c>
      <c r="H148" s="167" t="str">
        <v/>
      </c>
      <c r="I148" s="167" t="str">
        <v/>
      </c>
      <c r="J148" s="167" t="str">
        <v/>
      </c>
      <c r="K148" s="167" t="str">
        <v/>
      </c>
      <c r="L148" s="167" t="str">
        <v/>
      </c>
      <c r="M148" s="167" t="str">
        <v/>
      </c>
      <c r="N148" s="167" t="str">
        <v/>
      </c>
      <c r="O148" s="167" t="str">
        <v/>
      </c>
      <c r="P148" s="167" t="str">
        <v/>
      </c>
    </row>
    <row r="149" spans="1:16" x14ac:dyDescent="0.2">
      <c r="A149" s="58" t="str">
        <v/>
      </c>
      <c r="B149" s="144" t="str">
        <f>IFERROR(TIMEVALUE(DaqBook_RAW_Data!Q139),IFERROR(TIMEVALUE(DaqBook_RAW_Data!A139),""))</f>
        <v/>
      </c>
      <c r="C149" s="167" t="str">
        <v/>
      </c>
      <c r="D149" s="167" t="str">
        <v/>
      </c>
      <c r="E149" s="167" t="str">
        <v/>
      </c>
      <c r="F149" s="167" t="str">
        <v/>
      </c>
      <c r="G149" s="167" t="str">
        <v/>
      </c>
      <c r="H149" s="167" t="str">
        <v/>
      </c>
      <c r="I149" s="167" t="str">
        <v/>
      </c>
      <c r="J149" s="167" t="str">
        <v/>
      </c>
      <c r="K149" s="167" t="str">
        <v/>
      </c>
      <c r="L149" s="167" t="str">
        <v/>
      </c>
      <c r="M149" s="167" t="str">
        <v/>
      </c>
      <c r="N149" s="167" t="str">
        <v/>
      </c>
      <c r="O149" s="167" t="str">
        <v/>
      </c>
      <c r="P149" s="167" t="str">
        <v/>
      </c>
    </row>
    <row r="150" spans="1:16" x14ac:dyDescent="0.2">
      <c r="A150" s="58" t="str">
        <v/>
      </c>
      <c r="B150" s="144" t="str">
        <f>IFERROR(TIMEVALUE(DaqBook_RAW_Data!Q140),IFERROR(TIMEVALUE(DaqBook_RAW_Data!A140),""))</f>
        <v/>
      </c>
      <c r="C150" s="167" t="str">
        <v/>
      </c>
      <c r="D150" s="167" t="str">
        <v/>
      </c>
      <c r="E150" s="167" t="str">
        <v/>
      </c>
      <c r="F150" s="167" t="str">
        <v/>
      </c>
      <c r="G150" s="167" t="str">
        <v/>
      </c>
      <c r="H150" s="167" t="str">
        <v/>
      </c>
      <c r="I150" s="167" t="str">
        <v/>
      </c>
      <c r="J150" s="167" t="str">
        <v/>
      </c>
      <c r="K150" s="167" t="str">
        <v/>
      </c>
      <c r="L150" s="167" t="str">
        <v/>
      </c>
      <c r="M150" s="167" t="str">
        <v/>
      </c>
      <c r="N150" s="167" t="str">
        <v/>
      </c>
      <c r="O150" s="167" t="str">
        <v/>
      </c>
      <c r="P150" s="167" t="str">
        <v/>
      </c>
    </row>
    <row r="151" spans="1:16" x14ac:dyDescent="0.2">
      <c r="A151" s="58" t="str">
        <v/>
      </c>
      <c r="B151" s="144" t="str">
        <f>IFERROR(TIMEVALUE(DaqBook_RAW_Data!Q141),IFERROR(TIMEVALUE(DaqBook_RAW_Data!A141),""))</f>
        <v/>
      </c>
      <c r="C151" s="167" t="str">
        <v/>
      </c>
      <c r="D151" s="167" t="str">
        <v/>
      </c>
      <c r="E151" s="167" t="str">
        <v/>
      </c>
      <c r="F151" s="167" t="str">
        <v/>
      </c>
      <c r="G151" s="167" t="str">
        <v/>
      </c>
      <c r="H151" s="167" t="str">
        <v/>
      </c>
      <c r="I151" s="167" t="str">
        <v/>
      </c>
      <c r="J151" s="167" t="str">
        <v/>
      </c>
      <c r="K151" s="167" t="str">
        <v/>
      </c>
      <c r="L151" s="167" t="str">
        <v/>
      </c>
      <c r="M151" s="167" t="str">
        <v/>
      </c>
      <c r="N151" s="167" t="str">
        <v/>
      </c>
      <c r="O151" s="167" t="str">
        <v/>
      </c>
      <c r="P151" s="167" t="str">
        <v/>
      </c>
    </row>
    <row r="152" spans="1:16" x14ac:dyDescent="0.2">
      <c r="A152" s="58" t="str">
        <v/>
      </c>
      <c r="B152" s="144" t="str">
        <f>IFERROR(TIMEVALUE(DaqBook_RAW_Data!Q142),IFERROR(TIMEVALUE(DaqBook_RAW_Data!A142),""))</f>
        <v/>
      </c>
      <c r="C152" s="167" t="str">
        <v/>
      </c>
      <c r="D152" s="167" t="str">
        <v/>
      </c>
      <c r="E152" s="167" t="str">
        <v/>
      </c>
      <c r="F152" s="167" t="str">
        <v/>
      </c>
      <c r="G152" s="167" t="str">
        <v/>
      </c>
      <c r="H152" s="167" t="str">
        <v/>
      </c>
      <c r="I152" s="167" t="str">
        <v/>
      </c>
      <c r="J152" s="167" t="str">
        <v/>
      </c>
      <c r="K152" s="167" t="str">
        <v/>
      </c>
      <c r="L152" s="167" t="str">
        <v/>
      </c>
      <c r="M152" s="167" t="str">
        <v/>
      </c>
      <c r="N152" s="167" t="str">
        <v/>
      </c>
      <c r="O152" s="167" t="str">
        <v/>
      </c>
      <c r="P152" s="167" t="str">
        <v/>
      </c>
    </row>
    <row r="153" spans="1:16" x14ac:dyDescent="0.2">
      <c r="A153" s="58" t="str">
        <v/>
      </c>
      <c r="B153" s="144" t="str">
        <f>IFERROR(TIMEVALUE(DaqBook_RAW_Data!Q143),IFERROR(TIMEVALUE(DaqBook_RAW_Data!A143),""))</f>
        <v/>
      </c>
      <c r="C153" s="167" t="str">
        <v/>
      </c>
      <c r="D153" s="167" t="str">
        <v/>
      </c>
      <c r="E153" s="167" t="str">
        <v/>
      </c>
      <c r="F153" s="167" t="str">
        <v/>
      </c>
      <c r="G153" s="167" t="str">
        <v/>
      </c>
      <c r="H153" s="167" t="str">
        <v/>
      </c>
      <c r="I153" s="167" t="str">
        <v/>
      </c>
      <c r="J153" s="167" t="str">
        <v/>
      </c>
      <c r="K153" s="167" t="str">
        <v/>
      </c>
      <c r="L153" s="167" t="str">
        <v/>
      </c>
      <c r="M153" s="167" t="str">
        <v/>
      </c>
      <c r="N153" s="167" t="str">
        <v/>
      </c>
      <c r="O153" s="167" t="str">
        <v/>
      </c>
      <c r="P153" s="167" t="str">
        <v/>
      </c>
    </row>
    <row r="154" spans="1:16" x14ac:dyDescent="0.2">
      <c r="A154" s="58" t="str">
        <v/>
      </c>
      <c r="B154" s="144" t="str">
        <f>IFERROR(TIMEVALUE(DaqBook_RAW_Data!Q144),IFERROR(TIMEVALUE(DaqBook_RAW_Data!A144),""))</f>
        <v/>
      </c>
      <c r="C154" s="167" t="str">
        <v/>
      </c>
      <c r="D154" s="167" t="str">
        <v/>
      </c>
      <c r="E154" s="167" t="str">
        <v/>
      </c>
      <c r="F154" s="167" t="str">
        <v/>
      </c>
      <c r="G154" s="167" t="str">
        <v/>
      </c>
      <c r="H154" s="167" t="str">
        <v/>
      </c>
      <c r="I154" s="167" t="str">
        <v/>
      </c>
      <c r="J154" s="167" t="str">
        <v/>
      </c>
      <c r="K154" s="167" t="str">
        <v/>
      </c>
      <c r="L154" s="167" t="str">
        <v/>
      </c>
      <c r="M154" s="167" t="str">
        <v/>
      </c>
      <c r="N154" s="167" t="str">
        <v/>
      </c>
      <c r="O154" s="167" t="str">
        <v/>
      </c>
      <c r="P154" s="167" t="str">
        <v/>
      </c>
    </row>
    <row r="155" spans="1:16" x14ac:dyDescent="0.2">
      <c r="A155" s="58" t="str">
        <v/>
      </c>
      <c r="B155" s="144" t="str">
        <f>IFERROR(TIMEVALUE(DaqBook_RAW_Data!Q145),IFERROR(TIMEVALUE(DaqBook_RAW_Data!A145),""))</f>
        <v/>
      </c>
      <c r="C155" s="167" t="str">
        <v/>
      </c>
      <c r="D155" s="167" t="str">
        <v/>
      </c>
      <c r="E155" s="167" t="str">
        <v/>
      </c>
      <c r="F155" s="167" t="str">
        <v/>
      </c>
      <c r="G155" s="167" t="str">
        <v/>
      </c>
      <c r="H155" s="167" t="str">
        <v/>
      </c>
      <c r="I155" s="167" t="str">
        <v/>
      </c>
      <c r="J155" s="167" t="str">
        <v/>
      </c>
      <c r="K155" s="167" t="str">
        <v/>
      </c>
      <c r="L155" s="167" t="str">
        <v/>
      </c>
      <c r="M155" s="167" t="str">
        <v/>
      </c>
      <c r="N155" s="167" t="str">
        <v/>
      </c>
      <c r="O155" s="167" t="str">
        <v/>
      </c>
      <c r="P155" s="167" t="str">
        <v/>
      </c>
    </row>
    <row r="156" spans="1:16" x14ac:dyDescent="0.2">
      <c r="A156" s="58" t="str">
        <v/>
      </c>
      <c r="B156" s="144" t="str">
        <f>IFERROR(TIMEVALUE(DaqBook_RAW_Data!Q146),IFERROR(TIMEVALUE(DaqBook_RAW_Data!A146),""))</f>
        <v/>
      </c>
      <c r="C156" s="167" t="str">
        <v/>
      </c>
      <c r="D156" s="167" t="str">
        <v/>
      </c>
      <c r="E156" s="167" t="str">
        <v/>
      </c>
      <c r="F156" s="167" t="str">
        <v/>
      </c>
      <c r="G156" s="167" t="str">
        <v/>
      </c>
      <c r="H156" s="167" t="str">
        <v/>
      </c>
      <c r="I156" s="167" t="str">
        <v/>
      </c>
      <c r="J156" s="167" t="str">
        <v/>
      </c>
      <c r="K156" s="167" t="str">
        <v/>
      </c>
      <c r="L156" s="167" t="str">
        <v/>
      </c>
      <c r="M156" s="167" t="str">
        <v/>
      </c>
      <c r="N156" s="167" t="str">
        <v/>
      </c>
      <c r="O156" s="167" t="str">
        <v/>
      </c>
      <c r="P156" s="167" t="str">
        <v/>
      </c>
    </row>
    <row r="157" spans="1:16" x14ac:dyDescent="0.2">
      <c r="A157" s="58" t="str">
        <v/>
      </c>
      <c r="B157" s="144" t="str">
        <f>IFERROR(TIMEVALUE(DaqBook_RAW_Data!Q147),IFERROR(TIMEVALUE(DaqBook_RAW_Data!A147),""))</f>
        <v/>
      </c>
      <c r="C157" s="167" t="str">
        <v/>
      </c>
      <c r="D157" s="167" t="str">
        <v/>
      </c>
      <c r="E157" s="167" t="str">
        <v/>
      </c>
      <c r="F157" s="167" t="str">
        <v/>
      </c>
      <c r="G157" s="167" t="str">
        <v/>
      </c>
      <c r="H157" s="167" t="str">
        <v/>
      </c>
      <c r="I157" s="167" t="str">
        <v/>
      </c>
      <c r="J157" s="167" t="str">
        <v/>
      </c>
      <c r="K157" s="167" t="str">
        <v/>
      </c>
      <c r="L157" s="167" t="str">
        <v/>
      </c>
      <c r="M157" s="167" t="str">
        <v/>
      </c>
      <c r="N157" s="167" t="str">
        <v/>
      </c>
      <c r="O157" s="167" t="str">
        <v/>
      </c>
      <c r="P157" s="167" t="str">
        <v/>
      </c>
    </row>
    <row r="158" spans="1:16" x14ac:dyDescent="0.2">
      <c r="A158" s="58" t="str">
        <v/>
      </c>
      <c r="B158" s="144" t="str">
        <f>IFERROR(TIMEVALUE(DaqBook_RAW_Data!Q148),IFERROR(TIMEVALUE(DaqBook_RAW_Data!A148),""))</f>
        <v/>
      </c>
      <c r="C158" s="167" t="str">
        <v/>
      </c>
      <c r="D158" s="167" t="str">
        <v/>
      </c>
      <c r="E158" s="167" t="str">
        <v/>
      </c>
      <c r="F158" s="167" t="str">
        <v/>
      </c>
      <c r="G158" s="167" t="str">
        <v/>
      </c>
      <c r="H158" s="167" t="str">
        <v/>
      </c>
      <c r="I158" s="167" t="str">
        <v/>
      </c>
      <c r="J158" s="167" t="str">
        <v/>
      </c>
      <c r="K158" s="167" t="str">
        <v/>
      </c>
      <c r="L158" s="167" t="str">
        <v/>
      </c>
      <c r="M158" s="167" t="str">
        <v/>
      </c>
      <c r="N158" s="167" t="str">
        <v/>
      </c>
      <c r="O158" s="167" t="str">
        <v/>
      </c>
      <c r="P158" s="167" t="str">
        <v/>
      </c>
    </row>
    <row r="159" spans="1:16" x14ac:dyDescent="0.2">
      <c r="A159" s="58" t="str">
        <v/>
      </c>
      <c r="B159" s="144" t="str">
        <f>IFERROR(TIMEVALUE(DaqBook_RAW_Data!Q149),IFERROR(TIMEVALUE(DaqBook_RAW_Data!A149),""))</f>
        <v/>
      </c>
      <c r="C159" s="167" t="str">
        <v/>
      </c>
      <c r="D159" s="167" t="str">
        <v/>
      </c>
      <c r="E159" s="167" t="str">
        <v/>
      </c>
      <c r="F159" s="167" t="str">
        <v/>
      </c>
      <c r="G159" s="167" t="str">
        <v/>
      </c>
      <c r="H159" s="167" t="str">
        <v/>
      </c>
      <c r="I159" s="167" t="str">
        <v/>
      </c>
      <c r="J159" s="167" t="str">
        <v/>
      </c>
      <c r="K159" s="167" t="str">
        <v/>
      </c>
      <c r="L159" s="167" t="str">
        <v/>
      </c>
      <c r="M159" s="167" t="str">
        <v/>
      </c>
      <c r="N159" s="167" t="str">
        <v/>
      </c>
      <c r="O159" s="167" t="str">
        <v/>
      </c>
      <c r="P159" s="167" t="str">
        <v/>
      </c>
    </row>
    <row r="160" spans="1:16" x14ac:dyDescent="0.2">
      <c r="A160" s="58" t="str">
        <v/>
      </c>
      <c r="B160" s="144" t="str">
        <f>IFERROR(TIMEVALUE(DaqBook_RAW_Data!Q150),IFERROR(TIMEVALUE(DaqBook_RAW_Data!A150),""))</f>
        <v/>
      </c>
      <c r="C160" s="167" t="str">
        <v/>
      </c>
      <c r="D160" s="167" t="str">
        <v/>
      </c>
      <c r="E160" s="167" t="str">
        <v/>
      </c>
      <c r="F160" s="167" t="str">
        <v/>
      </c>
      <c r="G160" s="167" t="str">
        <v/>
      </c>
      <c r="H160" s="167" t="str">
        <v/>
      </c>
      <c r="I160" s="167" t="str">
        <v/>
      </c>
      <c r="J160" s="167" t="str">
        <v/>
      </c>
      <c r="K160" s="167" t="str">
        <v/>
      </c>
      <c r="L160" s="167" t="str">
        <v/>
      </c>
      <c r="M160" s="167" t="str">
        <v/>
      </c>
      <c r="N160" s="167" t="str">
        <v/>
      </c>
      <c r="O160" s="167" t="str">
        <v/>
      </c>
      <c r="P160" s="167" t="str">
        <v/>
      </c>
    </row>
    <row r="161" spans="1:16" x14ac:dyDescent="0.2">
      <c r="A161" s="58" t="str">
        <v/>
      </c>
      <c r="B161" s="144" t="str">
        <f>IFERROR(TIMEVALUE(DaqBook_RAW_Data!Q151),IFERROR(TIMEVALUE(DaqBook_RAW_Data!A151),""))</f>
        <v/>
      </c>
      <c r="C161" s="167" t="str">
        <v/>
      </c>
      <c r="D161" s="167" t="str">
        <v/>
      </c>
      <c r="E161" s="167" t="str">
        <v/>
      </c>
      <c r="F161" s="167" t="str">
        <v/>
      </c>
      <c r="G161" s="167" t="str">
        <v/>
      </c>
      <c r="H161" s="167" t="str">
        <v/>
      </c>
      <c r="I161" s="167" t="str">
        <v/>
      </c>
      <c r="J161" s="167" t="str">
        <v/>
      </c>
      <c r="K161" s="167" t="str">
        <v/>
      </c>
      <c r="L161" s="167" t="str">
        <v/>
      </c>
      <c r="M161" s="167" t="str">
        <v/>
      </c>
      <c r="N161" s="167" t="str">
        <v/>
      </c>
      <c r="O161" s="167" t="str">
        <v/>
      </c>
      <c r="P161" s="167" t="str">
        <v/>
      </c>
    </row>
    <row r="162" spans="1:16" x14ac:dyDescent="0.2">
      <c r="A162" s="58" t="str">
        <v/>
      </c>
      <c r="B162" s="144" t="str">
        <f>IFERROR(TIMEVALUE(DaqBook_RAW_Data!Q152),IFERROR(TIMEVALUE(DaqBook_RAW_Data!A152),""))</f>
        <v/>
      </c>
      <c r="C162" s="167" t="str">
        <v/>
      </c>
      <c r="D162" s="167" t="str">
        <v/>
      </c>
      <c r="E162" s="167" t="str">
        <v/>
      </c>
      <c r="F162" s="167" t="str">
        <v/>
      </c>
      <c r="G162" s="167" t="str">
        <v/>
      </c>
      <c r="H162" s="167" t="str">
        <v/>
      </c>
      <c r="I162" s="167" t="str">
        <v/>
      </c>
      <c r="J162" s="167" t="str">
        <v/>
      </c>
      <c r="K162" s="167" t="str">
        <v/>
      </c>
      <c r="L162" s="167" t="str">
        <v/>
      </c>
      <c r="M162" s="167" t="str">
        <v/>
      </c>
      <c r="N162" s="167" t="str">
        <v/>
      </c>
      <c r="O162" s="167" t="str">
        <v/>
      </c>
      <c r="P162" s="167" t="str">
        <v/>
      </c>
    </row>
    <row r="163" spans="1:16" x14ac:dyDescent="0.2">
      <c r="A163" s="58" t="str">
        <v/>
      </c>
      <c r="B163" s="144" t="str">
        <f>IFERROR(TIMEVALUE(DaqBook_RAW_Data!Q153),IFERROR(TIMEVALUE(DaqBook_RAW_Data!A153),""))</f>
        <v/>
      </c>
      <c r="C163" s="167" t="str">
        <v/>
      </c>
      <c r="D163" s="167" t="str">
        <v/>
      </c>
      <c r="E163" s="167" t="str">
        <v/>
      </c>
      <c r="F163" s="167" t="str">
        <v/>
      </c>
      <c r="G163" s="167" t="str">
        <v/>
      </c>
      <c r="H163" s="167" t="str">
        <v/>
      </c>
      <c r="I163" s="167" t="str">
        <v/>
      </c>
      <c r="J163" s="167" t="str">
        <v/>
      </c>
      <c r="K163" s="167" t="str">
        <v/>
      </c>
      <c r="L163" s="167" t="str">
        <v/>
      </c>
      <c r="M163" s="167" t="str">
        <v/>
      </c>
      <c r="N163" s="167" t="str">
        <v/>
      </c>
      <c r="O163" s="167" t="str">
        <v/>
      </c>
      <c r="P163" s="167" t="str">
        <v/>
      </c>
    </row>
    <row r="164" spans="1:16" x14ac:dyDescent="0.2">
      <c r="A164" s="58" t="str">
        <v/>
      </c>
      <c r="B164" s="144" t="str">
        <f>IFERROR(TIMEVALUE(DaqBook_RAW_Data!Q154),IFERROR(TIMEVALUE(DaqBook_RAW_Data!A154),""))</f>
        <v/>
      </c>
      <c r="C164" s="167" t="str">
        <v/>
      </c>
      <c r="D164" s="167" t="str">
        <v/>
      </c>
      <c r="E164" s="167" t="str">
        <v/>
      </c>
      <c r="F164" s="167" t="str">
        <v/>
      </c>
      <c r="G164" s="167" t="str">
        <v/>
      </c>
      <c r="H164" s="167" t="str">
        <v/>
      </c>
      <c r="I164" s="167" t="str">
        <v/>
      </c>
      <c r="J164" s="167" t="str">
        <v/>
      </c>
      <c r="K164" s="167" t="str">
        <v/>
      </c>
      <c r="L164" s="167" t="str">
        <v/>
      </c>
      <c r="M164" s="167" t="str">
        <v/>
      </c>
      <c r="N164" s="167" t="str">
        <v/>
      </c>
      <c r="O164" s="167" t="str">
        <v/>
      </c>
      <c r="P164" s="167" t="str">
        <v/>
      </c>
    </row>
    <row r="165" spans="1:16" x14ac:dyDescent="0.2">
      <c r="A165" s="58" t="str">
        <v/>
      </c>
      <c r="B165" s="144" t="str">
        <f>IFERROR(TIMEVALUE(DaqBook_RAW_Data!Q155),IFERROR(TIMEVALUE(DaqBook_RAW_Data!A155),""))</f>
        <v/>
      </c>
      <c r="C165" s="167" t="str">
        <v/>
      </c>
      <c r="D165" s="167" t="str">
        <v/>
      </c>
      <c r="E165" s="167" t="str">
        <v/>
      </c>
      <c r="F165" s="167" t="str">
        <v/>
      </c>
      <c r="G165" s="167" t="str">
        <v/>
      </c>
      <c r="H165" s="167" t="str">
        <v/>
      </c>
      <c r="I165" s="167" t="str">
        <v/>
      </c>
      <c r="J165" s="167" t="str">
        <v/>
      </c>
      <c r="K165" s="167" t="str">
        <v/>
      </c>
      <c r="L165" s="167" t="str">
        <v/>
      </c>
      <c r="M165" s="167" t="str">
        <v/>
      </c>
      <c r="N165" s="167" t="str">
        <v/>
      </c>
      <c r="O165" s="167" t="str">
        <v/>
      </c>
      <c r="P165" s="167" t="str">
        <v/>
      </c>
    </row>
    <row r="166" spans="1:16" x14ac:dyDescent="0.2">
      <c r="A166" s="58" t="str">
        <v/>
      </c>
      <c r="B166" s="144" t="str">
        <f>IFERROR(TIMEVALUE(DaqBook_RAW_Data!Q156),IFERROR(TIMEVALUE(DaqBook_RAW_Data!A156),""))</f>
        <v/>
      </c>
      <c r="C166" s="167" t="str">
        <v/>
      </c>
      <c r="D166" s="167" t="str">
        <v/>
      </c>
      <c r="E166" s="167" t="str">
        <v/>
      </c>
      <c r="F166" s="167" t="str">
        <v/>
      </c>
      <c r="G166" s="167" t="str">
        <v/>
      </c>
      <c r="H166" s="167" t="str">
        <v/>
      </c>
      <c r="I166" s="167" t="str">
        <v/>
      </c>
      <c r="J166" s="167" t="str">
        <v/>
      </c>
      <c r="K166" s="167" t="str">
        <v/>
      </c>
      <c r="L166" s="167" t="str">
        <v/>
      </c>
      <c r="M166" s="167" t="str">
        <v/>
      </c>
      <c r="N166" s="167" t="str">
        <v/>
      </c>
      <c r="O166" s="167" t="str">
        <v/>
      </c>
      <c r="P166" s="167" t="str">
        <v/>
      </c>
    </row>
    <row r="167" spans="1:16" x14ac:dyDescent="0.2">
      <c r="A167" s="58" t="str">
        <v/>
      </c>
      <c r="B167" s="144" t="str">
        <f>IFERROR(TIMEVALUE(DaqBook_RAW_Data!Q157),IFERROR(TIMEVALUE(DaqBook_RAW_Data!A157),""))</f>
        <v/>
      </c>
      <c r="C167" s="167" t="str">
        <v/>
      </c>
      <c r="D167" s="167" t="str">
        <v/>
      </c>
      <c r="E167" s="167" t="str">
        <v/>
      </c>
      <c r="F167" s="167" t="str">
        <v/>
      </c>
      <c r="G167" s="167" t="str">
        <v/>
      </c>
      <c r="H167" s="167" t="str">
        <v/>
      </c>
      <c r="I167" s="167" t="str">
        <v/>
      </c>
      <c r="J167" s="167" t="str">
        <v/>
      </c>
      <c r="K167" s="167" t="str">
        <v/>
      </c>
      <c r="L167" s="167" t="str">
        <v/>
      </c>
      <c r="M167" s="167" t="str">
        <v/>
      </c>
      <c r="N167" s="167" t="str">
        <v/>
      </c>
      <c r="O167" s="167" t="str">
        <v/>
      </c>
      <c r="P167" s="167" t="str">
        <v/>
      </c>
    </row>
    <row r="168" spans="1:16" x14ac:dyDescent="0.2">
      <c r="A168" s="58" t="str">
        <v/>
      </c>
      <c r="B168" s="144" t="str">
        <f>IFERROR(TIMEVALUE(DaqBook_RAW_Data!Q158),IFERROR(TIMEVALUE(DaqBook_RAW_Data!A158),""))</f>
        <v/>
      </c>
      <c r="C168" s="167" t="str">
        <v/>
      </c>
      <c r="D168" s="167" t="str">
        <v/>
      </c>
      <c r="E168" s="167" t="str">
        <v/>
      </c>
      <c r="F168" s="167" t="str">
        <v/>
      </c>
      <c r="G168" s="167" t="str">
        <v/>
      </c>
      <c r="H168" s="167" t="str">
        <v/>
      </c>
      <c r="I168" s="167" t="str">
        <v/>
      </c>
      <c r="J168" s="167" t="str">
        <v/>
      </c>
      <c r="K168" s="167" t="str">
        <v/>
      </c>
      <c r="L168" s="167" t="str">
        <v/>
      </c>
      <c r="M168" s="167" t="str">
        <v/>
      </c>
      <c r="N168" s="167" t="str">
        <v/>
      </c>
      <c r="O168" s="167" t="str">
        <v/>
      </c>
      <c r="P168" s="167" t="str">
        <v/>
      </c>
    </row>
    <row r="169" spans="1:16" x14ac:dyDescent="0.2">
      <c r="A169" s="58" t="str">
        <v/>
      </c>
      <c r="B169" s="144" t="str">
        <f>IFERROR(TIMEVALUE(DaqBook_RAW_Data!Q159),IFERROR(TIMEVALUE(DaqBook_RAW_Data!A159),""))</f>
        <v/>
      </c>
      <c r="C169" s="167" t="str">
        <v/>
      </c>
      <c r="D169" s="167" t="str">
        <v/>
      </c>
      <c r="E169" s="167" t="str">
        <v/>
      </c>
      <c r="F169" s="167" t="str">
        <v/>
      </c>
      <c r="G169" s="167" t="str">
        <v/>
      </c>
      <c r="H169" s="167" t="str">
        <v/>
      </c>
      <c r="I169" s="167" t="str">
        <v/>
      </c>
      <c r="J169" s="167" t="str">
        <v/>
      </c>
      <c r="K169" s="167" t="str">
        <v/>
      </c>
      <c r="L169" s="167" t="str">
        <v/>
      </c>
      <c r="M169" s="167" t="str">
        <v/>
      </c>
      <c r="N169" s="167" t="str">
        <v/>
      </c>
      <c r="O169" s="167" t="str">
        <v/>
      </c>
      <c r="P169" s="167" t="str">
        <v/>
      </c>
    </row>
    <row r="170" spans="1:16" x14ac:dyDescent="0.2">
      <c r="A170" s="58" t="str">
        <v/>
      </c>
      <c r="B170" s="144" t="str">
        <f>IFERROR(TIMEVALUE(DaqBook_RAW_Data!Q160),IFERROR(TIMEVALUE(DaqBook_RAW_Data!A160),""))</f>
        <v/>
      </c>
      <c r="C170" s="167" t="str">
        <v/>
      </c>
      <c r="D170" s="167" t="str">
        <v/>
      </c>
      <c r="E170" s="167" t="str">
        <v/>
      </c>
      <c r="F170" s="167" t="str">
        <v/>
      </c>
      <c r="G170" s="167" t="str">
        <v/>
      </c>
      <c r="H170" s="167" t="str">
        <v/>
      </c>
      <c r="I170" s="167" t="str">
        <v/>
      </c>
      <c r="J170" s="167" t="str">
        <v/>
      </c>
      <c r="K170" s="167" t="str">
        <v/>
      </c>
      <c r="L170" s="167" t="str">
        <v/>
      </c>
      <c r="M170" s="167" t="str">
        <v/>
      </c>
      <c r="N170" s="167" t="str">
        <v/>
      </c>
      <c r="O170" s="167" t="str">
        <v/>
      </c>
      <c r="P170" s="167" t="str">
        <v/>
      </c>
    </row>
    <row r="171" spans="1:16" x14ac:dyDescent="0.2">
      <c r="A171" s="58" t="str">
        <v/>
      </c>
      <c r="B171" s="144" t="str">
        <f>IFERROR(TIMEVALUE(DaqBook_RAW_Data!Q161),IFERROR(TIMEVALUE(DaqBook_RAW_Data!A161),""))</f>
        <v/>
      </c>
      <c r="C171" s="167" t="str">
        <v/>
      </c>
      <c r="D171" s="167" t="str">
        <v/>
      </c>
      <c r="E171" s="167" t="str">
        <v/>
      </c>
      <c r="F171" s="167" t="str">
        <v/>
      </c>
      <c r="G171" s="167" t="str">
        <v/>
      </c>
      <c r="H171" s="167" t="str">
        <v/>
      </c>
      <c r="I171" s="167" t="str">
        <v/>
      </c>
      <c r="J171" s="167" t="str">
        <v/>
      </c>
      <c r="K171" s="167" t="str">
        <v/>
      </c>
      <c r="L171" s="167" t="str">
        <v/>
      </c>
      <c r="M171" s="167" t="str">
        <v/>
      </c>
      <c r="N171" s="167" t="str">
        <v/>
      </c>
      <c r="O171" s="167" t="str">
        <v/>
      </c>
      <c r="P171" s="167" t="str">
        <v/>
      </c>
    </row>
    <row r="172" spans="1:16" x14ac:dyDescent="0.2">
      <c r="A172" s="58" t="str">
        <v/>
      </c>
      <c r="B172" s="144" t="str">
        <f>IFERROR(TIMEVALUE(DaqBook_RAW_Data!Q162),IFERROR(TIMEVALUE(DaqBook_RAW_Data!A162),""))</f>
        <v/>
      </c>
      <c r="C172" s="167" t="str">
        <v/>
      </c>
      <c r="D172" s="167" t="str">
        <v/>
      </c>
      <c r="E172" s="167" t="str">
        <v/>
      </c>
      <c r="F172" s="167" t="str">
        <v/>
      </c>
      <c r="G172" s="167" t="str">
        <v/>
      </c>
      <c r="H172" s="167" t="str">
        <v/>
      </c>
      <c r="I172" s="167" t="str">
        <v/>
      </c>
      <c r="J172" s="167" t="str">
        <v/>
      </c>
      <c r="K172" s="167" t="str">
        <v/>
      </c>
      <c r="L172" s="167" t="str">
        <v/>
      </c>
      <c r="M172" s="167" t="str">
        <v/>
      </c>
      <c r="N172" s="167" t="str">
        <v/>
      </c>
      <c r="O172" s="167" t="str">
        <v/>
      </c>
      <c r="P172" s="167" t="str">
        <v/>
      </c>
    </row>
    <row r="173" spans="1:16" x14ac:dyDescent="0.2">
      <c r="A173" s="58" t="str">
        <v/>
      </c>
      <c r="B173" s="144" t="str">
        <f>IFERROR(TIMEVALUE(DaqBook_RAW_Data!Q163),IFERROR(TIMEVALUE(DaqBook_RAW_Data!A163),""))</f>
        <v/>
      </c>
      <c r="C173" s="167" t="str">
        <v/>
      </c>
      <c r="D173" s="167" t="str">
        <v/>
      </c>
      <c r="E173" s="167" t="str">
        <v/>
      </c>
      <c r="F173" s="167" t="str">
        <v/>
      </c>
      <c r="G173" s="167" t="str">
        <v/>
      </c>
      <c r="H173" s="167" t="str">
        <v/>
      </c>
      <c r="I173" s="167" t="str">
        <v/>
      </c>
      <c r="J173" s="167" t="str">
        <v/>
      </c>
      <c r="K173" s="167" t="str">
        <v/>
      </c>
      <c r="L173" s="167" t="str">
        <v/>
      </c>
      <c r="M173" s="167" t="str">
        <v/>
      </c>
      <c r="N173" s="167" t="str">
        <v/>
      </c>
      <c r="O173" s="167" t="str">
        <v/>
      </c>
      <c r="P173" s="167" t="str">
        <v/>
      </c>
    </row>
    <row r="174" spans="1:16" x14ac:dyDescent="0.2">
      <c r="A174" s="58" t="str">
        <v/>
      </c>
      <c r="B174" s="144" t="str">
        <f>IFERROR(TIMEVALUE(DaqBook_RAW_Data!Q164),IFERROR(TIMEVALUE(DaqBook_RAW_Data!A164),""))</f>
        <v/>
      </c>
      <c r="C174" s="167" t="str">
        <v/>
      </c>
      <c r="D174" s="167" t="str">
        <v/>
      </c>
      <c r="E174" s="167" t="str">
        <v/>
      </c>
      <c r="F174" s="167" t="str">
        <v/>
      </c>
      <c r="G174" s="167" t="str">
        <v/>
      </c>
      <c r="H174" s="167" t="str">
        <v/>
      </c>
      <c r="I174" s="167" t="str">
        <v/>
      </c>
      <c r="J174" s="167" t="str">
        <v/>
      </c>
      <c r="K174" s="167" t="str">
        <v/>
      </c>
      <c r="L174" s="167" t="str">
        <v/>
      </c>
      <c r="M174" s="167" t="str">
        <v/>
      </c>
      <c r="N174" s="167" t="str">
        <v/>
      </c>
      <c r="O174" s="167" t="str">
        <v/>
      </c>
      <c r="P174" s="167" t="str">
        <v/>
      </c>
    </row>
    <row r="175" spans="1:16" x14ac:dyDescent="0.2">
      <c r="A175" s="58" t="str">
        <v/>
      </c>
      <c r="B175" s="144" t="str">
        <f>IFERROR(TIMEVALUE(DaqBook_RAW_Data!Q165),IFERROR(TIMEVALUE(DaqBook_RAW_Data!A165),""))</f>
        <v/>
      </c>
      <c r="C175" s="167" t="str">
        <v/>
      </c>
      <c r="D175" s="167" t="str">
        <v/>
      </c>
      <c r="E175" s="167" t="str">
        <v/>
      </c>
      <c r="F175" s="167" t="str">
        <v/>
      </c>
      <c r="G175" s="167" t="str">
        <v/>
      </c>
      <c r="H175" s="167" t="str">
        <v/>
      </c>
      <c r="I175" s="167" t="str">
        <v/>
      </c>
      <c r="J175" s="167" t="str">
        <v/>
      </c>
      <c r="K175" s="167" t="str">
        <v/>
      </c>
      <c r="L175" s="167" t="str">
        <v/>
      </c>
      <c r="M175" s="167" t="str">
        <v/>
      </c>
      <c r="N175" s="167" t="str">
        <v/>
      </c>
      <c r="O175" s="167" t="str">
        <v/>
      </c>
      <c r="P175" s="167" t="str">
        <v/>
      </c>
    </row>
    <row r="176" spans="1:16" x14ac:dyDescent="0.2">
      <c r="A176" s="58" t="str">
        <v/>
      </c>
      <c r="B176" s="144" t="str">
        <f>IFERROR(TIMEVALUE(DaqBook_RAW_Data!Q166),IFERROR(TIMEVALUE(DaqBook_RAW_Data!A166),""))</f>
        <v/>
      </c>
      <c r="C176" s="167" t="str">
        <v/>
      </c>
      <c r="D176" s="167" t="str">
        <v/>
      </c>
      <c r="E176" s="167" t="str">
        <v/>
      </c>
      <c r="F176" s="167" t="str">
        <v/>
      </c>
      <c r="G176" s="167" t="str">
        <v/>
      </c>
      <c r="H176" s="167" t="str">
        <v/>
      </c>
      <c r="I176" s="167" t="str">
        <v/>
      </c>
      <c r="J176" s="167" t="str">
        <v/>
      </c>
      <c r="K176" s="167" t="str">
        <v/>
      </c>
      <c r="L176" s="167" t="str">
        <v/>
      </c>
      <c r="M176" s="167" t="str">
        <v/>
      </c>
      <c r="N176" s="167" t="str">
        <v/>
      </c>
      <c r="O176" s="167" t="str">
        <v/>
      </c>
      <c r="P176" s="167" t="str">
        <v/>
      </c>
    </row>
    <row r="177" spans="1:16" x14ac:dyDescent="0.2">
      <c r="A177" s="58" t="str">
        <v/>
      </c>
      <c r="B177" s="144" t="str">
        <f>IFERROR(TIMEVALUE(DaqBook_RAW_Data!Q167),IFERROR(TIMEVALUE(DaqBook_RAW_Data!A167),""))</f>
        <v/>
      </c>
      <c r="C177" s="167" t="str">
        <v/>
      </c>
      <c r="D177" s="167" t="str">
        <v/>
      </c>
      <c r="E177" s="167" t="str">
        <v/>
      </c>
      <c r="F177" s="167" t="str">
        <v/>
      </c>
      <c r="G177" s="167" t="str">
        <v/>
      </c>
      <c r="H177" s="167" t="str">
        <v/>
      </c>
      <c r="I177" s="167" t="str">
        <v/>
      </c>
      <c r="J177" s="167" t="str">
        <v/>
      </c>
      <c r="K177" s="167" t="str">
        <v/>
      </c>
      <c r="L177" s="167" t="str">
        <v/>
      </c>
      <c r="M177" s="167" t="str">
        <v/>
      </c>
      <c r="N177" s="167" t="str">
        <v/>
      </c>
      <c r="O177" s="167" t="str">
        <v/>
      </c>
      <c r="P177" s="167" t="str">
        <v/>
      </c>
    </row>
    <row r="178" spans="1:16" x14ac:dyDescent="0.2">
      <c r="A178" s="58" t="str">
        <v/>
      </c>
      <c r="B178" s="144" t="str">
        <f>IFERROR(TIMEVALUE(DaqBook_RAW_Data!Q168),IFERROR(TIMEVALUE(DaqBook_RAW_Data!A168),""))</f>
        <v/>
      </c>
      <c r="C178" s="167" t="str">
        <v/>
      </c>
      <c r="D178" s="167" t="str">
        <v/>
      </c>
      <c r="E178" s="167" t="str">
        <v/>
      </c>
      <c r="F178" s="167" t="str">
        <v/>
      </c>
      <c r="G178" s="167" t="str">
        <v/>
      </c>
      <c r="H178" s="167" t="str">
        <v/>
      </c>
      <c r="I178" s="167" t="str">
        <v/>
      </c>
      <c r="J178" s="167" t="str">
        <v/>
      </c>
      <c r="K178" s="167" t="str">
        <v/>
      </c>
      <c r="L178" s="167" t="str">
        <v/>
      </c>
      <c r="M178" s="167" t="str">
        <v/>
      </c>
      <c r="N178" s="167" t="str">
        <v/>
      </c>
      <c r="O178" s="167" t="str">
        <v/>
      </c>
      <c r="P178" s="167" t="str">
        <v/>
      </c>
    </row>
    <row r="179" spans="1:16" x14ac:dyDescent="0.2">
      <c r="A179" s="58" t="str">
        <v/>
      </c>
      <c r="B179" s="144" t="str">
        <f>IFERROR(TIMEVALUE(DaqBook_RAW_Data!Q169),IFERROR(TIMEVALUE(DaqBook_RAW_Data!A169),""))</f>
        <v/>
      </c>
      <c r="C179" s="167" t="str">
        <v/>
      </c>
      <c r="D179" s="167" t="str">
        <v/>
      </c>
      <c r="E179" s="167" t="str">
        <v/>
      </c>
      <c r="F179" s="167" t="str">
        <v/>
      </c>
      <c r="G179" s="167" t="str">
        <v/>
      </c>
      <c r="H179" s="167" t="str">
        <v/>
      </c>
      <c r="I179" s="167" t="str">
        <v/>
      </c>
      <c r="J179" s="167" t="str">
        <v/>
      </c>
      <c r="K179" s="167" t="str">
        <v/>
      </c>
      <c r="L179" s="167" t="str">
        <v/>
      </c>
      <c r="M179" s="167" t="str">
        <v/>
      </c>
      <c r="N179" s="167" t="str">
        <v/>
      </c>
      <c r="O179" s="167" t="str">
        <v/>
      </c>
      <c r="P179" s="167" t="str">
        <v/>
      </c>
    </row>
    <row r="180" spans="1:16" x14ac:dyDescent="0.2">
      <c r="A180" s="58" t="str">
        <v/>
      </c>
      <c r="B180" s="144" t="str">
        <f>IFERROR(TIMEVALUE(DaqBook_RAW_Data!Q170),IFERROR(TIMEVALUE(DaqBook_RAW_Data!A170),""))</f>
        <v/>
      </c>
      <c r="C180" s="167" t="str">
        <v/>
      </c>
      <c r="D180" s="167" t="str">
        <v/>
      </c>
      <c r="E180" s="167" t="str">
        <v/>
      </c>
      <c r="F180" s="167" t="str">
        <v/>
      </c>
      <c r="G180" s="167" t="str">
        <v/>
      </c>
      <c r="H180" s="167" t="str">
        <v/>
      </c>
      <c r="I180" s="167" t="str">
        <v/>
      </c>
      <c r="J180" s="167" t="str">
        <v/>
      </c>
      <c r="K180" s="167" t="str">
        <v/>
      </c>
      <c r="L180" s="167" t="str">
        <v/>
      </c>
      <c r="M180" s="167" t="str">
        <v/>
      </c>
      <c r="N180" s="167" t="str">
        <v/>
      </c>
      <c r="O180" s="167" t="str">
        <v/>
      </c>
      <c r="P180" s="167" t="str">
        <v/>
      </c>
    </row>
    <row r="181" spans="1:16" x14ac:dyDescent="0.2">
      <c r="A181" s="58" t="str">
        <v/>
      </c>
      <c r="B181" s="144" t="str">
        <f>IFERROR(TIMEVALUE(DaqBook_RAW_Data!Q171),IFERROR(TIMEVALUE(DaqBook_RAW_Data!A171),""))</f>
        <v/>
      </c>
      <c r="C181" s="167" t="str">
        <v/>
      </c>
      <c r="D181" s="167" t="str">
        <v/>
      </c>
      <c r="E181" s="167" t="str">
        <v/>
      </c>
      <c r="F181" s="167" t="str">
        <v/>
      </c>
      <c r="G181" s="167" t="str">
        <v/>
      </c>
      <c r="H181" s="167" t="str">
        <v/>
      </c>
      <c r="I181" s="167" t="str">
        <v/>
      </c>
      <c r="J181" s="167" t="str">
        <v/>
      </c>
      <c r="K181" s="167" t="str">
        <v/>
      </c>
      <c r="L181" s="167" t="str">
        <v/>
      </c>
      <c r="M181" s="167" t="str">
        <v/>
      </c>
      <c r="N181" s="167" t="str">
        <v/>
      </c>
      <c r="O181" s="167" t="str">
        <v/>
      </c>
      <c r="P181" s="167" t="str">
        <v/>
      </c>
    </row>
    <row r="182" spans="1:16" x14ac:dyDescent="0.2">
      <c r="A182" s="58" t="str">
        <v/>
      </c>
      <c r="B182" s="144" t="str">
        <f>IFERROR(TIMEVALUE(DaqBook_RAW_Data!Q172),IFERROR(TIMEVALUE(DaqBook_RAW_Data!A172),""))</f>
        <v/>
      </c>
      <c r="C182" s="167" t="str">
        <v/>
      </c>
      <c r="D182" s="167" t="str">
        <v/>
      </c>
      <c r="E182" s="167" t="str">
        <v/>
      </c>
      <c r="F182" s="167" t="str">
        <v/>
      </c>
      <c r="G182" s="167" t="str">
        <v/>
      </c>
      <c r="H182" s="167" t="str">
        <v/>
      </c>
      <c r="I182" s="167" t="str">
        <v/>
      </c>
      <c r="J182" s="167" t="str">
        <v/>
      </c>
      <c r="K182" s="167" t="str">
        <v/>
      </c>
      <c r="L182" s="167" t="str">
        <v/>
      </c>
      <c r="M182" s="167" t="str">
        <v/>
      </c>
      <c r="N182" s="167" t="str">
        <v/>
      </c>
      <c r="O182" s="167" t="str">
        <v/>
      </c>
      <c r="P182" s="167" t="str">
        <v/>
      </c>
    </row>
    <row r="183" spans="1:16" x14ac:dyDescent="0.2">
      <c r="A183" s="58" t="str">
        <v/>
      </c>
      <c r="B183" s="144" t="str">
        <f>IFERROR(TIMEVALUE(DaqBook_RAW_Data!Q173),IFERROR(TIMEVALUE(DaqBook_RAW_Data!A173),""))</f>
        <v/>
      </c>
      <c r="C183" s="167" t="str">
        <v/>
      </c>
      <c r="D183" s="167" t="str">
        <v/>
      </c>
      <c r="E183" s="167" t="str">
        <v/>
      </c>
      <c r="F183" s="167" t="str">
        <v/>
      </c>
      <c r="G183" s="167" t="str">
        <v/>
      </c>
      <c r="H183" s="167" t="str">
        <v/>
      </c>
      <c r="I183" s="167" t="str">
        <v/>
      </c>
      <c r="J183" s="167" t="str">
        <v/>
      </c>
      <c r="K183" s="167" t="str">
        <v/>
      </c>
      <c r="L183" s="167" t="str">
        <v/>
      </c>
      <c r="M183" s="167" t="str">
        <v/>
      </c>
      <c r="N183" s="167" t="str">
        <v/>
      </c>
      <c r="O183" s="167" t="str">
        <v/>
      </c>
      <c r="P183" s="167" t="str">
        <v/>
      </c>
    </row>
    <row r="184" spans="1:16" x14ac:dyDescent="0.2">
      <c r="A184" s="58" t="str">
        <v/>
      </c>
      <c r="B184" s="144" t="str">
        <f>IFERROR(TIMEVALUE(DaqBook_RAW_Data!Q174),IFERROR(TIMEVALUE(DaqBook_RAW_Data!A174),""))</f>
        <v/>
      </c>
      <c r="C184" s="167" t="str">
        <v/>
      </c>
      <c r="D184" s="167" t="str">
        <v/>
      </c>
      <c r="E184" s="167" t="str">
        <v/>
      </c>
      <c r="F184" s="167" t="str">
        <v/>
      </c>
      <c r="G184" s="167" t="str">
        <v/>
      </c>
      <c r="H184" s="167" t="str">
        <v/>
      </c>
      <c r="I184" s="167" t="str">
        <v/>
      </c>
      <c r="J184" s="167" t="str">
        <v/>
      </c>
      <c r="K184" s="167" t="str">
        <v/>
      </c>
      <c r="L184" s="167" t="str">
        <v/>
      </c>
      <c r="M184" s="167" t="str">
        <v/>
      </c>
      <c r="N184" s="167" t="str">
        <v/>
      </c>
      <c r="O184" s="167" t="str">
        <v/>
      </c>
      <c r="P184" s="167" t="str">
        <v/>
      </c>
    </row>
    <row r="185" spans="1:16" x14ac:dyDescent="0.2">
      <c r="A185" s="58" t="str">
        <v/>
      </c>
      <c r="B185" s="144" t="str">
        <f>IFERROR(TIMEVALUE(DaqBook_RAW_Data!Q175),IFERROR(TIMEVALUE(DaqBook_RAW_Data!A175),""))</f>
        <v/>
      </c>
      <c r="C185" s="167" t="str">
        <v/>
      </c>
      <c r="D185" s="167" t="str">
        <v/>
      </c>
      <c r="E185" s="167" t="str">
        <v/>
      </c>
      <c r="F185" s="167" t="str">
        <v/>
      </c>
      <c r="G185" s="167" t="str">
        <v/>
      </c>
      <c r="H185" s="167" t="str">
        <v/>
      </c>
      <c r="I185" s="167" t="str">
        <v/>
      </c>
      <c r="J185" s="167" t="str">
        <v/>
      </c>
      <c r="K185" s="167" t="str">
        <v/>
      </c>
      <c r="L185" s="167" t="str">
        <v/>
      </c>
      <c r="M185" s="167" t="str">
        <v/>
      </c>
      <c r="N185" s="167" t="str">
        <v/>
      </c>
      <c r="O185" s="167" t="str">
        <v/>
      </c>
      <c r="P185" s="167" t="str">
        <v/>
      </c>
    </row>
    <row r="186" spans="1:16" x14ac:dyDescent="0.2">
      <c r="A186" s="58" t="str">
        <v/>
      </c>
      <c r="B186" s="144" t="str">
        <f>IFERROR(TIMEVALUE(DaqBook_RAW_Data!Q176),IFERROR(TIMEVALUE(DaqBook_RAW_Data!A176),""))</f>
        <v/>
      </c>
      <c r="C186" s="167" t="str">
        <v/>
      </c>
      <c r="D186" s="167" t="str">
        <v/>
      </c>
      <c r="E186" s="167" t="str">
        <v/>
      </c>
      <c r="F186" s="167" t="str">
        <v/>
      </c>
      <c r="G186" s="167" t="str">
        <v/>
      </c>
      <c r="H186" s="167" t="str">
        <v/>
      </c>
      <c r="I186" s="167" t="str">
        <v/>
      </c>
      <c r="J186" s="167" t="str">
        <v/>
      </c>
      <c r="K186" s="167" t="str">
        <v/>
      </c>
      <c r="L186" s="167" t="str">
        <v/>
      </c>
      <c r="M186" s="167" t="str">
        <v/>
      </c>
      <c r="N186" s="167" t="str">
        <v/>
      </c>
      <c r="O186" s="167" t="str">
        <v/>
      </c>
      <c r="P186" s="167" t="str">
        <v/>
      </c>
    </row>
    <row r="187" spans="1:16" x14ac:dyDescent="0.2">
      <c r="A187" s="58" t="str">
        <v/>
      </c>
      <c r="B187" s="144" t="str">
        <f>IFERROR(TIMEVALUE(DaqBook_RAW_Data!Q177),IFERROR(TIMEVALUE(DaqBook_RAW_Data!A177),""))</f>
        <v/>
      </c>
      <c r="C187" s="167" t="str">
        <v/>
      </c>
      <c r="D187" s="167" t="str">
        <v/>
      </c>
      <c r="E187" s="167" t="str">
        <v/>
      </c>
      <c r="F187" s="167" t="str">
        <v/>
      </c>
      <c r="G187" s="167" t="str">
        <v/>
      </c>
      <c r="H187" s="167" t="str">
        <v/>
      </c>
      <c r="I187" s="167" t="str">
        <v/>
      </c>
      <c r="J187" s="167" t="str">
        <v/>
      </c>
      <c r="K187" s="167" t="str">
        <v/>
      </c>
      <c r="L187" s="167" t="str">
        <v/>
      </c>
      <c r="M187" s="167" t="str">
        <v/>
      </c>
      <c r="N187" s="167" t="str">
        <v/>
      </c>
      <c r="O187" s="167" t="str">
        <v/>
      </c>
      <c r="P187" s="167" t="str">
        <v/>
      </c>
    </row>
    <row r="188" spans="1:16" x14ac:dyDescent="0.2">
      <c r="A188" s="58" t="str">
        <v/>
      </c>
      <c r="B188" s="144" t="str">
        <f>IFERROR(TIMEVALUE(DaqBook_RAW_Data!Q178),IFERROR(TIMEVALUE(DaqBook_RAW_Data!A178),""))</f>
        <v/>
      </c>
      <c r="C188" s="167" t="str">
        <v/>
      </c>
      <c r="D188" s="167" t="str">
        <v/>
      </c>
      <c r="E188" s="167" t="str">
        <v/>
      </c>
      <c r="F188" s="167" t="str">
        <v/>
      </c>
      <c r="G188" s="167" t="str">
        <v/>
      </c>
      <c r="H188" s="167" t="str">
        <v/>
      </c>
      <c r="I188" s="167" t="str">
        <v/>
      </c>
      <c r="J188" s="167" t="str">
        <v/>
      </c>
      <c r="K188" s="167" t="str">
        <v/>
      </c>
      <c r="L188" s="167" t="str">
        <v/>
      </c>
      <c r="M188" s="167" t="str">
        <v/>
      </c>
      <c r="N188" s="167" t="str">
        <v/>
      </c>
      <c r="O188" s="167" t="str">
        <v/>
      </c>
      <c r="P188" s="167" t="str">
        <v/>
      </c>
    </row>
    <row r="189" spans="1:16" x14ac:dyDescent="0.2">
      <c r="A189" s="58" t="str">
        <v/>
      </c>
      <c r="B189" s="144" t="str">
        <f>IFERROR(TIMEVALUE(DaqBook_RAW_Data!Q179),IFERROR(TIMEVALUE(DaqBook_RAW_Data!A179),""))</f>
        <v/>
      </c>
      <c r="C189" s="167" t="str">
        <v/>
      </c>
      <c r="D189" s="167" t="str">
        <v/>
      </c>
      <c r="E189" s="167" t="str">
        <v/>
      </c>
      <c r="F189" s="167" t="str">
        <v/>
      </c>
      <c r="G189" s="167" t="str">
        <v/>
      </c>
      <c r="H189" s="167" t="str">
        <v/>
      </c>
      <c r="I189" s="167" t="str">
        <v/>
      </c>
      <c r="J189" s="167" t="str">
        <v/>
      </c>
      <c r="K189" s="167" t="str">
        <v/>
      </c>
      <c r="L189" s="167" t="str">
        <v/>
      </c>
      <c r="M189" s="167" t="str">
        <v/>
      </c>
      <c r="N189" s="167" t="str">
        <v/>
      </c>
      <c r="O189" s="167" t="str">
        <v/>
      </c>
      <c r="P189" s="167" t="str">
        <v/>
      </c>
    </row>
    <row r="190" spans="1:16" x14ac:dyDescent="0.2">
      <c r="A190" s="58" t="str">
        <v/>
      </c>
      <c r="B190" s="144" t="str">
        <f>IFERROR(TIMEVALUE(DaqBook_RAW_Data!Q180),IFERROR(TIMEVALUE(DaqBook_RAW_Data!A180),""))</f>
        <v/>
      </c>
      <c r="C190" s="167" t="str">
        <v/>
      </c>
      <c r="D190" s="167" t="str">
        <v/>
      </c>
      <c r="E190" s="167" t="str">
        <v/>
      </c>
      <c r="F190" s="167" t="str">
        <v/>
      </c>
      <c r="G190" s="167" t="str">
        <v/>
      </c>
      <c r="H190" s="167" t="str">
        <v/>
      </c>
      <c r="I190" s="167" t="str">
        <v/>
      </c>
      <c r="J190" s="167" t="str">
        <v/>
      </c>
      <c r="K190" s="167" t="str">
        <v/>
      </c>
      <c r="L190" s="167" t="str">
        <v/>
      </c>
      <c r="M190" s="167" t="str">
        <v/>
      </c>
      <c r="N190" s="167" t="str">
        <v/>
      </c>
      <c r="O190" s="167" t="str">
        <v/>
      </c>
      <c r="P190" s="167" t="str">
        <v/>
      </c>
    </row>
    <row r="191" spans="1:16" x14ac:dyDescent="0.2">
      <c r="A191" s="58" t="str">
        <v/>
      </c>
      <c r="B191" s="144" t="str">
        <f>IFERROR(TIMEVALUE(DaqBook_RAW_Data!Q181),IFERROR(TIMEVALUE(DaqBook_RAW_Data!A181),""))</f>
        <v/>
      </c>
      <c r="C191" s="167" t="str">
        <v/>
      </c>
      <c r="D191" s="167" t="str">
        <v/>
      </c>
      <c r="E191" s="167" t="str">
        <v/>
      </c>
      <c r="F191" s="167" t="str">
        <v/>
      </c>
      <c r="G191" s="167" t="str">
        <v/>
      </c>
      <c r="H191" s="167" t="str">
        <v/>
      </c>
      <c r="I191" s="167" t="str">
        <v/>
      </c>
      <c r="J191" s="167" t="str">
        <v/>
      </c>
      <c r="K191" s="167" t="str">
        <v/>
      </c>
      <c r="L191" s="167" t="str">
        <v/>
      </c>
      <c r="M191" s="167" t="str">
        <v/>
      </c>
      <c r="N191" s="167" t="str">
        <v/>
      </c>
      <c r="O191" s="167" t="str">
        <v/>
      </c>
      <c r="P191" s="167" t="str">
        <v/>
      </c>
    </row>
    <row r="192" spans="1:16" x14ac:dyDescent="0.2">
      <c r="A192" s="58" t="str">
        <v/>
      </c>
      <c r="B192" s="144" t="str">
        <f>IFERROR(TIMEVALUE(DaqBook_RAW_Data!Q182),IFERROR(TIMEVALUE(DaqBook_RAW_Data!A182),""))</f>
        <v/>
      </c>
      <c r="C192" s="167" t="str">
        <v/>
      </c>
      <c r="D192" s="167" t="str">
        <v/>
      </c>
      <c r="E192" s="167" t="str">
        <v/>
      </c>
      <c r="F192" s="167" t="str">
        <v/>
      </c>
      <c r="G192" s="167" t="str">
        <v/>
      </c>
      <c r="H192" s="167" t="str">
        <v/>
      </c>
      <c r="I192" s="167" t="str">
        <v/>
      </c>
      <c r="J192" s="167" t="str">
        <v/>
      </c>
      <c r="K192" s="167" t="str">
        <v/>
      </c>
      <c r="L192" s="167" t="str">
        <v/>
      </c>
      <c r="M192" s="167" t="str">
        <v/>
      </c>
      <c r="N192" s="167" t="str">
        <v/>
      </c>
      <c r="O192" s="167" t="str">
        <v/>
      </c>
      <c r="P192" s="167" t="str">
        <v/>
      </c>
    </row>
    <row r="193" spans="1:16" x14ac:dyDescent="0.2">
      <c r="A193" s="58" t="str">
        <v/>
      </c>
      <c r="B193" s="144" t="str">
        <f>IFERROR(TIMEVALUE(DaqBook_RAW_Data!Q183),IFERROR(TIMEVALUE(DaqBook_RAW_Data!A183),""))</f>
        <v/>
      </c>
      <c r="C193" s="167" t="str">
        <v/>
      </c>
      <c r="D193" s="167" t="str">
        <v/>
      </c>
      <c r="E193" s="167" t="str">
        <v/>
      </c>
      <c r="F193" s="167" t="str">
        <v/>
      </c>
      <c r="G193" s="167" t="str">
        <v/>
      </c>
      <c r="H193" s="167" t="str">
        <v/>
      </c>
      <c r="I193" s="167" t="str">
        <v/>
      </c>
      <c r="J193" s="167" t="str">
        <v/>
      </c>
      <c r="K193" s="167" t="str">
        <v/>
      </c>
      <c r="L193" s="167" t="str">
        <v/>
      </c>
      <c r="M193" s="167" t="str">
        <v/>
      </c>
      <c r="N193" s="167" t="str">
        <v/>
      </c>
      <c r="O193" s="167" t="str">
        <v/>
      </c>
      <c r="P193" s="167" t="str">
        <v/>
      </c>
    </row>
    <row r="194" spans="1:16" x14ac:dyDescent="0.2">
      <c r="A194" s="58" t="str">
        <v/>
      </c>
      <c r="B194" s="144" t="str">
        <f>IFERROR(TIMEVALUE(DaqBook_RAW_Data!Q184),IFERROR(TIMEVALUE(DaqBook_RAW_Data!A184),""))</f>
        <v/>
      </c>
      <c r="C194" s="167" t="str">
        <v/>
      </c>
      <c r="D194" s="167" t="str">
        <v/>
      </c>
      <c r="E194" s="167" t="str">
        <v/>
      </c>
      <c r="F194" s="167" t="str">
        <v/>
      </c>
      <c r="G194" s="167" t="str">
        <v/>
      </c>
      <c r="H194" s="167" t="str">
        <v/>
      </c>
      <c r="I194" s="167" t="str">
        <v/>
      </c>
      <c r="J194" s="167" t="str">
        <v/>
      </c>
      <c r="K194" s="167" t="str">
        <v/>
      </c>
      <c r="L194" s="167" t="str">
        <v/>
      </c>
      <c r="M194" s="167" t="str">
        <v/>
      </c>
      <c r="N194" s="167" t="str">
        <v/>
      </c>
      <c r="O194" s="167" t="str">
        <v/>
      </c>
      <c r="P194" s="167" t="str">
        <v/>
      </c>
    </row>
    <row r="195" spans="1:16" x14ac:dyDescent="0.2">
      <c r="A195" s="58" t="str">
        <v/>
      </c>
      <c r="B195" s="144" t="str">
        <f>IFERROR(TIMEVALUE(DaqBook_RAW_Data!Q185),IFERROR(TIMEVALUE(DaqBook_RAW_Data!A185),""))</f>
        <v/>
      </c>
      <c r="C195" s="167" t="str">
        <v/>
      </c>
      <c r="D195" s="167" t="str">
        <v/>
      </c>
      <c r="E195" s="167" t="str">
        <v/>
      </c>
      <c r="F195" s="167" t="str">
        <v/>
      </c>
      <c r="G195" s="167" t="str">
        <v/>
      </c>
      <c r="H195" s="167" t="str">
        <v/>
      </c>
      <c r="I195" s="167" t="str">
        <v/>
      </c>
      <c r="J195" s="167" t="str">
        <v/>
      </c>
      <c r="K195" s="167" t="str">
        <v/>
      </c>
      <c r="L195" s="167" t="str">
        <v/>
      </c>
      <c r="M195" s="167" t="str">
        <v/>
      </c>
      <c r="N195" s="167" t="str">
        <v/>
      </c>
      <c r="O195" s="167" t="str">
        <v/>
      </c>
      <c r="P195" s="167" t="str">
        <v/>
      </c>
    </row>
    <row r="196" spans="1:16" x14ac:dyDescent="0.2">
      <c r="A196" s="58" t="str">
        <v/>
      </c>
      <c r="B196" s="144" t="str">
        <f>IFERROR(TIMEVALUE(DaqBook_RAW_Data!Q186),IFERROR(TIMEVALUE(DaqBook_RAW_Data!A186),""))</f>
        <v/>
      </c>
      <c r="C196" s="167" t="str">
        <v/>
      </c>
      <c r="D196" s="167" t="str">
        <v/>
      </c>
      <c r="E196" s="167" t="str">
        <v/>
      </c>
      <c r="F196" s="167" t="str">
        <v/>
      </c>
      <c r="G196" s="167" t="str">
        <v/>
      </c>
      <c r="H196" s="167" t="str">
        <v/>
      </c>
      <c r="I196" s="167" t="str">
        <v/>
      </c>
      <c r="J196" s="167" t="str">
        <v/>
      </c>
      <c r="K196" s="167" t="str">
        <v/>
      </c>
      <c r="L196" s="167" t="str">
        <v/>
      </c>
      <c r="M196" s="167" t="str">
        <v/>
      </c>
      <c r="N196" s="167" t="str">
        <v/>
      </c>
      <c r="O196" s="167" t="str">
        <v/>
      </c>
      <c r="P196" s="167" t="str">
        <v/>
      </c>
    </row>
    <row r="197" spans="1:16" x14ac:dyDescent="0.2">
      <c r="A197" s="58" t="str">
        <v/>
      </c>
      <c r="B197" s="144" t="str">
        <f>IFERROR(TIMEVALUE(DaqBook_RAW_Data!Q187),IFERROR(TIMEVALUE(DaqBook_RAW_Data!A187),""))</f>
        <v/>
      </c>
      <c r="C197" s="167" t="str">
        <v/>
      </c>
      <c r="D197" s="167" t="str">
        <v/>
      </c>
      <c r="E197" s="167" t="str">
        <v/>
      </c>
      <c r="F197" s="167" t="str">
        <v/>
      </c>
      <c r="G197" s="167" t="str">
        <v/>
      </c>
      <c r="H197" s="167" t="str">
        <v/>
      </c>
      <c r="I197" s="167" t="str">
        <v/>
      </c>
      <c r="J197" s="167" t="str">
        <v/>
      </c>
      <c r="K197" s="167" t="str">
        <v/>
      </c>
      <c r="L197" s="167" t="str">
        <v/>
      </c>
      <c r="M197" s="167" t="str">
        <v/>
      </c>
      <c r="N197" s="167" t="str">
        <v/>
      </c>
      <c r="O197" s="167" t="str">
        <v/>
      </c>
      <c r="P197" s="167" t="str">
        <v/>
      </c>
    </row>
    <row r="198" spans="1:16" x14ac:dyDescent="0.2">
      <c r="A198" s="58" t="str">
        <v/>
      </c>
      <c r="B198" s="144" t="str">
        <f>IFERROR(TIMEVALUE(DaqBook_RAW_Data!Q188),IFERROR(TIMEVALUE(DaqBook_RAW_Data!A188),""))</f>
        <v/>
      </c>
      <c r="C198" s="167" t="str">
        <v/>
      </c>
      <c r="D198" s="167" t="str">
        <v/>
      </c>
      <c r="E198" s="167" t="str">
        <v/>
      </c>
      <c r="F198" s="167" t="str">
        <v/>
      </c>
      <c r="G198" s="167" t="str">
        <v/>
      </c>
      <c r="H198" s="167" t="str">
        <v/>
      </c>
      <c r="I198" s="167" t="str">
        <v/>
      </c>
      <c r="J198" s="167" t="str">
        <v/>
      </c>
      <c r="K198" s="167" t="str">
        <v/>
      </c>
      <c r="L198" s="167" t="str">
        <v/>
      </c>
      <c r="M198" s="167" t="str">
        <v/>
      </c>
      <c r="N198" s="167" t="str">
        <v/>
      </c>
      <c r="O198" s="167" t="str">
        <v/>
      </c>
      <c r="P198" s="167" t="str">
        <v/>
      </c>
    </row>
    <row r="199" spans="1:16" x14ac:dyDescent="0.2">
      <c r="A199" s="58" t="str">
        <v/>
      </c>
      <c r="B199" s="144" t="str">
        <f>IFERROR(TIMEVALUE(DaqBook_RAW_Data!Q189),IFERROR(TIMEVALUE(DaqBook_RAW_Data!A189),""))</f>
        <v/>
      </c>
      <c r="C199" s="167" t="str">
        <v/>
      </c>
      <c r="D199" s="167" t="str">
        <v/>
      </c>
      <c r="E199" s="167" t="str">
        <v/>
      </c>
      <c r="F199" s="167" t="str">
        <v/>
      </c>
      <c r="G199" s="167" t="str">
        <v/>
      </c>
      <c r="H199" s="167" t="str">
        <v/>
      </c>
      <c r="I199" s="167" t="str">
        <v/>
      </c>
      <c r="J199" s="167" t="str">
        <v/>
      </c>
      <c r="K199" s="167" t="str">
        <v/>
      </c>
      <c r="L199" s="167" t="str">
        <v/>
      </c>
      <c r="M199" s="167" t="str">
        <v/>
      </c>
      <c r="N199" s="167" t="str">
        <v/>
      </c>
      <c r="O199" s="167" t="str">
        <v/>
      </c>
      <c r="P199" s="167" t="str">
        <v/>
      </c>
    </row>
    <row r="200" spans="1:16" x14ac:dyDescent="0.2">
      <c r="A200" s="58" t="str">
        <v/>
      </c>
      <c r="B200" s="144" t="str">
        <f>IFERROR(TIMEVALUE(DaqBook_RAW_Data!Q190),IFERROR(TIMEVALUE(DaqBook_RAW_Data!A190),""))</f>
        <v/>
      </c>
      <c r="C200" s="167" t="str">
        <v/>
      </c>
      <c r="D200" s="167" t="str">
        <v/>
      </c>
      <c r="E200" s="167" t="str">
        <v/>
      </c>
      <c r="F200" s="167" t="str">
        <v/>
      </c>
      <c r="G200" s="167" t="str">
        <v/>
      </c>
      <c r="H200" s="167" t="str">
        <v/>
      </c>
      <c r="I200" s="167" t="str">
        <v/>
      </c>
      <c r="J200" s="167" t="str">
        <v/>
      </c>
      <c r="K200" s="167" t="str">
        <v/>
      </c>
      <c r="L200" s="167" t="str">
        <v/>
      </c>
      <c r="M200" s="167" t="str">
        <v/>
      </c>
      <c r="N200" s="167" t="str">
        <v/>
      </c>
      <c r="O200" s="167" t="str">
        <v/>
      </c>
      <c r="P200" s="167" t="str">
        <v/>
      </c>
    </row>
    <row r="201" spans="1:16" x14ac:dyDescent="0.2">
      <c r="A201" s="58" t="str">
        <v/>
      </c>
      <c r="B201" s="144" t="str">
        <f>IFERROR(TIMEVALUE(DaqBook_RAW_Data!Q191),IFERROR(TIMEVALUE(DaqBook_RAW_Data!A191),""))</f>
        <v/>
      </c>
      <c r="C201" s="167" t="str">
        <v/>
      </c>
      <c r="D201" s="167" t="str">
        <v/>
      </c>
      <c r="E201" s="167" t="str">
        <v/>
      </c>
      <c r="F201" s="167" t="str">
        <v/>
      </c>
      <c r="G201" s="167" t="str">
        <v/>
      </c>
      <c r="H201" s="167" t="str">
        <v/>
      </c>
      <c r="I201" s="167" t="str">
        <v/>
      </c>
      <c r="J201" s="167" t="str">
        <v/>
      </c>
      <c r="K201" s="167" t="str">
        <v/>
      </c>
      <c r="L201" s="167" t="str">
        <v/>
      </c>
      <c r="M201" s="167" t="str">
        <v/>
      </c>
      <c r="N201" s="167" t="str">
        <v/>
      </c>
      <c r="O201" s="167" t="str">
        <v/>
      </c>
      <c r="P201" s="167" t="str">
        <v/>
      </c>
    </row>
    <row r="202" spans="1:16" x14ac:dyDescent="0.2">
      <c r="A202" s="58" t="str">
        <v/>
      </c>
      <c r="B202" s="144" t="str">
        <f>IFERROR(TIMEVALUE(DaqBook_RAW_Data!Q192),IFERROR(TIMEVALUE(DaqBook_RAW_Data!A192),""))</f>
        <v/>
      </c>
      <c r="C202" s="167" t="str">
        <v/>
      </c>
      <c r="D202" s="167" t="str">
        <v/>
      </c>
      <c r="E202" s="167" t="str">
        <v/>
      </c>
      <c r="F202" s="167" t="str">
        <v/>
      </c>
      <c r="G202" s="167" t="str">
        <v/>
      </c>
      <c r="H202" s="167" t="str">
        <v/>
      </c>
      <c r="I202" s="167" t="str">
        <v/>
      </c>
      <c r="J202" s="167" t="str">
        <v/>
      </c>
      <c r="K202" s="167" t="str">
        <v/>
      </c>
      <c r="L202" s="167" t="str">
        <v/>
      </c>
      <c r="M202" s="167" t="str">
        <v/>
      </c>
      <c r="N202" s="167" t="str">
        <v/>
      </c>
      <c r="O202" s="167" t="str">
        <v/>
      </c>
      <c r="P202" s="167" t="str">
        <v/>
      </c>
    </row>
    <row r="203" spans="1:16" x14ac:dyDescent="0.2">
      <c r="A203" s="58" t="str">
        <v/>
      </c>
      <c r="B203" s="144" t="str">
        <f>IFERROR(TIMEVALUE(DaqBook_RAW_Data!Q193),IFERROR(TIMEVALUE(DaqBook_RAW_Data!A193),""))</f>
        <v/>
      </c>
      <c r="C203" s="167" t="str">
        <v/>
      </c>
      <c r="D203" s="167" t="str">
        <v/>
      </c>
      <c r="E203" s="167" t="str">
        <v/>
      </c>
      <c r="F203" s="167" t="str">
        <v/>
      </c>
      <c r="G203" s="167" t="str">
        <v/>
      </c>
      <c r="H203" s="167" t="str">
        <v/>
      </c>
      <c r="I203" s="167" t="str">
        <v/>
      </c>
      <c r="J203" s="167" t="str">
        <v/>
      </c>
      <c r="K203" s="167" t="str">
        <v/>
      </c>
      <c r="L203" s="167" t="str">
        <v/>
      </c>
      <c r="M203" s="167" t="str">
        <v/>
      </c>
      <c r="N203" s="167" t="str">
        <v/>
      </c>
      <c r="O203" s="167" t="str">
        <v/>
      </c>
      <c r="P203" s="167" t="str">
        <v/>
      </c>
    </row>
    <row r="204" spans="1:16" x14ac:dyDescent="0.2">
      <c r="A204" s="58" t="str">
        <v/>
      </c>
      <c r="B204" s="144" t="str">
        <f>IFERROR(TIMEVALUE(DaqBook_RAW_Data!Q194),IFERROR(TIMEVALUE(DaqBook_RAW_Data!A194),""))</f>
        <v/>
      </c>
      <c r="C204" s="167" t="str">
        <v/>
      </c>
      <c r="D204" s="167" t="str">
        <v/>
      </c>
      <c r="E204" s="167" t="str">
        <v/>
      </c>
      <c r="F204" s="167" t="str">
        <v/>
      </c>
      <c r="G204" s="167" t="str">
        <v/>
      </c>
      <c r="H204" s="167" t="str">
        <v/>
      </c>
      <c r="I204" s="167" t="str">
        <v/>
      </c>
      <c r="J204" s="167" t="str">
        <v/>
      </c>
      <c r="K204" s="167" t="str">
        <v/>
      </c>
      <c r="L204" s="167" t="str">
        <v/>
      </c>
      <c r="M204" s="167" t="str">
        <v/>
      </c>
      <c r="N204" s="167" t="str">
        <v/>
      </c>
      <c r="O204" s="167" t="str">
        <v/>
      </c>
      <c r="P204" s="167" t="str">
        <v/>
      </c>
    </row>
    <row r="205" spans="1:16" x14ac:dyDescent="0.2">
      <c r="A205" s="58" t="str">
        <v/>
      </c>
      <c r="B205" s="144" t="str">
        <f>IFERROR(TIMEVALUE(DaqBook_RAW_Data!Q195),IFERROR(TIMEVALUE(DaqBook_RAW_Data!A195),""))</f>
        <v/>
      </c>
      <c r="C205" s="167" t="str">
        <v/>
      </c>
      <c r="D205" s="167" t="str">
        <v/>
      </c>
      <c r="E205" s="167" t="str">
        <v/>
      </c>
      <c r="F205" s="167" t="str">
        <v/>
      </c>
      <c r="G205" s="167" t="str">
        <v/>
      </c>
      <c r="H205" s="167" t="str">
        <v/>
      </c>
      <c r="I205" s="167" t="str">
        <v/>
      </c>
      <c r="J205" s="167" t="str">
        <v/>
      </c>
      <c r="K205" s="167" t="str">
        <v/>
      </c>
      <c r="L205" s="167" t="str">
        <v/>
      </c>
      <c r="M205" s="167" t="str">
        <v/>
      </c>
      <c r="N205" s="167" t="str">
        <v/>
      </c>
      <c r="O205" s="167" t="str">
        <v/>
      </c>
      <c r="P205" s="167" t="str">
        <v/>
      </c>
    </row>
    <row r="206" spans="1:16" x14ac:dyDescent="0.2">
      <c r="A206" s="58" t="str">
        <v/>
      </c>
      <c r="B206" s="144" t="str">
        <f>IFERROR(TIMEVALUE(DaqBook_RAW_Data!Q196),IFERROR(TIMEVALUE(DaqBook_RAW_Data!A196),""))</f>
        <v/>
      </c>
      <c r="C206" s="167" t="str">
        <v/>
      </c>
      <c r="D206" s="167" t="str">
        <v/>
      </c>
      <c r="E206" s="167" t="str">
        <v/>
      </c>
      <c r="F206" s="167" t="str">
        <v/>
      </c>
      <c r="G206" s="167" t="str">
        <v/>
      </c>
      <c r="H206" s="167" t="str">
        <v/>
      </c>
      <c r="I206" s="167" t="str">
        <v/>
      </c>
      <c r="J206" s="167" t="str">
        <v/>
      </c>
      <c r="K206" s="167" t="str">
        <v/>
      </c>
      <c r="L206" s="167" t="str">
        <v/>
      </c>
      <c r="M206" s="167" t="str">
        <v/>
      </c>
      <c r="N206" s="167" t="str">
        <v/>
      </c>
      <c r="O206" s="167" t="str">
        <v/>
      </c>
      <c r="P206" s="167" t="str">
        <v/>
      </c>
    </row>
    <row r="207" spans="1:16" x14ac:dyDescent="0.2">
      <c r="A207" s="58" t="str">
        <v/>
      </c>
      <c r="B207" s="144" t="str">
        <f>IFERROR(TIMEVALUE(DaqBook_RAW_Data!Q197),IFERROR(TIMEVALUE(DaqBook_RAW_Data!A197),""))</f>
        <v/>
      </c>
      <c r="C207" s="167" t="str">
        <v/>
      </c>
      <c r="D207" s="167" t="str">
        <v/>
      </c>
      <c r="E207" s="167" t="str">
        <v/>
      </c>
      <c r="F207" s="167" t="str">
        <v/>
      </c>
      <c r="G207" s="167" t="str">
        <v/>
      </c>
      <c r="H207" s="167" t="str">
        <v/>
      </c>
      <c r="I207" s="167" t="str">
        <v/>
      </c>
      <c r="J207" s="167" t="str">
        <v/>
      </c>
      <c r="K207" s="167" t="str">
        <v/>
      </c>
      <c r="L207" s="167" t="str">
        <v/>
      </c>
      <c r="M207" s="167" t="str">
        <v/>
      </c>
      <c r="N207" s="167" t="str">
        <v/>
      </c>
      <c r="O207" s="167" t="str">
        <v/>
      </c>
      <c r="P207" s="167" t="str">
        <v/>
      </c>
    </row>
    <row r="208" spans="1:16" x14ac:dyDescent="0.2">
      <c r="A208" s="58" t="str">
        <v/>
      </c>
      <c r="B208" s="144" t="str">
        <f>IFERROR(TIMEVALUE(DaqBook_RAW_Data!Q198),IFERROR(TIMEVALUE(DaqBook_RAW_Data!A198),""))</f>
        <v/>
      </c>
      <c r="C208" s="167" t="str">
        <v/>
      </c>
      <c r="D208" s="167" t="str">
        <v/>
      </c>
      <c r="E208" s="167" t="str">
        <v/>
      </c>
      <c r="F208" s="167" t="str">
        <v/>
      </c>
      <c r="G208" s="167" t="str">
        <v/>
      </c>
      <c r="H208" s="167" t="str">
        <v/>
      </c>
      <c r="I208" s="167" t="str">
        <v/>
      </c>
      <c r="J208" s="167" t="str">
        <v/>
      </c>
      <c r="K208" s="167" t="str">
        <v/>
      </c>
      <c r="L208" s="167" t="str">
        <v/>
      </c>
      <c r="M208" s="167" t="str">
        <v/>
      </c>
      <c r="N208" s="167" t="str">
        <v/>
      </c>
      <c r="O208" s="167" t="str">
        <v/>
      </c>
      <c r="P208" s="167" t="str">
        <v/>
      </c>
    </row>
    <row r="209" spans="1:16" x14ac:dyDescent="0.2">
      <c r="A209" s="58" t="str">
        <v/>
      </c>
      <c r="B209" s="144" t="str">
        <f>IFERROR(TIMEVALUE(DaqBook_RAW_Data!Q199),IFERROR(TIMEVALUE(DaqBook_RAW_Data!A199),""))</f>
        <v/>
      </c>
      <c r="C209" s="167" t="str">
        <v/>
      </c>
      <c r="D209" s="167" t="str">
        <v/>
      </c>
      <c r="E209" s="167" t="str">
        <v/>
      </c>
      <c r="F209" s="167" t="str">
        <v/>
      </c>
      <c r="G209" s="167" t="str">
        <v/>
      </c>
      <c r="H209" s="167" t="str">
        <v/>
      </c>
      <c r="I209" s="167" t="str">
        <v/>
      </c>
      <c r="J209" s="167" t="str">
        <v/>
      </c>
      <c r="K209" s="167" t="str">
        <v/>
      </c>
      <c r="L209" s="167" t="str">
        <v/>
      </c>
      <c r="M209" s="167" t="str">
        <v/>
      </c>
      <c r="N209" s="167" t="str">
        <v/>
      </c>
      <c r="O209" s="167" t="str">
        <v/>
      </c>
      <c r="P209" s="167" t="str">
        <v/>
      </c>
    </row>
    <row r="210" spans="1:16" x14ac:dyDescent="0.2">
      <c r="A210" s="58" t="str">
        <v/>
      </c>
      <c r="B210" s="144" t="str">
        <f>IFERROR(TIMEVALUE(DaqBook_RAW_Data!Q200),IFERROR(TIMEVALUE(DaqBook_RAW_Data!A200),""))</f>
        <v/>
      </c>
      <c r="C210" s="167" t="str">
        <v/>
      </c>
      <c r="D210" s="167" t="str">
        <v/>
      </c>
      <c r="E210" s="167" t="str">
        <v/>
      </c>
      <c r="F210" s="167" t="str">
        <v/>
      </c>
      <c r="G210" s="167" t="str">
        <v/>
      </c>
      <c r="H210" s="167" t="str">
        <v/>
      </c>
      <c r="I210" s="167" t="str">
        <v/>
      </c>
      <c r="J210" s="167" t="str">
        <v/>
      </c>
      <c r="K210" s="167" t="str">
        <v/>
      </c>
      <c r="L210" s="167" t="str">
        <v/>
      </c>
      <c r="M210" s="167" t="str">
        <v/>
      </c>
      <c r="N210" s="167" t="str">
        <v/>
      </c>
      <c r="O210" s="167" t="str">
        <v/>
      </c>
      <c r="P210" s="167" t="str">
        <v/>
      </c>
    </row>
    <row r="211" spans="1:16" x14ac:dyDescent="0.2">
      <c r="A211" s="58" t="str">
        <v/>
      </c>
      <c r="B211" s="144" t="str">
        <f>IFERROR(TIMEVALUE(DaqBook_RAW_Data!Q201),IFERROR(TIMEVALUE(DaqBook_RAW_Data!A201),""))</f>
        <v/>
      </c>
      <c r="C211" s="167" t="str">
        <v/>
      </c>
      <c r="D211" s="167" t="str">
        <v/>
      </c>
      <c r="E211" s="167" t="str">
        <v/>
      </c>
      <c r="F211" s="167" t="str">
        <v/>
      </c>
      <c r="G211" s="167" t="str">
        <v/>
      </c>
      <c r="H211" s="167" t="str">
        <v/>
      </c>
      <c r="I211" s="167" t="str">
        <v/>
      </c>
      <c r="J211" s="167" t="str">
        <v/>
      </c>
      <c r="K211" s="167" t="str">
        <v/>
      </c>
      <c r="L211" s="167" t="str">
        <v/>
      </c>
      <c r="M211" s="167" t="str">
        <v/>
      </c>
      <c r="N211" s="167" t="str">
        <v/>
      </c>
      <c r="O211" s="167" t="str">
        <v/>
      </c>
      <c r="P211" s="167" t="str">
        <v/>
      </c>
    </row>
    <row r="212" spans="1:16" x14ac:dyDescent="0.2">
      <c r="A212" s="58" t="str">
        <v/>
      </c>
      <c r="B212" s="144" t="str">
        <f>IFERROR(TIMEVALUE(DaqBook_RAW_Data!Q202),IFERROR(TIMEVALUE(DaqBook_RAW_Data!A202),""))</f>
        <v/>
      </c>
      <c r="C212" s="167" t="str">
        <v/>
      </c>
      <c r="D212" s="167" t="str">
        <v/>
      </c>
      <c r="E212" s="167" t="str">
        <v/>
      </c>
      <c r="F212" s="167" t="str">
        <v/>
      </c>
      <c r="G212" s="167" t="str">
        <v/>
      </c>
      <c r="H212" s="167" t="str">
        <v/>
      </c>
      <c r="I212" s="167" t="str">
        <v/>
      </c>
      <c r="J212" s="167" t="str">
        <v/>
      </c>
      <c r="K212" s="167" t="str">
        <v/>
      </c>
      <c r="L212" s="167" t="str">
        <v/>
      </c>
      <c r="M212" s="167" t="str">
        <v/>
      </c>
      <c r="N212" s="167" t="str">
        <v/>
      </c>
      <c r="O212" s="167" t="str">
        <v/>
      </c>
      <c r="P212" s="167" t="str">
        <v/>
      </c>
    </row>
    <row r="213" spans="1:16" x14ac:dyDescent="0.2">
      <c r="A213" s="58" t="str">
        <v/>
      </c>
      <c r="B213" s="144" t="str">
        <f>IFERROR(TIMEVALUE(DaqBook_RAW_Data!Q203),IFERROR(TIMEVALUE(DaqBook_RAW_Data!A203),""))</f>
        <v/>
      </c>
      <c r="C213" s="167" t="str">
        <v/>
      </c>
      <c r="D213" s="167" t="str">
        <v/>
      </c>
      <c r="E213" s="167" t="str">
        <v/>
      </c>
      <c r="F213" s="167" t="str">
        <v/>
      </c>
      <c r="G213" s="167" t="str">
        <v/>
      </c>
      <c r="H213" s="167" t="str">
        <v/>
      </c>
      <c r="I213" s="167" t="str">
        <v/>
      </c>
      <c r="J213" s="167" t="str">
        <v/>
      </c>
      <c r="K213" s="167" t="str">
        <v/>
      </c>
      <c r="L213" s="167" t="str">
        <v/>
      </c>
      <c r="M213" s="167" t="str">
        <v/>
      </c>
      <c r="N213" s="167" t="str">
        <v/>
      </c>
      <c r="O213" s="167" t="str">
        <v/>
      </c>
      <c r="P213" s="167" t="str">
        <v/>
      </c>
    </row>
    <row r="214" spans="1:16" x14ac:dyDescent="0.2">
      <c r="A214" s="58" t="str">
        <v/>
      </c>
      <c r="B214" s="144" t="str">
        <f>IFERROR(TIMEVALUE(DaqBook_RAW_Data!Q204),IFERROR(TIMEVALUE(DaqBook_RAW_Data!A204),""))</f>
        <v/>
      </c>
      <c r="C214" s="167" t="str">
        <v/>
      </c>
      <c r="D214" s="167" t="str">
        <v/>
      </c>
      <c r="E214" s="167" t="str">
        <v/>
      </c>
      <c r="F214" s="167" t="str">
        <v/>
      </c>
      <c r="G214" s="167" t="str">
        <v/>
      </c>
      <c r="H214" s="167" t="str">
        <v/>
      </c>
      <c r="I214" s="167" t="str">
        <v/>
      </c>
      <c r="J214" s="167" t="str">
        <v/>
      </c>
      <c r="K214" s="167" t="str">
        <v/>
      </c>
      <c r="L214" s="167" t="str">
        <v/>
      </c>
      <c r="M214" s="167" t="str">
        <v/>
      </c>
      <c r="N214" s="167" t="str">
        <v/>
      </c>
      <c r="O214" s="167" t="str">
        <v/>
      </c>
      <c r="P214" s="167" t="str">
        <v/>
      </c>
    </row>
    <row r="215" spans="1:16" x14ac:dyDescent="0.2">
      <c r="A215" s="58" t="str">
        <v/>
      </c>
      <c r="B215" s="144" t="str">
        <f>IFERROR(TIMEVALUE(DaqBook_RAW_Data!Q205),IFERROR(TIMEVALUE(DaqBook_RAW_Data!A205),""))</f>
        <v/>
      </c>
      <c r="C215" s="167" t="str">
        <v/>
      </c>
      <c r="D215" s="167" t="str">
        <v/>
      </c>
      <c r="E215" s="167" t="str">
        <v/>
      </c>
      <c r="F215" s="167" t="str">
        <v/>
      </c>
      <c r="G215" s="167" t="str">
        <v/>
      </c>
      <c r="H215" s="167" t="str">
        <v/>
      </c>
      <c r="I215" s="167" t="str">
        <v/>
      </c>
      <c r="J215" s="167" t="str">
        <v/>
      </c>
      <c r="K215" s="167" t="str">
        <v/>
      </c>
      <c r="L215" s="167" t="str">
        <v/>
      </c>
      <c r="M215" s="167" t="str">
        <v/>
      </c>
      <c r="N215" s="167" t="str">
        <v/>
      </c>
      <c r="O215" s="167" t="str">
        <v/>
      </c>
      <c r="P215" s="167" t="str">
        <v/>
      </c>
    </row>
    <row r="216" spans="1:16" x14ac:dyDescent="0.2">
      <c r="A216" s="58" t="str">
        <v/>
      </c>
      <c r="B216" s="144" t="str">
        <f>IFERROR(TIMEVALUE(DaqBook_RAW_Data!Q206),IFERROR(TIMEVALUE(DaqBook_RAW_Data!A206),""))</f>
        <v/>
      </c>
      <c r="C216" s="167" t="str">
        <v/>
      </c>
      <c r="D216" s="167" t="str">
        <v/>
      </c>
      <c r="E216" s="167" t="str">
        <v/>
      </c>
      <c r="F216" s="167" t="str">
        <v/>
      </c>
      <c r="G216" s="167" t="str">
        <v/>
      </c>
      <c r="H216" s="167" t="str">
        <v/>
      </c>
      <c r="I216" s="167" t="str">
        <v/>
      </c>
      <c r="J216" s="167" t="str">
        <v/>
      </c>
      <c r="K216" s="167" t="str">
        <v/>
      </c>
      <c r="L216" s="167" t="str">
        <v/>
      </c>
      <c r="M216" s="167" t="str">
        <v/>
      </c>
      <c r="N216" s="167" t="str">
        <v/>
      </c>
      <c r="O216" s="167" t="str">
        <v/>
      </c>
      <c r="P216" s="167" t="str">
        <v/>
      </c>
    </row>
    <row r="217" spans="1:16" x14ac:dyDescent="0.2">
      <c r="A217" s="58" t="str">
        <v/>
      </c>
      <c r="B217" s="144" t="str">
        <f>IFERROR(TIMEVALUE(DaqBook_RAW_Data!Q207),IFERROR(TIMEVALUE(DaqBook_RAW_Data!A207),""))</f>
        <v/>
      </c>
      <c r="C217" s="167" t="str">
        <v/>
      </c>
      <c r="D217" s="167" t="str">
        <v/>
      </c>
      <c r="E217" s="167" t="str">
        <v/>
      </c>
      <c r="F217" s="167" t="str">
        <v/>
      </c>
      <c r="G217" s="167" t="str">
        <v/>
      </c>
      <c r="H217" s="167" t="str">
        <v/>
      </c>
      <c r="I217" s="167" t="str">
        <v/>
      </c>
      <c r="J217" s="167" t="str">
        <v/>
      </c>
      <c r="K217" s="167" t="str">
        <v/>
      </c>
      <c r="L217" s="167" t="str">
        <v/>
      </c>
      <c r="M217" s="167" t="str">
        <v/>
      </c>
      <c r="N217" s="167" t="str">
        <v/>
      </c>
      <c r="O217" s="167" t="str">
        <v/>
      </c>
      <c r="P217" s="167" t="str">
        <v/>
      </c>
    </row>
    <row r="218" spans="1:16" x14ac:dyDescent="0.2">
      <c r="A218" s="58" t="str">
        <v/>
      </c>
      <c r="B218" s="144" t="str">
        <f>IFERROR(TIMEVALUE(DaqBook_RAW_Data!Q208),IFERROR(TIMEVALUE(DaqBook_RAW_Data!A208),""))</f>
        <v/>
      </c>
      <c r="C218" s="167" t="str">
        <v/>
      </c>
      <c r="D218" s="167" t="str">
        <v/>
      </c>
      <c r="E218" s="167" t="str">
        <v/>
      </c>
      <c r="F218" s="167" t="str">
        <v/>
      </c>
      <c r="G218" s="167" t="str">
        <v/>
      </c>
      <c r="H218" s="167" t="str">
        <v/>
      </c>
      <c r="I218" s="167" t="str">
        <v/>
      </c>
      <c r="J218" s="167" t="str">
        <v/>
      </c>
      <c r="K218" s="167" t="str">
        <v/>
      </c>
      <c r="L218" s="167" t="str">
        <v/>
      </c>
      <c r="M218" s="167" t="str">
        <v/>
      </c>
      <c r="N218" s="167" t="str">
        <v/>
      </c>
      <c r="O218" s="167" t="str">
        <v/>
      </c>
      <c r="P218" s="167" t="str">
        <v/>
      </c>
    </row>
    <row r="219" spans="1:16" x14ac:dyDescent="0.2">
      <c r="A219" s="58" t="str">
        <v/>
      </c>
      <c r="B219" s="144" t="str">
        <f>IFERROR(TIMEVALUE(DaqBook_RAW_Data!Q209),IFERROR(TIMEVALUE(DaqBook_RAW_Data!A209),""))</f>
        <v/>
      </c>
      <c r="C219" s="167" t="str">
        <v/>
      </c>
      <c r="D219" s="167" t="str">
        <v/>
      </c>
      <c r="E219" s="167" t="str">
        <v/>
      </c>
      <c r="F219" s="167" t="str">
        <v/>
      </c>
      <c r="G219" s="167" t="str">
        <v/>
      </c>
      <c r="H219" s="167" t="str">
        <v/>
      </c>
      <c r="I219" s="167" t="str">
        <v/>
      </c>
      <c r="J219" s="167" t="str">
        <v/>
      </c>
      <c r="K219" s="167" t="str">
        <v/>
      </c>
      <c r="L219" s="167" t="str">
        <v/>
      </c>
      <c r="M219" s="167" t="str">
        <v/>
      </c>
      <c r="N219" s="167" t="str">
        <v/>
      </c>
      <c r="O219" s="167" t="str">
        <v/>
      </c>
      <c r="P219" s="167" t="str">
        <v/>
      </c>
    </row>
    <row r="220" spans="1:16" x14ac:dyDescent="0.2">
      <c r="A220" s="58" t="str">
        <v/>
      </c>
      <c r="B220" s="144" t="str">
        <f>IFERROR(TIMEVALUE(DaqBook_RAW_Data!Q210),IFERROR(TIMEVALUE(DaqBook_RAW_Data!A210),""))</f>
        <v/>
      </c>
      <c r="C220" s="167" t="str">
        <v/>
      </c>
      <c r="D220" s="167" t="str">
        <v/>
      </c>
      <c r="E220" s="167" t="str">
        <v/>
      </c>
      <c r="F220" s="167" t="str">
        <v/>
      </c>
      <c r="G220" s="167" t="str">
        <v/>
      </c>
      <c r="H220" s="167" t="str">
        <v/>
      </c>
      <c r="I220" s="167" t="str">
        <v/>
      </c>
      <c r="J220" s="167" t="str">
        <v/>
      </c>
      <c r="K220" s="167" t="str">
        <v/>
      </c>
      <c r="L220" s="167" t="str">
        <v/>
      </c>
      <c r="M220" s="167" t="str">
        <v/>
      </c>
      <c r="N220" s="167" t="str">
        <v/>
      </c>
      <c r="O220" s="167" t="str">
        <v/>
      </c>
      <c r="P220" s="167" t="str">
        <v/>
      </c>
    </row>
    <row r="221" spans="1:16" x14ac:dyDescent="0.2">
      <c r="A221" s="58" t="str">
        <v/>
      </c>
      <c r="B221" s="144" t="str">
        <f>IFERROR(TIMEVALUE(DaqBook_RAW_Data!Q211),IFERROR(TIMEVALUE(DaqBook_RAW_Data!A211),""))</f>
        <v/>
      </c>
      <c r="C221" s="167" t="str">
        <v/>
      </c>
      <c r="D221" s="167" t="str">
        <v/>
      </c>
      <c r="E221" s="167" t="str">
        <v/>
      </c>
      <c r="F221" s="167" t="str">
        <v/>
      </c>
      <c r="G221" s="167" t="str">
        <v/>
      </c>
      <c r="H221" s="167" t="str">
        <v/>
      </c>
      <c r="I221" s="167" t="str">
        <v/>
      </c>
      <c r="J221" s="167" t="str">
        <v/>
      </c>
      <c r="K221" s="167" t="str">
        <v/>
      </c>
      <c r="L221" s="167" t="str">
        <v/>
      </c>
      <c r="M221" s="167" t="str">
        <v/>
      </c>
      <c r="N221" s="167" t="str">
        <v/>
      </c>
      <c r="O221" s="167" t="str">
        <v/>
      </c>
      <c r="P221" s="167" t="str">
        <v/>
      </c>
    </row>
    <row r="222" spans="1:16" x14ac:dyDescent="0.2">
      <c r="A222" s="58" t="str">
        <v/>
      </c>
      <c r="B222" s="144" t="str">
        <f>IFERROR(TIMEVALUE(DaqBook_RAW_Data!Q212),IFERROR(TIMEVALUE(DaqBook_RAW_Data!A212),""))</f>
        <v/>
      </c>
      <c r="C222" s="167" t="str">
        <v/>
      </c>
      <c r="D222" s="167" t="str">
        <v/>
      </c>
      <c r="E222" s="167" t="str">
        <v/>
      </c>
      <c r="F222" s="167" t="str">
        <v/>
      </c>
      <c r="G222" s="167" t="str">
        <v/>
      </c>
      <c r="H222" s="167" t="str">
        <v/>
      </c>
      <c r="I222" s="167" t="str">
        <v/>
      </c>
      <c r="J222" s="167" t="str">
        <v/>
      </c>
      <c r="K222" s="167" t="str">
        <v/>
      </c>
      <c r="L222" s="167" t="str">
        <v/>
      </c>
      <c r="M222" s="167" t="str">
        <v/>
      </c>
      <c r="N222" s="167" t="str">
        <v/>
      </c>
      <c r="O222" s="167" t="str">
        <v/>
      </c>
      <c r="P222" s="167" t="str">
        <v/>
      </c>
    </row>
    <row r="223" spans="1:16" x14ac:dyDescent="0.2">
      <c r="A223" s="58" t="str">
        <v/>
      </c>
      <c r="B223" s="144" t="str">
        <f>IFERROR(TIMEVALUE(DaqBook_RAW_Data!Q213),IFERROR(TIMEVALUE(DaqBook_RAW_Data!A213),""))</f>
        <v/>
      </c>
      <c r="C223" s="167" t="str">
        <v/>
      </c>
      <c r="D223" s="167" t="str">
        <v/>
      </c>
      <c r="E223" s="167" t="str">
        <v/>
      </c>
      <c r="F223" s="167" t="str">
        <v/>
      </c>
      <c r="G223" s="167" t="str">
        <v/>
      </c>
      <c r="H223" s="167" t="str">
        <v/>
      </c>
      <c r="I223" s="167" t="str">
        <v/>
      </c>
      <c r="J223" s="167" t="str">
        <v/>
      </c>
      <c r="K223" s="167" t="str">
        <v/>
      </c>
      <c r="L223" s="167" t="str">
        <v/>
      </c>
      <c r="M223" s="167" t="str">
        <v/>
      </c>
      <c r="N223" s="167" t="str">
        <v/>
      </c>
      <c r="O223" s="167" t="str">
        <v/>
      </c>
      <c r="P223" s="167" t="str">
        <v/>
      </c>
    </row>
    <row r="224" spans="1:16" x14ac:dyDescent="0.2">
      <c r="A224" s="58" t="str">
        <v/>
      </c>
      <c r="B224" s="144" t="str">
        <f>IFERROR(TIMEVALUE(DaqBook_RAW_Data!Q214),IFERROR(TIMEVALUE(DaqBook_RAW_Data!A214),""))</f>
        <v/>
      </c>
      <c r="C224" s="167" t="str">
        <v/>
      </c>
      <c r="D224" s="167" t="str">
        <v/>
      </c>
      <c r="E224" s="167" t="str">
        <v/>
      </c>
      <c r="F224" s="167" t="str">
        <v/>
      </c>
      <c r="G224" s="167" t="str">
        <v/>
      </c>
      <c r="H224" s="167" t="str">
        <v/>
      </c>
      <c r="I224" s="167" t="str">
        <v/>
      </c>
      <c r="J224" s="167" t="str">
        <v/>
      </c>
      <c r="K224" s="167" t="str">
        <v/>
      </c>
      <c r="L224" s="167" t="str">
        <v/>
      </c>
      <c r="M224" s="167" t="str">
        <v/>
      </c>
      <c r="N224" s="167" t="str">
        <v/>
      </c>
      <c r="O224" s="167" t="str">
        <v/>
      </c>
      <c r="P224" s="167" t="str">
        <v/>
      </c>
    </row>
    <row r="225" spans="1:16" x14ac:dyDescent="0.2">
      <c r="A225" s="58" t="str">
        <v/>
      </c>
      <c r="B225" s="144" t="str">
        <f>IFERROR(TIMEVALUE(DaqBook_RAW_Data!Q215),IFERROR(TIMEVALUE(DaqBook_RAW_Data!A215),""))</f>
        <v/>
      </c>
      <c r="C225" s="167" t="str">
        <v/>
      </c>
      <c r="D225" s="167" t="str">
        <v/>
      </c>
      <c r="E225" s="167" t="str">
        <v/>
      </c>
      <c r="F225" s="167" t="str">
        <v/>
      </c>
      <c r="G225" s="167" t="str">
        <v/>
      </c>
      <c r="H225" s="167" t="str">
        <v/>
      </c>
      <c r="I225" s="167" t="str">
        <v/>
      </c>
      <c r="J225" s="167" t="str">
        <v/>
      </c>
      <c r="K225" s="167" t="str">
        <v/>
      </c>
      <c r="L225" s="167" t="str">
        <v/>
      </c>
      <c r="M225" s="167" t="str">
        <v/>
      </c>
      <c r="N225" s="167" t="str">
        <v/>
      </c>
      <c r="O225" s="167" t="str">
        <v/>
      </c>
      <c r="P225" s="167" t="str">
        <v/>
      </c>
    </row>
    <row r="226" spans="1:16" x14ac:dyDescent="0.2">
      <c r="A226" s="58" t="str">
        <v/>
      </c>
      <c r="B226" s="144" t="str">
        <f>IFERROR(TIMEVALUE(DaqBook_RAW_Data!Q216),IFERROR(TIMEVALUE(DaqBook_RAW_Data!A216),""))</f>
        <v/>
      </c>
      <c r="C226" s="167" t="str">
        <v/>
      </c>
      <c r="D226" s="167" t="str">
        <v/>
      </c>
      <c r="E226" s="167" t="str">
        <v/>
      </c>
      <c r="F226" s="167" t="str">
        <v/>
      </c>
      <c r="G226" s="167" t="str">
        <v/>
      </c>
      <c r="H226" s="167" t="str">
        <v/>
      </c>
      <c r="I226" s="167" t="str">
        <v/>
      </c>
      <c r="J226" s="167" t="str">
        <v/>
      </c>
      <c r="K226" s="167" t="str">
        <v/>
      </c>
      <c r="L226" s="167" t="str">
        <v/>
      </c>
      <c r="M226" s="167" t="str">
        <v/>
      </c>
      <c r="N226" s="167" t="str">
        <v/>
      </c>
      <c r="O226" s="167" t="str">
        <v/>
      </c>
      <c r="P226" s="167" t="str">
        <v/>
      </c>
    </row>
    <row r="227" spans="1:16" x14ac:dyDescent="0.2">
      <c r="A227" s="58" t="str">
        <v/>
      </c>
      <c r="B227" s="144" t="str">
        <f>IFERROR(TIMEVALUE(DaqBook_RAW_Data!Q217),IFERROR(TIMEVALUE(DaqBook_RAW_Data!A217),""))</f>
        <v/>
      </c>
      <c r="C227" s="167" t="str">
        <v/>
      </c>
      <c r="D227" s="167" t="str">
        <v/>
      </c>
      <c r="E227" s="167" t="str">
        <v/>
      </c>
      <c r="F227" s="167" t="str">
        <v/>
      </c>
      <c r="G227" s="167" t="str">
        <v/>
      </c>
      <c r="H227" s="167" t="str">
        <v/>
      </c>
      <c r="I227" s="167" t="str">
        <v/>
      </c>
      <c r="J227" s="167" t="str">
        <v/>
      </c>
      <c r="K227" s="167" t="str">
        <v/>
      </c>
      <c r="L227" s="167" t="str">
        <v/>
      </c>
      <c r="M227" s="167" t="str">
        <v/>
      </c>
      <c r="N227" s="167" t="str">
        <v/>
      </c>
      <c r="O227" s="167" t="str">
        <v/>
      </c>
      <c r="P227" s="167" t="str">
        <v/>
      </c>
    </row>
    <row r="228" spans="1:16" x14ac:dyDescent="0.2">
      <c r="A228" s="58" t="str">
        <v/>
      </c>
      <c r="B228" s="144" t="str">
        <f>IFERROR(TIMEVALUE(DaqBook_RAW_Data!Q218),IFERROR(TIMEVALUE(DaqBook_RAW_Data!A218),""))</f>
        <v/>
      </c>
      <c r="C228" s="167" t="str">
        <v/>
      </c>
      <c r="D228" s="167" t="str">
        <v/>
      </c>
      <c r="E228" s="167" t="str">
        <v/>
      </c>
      <c r="F228" s="167" t="str">
        <v/>
      </c>
      <c r="G228" s="167" t="str">
        <v/>
      </c>
      <c r="H228" s="167" t="str">
        <v/>
      </c>
      <c r="I228" s="167" t="str">
        <v/>
      </c>
      <c r="J228" s="167" t="str">
        <v/>
      </c>
      <c r="K228" s="167" t="str">
        <v/>
      </c>
      <c r="L228" s="167" t="str">
        <v/>
      </c>
      <c r="M228" s="167" t="str">
        <v/>
      </c>
      <c r="N228" s="167" t="str">
        <v/>
      </c>
      <c r="O228" s="167" t="str">
        <v/>
      </c>
      <c r="P228" s="167" t="str">
        <v/>
      </c>
    </row>
    <row r="229" spans="1:16" x14ac:dyDescent="0.2">
      <c r="A229" s="58" t="str">
        <v/>
      </c>
      <c r="B229" s="144" t="str">
        <f>IFERROR(TIMEVALUE(DaqBook_RAW_Data!Q219),IFERROR(TIMEVALUE(DaqBook_RAW_Data!A219),""))</f>
        <v/>
      </c>
      <c r="C229" s="167" t="str">
        <v/>
      </c>
      <c r="D229" s="167" t="str">
        <v/>
      </c>
      <c r="E229" s="167" t="str">
        <v/>
      </c>
      <c r="F229" s="167" t="str">
        <v/>
      </c>
      <c r="G229" s="167" t="str">
        <v/>
      </c>
      <c r="H229" s="167" t="str">
        <v/>
      </c>
      <c r="I229" s="167" t="str">
        <v/>
      </c>
      <c r="J229" s="167" t="str">
        <v/>
      </c>
      <c r="K229" s="167" t="str">
        <v/>
      </c>
      <c r="L229" s="167" t="str">
        <v/>
      </c>
      <c r="M229" s="167" t="str">
        <v/>
      </c>
      <c r="N229" s="167" t="str">
        <v/>
      </c>
      <c r="O229" s="167" t="str">
        <v/>
      </c>
      <c r="P229" s="167" t="str">
        <v/>
      </c>
    </row>
    <row r="230" spans="1:16" x14ac:dyDescent="0.2">
      <c r="A230" s="58" t="str">
        <v/>
      </c>
      <c r="B230" s="144" t="str">
        <f>IFERROR(TIMEVALUE(DaqBook_RAW_Data!Q220),IFERROR(TIMEVALUE(DaqBook_RAW_Data!A220),""))</f>
        <v/>
      </c>
      <c r="C230" s="167" t="str">
        <v/>
      </c>
      <c r="D230" s="167" t="str">
        <v/>
      </c>
      <c r="E230" s="167" t="str">
        <v/>
      </c>
      <c r="F230" s="167" t="str">
        <v/>
      </c>
      <c r="G230" s="167" t="str">
        <v/>
      </c>
      <c r="H230" s="167" t="str">
        <v/>
      </c>
      <c r="I230" s="167" t="str">
        <v/>
      </c>
      <c r="J230" s="167" t="str">
        <v/>
      </c>
      <c r="K230" s="167" t="str">
        <v/>
      </c>
      <c r="L230" s="167" t="str">
        <v/>
      </c>
      <c r="M230" s="167" t="str">
        <v/>
      </c>
      <c r="N230" s="167" t="str">
        <v/>
      </c>
      <c r="O230" s="167" t="str">
        <v/>
      </c>
      <c r="P230" s="167" t="str">
        <v/>
      </c>
    </row>
    <row r="231" spans="1:16" x14ac:dyDescent="0.2">
      <c r="A231" s="58" t="str">
        <v/>
      </c>
      <c r="B231" s="144" t="str">
        <f>IFERROR(TIMEVALUE(DaqBook_RAW_Data!Q221),IFERROR(TIMEVALUE(DaqBook_RAW_Data!A221),""))</f>
        <v/>
      </c>
      <c r="C231" s="167" t="str">
        <v/>
      </c>
      <c r="D231" s="167" t="str">
        <v/>
      </c>
      <c r="E231" s="167" t="str">
        <v/>
      </c>
      <c r="F231" s="167" t="str">
        <v/>
      </c>
      <c r="G231" s="167" t="str">
        <v/>
      </c>
      <c r="H231" s="167" t="str">
        <v/>
      </c>
      <c r="I231" s="167" t="str">
        <v/>
      </c>
      <c r="J231" s="167" t="str">
        <v/>
      </c>
      <c r="K231" s="167" t="str">
        <v/>
      </c>
      <c r="L231" s="167" t="str">
        <v/>
      </c>
      <c r="M231" s="167" t="str">
        <v/>
      </c>
      <c r="N231" s="167" t="str">
        <v/>
      </c>
      <c r="O231" s="167" t="str">
        <v/>
      </c>
      <c r="P231" s="167" t="str">
        <v/>
      </c>
    </row>
    <row r="232" spans="1:16" x14ac:dyDescent="0.2">
      <c r="A232" s="58" t="str">
        <v/>
      </c>
      <c r="B232" s="144" t="str">
        <f>IFERROR(TIMEVALUE(DaqBook_RAW_Data!Q222),IFERROR(TIMEVALUE(DaqBook_RAW_Data!A222),""))</f>
        <v/>
      </c>
      <c r="C232" s="167" t="str">
        <v/>
      </c>
      <c r="D232" s="167" t="str">
        <v/>
      </c>
      <c r="E232" s="167" t="str">
        <v/>
      </c>
      <c r="F232" s="167" t="str">
        <v/>
      </c>
      <c r="G232" s="167" t="str">
        <v/>
      </c>
      <c r="H232" s="167" t="str">
        <v/>
      </c>
      <c r="I232" s="167" t="str">
        <v/>
      </c>
      <c r="J232" s="167" t="str">
        <v/>
      </c>
      <c r="K232" s="167" t="str">
        <v/>
      </c>
      <c r="L232" s="167" t="str">
        <v/>
      </c>
      <c r="M232" s="167" t="str">
        <v/>
      </c>
      <c r="N232" s="167" t="str">
        <v/>
      </c>
      <c r="O232" s="167" t="str">
        <v/>
      </c>
      <c r="P232" s="167" t="str">
        <v/>
      </c>
    </row>
    <row r="233" spans="1:16" x14ac:dyDescent="0.2">
      <c r="A233" s="58" t="str">
        <v/>
      </c>
      <c r="B233" s="144" t="str">
        <f>IFERROR(TIMEVALUE(DaqBook_RAW_Data!Q223),IFERROR(TIMEVALUE(DaqBook_RAW_Data!A223),""))</f>
        <v/>
      </c>
      <c r="C233" s="167" t="str">
        <v/>
      </c>
      <c r="D233" s="167" t="str">
        <v/>
      </c>
      <c r="E233" s="167" t="str">
        <v/>
      </c>
      <c r="F233" s="167" t="str">
        <v/>
      </c>
      <c r="G233" s="167" t="str">
        <v/>
      </c>
      <c r="H233" s="167" t="str">
        <v/>
      </c>
      <c r="I233" s="167" t="str">
        <v/>
      </c>
      <c r="J233" s="167" t="str">
        <v/>
      </c>
      <c r="K233" s="167" t="str">
        <v/>
      </c>
      <c r="L233" s="167" t="str">
        <v/>
      </c>
      <c r="M233" s="167" t="str">
        <v/>
      </c>
      <c r="N233" s="167" t="str">
        <v/>
      </c>
      <c r="O233" s="167" t="str">
        <v/>
      </c>
      <c r="P233" s="167" t="str">
        <v/>
      </c>
    </row>
    <row r="234" spans="1:16" x14ac:dyDescent="0.2">
      <c r="A234" s="58" t="str">
        <v/>
      </c>
      <c r="B234" s="144" t="str">
        <f>IFERROR(TIMEVALUE(DaqBook_RAW_Data!Q224),IFERROR(TIMEVALUE(DaqBook_RAW_Data!A224),""))</f>
        <v/>
      </c>
      <c r="C234" s="167" t="str">
        <v/>
      </c>
      <c r="D234" s="167" t="str">
        <v/>
      </c>
      <c r="E234" s="167" t="str">
        <v/>
      </c>
      <c r="F234" s="167" t="str">
        <v/>
      </c>
      <c r="G234" s="167" t="str">
        <v/>
      </c>
      <c r="H234" s="167" t="str">
        <v/>
      </c>
      <c r="I234" s="167" t="str">
        <v/>
      </c>
      <c r="J234" s="167" t="str">
        <v/>
      </c>
      <c r="K234" s="167" t="str">
        <v/>
      </c>
      <c r="L234" s="167" t="str">
        <v/>
      </c>
      <c r="M234" s="167" t="str">
        <v/>
      </c>
      <c r="N234" s="167" t="str">
        <v/>
      </c>
      <c r="O234" s="167" t="str">
        <v/>
      </c>
      <c r="P234" s="167" t="str">
        <v/>
      </c>
    </row>
    <row r="235" spans="1:16" x14ac:dyDescent="0.2">
      <c r="A235" s="58" t="str">
        <v/>
      </c>
      <c r="B235" s="144" t="str">
        <f>IFERROR(TIMEVALUE(DaqBook_RAW_Data!Q225),IFERROR(TIMEVALUE(DaqBook_RAW_Data!A225),""))</f>
        <v/>
      </c>
      <c r="C235" s="167" t="str">
        <v/>
      </c>
      <c r="D235" s="167" t="str">
        <v/>
      </c>
      <c r="E235" s="167" t="str">
        <v/>
      </c>
      <c r="F235" s="167" t="str">
        <v/>
      </c>
      <c r="G235" s="167" t="str">
        <v/>
      </c>
      <c r="H235" s="167" t="str">
        <v/>
      </c>
      <c r="I235" s="167" t="str">
        <v/>
      </c>
      <c r="J235" s="167" t="str">
        <v/>
      </c>
      <c r="K235" s="167" t="str">
        <v/>
      </c>
      <c r="L235" s="167" t="str">
        <v/>
      </c>
      <c r="M235" s="167" t="str">
        <v/>
      </c>
      <c r="N235" s="167" t="str">
        <v/>
      </c>
      <c r="O235" s="167" t="str">
        <v/>
      </c>
      <c r="P235" s="167" t="str">
        <v/>
      </c>
    </row>
    <row r="236" spans="1:16" x14ac:dyDescent="0.2">
      <c r="A236" s="58" t="str">
        <v/>
      </c>
      <c r="B236" s="144" t="str">
        <f>IFERROR(TIMEVALUE(DaqBook_RAW_Data!Q226),IFERROR(TIMEVALUE(DaqBook_RAW_Data!A226),""))</f>
        <v/>
      </c>
      <c r="C236" s="167" t="str">
        <v/>
      </c>
      <c r="D236" s="167" t="str">
        <v/>
      </c>
      <c r="E236" s="167" t="str">
        <v/>
      </c>
      <c r="F236" s="167" t="str">
        <v/>
      </c>
      <c r="G236" s="167" t="str">
        <v/>
      </c>
      <c r="H236" s="167" t="str">
        <v/>
      </c>
      <c r="I236" s="167" t="str">
        <v/>
      </c>
      <c r="J236" s="167" t="str">
        <v/>
      </c>
      <c r="K236" s="167" t="str">
        <v/>
      </c>
      <c r="L236" s="167" t="str">
        <v/>
      </c>
      <c r="M236" s="167" t="str">
        <v/>
      </c>
      <c r="N236" s="167" t="str">
        <v/>
      </c>
      <c r="O236" s="167" t="str">
        <v/>
      </c>
      <c r="P236" s="167" t="str">
        <v/>
      </c>
    </row>
    <row r="237" spans="1:16" x14ac:dyDescent="0.2">
      <c r="A237" s="58" t="str">
        <v/>
      </c>
      <c r="B237" s="144" t="str">
        <f>IFERROR(TIMEVALUE(DaqBook_RAW_Data!Q227),IFERROR(TIMEVALUE(DaqBook_RAW_Data!A227),""))</f>
        <v/>
      </c>
      <c r="C237" s="167" t="str">
        <v/>
      </c>
      <c r="D237" s="167" t="str">
        <v/>
      </c>
      <c r="E237" s="167" t="str">
        <v/>
      </c>
      <c r="F237" s="167" t="str">
        <v/>
      </c>
      <c r="G237" s="167" t="str">
        <v/>
      </c>
      <c r="H237" s="167" t="str">
        <v/>
      </c>
      <c r="I237" s="167" t="str">
        <v/>
      </c>
      <c r="J237" s="167" t="str">
        <v/>
      </c>
      <c r="K237" s="167" t="str">
        <v/>
      </c>
      <c r="L237" s="167" t="str">
        <v/>
      </c>
      <c r="M237" s="167" t="str">
        <v/>
      </c>
      <c r="N237" s="167" t="str">
        <v/>
      </c>
      <c r="O237" s="167" t="str">
        <v/>
      </c>
      <c r="P237" s="167" t="str">
        <v/>
      </c>
    </row>
    <row r="238" spans="1:16" x14ac:dyDescent="0.2">
      <c r="A238" s="58" t="str">
        <v/>
      </c>
      <c r="B238" s="144" t="str">
        <f>IFERROR(TIMEVALUE(DaqBook_RAW_Data!Q228),IFERROR(TIMEVALUE(DaqBook_RAW_Data!A228),""))</f>
        <v/>
      </c>
      <c r="C238" s="167" t="str">
        <v/>
      </c>
      <c r="D238" s="167" t="str">
        <v/>
      </c>
      <c r="E238" s="167" t="str">
        <v/>
      </c>
      <c r="F238" s="167" t="str">
        <v/>
      </c>
      <c r="G238" s="167" t="str">
        <v/>
      </c>
      <c r="H238" s="167" t="str">
        <v/>
      </c>
      <c r="I238" s="167" t="str">
        <v/>
      </c>
      <c r="J238" s="167" t="str">
        <v/>
      </c>
      <c r="K238" s="167" t="str">
        <v/>
      </c>
      <c r="L238" s="167" t="str">
        <v/>
      </c>
      <c r="M238" s="167" t="str">
        <v/>
      </c>
      <c r="N238" s="167" t="str">
        <v/>
      </c>
      <c r="O238" s="167" t="str">
        <v/>
      </c>
      <c r="P238" s="167" t="str">
        <v/>
      </c>
    </row>
    <row r="239" spans="1:16" x14ac:dyDescent="0.2">
      <c r="A239" s="58" t="str">
        <v/>
      </c>
      <c r="B239" s="144" t="str">
        <f>IFERROR(TIMEVALUE(DaqBook_RAW_Data!Q229),IFERROR(TIMEVALUE(DaqBook_RAW_Data!A229),""))</f>
        <v/>
      </c>
      <c r="C239" s="167" t="str">
        <v/>
      </c>
      <c r="D239" s="167" t="str">
        <v/>
      </c>
      <c r="E239" s="167" t="str">
        <v/>
      </c>
      <c r="F239" s="167" t="str">
        <v/>
      </c>
      <c r="G239" s="167" t="str">
        <v/>
      </c>
      <c r="H239" s="167" t="str">
        <v/>
      </c>
      <c r="I239" s="167" t="str">
        <v/>
      </c>
      <c r="J239" s="167" t="str">
        <v/>
      </c>
      <c r="K239" s="167" t="str">
        <v/>
      </c>
      <c r="L239" s="167" t="str">
        <v/>
      </c>
      <c r="M239" s="167" t="str">
        <v/>
      </c>
      <c r="N239" s="167" t="str">
        <v/>
      </c>
      <c r="O239" s="167" t="str">
        <v/>
      </c>
      <c r="P239" s="167" t="str">
        <v/>
      </c>
    </row>
    <row r="240" spans="1:16" x14ac:dyDescent="0.2">
      <c r="A240" s="58" t="str">
        <v/>
      </c>
      <c r="B240" s="144" t="str">
        <f>IFERROR(TIMEVALUE(DaqBook_RAW_Data!Q230),IFERROR(TIMEVALUE(DaqBook_RAW_Data!A230),""))</f>
        <v/>
      </c>
      <c r="C240" s="167" t="str">
        <v/>
      </c>
      <c r="D240" s="167" t="str">
        <v/>
      </c>
      <c r="E240" s="167" t="str">
        <v/>
      </c>
      <c r="F240" s="167" t="str">
        <v/>
      </c>
      <c r="G240" s="167" t="str">
        <v/>
      </c>
      <c r="H240" s="167" t="str">
        <v/>
      </c>
      <c r="I240" s="167" t="str">
        <v/>
      </c>
      <c r="J240" s="167" t="str">
        <v/>
      </c>
      <c r="K240" s="167" t="str">
        <v/>
      </c>
      <c r="L240" s="167" t="str">
        <v/>
      </c>
      <c r="M240" s="167" t="str">
        <v/>
      </c>
      <c r="N240" s="167" t="str">
        <v/>
      </c>
      <c r="O240" s="167" t="str">
        <v/>
      </c>
      <c r="P240" s="167" t="str">
        <v/>
      </c>
    </row>
    <row r="241" spans="1:16" x14ac:dyDescent="0.2">
      <c r="A241" s="58" t="str">
        <v/>
      </c>
      <c r="B241" s="144" t="str">
        <f>IFERROR(TIMEVALUE(DaqBook_RAW_Data!Q231),IFERROR(TIMEVALUE(DaqBook_RAW_Data!A231),""))</f>
        <v/>
      </c>
      <c r="C241" s="167" t="str">
        <v/>
      </c>
      <c r="D241" s="167" t="str">
        <v/>
      </c>
      <c r="E241" s="167" t="str">
        <v/>
      </c>
      <c r="F241" s="167" t="str">
        <v/>
      </c>
      <c r="G241" s="167" t="str">
        <v/>
      </c>
      <c r="H241" s="167" t="str">
        <v/>
      </c>
      <c r="I241" s="167" t="str">
        <v/>
      </c>
      <c r="J241" s="167" t="str">
        <v/>
      </c>
      <c r="K241" s="167" t="str">
        <v/>
      </c>
      <c r="L241" s="167" t="str">
        <v/>
      </c>
      <c r="M241" s="167" t="str">
        <v/>
      </c>
      <c r="N241" s="167" t="str">
        <v/>
      </c>
      <c r="O241" s="167" t="str">
        <v/>
      </c>
      <c r="P241" s="167" t="str">
        <v/>
      </c>
    </row>
    <row r="242" spans="1:16" x14ac:dyDescent="0.2">
      <c r="A242" s="58" t="str">
        <v/>
      </c>
      <c r="B242" s="144" t="str">
        <f>IFERROR(TIMEVALUE(DaqBook_RAW_Data!Q232),IFERROR(TIMEVALUE(DaqBook_RAW_Data!A232),""))</f>
        <v/>
      </c>
      <c r="C242" s="167" t="str">
        <v/>
      </c>
      <c r="D242" s="167" t="str">
        <v/>
      </c>
      <c r="E242" s="167" t="str">
        <v/>
      </c>
      <c r="F242" s="167" t="str">
        <v/>
      </c>
      <c r="G242" s="167" t="str">
        <v/>
      </c>
      <c r="H242" s="167" t="str">
        <v/>
      </c>
      <c r="I242" s="167" t="str">
        <v/>
      </c>
      <c r="J242" s="167" t="str">
        <v/>
      </c>
      <c r="K242" s="167" t="str">
        <v/>
      </c>
      <c r="L242" s="167" t="str">
        <v/>
      </c>
      <c r="M242" s="167" t="str">
        <v/>
      </c>
      <c r="N242" s="167" t="str">
        <v/>
      </c>
      <c r="O242" s="167" t="str">
        <v/>
      </c>
      <c r="P242" s="167" t="str">
        <v/>
      </c>
    </row>
    <row r="243" spans="1:16" x14ac:dyDescent="0.2">
      <c r="A243" s="58" t="str">
        <v/>
      </c>
      <c r="B243" s="144" t="str">
        <f>IFERROR(TIMEVALUE(DaqBook_RAW_Data!Q233),IFERROR(TIMEVALUE(DaqBook_RAW_Data!A233),""))</f>
        <v/>
      </c>
      <c r="C243" s="167" t="str">
        <v/>
      </c>
      <c r="D243" s="167" t="str">
        <v/>
      </c>
      <c r="E243" s="167" t="str">
        <v/>
      </c>
      <c r="F243" s="167" t="str">
        <v/>
      </c>
      <c r="G243" s="167" t="str">
        <v/>
      </c>
      <c r="H243" s="167" t="str">
        <v/>
      </c>
      <c r="I243" s="167" t="str">
        <v/>
      </c>
      <c r="J243" s="167" t="str">
        <v/>
      </c>
      <c r="K243" s="167" t="str">
        <v/>
      </c>
      <c r="L243" s="167" t="str">
        <v/>
      </c>
      <c r="M243" s="167" t="str">
        <v/>
      </c>
      <c r="N243" s="167" t="str">
        <v/>
      </c>
      <c r="O243" s="167" t="str">
        <v/>
      </c>
      <c r="P243" s="167" t="str">
        <v/>
      </c>
    </row>
    <row r="244" spans="1:16" x14ac:dyDescent="0.2">
      <c r="A244" s="58" t="str">
        <v/>
      </c>
      <c r="B244" s="144" t="str">
        <f>IFERROR(TIMEVALUE(DaqBook_RAW_Data!Q234),IFERROR(TIMEVALUE(DaqBook_RAW_Data!A234),""))</f>
        <v/>
      </c>
      <c r="C244" s="167" t="str">
        <v/>
      </c>
      <c r="D244" s="167" t="str">
        <v/>
      </c>
      <c r="E244" s="167" t="str">
        <v/>
      </c>
      <c r="F244" s="167" t="str">
        <v/>
      </c>
      <c r="G244" s="167" t="str">
        <v/>
      </c>
      <c r="H244" s="167" t="str">
        <v/>
      </c>
      <c r="I244" s="167" t="str">
        <v/>
      </c>
      <c r="J244" s="167" t="str">
        <v/>
      </c>
      <c r="K244" s="167" t="str">
        <v/>
      </c>
      <c r="L244" s="167" t="str">
        <v/>
      </c>
      <c r="M244" s="167" t="str">
        <v/>
      </c>
      <c r="N244" s="167" t="str">
        <v/>
      </c>
      <c r="O244" s="167" t="str">
        <v/>
      </c>
      <c r="P244" s="167" t="str">
        <v/>
      </c>
    </row>
    <row r="245" spans="1:16" x14ac:dyDescent="0.2">
      <c r="A245" s="58" t="str">
        <v/>
      </c>
      <c r="B245" s="144" t="str">
        <f>IFERROR(TIMEVALUE(DaqBook_RAW_Data!Q235),IFERROR(TIMEVALUE(DaqBook_RAW_Data!A235),""))</f>
        <v/>
      </c>
      <c r="C245" s="167" t="str">
        <v/>
      </c>
      <c r="D245" s="167" t="str">
        <v/>
      </c>
      <c r="E245" s="167" t="str">
        <v/>
      </c>
      <c r="F245" s="167" t="str">
        <v/>
      </c>
      <c r="G245" s="167" t="str">
        <v/>
      </c>
      <c r="H245" s="167" t="str">
        <v/>
      </c>
      <c r="I245" s="167" t="str">
        <v/>
      </c>
      <c r="J245" s="167" t="str">
        <v/>
      </c>
      <c r="K245" s="167" t="str">
        <v/>
      </c>
      <c r="L245" s="167" t="str">
        <v/>
      </c>
      <c r="M245" s="167" t="str">
        <v/>
      </c>
      <c r="N245" s="167" t="str">
        <v/>
      </c>
      <c r="O245" s="167" t="str">
        <v/>
      </c>
      <c r="P245" s="167" t="str">
        <v/>
      </c>
    </row>
    <row r="246" spans="1:16" x14ac:dyDescent="0.2">
      <c r="A246" s="58" t="str">
        <v/>
      </c>
      <c r="B246" s="144" t="str">
        <f>IFERROR(TIMEVALUE(DaqBook_RAW_Data!Q236),IFERROR(TIMEVALUE(DaqBook_RAW_Data!A236),""))</f>
        <v/>
      </c>
      <c r="C246" s="167" t="str">
        <v/>
      </c>
      <c r="D246" s="167" t="str">
        <v/>
      </c>
      <c r="E246" s="167" t="str">
        <v/>
      </c>
      <c r="F246" s="167" t="str">
        <v/>
      </c>
      <c r="G246" s="167" t="str">
        <v/>
      </c>
      <c r="H246" s="167" t="str">
        <v/>
      </c>
      <c r="I246" s="167" t="str">
        <v/>
      </c>
      <c r="J246" s="167" t="str">
        <v/>
      </c>
      <c r="K246" s="167" t="str">
        <v/>
      </c>
      <c r="L246" s="167" t="str">
        <v/>
      </c>
      <c r="M246" s="167" t="str">
        <v/>
      </c>
      <c r="N246" s="167" t="str">
        <v/>
      </c>
      <c r="O246" s="167" t="str">
        <v/>
      </c>
      <c r="P246" s="167" t="str">
        <v/>
      </c>
    </row>
    <row r="247" spans="1:16" x14ac:dyDescent="0.2">
      <c r="A247" s="58" t="str">
        <v/>
      </c>
      <c r="B247" s="144" t="str">
        <f>IFERROR(TIMEVALUE(DaqBook_RAW_Data!Q237),IFERROR(TIMEVALUE(DaqBook_RAW_Data!A237),""))</f>
        <v/>
      </c>
      <c r="C247" s="167" t="str">
        <v/>
      </c>
      <c r="D247" s="167" t="str">
        <v/>
      </c>
      <c r="E247" s="167" t="str">
        <v/>
      </c>
      <c r="F247" s="167" t="str">
        <v/>
      </c>
      <c r="G247" s="167" t="str">
        <v/>
      </c>
      <c r="H247" s="167" t="str">
        <v/>
      </c>
      <c r="I247" s="167" t="str">
        <v/>
      </c>
      <c r="J247" s="167" t="str">
        <v/>
      </c>
      <c r="K247" s="167" t="str">
        <v/>
      </c>
      <c r="L247" s="167" t="str">
        <v/>
      </c>
      <c r="M247" s="167" t="str">
        <v/>
      </c>
      <c r="N247" s="167" t="str">
        <v/>
      </c>
      <c r="O247" s="167" t="str">
        <v/>
      </c>
      <c r="P247" s="167" t="str">
        <v/>
      </c>
    </row>
    <row r="248" spans="1:16" x14ac:dyDescent="0.2">
      <c r="A248" s="58" t="str">
        <v/>
      </c>
      <c r="B248" s="144" t="str">
        <f>IFERROR(TIMEVALUE(DaqBook_RAW_Data!Q238),IFERROR(TIMEVALUE(DaqBook_RAW_Data!A238),""))</f>
        <v/>
      </c>
      <c r="C248" s="167" t="str">
        <v/>
      </c>
      <c r="D248" s="167" t="str">
        <v/>
      </c>
      <c r="E248" s="167" t="str">
        <v/>
      </c>
      <c r="F248" s="167" t="str">
        <v/>
      </c>
      <c r="G248" s="167" t="str">
        <v/>
      </c>
      <c r="H248" s="167" t="str">
        <v/>
      </c>
      <c r="I248" s="167" t="str">
        <v/>
      </c>
      <c r="J248" s="167" t="str">
        <v/>
      </c>
      <c r="K248" s="167" t="str">
        <v/>
      </c>
      <c r="L248" s="167" t="str">
        <v/>
      </c>
      <c r="M248" s="167" t="str">
        <v/>
      </c>
      <c r="N248" s="167" t="str">
        <v/>
      </c>
      <c r="O248" s="167" t="str">
        <v/>
      </c>
      <c r="P248" s="167" t="str">
        <v/>
      </c>
    </row>
    <row r="249" spans="1:16" x14ac:dyDescent="0.2">
      <c r="A249" s="58" t="str">
        <v/>
      </c>
      <c r="B249" s="144" t="str">
        <f>IFERROR(TIMEVALUE(DaqBook_RAW_Data!Q239),IFERROR(TIMEVALUE(DaqBook_RAW_Data!A239),""))</f>
        <v/>
      </c>
      <c r="C249" s="167" t="str">
        <v/>
      </c>
      <c r="D249" s="167" t="str">
        <v/>
      </c>
      <c r="E249" s="167" t="str">
        <v/>
      </c>
      <c r="F249" s="167" t="str">
        <v/>
      </c>
      <c r="G249" s="167" t="str">
        <v/>
      </c>
      <c r="H249" s="167" t="str">
        <v/>
      </c>
      <c r="I249" s="167" t="str">
        <v/>
      </c>
      <c r="J249" s="167" t="str">
        <v/>
      </c>
      <c r="K249" s="167" t="str">
        <v/>
      </c>
      <c r="L249" s="167" t="str">
        <v/>
      </c>
      <c r="M249" s="167" t="str">
        <v/>
      </c>
      <c r="N249" s="167" t="str">
        <v/>
      </c>
      <c r="O249" s="167" t="str">
        <v/>
      </c>
      <c r="P249" s="167" t="str">
        <v/>
      </c>
    </row>
    <row r="250" spans="1:16" x14ac:dyDescent="0.2">
      <c r="A250" s="58" t="str">
        <v/>
      </c>
      <c r="B250" s="144" t="str">
        <f>IFERROR(TIMEVALUE(DaqBook_RAW_Data!Q240),IFERROR(TIMEVALUE(DaqBook_RAW_Data!A240),""))</f>
        <v/>
      </c>
      <c r="C250" s="167" t="str">
        <v/>
      </c>
      <c r="D250" s="167" t="str">
        <v/>
      </c>
      <c r="E250" s="167" t="str">
        <v/>
      </c>
      <c r="F250" s="167" t="str">
        <v/>
      </c>
      <c r="G250" s="167" t="str">
        <v/>
      </c>
      <c r="H250" s="167" t="str">
        <v/>
      </c>
      <c r="I250" s="167" t="str">
        <v/>
      </c>
      <c r="J250" s="167" t="str">
        <v/>
      </c>
      <c r="K250" s="167" t="str">
        <v/>
      </c>
      <c r="L250" s="167" t="str">
        <v/>
      </c>
      <c r="M250" s="167" t="str">
        <v/>
      </c>
      <c r="N250" s="167" t="str">
        <v/>
      </c>
      <c r="O250" s="167" t="str">
        <v/>
      </c>
      <c r="P250" s="167" t="str">
        <v/>
      </c>
    </row>
    <row r="251" spans="1:16" x14ac:dyDescent="0.2">
      <c r="A251" s="58" t="str">
        <v/>
      </c>
      <c r="B251" s="144" t="str">
        <f>IFERROR(TIMEVALUE(DaqBook_RAW_Data!Q241),IFERROR(TIMEVALUE(DaqBook_RAW_Data!A241),""))</f>
        <v/>
      </c>
      <c r="C251" s="167" t="str">
        <v/>
      </c>
      <c r="D251" s="167" t="str">
        <v/>
      </c>
      <c r="E251" s="167" t="str">
        <v/>
      </c>
      <c r="F251" s="167" t="str">
        <v/>
      </c>
      <c r="G251" s="167" t="str">
        <v/>
      </c>
      <c r="H251" s="167" t="str">
        <v/>
      </c>
      <c r="I251" s="167" t="str">
        <v/>
      </c>
      <c r="J251" s="167" t="str">
        <v/>
      </c>
      <c r="K251" s="167" t="str">
        <v/>
      </c>
      <c r="L251" s="167" t="str">
        <v/>
      </c>
      <c r="M251" s="167" t="str">
        <v/>
      </c>
      <c r="N251" s="167" t="str">
        <v/>
      </c>
      <c r="O251" s="167" t="str">
        <v/>
      </c>
      <c r="P251" s="167" t="str">
        <v/>
      </c>
    </row>
    <row r="252" spans="1:16" x14ac:dyDescent="0.2">
      <c r="A252" s="58" t="str">
        <v/>
      </c>
      <c r="B252" s="144" t="str">
        <f>IFERROR(TIMEVALUE(DaqBook_RAW_Data!Q242),IFERROR(TIMEVALUE(DaqBook_RAW_Data!A242),""))</f>
        <v/>
      </c>
      <c r="C252" s="167" t="str">
        <v/>
      </c>
      <c r="D252" s="167" t="str">
        <v/>
      </c>
      <c r="E252" s="167" t="str">
        <v/>
      </c>
      <c r="F252" s="167" t="str">
        <v/>
      </c>
      <c r="G252" s="167" t="str">
        <v/>
      </c>
      <c r="H252" s="167" t="str">
        <v/>
      </c>
      <c r="I252" s="167" t="str">
        <v/>
      </c>
      <c r="J252" s="167" t="str">
        <v/>
      </c>
      <c r="K252" s="167" t="str">
        <v/>
      </c>
      <c r="L252" s="167" t="str">
        <v/>
      </c>
      <c r="M252" s="167" t="str">
        <v/>
      </c>
      <c r="N252" s="167" t="str">
        <v/>
      </c>
      <c r="O252" s="167" t="str">
        <v/>
      </c>
      <c r="P252" s="167" t="str">
        <v/>
      </c>
    </row>
    <row r="253" spans="1:16" x14ac:dyDescent="0.2">
      <c r="A253" s="58" t="str">
        <v/>
      </c>
      <c r="B253" s="144" t="str">
        <f>IFERROR(TIMEVALUE(DaqBook_RAW_Data!Q243),IFERROR(TIMEVALUE(DaqBook_RAW_Data!A243),""))</f>
        <v/>
      </c>
      <c r="C253" s="167" t="str">
        <v/>
      </c>
      <c r="D253" s="167" t="str">
        <v/>
      </c>
      <c r="E253" s="167" t="str">
        <v/>
      </c>
      <c r="F253" s="167" t="str">
        <v/>
      </c>
      <c r="G253" s="167" t="str">
        <v/>
      </c>
      <c r="H253" s="167" t="str">
        <v/>
      </c>
      <c r="I253" s="167" t="str">
        <v/>
      </c>
      <c r="J253" s="167" t="str">
        <v/>
      </c>
      <c r="K253" s="167" t="str">
        <v/>
      </c>
      <c r="L253" s="167" t="str">
        <v/>
      </c>
      <c r="M253" s="167" t="str">
        <v/>
      </c>
      <c r="N253" s="167" t="str">
        <v/>
      </c>
      <c r="O253" s="167" t="str">
        <v/>
      </c>
      <c r="P253" s="167" t="str">
        <v/>
      </c>
    </row>
    <row r="254" spans="1:16" x14ac:dyDescent="0.2">
      <c r="A254" s="58" t="str">
        <v/>
      </c>
      <c r="B254" s="144" t="str">
        <f>IFERROR(TIMEVALUE(DaqBook_RAW_Data!Q244),IFERROR(TIMEVALUE(DaqBook_RAW_Data!A244),""))</f>
        <v/>
      </c>
      <c r="C254" s="167" t="str">
        <v/>
      </c>
      <c r="D254" s="167" t="str">
        <v/>
      </c>
      <c r="E254" s="167" t="str">
        <v/>
      </c>
      <c r="F254" s="167" t="str">
        <v/>
      </c>
      <c r="G254" s="167" t="str">
        <v/>
      </c>
      <c r="H254" s="167" t="str">
        <v/>
      </c>
      <c r="I254" s="167" t="str">
        <v/>
      </c>
      <c r="J254" s="167" t="str">
        <v/>
      </c>
      <c r="K254" s="167" t="str">
        <v/>
      </c>
      <c r="L254" s="167" t="str">
        <v/>
      </c>
      <c r="M254" s="167" t="str">
        <v/>
      </c>
      <c r="N254" s="167" t="str">
        <v/>
      </c>
      <c r="O254" s="167" t="str">
        <v/>
      </c>
      <c r="P254" s="167" t="str">
        <v/>
      </c>
    </row>
    <row r="255" spans="1:16" x14ac:dyDescent="0.2">
      <c r="A255" s="58" t="str">
        <v/>
      </c>
      <c r="B255" s="144" t="str">
        <f>IFERROR(TIMEVALUE(DaqBook_RAW_Data!Q245),IFERROR(TIMEVALUE(DaqBook_RAW_Data!A245),""))</f>
        <v/>
      </c>
      <c r="C255" s="167" t="str">
        <v/>
      </c>
      <c r="D255" s="167" t="str">
        <v/>
      </c>
      <c r="E255" s="167" t="str">
        <v/>
      </c>
      <c r="F255" s="167" t="str">
        <v/>
      </c>
      <c r="G255" s="167" t="str">
        <v/>
      </c>
      <c r="H255" s="167" t="str">
        <v/>
      </c>
      <c r="I255" s="167" t="str">
        <v/>
      </c>
      <c r="J255" s="167" t="str">
        <v/>
      </c>
      <c r="K255" s="167" t="str">
        <v/>
      </c>
      <c r="L255" s="167" t="str">
        <v/>
      </c>
      <c r="M255" s="167" t="str">
        <v/>
      </c>
      <c r="N255" s="167" t="str">
        <v/>
      </c>
      <c r="O255" s="167" t="str">
        <v/>
      </c>
      <c r="P255" s="167" t="str">
        <v/>
      </c>
    </row>
    <row r="256" spans="1:16" x14ac:dyDescent="0.2">
      <c r="A256" s="58" t="str">
        <v/>
      </c>
      <c r="B256" s="144" t="str">
        <f>IFERROR(TIMEVALUE(DaqBook_RAW_Data!Q246),IFERROR(TIMEVALUE(DaqBook_RAW_Data!A246),""))</f>
        <v/>
      </c>
      <c r="C256" s="167" t="str">
        <v/>
      </c>
      <c r="D256" s="167" t="str">
        <v/>
      </c>
      <c r="E256" s="167" t="str">
        <v/>
      </c>
      <c r="F256" s="167" t="str">
        <v/>
      </c>
      <c r="G256" s="167" t="str">
        <v/>
      </c>
      <c r="H256" s="167" t="str">
        <v/>
      </c>
      <c r="I256" s="167" t="str">
        <v/>
      </c>
      <c r="J256" s="167" t="str">
        <v/>
      </c>
      <c r="K256" s="167" t="str">
        <v/>
      </c>
      <c r="L256" s="167" t="str">
        <v/>
      </c>
      <c r="M256" s="167" t="str">
        <v/>
      </c>
      <c r="N256" s="167" t="str">
        <v/>
      </c>
      <c r="O256" s="167" t="str">
        <v/>
      </c>
      <c r="P256" s="167" t="str">
        <v/>
      </c>
    </row>
    <row r="257" spans="1:16" x14ac:dyDescent="0.2">
      <c r="A257" s="58" t="str">
        <v/>
      </c>
      <c r="B257" s="144" t="str">
        <f>IFERROR(TIMEVALUE(DaqBook_RAW_Data!Q247),IFERROR(TIMEVALUE(DaqBook_RAW_Data!A247),""))</f>
        <v/>
      </c>
      <c r="C257" s="167" t="str">
        <v/>
      </c>
      <c r="D257" s="167" t="str">
        <v/>
      </c>
      <c r="E257" s="167" t="str">
        <v/>
      </c>
      <c r="F257" s="167" t="str">
        <v/>
      </c>
      <c r="G257" s="167" t="str">
        <v/>
      </c>
      <c r="H257" s="167" t="str">
        <v/>
      </c>
      <c r="I257" s="167" t="str">
        <v/>
      </c>
      <c r="J257" s="167" t="str">
        <v/>
      </c>
      <c r="K257" s="167" t="str">
        <v/>
      </c>
      <c r="L257" s="167" t="str">
        <v/>
      </c>
      <c r="M257" s="167" t="str">
        <v/>
      </c>
      <c r="N257" s="167" t="str">
        <v/>
      </c>
      <c r="O257" s="167" t="str">
        <v/>
      </c>
      <c r="P257" s="167" t="str">
        <v/>
      </c>
    </row>
    <row r="258" spans="1:16" x14ac:dyDescent="0.2">
      <c r="A258" s="58" t="str">
        <v/>
      </c>
      <c r="B258" s="144" t="str">
        <f>IFERROR(TIMEVALUE(DaqBook_RAW_Data!Q248),IFERROR(TIMEVALUE(DaqBook_RAW_Data!A248),""))</f>
        <v/>
      </c>
      <c r="C258" s="167" t="str">
        <v/>
      </c>
      <c r="D258" s="167" t="str">
        <v/>
      </c>
      <c r="E258" s="167" t="str">
        <v/>
      </c>
      <c r="F258" s="167" t="str">
        <v/>
      </c>
      <c r="G258" s="167" t="str">
        <v/>
      </c>
      <c r="H258" s="167" t="str">
        <v/>
      </c>
      <c r="I258" s="167" t="str">
        <v/>
      </c>
      <c r="J258" s="167" t="str">
        <v/>
      </c>
      <c r="K258" s="167" t="str">
        <v/>
      </c>
      <c r="L258" s="167" t="str">
        <v/>
      </c>
      <c r="M258" s="167" t="str">
        <v/>
      </c>
      <c r="N258" s="167" t="str">
        <v/>
      </c>
      <c r="O258" s="167" t="str">
        <v/>
      </c>
      <c r="P258" s="167" t="str">
        <v/>
      </c>
    </row>
    <row r="259" spans="1:16" x14ac:dyDescent="0.2">
      <c r="A259" s="58" t="str">
        <v/>
      </c>
      <c r="B259" s="144" t="str">
        <f>IFERROR(TIMEVALUE(DaqBook_RAW_Data!Q249),IFERROR(TIMEVALUE(DaqBook_RAW_Data!A249),""))</f>
        <v/>
      </c>
      <c r="C259" s="167" t="str">
        <v/>
      </c>
      <c r="D259" s="167" t="str">
        <v/>
      </c>
      <c r="E259" s="167" t="str">
        <v/>
      </c>
      <c r="F259" s="167" t="str">
        <v/>
      </c>
      <c r="G259" s="167" t="str">
        <v/>
      </c>
      <c r="H259" s="167" t="str">
        <v/>
      </c>
      <c r="I259" s="167" t="str">
        <v/>
      </c>
      <c r="J259" s="167" t="str">
        <v/>
      </c>
      <c r="K259" s="167" t="str">
        <v/>
      </c>
      <c r="L259" s="167" t="str">
        <v/>
      </c>
      <c r="M259" s="167" t="str">
        <v/>
      </c>
      <c r="N259" s="167" t="str">
        <v/>
      </c>
      <c r="O259" s="167" t="str">
        <v/>
      </c>
      <c r="P259" s="167" t="str">
        <v/>
      </c>
    </row>
    <row r="260" spans="1:16" x14ac:dyDescent="0.2">
      <c r="A260" s="58" t="str">
        <v/>
      </c>
      <c r="B260" s="144" t="str">
        <f>IFERROR(TIMEVALUE(DaqBook_RAW_Data!Q250),IFERROR(TIMEVALUE(DaqBook_RAW_Data!A250),""))</f>
        <v/>
      </c>
      <c r="C260" s="167" t="str">
        <v/>
      </c>
      <c r="D260" s="167" t="str">
        <v/>
      </c>
      <c r="E260" s="167" t="str">
        <v/>
      </c>
      <c r="F260" s="167" t="str">
        <v/>
      </c>
      <c r="G260" s="167" t="str">
        <v/>
      </c>
      <c r="H260" s="167" t="str">
        <v/>
      </c>
      <c r="I260" s="167" t="str">
        <v/>
      </c>
      <c r="J260" s="167" t="str">
        <v/>
      </c>
      <c r="K260" s="167" t="str">
        <v/>
      </c>
      <c r="L260" s="167" t="str">
        <v/>
      </c>
      <c r="M260" s="167" t="str">
        <v/>
      </c>
      <c r="N260" s="167" t="str">
        <v/>
      </c>
      <c r="O260" s="167" t="str">
        <v/>
      </c>
      <c r="P260" s="167" t="str">
        <v/>
      </c>
    </row>
    <row r="261" spans="1:16" x14ac:dyDescent="0.2">
      <c r="A261" s="58" t="str">
        <v/>
      </c>
      <c r="B261" s="144" t="str">
        <f>IFERROR(TIMEVALUE(DaqBook_RAW_Data!Q251),IFERROR(TIMEVALUE(DaqBook_RAW_Data!A251),""))</f>
        <v/>
      </c>
      <c r="C261" s="167" t="str">
        <v/>
      </c>
      <c r="D261" s="167" t="str">
        <v/>
      </c>
      <c r="E261" s="167" t="str">
        <v/>
      </c>
      <c r="F261" s="167" t="str">
        <v/>
      </c>
      <c r="G261" s="167" t="str">
        <v/>
      </c>
      <c r="H261" s="167" t="str">
        <v/>
      </c>
      <c r="I261" s="167" t="str">
        <v/>
      </c>
      <c r="J261" s="167" t="str">
        <v/>
      </c>
      <c r="K261" s="167" t="str">
        <v/>
      </c>
      <c r="L261" s="167" t="str">
        <v/>
      </c>
      <c r="M261" s="167" t="str">
        <v/>
      </c>
      <c r="N261" s="167" t="str">
        <v/>
      </c>
      <c r="O261" s="167" t="str">
        <v/>
      </c>
      <c r="P261" s="167" t="str">
        <v/>
      </c>
    </row>
    <row r="262" spans="1:16" x14ac:dyDescent="0.2">
      <c r="A262" s="58" t="str">
        <v/>
      </c>
      <c r="B262" s="144" t="str">
        <f>IFERROR(TIMEVALUE(DaqBook_RAW_Data!Q252),IFERROR(TIMEVALUE(DaqBook_RAW_Data!A252),""))</f>
        <v/>
      </c>
      <c r="C262" s="167" t="str">
        <v/>
      </c>
      <c r="D262" s="167" t="str">
        <v/>
      </c>
      <c r="E262" s="167" t="str">
        <v/>
      </c>
      <c r="F262" s="167" t="str">
        <v/>
      </c>
      <c r="G262" s="167" t="str">
        <v/>
      </c>
      <c r="H262" s="167" t="str">
        <v/>
      </c>
      <c r="I262" s="167" t="str">
        <v/>
      </c>
      <c r="J262" s="167" t="str">
        <v/>
      </c>
      <c r="K262" s="167" t="str">
        <v/>
      </c>
      <c r="L262" s="167" t="str">
        <v/>
      </c>
      <c r="M262" s="167" t="str">
        <v/>
      </c>
      <c r="N262" s="167" t="str">
        <v/>
      </c>
      <c r="O262" s="167" t="str">
        <v/>
      </c>
      <c r="P262" s="167" t="str">
        <v/>
      </c>
    </row>
    <row r="263" spans="1:16" x14ac:dyDescent="0.2">
      <c r="A263" s="58" t="str">
        <v/>
      </c>
      <c r="B263" s="144" t="str">
        <f>IFERROR(TIMEVALUE(DaqBook_RAW_Data!Q253),IFERROR(TIMEVALUE(DaqBook_RAW_Data!A253),""))</f>
        <v/>
      </c>
      <c r="C263" s="167" t="str">
        <v/>
      </c>
      <c r="D263" s="167" t="str">
        <v/>
      </c>
      <c r="E263" s="167" t="str">
        <v/>
      </c>
      <c r="F263" s="167" t="str">
        <v/>
      </c>
      <c r="G263" s="167" t="str">
        <v/>
      </c>
      <c r="H263" s="167" t="str">
        <v/>
      </c>
      <c r="I263" s="167" t="str">
        <v/>
      </c>
      <c r="J263" s="167" t="str">
        <v/>
      </c>
      <c r="K263" s="167" t="str">
        <v/>
      </c>
      <c r="L263" s="167" t="str">
        <v/>
      </c>
      <c r="M263" s="167" t="str">
        <v/>
      </c>
      <c r="N263" s="167" t="str">
        <v/>
      </c>
      <c r="O263" s="167" t="str">
        <v/>
      </c>
      <c r="P263" s="167" t="str">
        <v/>
      </c>
    </row>
    <row r="264" spans="1:16" x14ac:dyDescent="0.2">
      <c r="A264" s="58" t="str">
        <v/>
      </c>
      <c r="B264" s="144" t="str">
        <f>IFERROR(TIMEVALUE(DaqBook_RAW_Data!Q254),IFERROR(TIMEVALUE(DaqBook_RAW_Data!A254),""))</f>
        <v/>
      </c>
      <c r="C264" s="167" t="str">
        <v/>
      </c>
      <c r="D264" s="167" t="str">
        <v/>
      </c>
      <c r="E264" s="167" t="str">
        <v/>
      </c>
      <c r="F264" s="167" t="str">
        <v/>
      </c>
      <c r="G264" s="167" t="str">
        <v/>
      </c>
      <c r="H264" s="167" t="str">
        <v/>
      </c>
      <c r="I264" s="167" t="str">
        <v/>
      </c>
      <c r="J264" s="167" t="str">
        <v/>
      </c>
      <c r="K264" s="167" t="str">
        <v/>
      </c>
      <c r="L264" s="167" t="str">
        <v/>
      </c>
      <c r="M264" s="167" t="str">
        <v/>
      </c>
      <c r="N264" s="167" t="str">
        <v/>
      </c>
      <c r="O264" s="167" t="str">
        <v/>
      </c>
      <c r="P264" s="167" t="str">
        <v/>
      </c>
    </row>
    <row r="265" spans="1:16" x14ac:dyDescent="0.2">
      <c r="A265" s="58" t="str">
        <v/>
      </c>
      <c r="B265" s="144" t="str">
        <f>IFERROR(TIMEVALUE(DaqBook_RAW_Data!Q255),IFERROR(TIMEVALUE(DaqBook_RAW_Data!A255),""))</f>
        <v/>
      </c>
      <c r="C265" s="167" t="str">
        <v/>
      </c>
      <c r="D265" s="167" t="str">
        <v/>
      </c>
      <c r="E265" s="167" t="str">
        <v/>
      </c>
      <c r="F265" s="167" t="str">
        <v/>
      </c>
      <c r="G265" s="167" t="str">
        <v/>
      </c>
      <c r="H265" s="167" t="str">
        <v/>
      </c>
      <c r="I265" s="167" t="str">
        <v/>
      </c>
      <c r="J265" s="167" t="str">
        <v/>
      </c>
      <c r="K265" s="167" t="str">
        <v/>
      </c>
      <c r="L265" s="167" t="str">
        <v/>
      </c>
      <c r="M265" s="167" t="str">
        <v/>
      </c>
      <c r="N265" s="167" t="str">
        <v/>
      </c>
      <c r="O265" s="167" t="str">
        <v/>
      </c>
      <c r="P265" s="167" t="str">
        <v/>
      </c>
    </row>
    <row r="266" spans="1:16" x14ac:dyDescent="0.2">
      <c r="A266" s="58" t="str">
        <v/>
      </c>
      <c r="B266" s="144" t="str">
        <f>IFERROR(TIMEVALUE(DaqBook_RAW_Data!Q256),IFERROR(TIMEVALUE(DaqBook_RAW_Data!A256),""))</f>
        <v/>
      </c>
      <c r="C266" s="167" t="str">
        <v/>
      </c>
      <c r="D266" s="167" t="str">
        <v/>
      </c>
      <c r="E266" s="167" t="str">
        <v/>
      </c>
      <c r="F266" s="167" t="str">
        <v/>
      </c>
      <c r="G266" s="167" t="str">
        <v/>
      </c>
      <c r="H266" s="167" t="str">
        <v/>
      </c>
      <c r="I266" s="167" t="str">
        <v/>
      </c>
      <c r="J266" s="167" t="str">
        <v/>
      </c>
      <c r="K266" s="167" t="str">
        <v/>
      </c>
      <c r="L266" s="167" t="str">
        <v/>
      </c>
      <c r="M266" s="167" t="str">
        <v/>
      </c>
      <c r="N266" s="167" t="str">
        <v/>
      </c>
      <c r="O266" s="167" t="str">
        <v/>
      </c>
      <c r="P266" s="167" t="str">
        <v/>
      </c>
    </row>
    <row r="267" spans="1:16" x14ac:dyDescent="0.2">
      <c r="A267" s="58" t="str">
        <v/>
      </c>
      <c r="B267" s="144" t="str">
        <f>IFERROR(TIMEVALUE(DaqBook_RAW_Data!Q257),IFERROR(TIMEVALUE(DaqBook_RAW_Data!A257),""))</f>
        <v/>
      </c>
      <c r="C267" s="167" t="str">
        <v/>
      </c>
      <c r="D267" s="167" t="str">
        <v/>
      </c>
      <c r="E267" s="167" t="str">
        <v/>
      </c>
      <c r="F267" s="167" t="str">
        <v/>
      </c>
      <c r="G267" s="167" t="str">
        <v/>
      </c>
      <c r="H267" s="167" t="str">
        <v/>
      </c>
      <c r="I267" s="167" t="str">
        <v/>
      </c>
      <c r="J267" s="167" t="str">
        <v/>
      </c>
      <c r="K267" s="167" t="str">
        <v/>
      </c>
      <c r="L267" s="167" t="str">
        <v/>
      </c>
      <c r="M267" s="167" t="str">
        <v/>
      </c>
      <c r="N267" s="167" t="str">
        <v/>
      </c>
      <c r="O267" s="167" t="str">
        <v/>
      </c>
      <c r="P267" s="167" t="str">
        <v/>
      </c>
    </row>
    <row r="268" spans="1:16" x14ac:dyDescent="0.2">
      <c r="A268" s="58" t="str">
        <v/>
      </c>
      <c r="B268" s="144" t="str">
        <f>IFERROR(TIMEVALUE(DaqBook_RAW_Data!Q258),IFERROR(TIMEVALUE(DaqBook_RAW_Data!A258),""))</f>
        <v/>
      </c>
      <c r="C268" s="167" t="str">
        <v/>
      </c>
      <c r="D268" s="167" t="str">
        <v/>
      </c>
      <c r="E268" s="167" t="str">
        <v/>
      </c>
      <c r="F268" s="167" t="str">
        <v/>
      </c>
      <c r="G268" s="167" t="str">
        <v/>
      </c>
      <c r="H268" s="167" t="str">
        <v/>
      </c>
      <c r="I268" s="167" t="str">
        <v/>
      </c>
      <c r="J268" s="167" t="str">
        <v/>
      </c>
      <c r="K268" s="167" t="str">
        <v/>
      </c>
      <c r="L268" s="167" t="str">
        <v/>
      </c>
      <c r="M268" s="167" t="str">
        <v/>
      </c>
      <c r="N268" s="167" t="str">
        <v/>
      </c>
      <c r="O268" s="167" t="str">
        <v/>
      </c>
      <c r="P268" s="167" t="str">
        <v/>
      </c>
    </row>
    <row r="269" spans="1:16" x14ac:dyDescent="0.2">
      <c r="A269" s="58" t="str">
        <v/>
      </c>
      <c r="B269" s="144" t="str">
        <f>IFERROR(TIMEVALUE(DaqBook_RAW_Data!Q259),IFERROR(TIMEVALUE(DaqBook_RAW_Data!A259),""))</f>
        <v/>
      </c>
      <c r="C269" s="167" t="str">
        <v/>
      </c>
      <c r="D269" s="167" t="str">
        <v/>
      </c>
      <c r="E269" s="167" t="str">
        <v/>
      </c>
      <c r="F269" s="167" t="str">
        <v/>
      </c>
      <c r="G269" s="167" t="str">
        <v/>
      </c>
      <c r="H269" s="167" t="str">
        <v/>
      </c>
      <c r="I269" s="167" t="str">
        <v/>
      </c>
      <c r="J269" s="167" t="str">
        <v/>
      </c>
      <c r="K269" s="167" t="str">
        <v/>
      </c>
      <c r="L269" s="167" t="str">
        <v/>
      </c>
      <c r="M269" s="167" t="str">
        <v/>
      </c>
      <c r="N269" s="167" t="str">
        <v/>
      </c>
      <c r="O269" s="167" t="str">
        <v/>
      </c>
      <c r="P269" s="167" t="str">
        <v/>
      </c>
    </row>
    <row r="270" spans="1:16" x14ac:dyDescent="0.2">
      <c r="A270" s="58" t="str">
        <v/>
      </c>
      <c r="B270" s="144" t="str">
        <f>IFERROR(TIMEVALUE(DaqBook_RAW_Data!Q260),IFERROR(TIMEVALUE(DaqBook_RAW_Data!A260),""))</f>
        <v/>
      </c>
      <c r="C270" s="167" t="str">
        <v/>
      </c>
      <c r="D270" s="167" t="str">
        <v/>
      </c>
      <c r="E270" s="167" t="str">
        <v/>
      </c>
      <c r="F270" s="167" t="str">
        <v/>
      </c>
      <c r="G270" s="167" t="str">
        <v/>
      </c>
      <c r="H270" s="167" t="str">
        <v/>
      </c>
      <c r="I270" s="167" t="str">
        <v/>
      </c>
      <c r="J270" s="167" t="str">
        <v/>
      </c>
      <c r="K270" s="167" t="str">
        <v/>
      </c>
      <c r="L270" s="167" t="str">
        <v/>
      </c>
      <c r="M270" s="167" t="str">
        <v/>
      </c>
      <c r="N270" s="167" t="str">
        <v/>
      </c>
      <c r="O270" s="167" t="str">
        <v/>
      </c>
      <c r="P270" s="167" t="str">
        <v/>
      </c>
    </row>
    <row r="271" spans="1:16" x14ac:dyDescent="0.2">
      <c r="A271" s="58" t="str">
        <v/>
      </c>
      <c r="B271" s="144" t="str">
        <f>IFERROR(TIMEVALUE(DaqBook_RAW_Data!Q261),IFERROR(TIMEVALUE(DaqBook_RAW_Data!A261),""))</f>
        <v/>
      </c>
      <c r="C271" s="167" t="str">
        <v/>
      </c>
      <c r="D271" s="167" t="str">
        <v/>
      </c>
      <c r="E271" s="167" t="str">
        <v/>
      </c>
      <c r="F271" s="167" t="str">
        <v/>
      </c>
      <c r="G271" s="167" t="str">
        <v/>
      </c>
      <c r="H271" s="167" t="str">
        <v/>
      </c>
      <c r="I271" s="167" t="str">
        <v/>
      </c>
      <c r="J271" s="167" t="str">
        <v/>
      </c>
      <c r="K271" s="167" t="str">
        <v/>
      </c>
      <c r="L271" s="167" t="str">
        <v/>
      </c>
      <c r="M271" s="167" t="str">
        <v/>
      </c>
      <c r="N271" s="167" t="str">
        <v/>
      </c>
      <c r="O271" s="167" t="str">
        <v/>
      </c>
      <c r="P271" s="167" t="str">
        <v/>
      </c>
    </row>
    <row r="272" spans="1:16" x14ac:dyDescent="0.2">
      <c r="A272" s="58" t="str">
        <v/>
      </c>
      <c r="B272" s="144" t="str">
        <f>IFERROR(TIMEVALUE(DaqBook_RAW_Data!Q262),IFERROR(TIMEVALUE(DaqBook_RAW_Data!A262),""))</f>
        <v/>
      </c>
      <c r="C272" s="167" t="str">
        <v/>
      </c>
      <c r="D272" s="167" t="str">
        <v/>
      </c>
      <c r="E272" s="167" t="str">
        <v/>
      </c>
      <c r="F272" s="167" t="str">
        <v/>
      </c>
      <c r="G272" s="167" t="str">
        <v/>
      </c>
      <c r="H272" s="167" t="str">
        <v/>
      </c>
      <c r="I272" s="167" t="str">
        <v/>
      </c>
      <c r="J272" s="167" t="str">
        <v/>
      </c>
      <c r="K272" s="167" t="str">
        <v/>
      </c>
      <c r="L272" s="167" t="str">
        <v/>
      </c>
      <c r="M272" s="167" t="str">
        <v/>
      </c>
      <c r="N272" s="167" t="str">
        <v/>
      </c>
      <c r="O272" s="167" t="str">
        <v/>
      </c>
      <c r="P272" s="167" t="str">
        <v/>
      </c>
    </row>
    <row r="273" spans="1:16" x14ac:dyDescent="0.2">
      <c r="A273" s="58" t="str">
        <v/>
      </c>
      <c r="B273" s="144" t="str">
        <f>IFERROR(TIMEVALUE(DaqBook_RAW_Data!Q263),IFERROR(TIMEVALUE(DaqBook_RAW_Data!A263),""))</f>
        <v/>
      </c>
      <c r="C273" s="167" t="str">
        <v/>
      </c>
      <c r="D273" s="167" t="str">
        <v/>
      </c>
      <c r="E273" s="167" t="str">
        <v/>
      </c>
      <c r="F273" s="167" t="str">
        <v/>
      </c>
      <c r="G273" s="167" t="str">
        <v/>
      </c>
      <c r="H273" s="167" t="str">
        <v/>
      </c>
      <c r="I273" s="167" t="str">
        <v/>
      </c>
      <c r="J273" s="167" t="str">
        <v/>
      </c>
      <c r="K273" s="167" t="str">
        <v/>
      </c>
      <c r="L273" s="167" t="str">
        <v/>
      </c>
      <c r="M273" s="167" t="str">
        <v/>
      </c>
      <c r="N273" s="167" t="str">
        <v/>
      </c>
      <c r="O273" s="167" t="str">
        <v/>
      </c>
      <c r="P273" s="167" t="str">
        <v/>
      </c>
    </row>
    <row r="274" spans="1:16" x14ac:dyDescent="0.2">
      <c r="A274" s="58" t="str">
        <v/>
      </c>
      <c r="B274" s="144" t="str">
        <f>IFERROR(TIMEVALUE(DaqBook_RAW_Data!Q264),IFERROR(TIMEVALUE(DaqBook_RAW_Data!A264),""))</f>
        <v/>
      </c>
      <c r="C274" s="167" t="str">
        <v/>
      </c>
      <c r="D274" s="167" t="str">
        <v/>
      </c>
      <c r="E274" s="167" t="str">
        <v/>
      </c>
      <c r="F274" s="167" t="str">
        <v/>
      </c>
      <c r="G274" s="167" t="str">
        <v/>
      </c>
      <c r="H274" s="167" t="str">
        <v/>
      </c>
      <c r="I274" s="167" t="str">
        <v/>
      </c>
      <c r="J274" s="167" t="str">
        <v/>
      </c>
      <c r="K274" s="167" t="str">
        <v/>
      </c>
      <c r="L274" s="167" t="str">
        <v/>
      </c>
      <c r="M274" s="167" t="str">
        <v/>
      </c>
      <c r="N274" s="167" t="str">
        <v/>
      </c>
      <c r="O274" s="167" t="str">
        <v/>
      </c>
      <c r="P274" s="167" t="str">
        <v/>
      </c>
    </row>
    <row r="275" spans="1:16" x14ac:dyDescent="0.2">
      <c r="A275" s="58" t="str">
        <v/>
      </c>
      <c r="B275" s="144" t="str">
        <f>IFERROR(TIMEVALUE(DaqBook_RAW_Data!Q265),IFERROR(TIMEVALUE(DaqBook_RAW_Data!A265),""))</f>
        <v/>
      </c>
      <c r="C275" s="167" t="str">
        <v/>
      </c>
      <c r="D275" s="167" t="str">
        <v/>
      </c>
      <c r="E275" s="167" t="str">
        <v/>
      </c>
      <c r="F275" s="167" t="str">
        <v/>
      </c>
      <c r="G275" s="167" t="str">
        <v/>
      </c>
      <c r="H275" s="167" t="str">
        <v/>
      </c>
      <c r="I275" s="167" t="str">
        <v/>
      </c>
      <c r="J275" s="167" t="str">
        <v/>
      </c>
      <c r="K275" s="167" t="str">
        <v/>
      </c>
      <c r="L275" s="167" t="str">
        <v/>
      </c>
      <c r="M275" s="167" t="str">
        <v/>
      </c>
      <c r="N275" s="167" t="str">
        <v/>
      </c>
      <c r="O275" s="167" t="str">
        <v/>
      </c>
      <c r="P275" s="167" t="str">
        <v/>
      </c>
    </row>
    <row r="276" spans="1:16" x14ac:dyDescent="0.2">
      <c r="A276" s="58" t="str">
        <v/>
      </c>
      <c r="B276" s="144" t="str">
        <f>IFERROR(TIMEVALUE(DaqBook_RAW_Data!Q266),IFERROR(TIMEVALUE(DaqBook_RAW_Data!A266),""))</f>
        <v/>
      </c>
      <c r="C276" s="167" t="str">
        <v/>
      </c>
      <c r="D276" s="167" t="str">
        <v/>
      </c>
      <c r="E276" s="167" t="str">
        <v/>
      </c>
      <c r="F276" s="167" t="str">
        <v/>
      </c>
      <c r="G276" s="167" t="str">
        <v/>
      </c>
      <c r="H276" s="167" t="str">
        <v/>
      </c>
      <c r="I276" s="167" t="str">
        <v/>
      </c>
      <c r="J276" s="167" t="str">
        <v/>
      </c>
      <c r="K276" s="167" t="str">
        <v/>
      </c>
      <c r="L276" s="167" t="str">
        <v/>
      </c>
      <c r="M276" s="167" t="str">
        <v/>
      </c>
      <c r="N276" s="167" t="str">
        <v/>
      </c>
      <c r="O276" s="167" t="str">
        <v/>
      </c>
      <c r="P276" s="167" t="str">
        <v/>
      </c>
    </row>
    <row r="277" spans="1:16" x14ac:dyDescent="0.2">
      <c r="A277" s="58" t="str">
        <v/>
      </c>
      <c r="B277" s="144" t="str">
        <f>IFERROR(TIMEVALUE(DaqBook_RAW_Data!Q267),IFERROR(TIMEVALUE(DaqBook_RAW_Data!A267),""))</f>
        <v/>
      </c>
      <c r="C277" s="167" t="str">
        <v/>
      </c>
      <c r="D277" s="167" t="str">
        <v/>
      </c>
      <c r="E277" s="167" t="str">
        <v/>
      </c>
      <c r="F277" s="167" t="str">
        <v/>
      </c>
      <c r="G277" s="167" t="str">
        <v/>
      </c>
      <c r="H277" s="167" t="str">
        <v/>
      </c>
      <c r="I277" s="167" t="str">
        <v/>
      </c>
      <c r="J277" s="167" t="str">
        <v/>
      </c>
      <c r="K277" s="167" t="str">
        <v/>
      </c>
      <c r="L277" s="167" t="str">
        <v/>
      </c>
      <c r="M277" s="167" t="str">
        <v/>
      </c>
      <c r="N277" s="167" t="str">
        <v/>
      </c>
      <c r="O277" s="167" t="str">
        <v/>
      </c>
      <c r="P277" s="167" t="str">
        <v/>
      </c>
    </row>
    <row r="278" spans="1:16" x14ac:dyDescent="0.2">
      <c r="A278" s="58" t="str">
        <v/>
      </c>
      <c r="B278" s="144" t="str">
        <f>IFERROR(TIMEVALUE(DaqBook_RAW_Data!Q268),IFERROR(TIMEVALUE(DaqBook_RAW_Data!A268),""))</f>
        <v/>
      </c>
      <c r="C278" s="167" t="str">
        <v/>
      </c>
      <c r="D278" s="167" t="str">
        <v/>
      </c>
      <c r="E278" s="167" t="str">
        <v/>
      </c>
      <c r="F278" s="167" t="str">
        <v/>
      </c>
      <c r="G278" s="167" t="str">
        <v/>
      </c>
      <c r="H278" s="167" t="str">
        <v/>
      </c>
      <c r="I278" s="167" t="str">
        <v/>
      </c>
      <c r="J278" s="167" t="str">
        <v/>
      </c>
      <c r="K278" s="167" t="str">
        <v/>
      </c>
      <c r="L278" s="167" t="str">
        <v/>
      </c>
      <c r="M278" s="167" t="str">
        <v/>
      </c>
      <c r="N278" s="167" t="str">
        <v/>
      </c>
      <c r="O278" s="167" t="str">
        <v/>
      </c>
      <c r="P278" s="167" t="str">
        <v/>
      </c>
    </row>
    <row r="279" spans="1:16" x14ac:dyDescent="0.2">
      <c r="A279" s="58" t="str">
        <v/>
      </c>
      <c r="B279" s="144" t="str">
        <f>IFERROR(TIMEVALUE(DaqBook_RAW_Data!Q269),IFERROR(TIMEVALUE(DaqBook_RAW_Data!A269),""))</f>
        <v/>
      </c>
      <c r="C279" s="167" t="str">
        <v/>
      </c>
      <c r="D279" s="167" t="str">
        <v/>
      </c>
      <c r="E279" s="167" t="str">
        <v/>
      </c>
      <c r="F279" s="167" t="str">
        <v/>
      </c>
      <c r="G279" s="167" t="str">
        <v/>
      </c>
      <c r="H279" s="167" t="str">
        <v/>
      </c>
      <c r="I279" s="167" t="str">
        <v/>
      </c>
      <c r="J279" s="167" t="str">
        <v/>
      </c>
      <c r="K279" s="167" t="str">
        <v/>
      </c>
      <c r="L279" s="167" t="str">
        <v/>
      </c>
      <c r="M279" s="167" t="str">
        <v/>
      </c>
      <c r="N279" s="167" t="str">
        <v/>
      </c>
      <c r="O279" s="167" t="str">
        <v/>
      </c>
      <c r="P279" s="167" t="str">
        <v/>
      </c>
    </row>
    <row r="280" spans="1:16" x14ac:dyDescent="0.2">
      <c r="A280" s="58" t="str">
        <v/>
      </c>
      <c r="B280" s="144" t="str">
        <f>IFERROR(TIMEVALUE(DaqBook_RAW_Data!Q270),IFERROR(TIMEVALUE(DaqBook_RAW_Data!A270),""))</f>
        <v/>
      </c>
      <c r="C280" s="167" t="str">
        <v/>
      </c>
      <c r="D280" s="167" t="str">
        <v/>
      </c>
      <c r="E280" s="167" t="str">
        <v/>
      </c>
      <c r="F280" s="167" t="str">
        <v/>
      </c>
      <c r="G280" s="167" t="str">
        <v/>
      </c>
      <c r="H280" s="167" t="str">
        <v/>
      </c>
      <c r="I280" s="167" t="str">
        <v/>
      </c>
      <c r="J280" s="167" t="str">
        <v/>
      </c>
      <c r="K280" s="167" t="str">
        <v/>
      </c>
      <c r="L280" s="167" t="str">
        <v/>
      </c>
      <c r="M280" s="167" t="str">
        <v/>
      </c>
      <c r="N280" s="167" t="str">
        <v/>
      </c>
      <c r="O280" s="167" t="str">
        <v/>
      </c>
      <c r="P280" s="167" t="str">
        <v/>
      </c>
    </row>
    <row r="281" spans="1:16" x14ac:dyDescent="0.2">
      <c r="A281" s="58" t="str">
        <v/>
      </c>
      <c r="B281" s="144" t="str">
        <f>IFERROR(TIMEVALUE(DaqBook_RAW_Data!Q271),IFERROR(TIMEVALUE(DaqBook_RAW_Data!A271),""))</f>
        <v/>
      </c>
      <c r="C281" s="167" t="str">
        <v/>
      </c>
      <c r="D281" s="167" t="str">
        <v/>
      </c>
      <c r="E281" s="167" t="str">
        <v/>
      </c>
      <c r="F281" s="167" t="str">
        <v/>
      </c>
      <c r="G281" s="167" t="str">
        <v/>
      </c>
      <c r="H281" s="167" t="str">
        <v/>
      </c>
      <c r="I281" s="167" t="str">
        <v/>
      </c>
      <c r="J281" s="167" t="str">
        <v/>
      </c>
      <c r="K281" s="167" t="str">
        <v/>
      </c>
      <c r="L281" s="167" t="str">
        <v/>
      </c>
      <c r="M281" s="167" t="str">
        <v/>
      </c>
      <c r="N281" s="167" t="str">
        <v/>
      </c>
      <c r="O281" s="167" t="str">
        <v/>
      </c>
      <c r="P281" s="167" t="str">
        <v/>
      </c>
    </row>
    <row r="282" spans="1:16" x14ac:dyDescent="0.2">
      <c r="A282" s="58" t="str">
        <v/>
      </c>
      <c r="B282" s="144" t="str">
        <f>IFERROR(TIMEVALUE(DaqBook_RAW_Data!Q272),IFERROR(TIMEVALUE(DaqBook_RAW_Data!A272),""))</f>
        <v/>
      </c>
      <c r="C282" s="167" t="str">
        <v/>
      </c>
      <c r="D282" s="167" t="str">
        <v/>
      </c>
      <c r="E282" s="167" t="str">
        <v/>
      </c>
      <c r="F282" s="167" t="str">
        <v/>
      </c>
      <c r="G282" s="167" t="str">
        <v/>
      </c>
      <c r="H282" s="167" t="str">
        <v/>
      </c>
      <c r="I282" s="167" t="str">
        <v/>
      </c>
      <c r="J282" s="167" t="str">
        <v/>
      </c>
      <c r="K282" s="167" t="str">
        <v/>
      </c>
      <c r="L282" s="167" t="str">
        <v/>
      </c>
      <c r="M282" s="167" t="str">
        <v/>
      </c>
      <c r="N282" s="167" t="str">
        <v/>
      </c>
      <c r="O282" s="167" t="str">
        <v/>
      </c>
      <c r="P282" s="167" t="str">
        <v/>
      </c>
    </row>
    <row r="283" spans="1:16" x14ac:dyDescent="0.2">
      <c r="A283" s="58" t="str">
        <v/>
      </c>
      <c r="B283" s="144" t="str">
        <f>IFERROR(TIMEVALUE(DaqBook_RAW_Data!Q273),IFERROR(TIMEVALUE(DaqBook_RAW_Data!A273),""))</f>
        <v/>
      </c>
      <c r="C283" s="167" t="str">
        <v/>
      </c>
      <c r="D283" s="167" t="str">
        <v/>
      </c>
      <c r="E283" s="167" t="str">
        <v/>
      </c>
      <c r="F283" s="167" t="str">
        <v/>
      </c>
      <c r="G283" s="167" t="str">
        <v/>
      </c>
      <c r="H283" s="167" t="str">
        <v/>
      </c>
      <c r="I283" s="167" t="str">
        <v/>
      </c>
      <c r="J283" s="167" t="str">
        <v/>
      </c>
      <c r="K283" s="167" t="str">
        <v/>
      </c>
      <c r="L283" s="167" t="str">
        <v/>
      </c>
      <c r="M283" s="167" t="str">
        <v/>
      </c>
      <c r="N283" s="167" t="str">
        <v/>
      </c>
      <c r="O283" s="167" t="str">
        <v/>
      </c>
      <c r="P283" s="167" t="str">
        <v/>
      </c>
    </row>
    <row r="284" spans="1:16" x14ac:dyDescent="0.2">
      <c r="A284" s="58" t="str">
        <v/>
      </c>
      <c r="B284" s="144" t="str">
        <f>IFERROR(TIMEVALUE(DaqBook_RAW_Data!Q274),IFERROR(TIMEVALUE(DaqBook_RAW_Data!A274),""))</f>
        <v/>
      </c>
      <c r="C284" s="167" t="str">
        <v/>
      </c>
      <c r="D284" s="167" t="str">
        <v/>
      </c>
      <c r="E284" s="167" t="str">
        <v/>
      </c>
      <c r="F284" s="167" t="str">
        <v/>
      </c>
      <c r="G284" s="167" t="str">
        <v/>
      </c>
      <c r="H284" s="167" t="str">
        <v/>
      </c>
      <c r="I284" s="167" t="str">
        <v/>
      </c>
      <c r="J284" s="167" t="str">
        <v/>
      </c>
      <c r="K284" s="167" t="str">
        <v/>
      </c>
      <c r="L284" s="167" t="str">
        <v/>
      </c>
      <c r="M284" s="167" t="str">
        <v/>
      </c>
      <c r="N284" s="167" t="str">
        <v/>
      </c>
      <c r="O284" s="167" t="str">
        <v/>
      </c>
      <c r="P284" s="167" t="str">
        <v/>
      </c>
    </row>
    <row r="285" spans="1:16" x14ac:dyDescent="0.2">
      <c r="A285" s="58" t="str">
        <v/>
      </c>
      <c r="B285" s="144" t="str">
        <f>IFERROR(TIMEVALUE(DaqBook_RAW_Data!Q275),IFERROR(TIMEVALUE(DaqBook_RAW_Data!A275),""))</f>
        <v/>
      </c>
      <c r="C285" s="167" t="str">
        <v/>
      </c>
      <c r="D285" s="167" t="str">
        <v/>
      </c>
      <c r="E285" s="167" t="str">
        <v/>
      </c>
      <c r="F285" s="167" t="str">
        <v/>
      </c>
      <c r="G285" s="167" t="str">
        <v/>
      </c>
      <c r="H285" s="167" t="str">
        <v/>
      </c>
      <c r="I285" s="167" t="str">
        <v/>
      </c>
      <c r="J285" s="167" t="str">
        <v/>
      </c>
      <c r="K285" s="167" t="str">
        <v/>
      </c>
      <c r="L285" s="167" t="str">
        <v/>
      </c>
      <c r="M285" s="167" t="str">
        <v/>
      </c>
      <c r="N285" s="167" t="str">
        <v/>
      </c>
      <c r="O285" s="167" t="str">
        <v/>
      </c>
      <c r="P285" s="167" t="str">
        <v/>
      </c>
    </row>
    <row r="286" spans="1:16" x14ac:dyDescent="0.2">
      <c r="A286" s="58" t="str">
        <v/>
      </c>
      <c r="B286" s="144" t="str">
        <f>IFERROR(TIMEVALUE(DaqBook_RAW_Data!Q276),IFERROR(TIMEVALUE(DaqBook_RAW_Data!A276),""))</f>
        <v/>
      </c>
      <c r="C286" s="167" t="str">
        <v/>
      </c>
      <c r="D286" s="167" t="str">
        <v/>
      </c>
      <c r="E286" s="167" t="str">
        <v/>
      </c>
      <c r="F286" s="167" t="str">
        <v/>
      </c>
      <c r="G286" s="167" t="str">
        <v/>
      </c>
      <c r="H286" s="167" t="str">
        <v/>
      </c>
      <c r="I286" s="167" t="str">
        <v/>
      </c>
      <c r="J286" s="167" t="str">
        <v/>
      </c>
      <c r="K286" s="167" t="str">
        <v/>
      </c>
      <c r="L286" s="167" t="str">
        <v/>
      </c>
      <c r="M286" s="167" t="str">
        <v/>
      </c>
      <c r="N286" s="167" t="str">
        <v/>
      </c>
      <c r="O286" s="167" t="str">
        <v/>
      </c>
      <c r="P286" s="167" t="str">
        <v/>
      </c>
    </row>
    <row r="287" spans="1:16" x14ac:dyDescent="0.2">
      <c r="A287" s="58" t="str">
        <v/>
      </c>
      <c r="B287" s="144" t="str">
        <f>IFERROR(TIMEVALUE(DaqBook_RAW_Data!Q277),IFERROR(TIMEVALUE(DaqBook_RAW_Data!A277),""))</f>
        <v/>
      </c>
      <c r="C287" s="167" t="str">
        <v/>
      </c>
      <c r="D287" s="167" t="str">
        <v/>
      </c>
      <c r="E287" s="167" t="str">
        <v/>
      </c>
      <c r="F287" s="167" t="str">
        <v/>
      </c>
      <c r="G287" s="167" t="str">
        <v/>
      </c>
      <c r="H287" s="167" t="str">
        <v/>
      </c>
      <c r="I287" s="167" t="str">
        <v/>
      </c>
      <c r="J287" s="167" t="str">
        <v/>
      </c>
      <c r="K287" s="167" t="str">
        <v/>
      </c>
      <c r="L287" s="167" t="str">
        <v/>
      </c>
      <c r="M287" s="167" t="str">
        <v/>
      </c>
      <c r="N287" s="167" t="str">
        <v/>
      </c>
      <c r="O287" s="167" t="str">
        <v/>
      </c>
      <c r="P287" s="167" t="str">
        <v/>
      </c>
    </row>
    <row r="288" spans="1:16" x14ac:dyDescent="0.2">
      <c r="A288" s="58" t="str">
        <v/>
      </c>
      <c r="B288" s="144" t="str">
        <f>IFERROR(TIMEVALUE(DaqBook_RAW_Data!Q278),IFERROR(TIMEVALUE(DaqBook_RAW_Data!A278),""))</f>
        <v/>
      </c>
      <c r="C288" s="167" t="str">
        <v/>
      </c>
      <c r="D288" s="167" t="str">
        <v/>
      </c>
      <c r="E288" s="167" t="str">
        <v/>
      </c>
      <c r="F288" s="167" t="str">
        <v/>
      </c>
      <c r="G288" s="167" t="str">
        <v/>
      </c>
      <c r="H288" s="167" t="str">
        <v/>
      </c>
      <c r="I288" s="167" t="str">
        <v/>
      </c>
      <c r="J288" s="167" t="str">
        <v/>
      </c>
      <c r="K288" s="167" t="str">
        <v/>
      </c>
      <c r="L288" s="167" t="str">
        <v/>
      </c>
      <c r="M288" s="167" t="str">
        <v/>
      </c>
      <c r="N288" s="167" t="str">
        <v/>
      </c>
      <c r="O288" s="167" t="str">
        <v/>
      </c>
      <c r="P288" s="167" t="str">
        <v/>
      </c>
    </row>
    <row r="289" spans="1:16" x14ac:dyDescent="0.2">
      <c r="A289" s="58" t="str">
        <v/>
      </c>
      <c r="B289" s="144" t="str">
        <f>IFERROR(TIMEVALUE(DaqBook_RAW_Data!Q279),IFERROR(TIMEVALUE(DaqBook_RAW_Data!A279),""))</f>
        <v/>
      </c>
      <c r="C289" s="167" t="str">
        <v/>
      </c>
      <c r="D289" s="167" t="str">
        <v/>
      </c>
      <c r="E289" s="167" t="str">
        <v/>
      </c>
      <c r="F289" s="167" t="str">
        <v/>
      </c>
      <c r="G289" s="167" t="str">
        <v/>
      </c>
      <c r="H289" s="167" t="str">
        <v/>
      </c>
      <c r="I289" s="167" t="str">
        <v/>
      </c>
      <c r="J289" s="167" t="str">
        <v/>
      </c>
      <c r="K289" s="167" t="str">
        <v/>
      </c>
      <c r="L289" s="167" t="str">
        <v/>
      </c>
      <c r="M289" s="167" t="str">
        <v/>
      </c>
      <c r="N289" s="167" t="str">
        <v/>
      </c>
      <c r="O289" s="167" t="str">
        <v/>
      </c>
      <c r="P289" s="167" t="str">
        <v/>
      </c>
    </row>
    <row r="290" spans="1:16" x14ac:dyDescent="0.2">
      <c r="A290" s="58" t="str">
        <v/>
      </c>
      <c r="B290" s="144" t="str">
        <f>IFERROR(TIMEVALUE(DaqBook_RAW_Data!Q280),IFERROR(TIMEVALUE(DaqBook_RAW_Data!A280),""))</f>
        <v/>
      </c>
      <c r="C290" s="167" t="str">
        <v/>
      </c>
      <c r="D290" s="167" t="str">
        <v/>
      </c>
      <c r="E290" s="167" t="str">
        <v/>
      </c>
      <c r="F290" s="167" t="str">
        <v/>
      </c>
      <c r="G290" s="167" t="str">
        <v/>
      </c>
      <c r="H290" s="167" t="str">
        <v/>
      </c>
      <c r="I290" s="167" t="str">
        <v/>
      </c>
      <c r="J290" s="167" t="str">
        <v/>
      </c>
      <c r="K290" s="167" t="str">
        <v/>
      </c>
      <c r="L290" s="167" t="str">
        <v/>
      </c>
      <c r="M290" s="167" t="str">
        <v/>
      </c>
      <c r="N290" s="167" t="str">
        <v/>
      </c>
      <c r="O290" s="167" t="str">
        <v/>
      </c>
      <c r="P290" s="167" t="str">
        <v/>
      </c>
    </row>
    <row r="291" spans="1:16" x14ac:dyDescent="0.2">
      <c r="A291" s="58" t="str">
        <v/>
      </c>
      <c r="B291" s="144" t="str">
        <f>IFERROR(TIMEVALUE(DaqBook_RAW_Data!Q281),IFERROR(TIMEVALUE(DaqBook_RAW_Data!A281),""))</f>
        <v/>
      </c>
      <c r="C291" s="167" t="str">
        <v/>
      </c>
      <c r="D291" s="167" t="str">
        <v/>
      </c>
      <c r="E291" s="167" t="str">
        <v/>
      </c>
      <c r="F291" s="167" t="str">
        <v/>
      </c>
      <c r="G291" s="167" t="str">
        <v/>
      </c>
      <c r="H291" s="167" t="str">
        <v/>
      </c>
      <c r="I291" s="167" t="str">
        <v/>
      </c>
      <c r="J291" s="167" t="str">
        <v/>
      </c>
      <c r="K291" s="167" t="str">
        <v/>
      </c>
      <c r="L291" s="167" t="str">
        <v/>
      </c>
      <c r="M291" s="167" t="str">
        <v/>
      </c>
      <c r="N291" s="167" t="str">
        <v/>
      </c>
      <c r="O291" s="167" t="str">
        <v/>
      </c>
      <c r="P291" s="167" t="str">
        <v/>
      </c>
    </row>
    <row r="292" spans="1:16" x14ac:dyDescent="0.2">
      <c r="A292" s="58" t="str">
        <v/>
      </c>
      <c r="B292" s="144" t="str">
        <f>IFERROR(TIMEVALUE(DaqBook_RAW_Data!Q282),IFERROR(TIMEVALUE(DaqBook_RAW_Data!A282),""))</f>
        <v/>
      </c>
      <c r="C292" s="167" t="str">
        <v/>
      </c>
      <c r="D292" s="167" t="str">
        <v/>
      </c>
      <c r="E292" s="167" t="str">
        <v/>
      </c>
      <c r="F292" s="167" t="str">
        <v/>
      </c>
      <c r="G292" s="167" t="str">
        <v/>
      </c>
      <c r="H292" s="167" t="str">
        <v/>
      </c>
      <c r="I292" s="167" t="str">
        <v/>
      </c>
      <c r="J292" s="167" t="str">
        <v/>
      </c>
      <c r="K292" s="167" t="str">
        <v/>
      </c>
      <c r="L292" s="167" t="str">
        <v/>
      </c>
      <c r="M292" s="167" t="str">
        <v/>
      </c>
      <c r="N292" s="167" t="str">
        <v/>
      </c>
      <c r="O292" s="167" t="str">
        <v/>
      </c>
      <c r="P292" s="167" t="str">
        <v/>
      </c>
    </row>
    <row r="293" spans="1:16" x14ac:dyDescent="0.2">
      <c r="A293" s="58" t="str">
        <v/>
      </c>
      <c r="B293" s="144" t="str">
        <f>IFERROR(TIMEVALUE(DaqBook_RAW_Data!Q283),IFERROR(TIMEVALUE(DaqBook_RAW_Data!A283),""))</f>
        <v/>
      </c>
      <c r="C293" s="167" t="str">
        <v/>
      </c>
      <c r="D293" s="167" t="str">
        <v/>
      </c>
      <c r="E293" s="167" t="str">
        <v/>
      </c>
      <c r="F293" s="167" t="str">
        <v/>
      </c>
      <c r="G293" s="167" t="str">
        <v/>
      </c>
      <c r="H293" s="167" t="str">
        <v/>
      </c>
      <c r="I293" s="167" t="str">
        <v/>
      </c>
      <c r="J293" s="167" t="str">
        <v/>
      </c>
      <c r="K293" s="167" t="str">
        <v/>
      </c>
      <c r="L293" s="167" t="str">
        <v/>
      </c>
      <c r="M293" s="167" t="str">
        <v/>
      </c>
      <c r="N293" s="167" t="str">
        <v/>
      </c>
      <c r="O293" s="167" t="str">
        <v/>
      </c>
      <c r="P293" s="167" t="str">
        <v/>
      </c>
    </row>
    <row r="294" spans="1:16" x14ac:dyDescent="0.2">
      <c r="A294" s="58" t="str">
        <v/>
      </c>
      <c r="B294" s="144" t="str">
        <f>IFERROR(TIMEVALUE(DaqBook_RAW_Data!Q284),IFERROR(TIMEVALUE(DaqBook_RAW_Data!A284),""))</f>
        <v/>
      </c>
      <c r="C294" s="167" t="str">
        <v/>
      </c>
      <c r="D294" s="167" t="str">
        <v/>
      </c>
      <c r="E294" s="167" t="str">
        <v/>
      </c>
      <c r="F294" s="167" t="str">
        <v/>
      </c>
      <c r="G294" s="167" t="str">
        <v/>
      </c>
      <c r="H294" s="167" t="str">
        <v/>
      </c>
      <c r="I294" s="167" t="str">
        <v/>
      </c>
      <c r="J294" s="167" t="str">
        <v/>
      </c>
      <c r="K294" s="167" t="str">
        <v/>
      </c>
      <c r="L294" s="167" t="str">
        <v/>
      </c>
      <c r="M294" s="167" t="str">
        <v/>
      </c>
      <c r="N294" s="167" t="str">
        <v/>
      </c>
      <c r="O294" s="167" t="str">
        <v/>
      </c>
      <c r="P294" s="167" t="str">
        <v/>
      </c>
    </row>
    <row r="295" spans="1:16" x14ac:dyDescent="0.2">
      <c r="A295" s="58" t="str">
        <v/>
      </c>
      <c r="B295" s="144" t="str">
        <f>IFERROR(TIMEVALUE(DaqBook_RAW_Data!Q285),IFERROR(TIMEVALUE(DaqBook_RAW_Data!A285),""))</f>
        <v/>
      </c>
      <c r="C295" s="167" t="str">
        <v/>
      </c>
      <c r="D295" s="167" t="str">
        <v/>
      </c>
      <c r="E295" s="167" t="str">
        <v/>
      </c>
      <c r="F295" s="167" t="str">
        <v/>
      </c>
      <c r="G295" s="167" t="str">
        <v/>
      </c>
      <c r="H295" s="167" t="str">
        <v/>
      </c>
      <c r="I295" s="167" t="str">
        <v/>
      </c>
      <c r="J295" s="167" t="str">
        <v/>
      </c>
      <c r="K295" s="167" t="str">
        <v/>
      </c>
      <c r="L295" s="167" t="str">
        <v/>
      </c>
      <c r="M295" s="167" t="str">
        <v/>
      </c>
      <c r="N295" s="167" t="str">
        <v/>
      </c>
      <c r="O295" s="167" t="str">
        <v/>
      </c>
      <c r="P295" s="167" t="str">
        <v/>
      </c>
    </row>
    <row r="296" spans="1:16" x14ac:dyDescent="0.2">
      <c r="A296" s="58" t="str">
        <v/>
      </c>
      <c r="B296" s="144" t="str">
        <f>IFERROR(TIMEVALUE(DaqBook_RAW_Data!Q286),IFERROR(TIMEVALUE(DaqBook_RAW_Data!A286),""))</f>
        <v/>
      </c>
      <c r="C296" s="167" t="str">
        <v/>
      </c>
      <c r="D296" s="167" t="str">
        <v/>
      </c>
      <c r="E296" s="167" t="str">
        <v/>
      </c>
      <c r="F296" s="167" t="str">
        <v/>
      </c>
      <c r="G296" s="167" t="str">
        <v/>
      </c>
      <c r="H296" s="167" t="str">
        <v/>
      </c>
      <c r="I296" s="167" t="str">
        <v/>
      </c>
      <c r="J296" s="167" t="str">
        <v/>
      </c>
      <c r="K296" s="167" t="str">
        <v/>
      </c>
      <c r="L296" s="167" t="str">
        <v/>
      </c>
      <c r="M296" s="167" t="str">
        <v/>
      </c>
      <c r="N296" s="167" t="str">
        <v/>
      </c>
      <c r="O296" s="167" t="str">
        <v/>
      </c>
      <c r="P296" s="167" t="str">
        <v/>
      </c>
    </row>
    <row r="297" spans="1:16" x14ac:dyDescent="0.2">
      <c r="A297" s="58" t="str">
        <v/>
      </c>
      <c r="B297" s="144" t="str">
        <f>IFERROR(TIMEVALUE(DaqBook_RAW_Data!Q287),IFERROR(TIMEVALUE(DaqBook_RAW_Data!A287),""))</f>
        <v/>
      </c>
      <c r="C297" s="167" t="str">
        <v/>
      </c>
      <c r="D297" s="167" t="str">
        <v/>
      </c>
      <c r="E297" s="167" t="str">
        <v/>
      </c>
      <c r="F297" s="167" t="str">
        <v/>
      </c>
      <c r="G297" s="167" t="str">
        <v/>
      </c>
      <c r="H297" s="167" t="str">
        <v/>
      </c>
      <c r="I297" s="167" t="str">
        <v/>
      </c>
      <c r="J297" s="167" t="str">
        <v/>
      </c>
      <c r="K297" s="167" t="str">
        <v/>
      </c>
      <c r="L297" s="167" t="str">
        <v/>
      </c>
      <c r="M297" s="167" t="str">
        <v/>
      </c>
      <c r="N297" s="167" t="str">
        <v/>
      </c>
      <c r="O297" s="167" t="str">
        <v/>
      </c>
      <c r="P297" s="167" t="str">
        <v/>
      </c>
    </row>
    <row r="298" spans="1:16" x14ac:dyDescent="0.2">
      <c r="A298" s="58" t="str">
        <v/>
      </c>
      <c r="B298" s="144" t="str">
        <f>IFERROR(TIMEVALUE(DaqBook_RAW_Data!Q288),IFERROR(TIMEVALUE(DaqBook_RAW_Data!A288),""))</f>
        <v/>
      </c>
      <c r="C298" s="167" t="str">
        <v/>
      </c>
      <c r="D298" s="167" t="str">
        <v/>
      </c>
      <c r="E298" s="167" t="str">
        <v/>
      </c>
      <c r="F298" s="167" t="str">
        <v/>
      </c>
      <c r="G298" s="167" t="str">
        <v/>
      </c>
      <c r="H298" s="167" t="str">
        <v/>
      </c>
      <c r="I298" s="167" t="str">
        <v/>
      </c>
      <c r="J298" s="167" t="str">
        <v/>
      </c>
      <c r="K298" s="167" t="str">
        <v/>
      </c>
      <c r="L298" s="167" t="str">
        <v/>
      </c>
      <c r="M298" s="167" t="str">
        <v/>
      </c>
      <c r="N298" s="167" t="str">
        <v/>
      </c>
      <c r="O298" s="167" t="str">
        <v/>
      </c>
      <c r="P298" s="167" t="str">
        <v/>
      </c>
    </row>
    <row r="299" spans="1:16" x14ac:dyDescent="0.2">
      <c r="A299" s="58" t="str">
        <v/>
      </c>
      <c r="B299" s="144" t="str">
        <f>IFERROR(TIMEVALUE(DaqBook_RAW_Data!Q289),IFERROR(TIMEVALUE(DaqBook_RAW_Data!A289),""))</f>
        <v/>
      </c>
      <c r="C299" s="167" t="str">
        <v/>
      </c>
      <c r="D299" s="167" t="str">
        <v/>
      </c>
      <c r="E299" s="167" t="str">
        <v/>
      </c>
      <c r="F299" s="167" t="str">
        <v/>
      </c>
      <c r="G299" s="167" t="str">
        <v/>
      </c>
      <c r="H299" s="167" t="str">
        <v/>
      </c>
      <c r="I299" s="167" t="str">
        <v/>
      </c>
      <c r="J299" s="167" t="str">
        <v/>
      </c>
      <c r="K299" s="167" t="str">
        <v/>
      </c>
      <c r="L299" s="167" t="str">
        <v/>
      </c>
      <c r="M299" s="167" t="str">
        <v/>
      </c>
      <c r="N299" s="167" t="str">
        <v/>
      </c>
      <c r="O299" s="167" t="str">
        <v/>
      </c>
      <c r="P299" s="167" t="str">
        <v/>
      </c>
    </row>
    <row r="300" spans="1:16" x14ac:dyDescent="0.2">
      <c r="A300" s="58" t="str">
        <v/>
      </c>
      <c r="B300" s="144" t="str">
        <f>IFERROR(TIMEVALUE(DaqBook_RAW_Data!Q290),IFERROR(TIMEVALUE(DaqBook_RAW_Data!A290),""))</f>
        <v/>
      </c>
      <c r="C300" s="167" t="str">
        <v/>
      </c>
      <c r="D300" s="167" t="str">
        <v/>
      </c>
      <c r="E300" s="167" t="str">
        <v/>
      </c>
      <c r="F300" s="167" t="str">
        <v/>
      </c>
      <c r="G300" s="167" t="str">
        <v/>
      </c>
      <c r="H300" s="167" t="str">
        <v/>
      </c>
      <c r="I300" s="167" t="str">
        <v/>
      </c>
      <c r="J300" s="167" t="str">
        <v/>
      </c>
      <c r="K300" s="167" t="str">
        <v/>
      </c>
      <c r="L300" s="167" t="str">
        <v/>
      </c>
      <c r="M300" s="167" t="str">
        <v/>
      </c>
      <c r="N300" s="167" t="str">
        <v/>
      </c>
      <c r="O300" s="167" t="str">
        <v/>
      </c>
      <c r="P300" s="167" t="str">
        <v/>
      </c>
    </row>
    <row r="301" spans="1:16" x14ac:dyDescent="0.2">
      <c r="A301" s="58" t="str">
        <v/>
      </c>
      <c r="B301" s="144" t="str">
        <f>IFERROR(TIMEVALUE(DaqBook_RAW_Data!Q291),IFERROR(TIMEVALUE(DaqBook_RAW_Data!A291),""))</f>
        <v/>
      </c>
      <c r="C301" s="167" t="str">
        <v/>
      </c>
      <c r="D301" s="167" t="str">
        <v/>
      </c>
      <c r="E301" s="167" t="str">
        <v/>
      </c>
      <c r="F301" s="167" t="str">
        <v/>
      </c>
      <c r="G301" s="167" t="str">
        <v/>
      </c>
      <c r="H301" s="167" t="str">
        <v/>
      </c>
      <c r="I301" s="167" t="str">
        <v/>
      </c>
      <c r="J301" s="167" t="str">
        <v/>
      </c>
      <c r="K301" s="167" t="str">
        <v/>
      </c>
      <c r="L301" s="167" t="str">
        <v/>
      </c>
      <c r="M301" s="167" t="str">
        <v/>
      </c>
      <c r="N301" s="167" t="str">
        <v/>
      </c>
      <c r="O301" s="167" t="str">
        <v/>
      </c>
      <c r="P301" s="167" t="str">
        <v/>
      </c>
    </row>
    <row r="302" spans="1:16" x14ac:dyDescent="0.2">
      <c r="A302" s="58" t="str">
        <v/>
      </c>
      <c r="B302" s="144" t="str">
        <f>IFERROR(TIMEVALUE(DaqBook_RAW_Data!Q292),IFERROR(TIMEVALUE(DaqBook_RAW_Data!A292),""))</f>
        <v/>
      </c>
      <c r="C302" s="167" t="str">
        <v/>
      </c>
      <c r="D302" s="167" t="str">
        <v/>
      </c>
      <c r="E302" s="167" t="str">
        <v/>
      </c>
      <c r="F302" s="167" t="str">
        <v/>
      </c>
      <c r="G302" s="167" t="str">
        <v/>
      </c>
      <c r="H302" s="167" t="str">
        <v/>
      </c>
      <c r="I302" s="167" t="str">
        <v/>
      </c>
      <c r="J302" s="167" t="str">
        <v/>
      </c>
      <c r="K302" s="167" t="str">
        <v/>
      </c>
      <c r="L302" s="167" t="str">
        <v/>
      </c>
      <c r="M302" s="167" t="str">
        <v/>
      </c>
      <c r="N302" s="167" t="str">
        <v/>
      </c>
      <c r="O302" s="167" t="str">
        <v/>
      </c>
      <c r="P302" s="167" t="str">
        <v/>
      </c>
    </row>
    <row r="303" spans="1:16" x14ac:dyDescent="0.2">
      <c r="A303" s="58" t="str">
        <v/>
      </c>
      <c r="B303" s="144" t="str">
        <f>IFERROR(TIMEVALUE(DaqBook_RAW_Data!Q293),IFERROR(TIMEVALUE(DaqBook_RAW_Data!A293),""))</f>
        <v/>
      </c>
      <c r="C303" s="167" t="str">
        <v/>
      </c>
      <c r="D303" s="167" t="str">
        <v/>
      </c>
      <c r="E303" s="167" t="str">
        <v/>
      </c>
      <c r="F303" s="167" t="str">
        <v/>
      </c>
      <c r="G303" s="167" t="str">
        <v/>
      </c>
      <c r="H303" s="167" t="str">
        <v/>
      </c>
      <c r="I303" s="167" t="str">
        <v/>
      </c>
      <c r="J303" s="167" t="str">
        <v/>
      </c>
      <c r="K303" s="167" t="str">
        <v/>
      </c>
      <c r="L303" s="167" t="str">
        <v/>
      </c>
      <c r="M303" s="167" t="str">
        <v/>
      </c>
      <c r="N303" s="167" t="str">
        <v/>
      </c>
      <c r="O303" s="167" t="str">
        <v/>
      </c>
      <c r="P303" s="167" t="str">
        <v/>
      </c>
    </row>
    <row r="304" spans="1:16" x14ac:dyDescent="0.2">
      <c r="A304" s="58" t="str">
        <v/>
      </c>
      <c r="B304" s="144" t="str">
        <f>IFERROR(TIMEVALUE(DaqBook_RAW_Data!Q294),IFERROR(TIMEVALUE(DaqBook_RAW_Data!A294),""))</f>
        <v/>
      </c>
      <c r="C304" s="167" t="str">
        <v/>
      </c>
      <c r="D304" s="167" t="str">
        <v/>
      </c>
      <c r="E304" s="167" t="str">
        <v/>
      </c>
      <c r="F304" s="167" t="str">
        <v/>
      </c>
      <c r="G304" s="167" t="str">
        <v/>
      </c>
      <c r="H304" s="167" t="str">
        <v/>
      </c>
      <c r="I304" s="167" t="str">
        <v/>
      </c>
      <c r="J304" s="167" t="str">
        <v/>
      </c>
      <c r="K304" s="167" t="str">
        <v/>
      </c>
      <c r="L304" s="167" t="str">
        <v/>
      </c>
      <c r="M304" s="167" t="str">
        <v/>
      </c>
      <c r="N304" s="167" t="str">
        <v/>
      </c>
      <c r="O304" s="167" t="str">
        <v/>
      </c>
      <c r="P304" s="167" t="str">
        <v/>
      </c>
    </row>
    <row r="305" spans="1:16" x14ac:dyDescent="0.2">
      <c r="A305" s="58" t="str">
        <v/>
      </c>
      <c r="B305" s="144" t="str">
        <f>IFERROR(TIMEVALUE(DaqBook_RAW_Data!Q295),IFERROR(TIMEVALUE(DaqBook_RAW_Data!A295),""))</f>
        <v/>
      </c>
      <c r="C305" s="167" t="str">
        <v/>
      </c>
      <c r="D305" s="167" t="str">
        <v/>
      </c>
      <c r="E305" s="167" t="str">
        <v/>
      </c>
      <c r="F305" s="167" t="str">
        <v/>
      </c>
      <c r="G305" s="167" t="str">
        <v/>
      </c>
      <c r="H305" s="167" t="str">
        <v/>
      </c>
      <c r="I305" s="167" t="str">
        <v/>
      </c>
      <c r="J305" s="167" t="str">
        <v/>
      </c>
      <c r="K305" s="167" t="str">
        <v/>
      </c>
      <c r="L305" s="167" t="str">
        <v/>
      </c>
      <c r="M305" s="167" t="str">
        <v/>
      </c>
      <c r="N305" s="167" t="str">
        <v/>
      </c>
      <c r="O305" s="167" t="str">
        <v/>
      </c>
      <c r="P305" s="167" t="str">
        <v/>
      </c>
    </row>
    <row r="306" spans="1:16" x14ac:dyDescent="0.2">
      <c r="A306" s="58" t="str">
        <v/>
      </c>
      <c r="B306" s="144" t="str">
        <f>IFERROR(TIMEVALUE(DaqBook_RAW_Data!Q296),IFERROR(TIMEVALUE(DaqBook_RAW_Data!A296),""))</f>
        <v/>
      </c>
      <c r="C306" s="167" t="str">
        <v/>
      </c>
      <c r="D306" s="167" t="str">
        <v/>
      </c>
      <c r="E306" s="167" t="str">
        <v/>
      </c>
      <c r="F306" s="167" t="str">
        <v/>
      </c>
      <c r="G306" s="167" t="str">
        <v/>
      </c>
      <c r="H306" s="167" t="str">
        <v/>
      </c>
      <c r="I306" s="167" t="str">
        <v/>
      </c>
      <c r="J306" s="167" t="str">
        <v/>
      </c>
      <c r="K306" s="167" t="str">
        <v/>
      </c>
      <c r="L306" s="167" t="str">
        <v/>
      </c>
      <c r="M306" s="167" t="str">
        <v/>
      </c>
      <c r="N306" s="167" t="str">
        <v/>
      </c>
      <c r="O306" s="167" t="str">
        <v/>
      </c>
      <c r="P306" s="167" t="str">
        <v/>
      </c>
    </row>
    <row r="307" spans="1:16" x14ac:dyDescent="0.2">
      <c r="A307" s="58" t="str">
        <v/>
      </c>
      <c r="B307" s="144" t="str">
        <f>IFERROR(TIMEVALUE(DaqBook_RAW_Data!Q297),IFERROR(TIMEVALUE(DaqBook_RAW_Data!A297),""))</f>
        <v/>
      </c>
      <c r="C307" s="167" t="str">
        <v/>
      </c>
      <c r="D307" s="167" t="str">
        <v/>
      </c>
      <c r="E307" s="167" t="str">
        <v/>
      </c>
      <c r="F307" s="167" t="str">
        <v/>
      </c>
      <c r="G307" s="167" t="str">
        <v/>
      </c>
      <c r="H307" s="167" t="str">
        <v/>
      </c>
      <c r="I307" s="167" t="str">
        <v/>
      </c>
      <c r="J307" s="167" t="str">
        <v/>
      </c>
      <c r="K307" s="167" t="str">
        <v/>
      </c>
      <c r="L307" s="167" t="str">
        <v/>
      </c>
      <c r="M307" s="167" t="str">
        <v/>
      </c>
      <c r="N307" s="167" t="str">
        <v/>
      </c>
      <c r="O307" s="167" t="str">
        <v/>
      </c>
      <c r="P307" s="167" t="str">
        <v/>
      </c>
    </row>
    <row r="308" spans="1:16" x14ac:dyDescent="0.2">
      <c r="A308" s="58" t="str">
        <v/>
      </c>
      <c r="B308" s="144" t="str">
        <f>IFERROR(TIMEVALUE(DaqBook_RAW_Data!Q298),IFERROR(TIMEVALUE(DaqBook_RAW_Data!A298),""))</f>
        <v/>
      </c>
      <c r="C308" s="167" t="str">
        <v/>
      </c>
      <c r="D308" s="167" t="str">
        <v/>
      </c>
      <c r="E308" s="167" t="str">
        <v/>
      </c>
      <c r="F308" s="167" t="str">
        <v/>
      </c>
      <c r="G308" s="167" t="str">
        <v/>
      </c>
      <c r="H308" s="167" t="str">
        <v/>
      </c>
      <c r="I308" s="167" t="str">
        <v/>
      </c>
      <c r="J308" s="167" t="str">
        <v/>
      </c>
      <c r="K308" s="167" t="str">
        <v/>
      </c>
      <c r="L308" s="167" t="str">
        <v/>
      </c>
      <c r="M308" s="167" t="str">
        <v/>
      </c>
      <c r="N308" s="167" t="str">
        <v/>
      </c>
      <c r="O308" s="167" t="str">
        <v/>
      </c>
      <c r="P308" s="167" t="str">
        <v/>
      </c>
    </row>
    <row r="309" spans="1:16" x14ac:dyDescent="0.2">
      <c r="A309" s="58" t="str">
        <v/>
      </c>
      <c r="B309" s="144" t="str">
        <f>IFERROR(TIMEVALUE(DaqBook_RAW_Data!Q299),IFERROR(TIMEVALUE(DaqBook_RAW_Data!A299),""))</f>
        <v/>
      </c>
      <c r="C309" s="167" t="str">
        <v/>
      </c>
      <c r="D309" s="167" t="str">
        <v/>
      </c>
      <c r="E309" s="167" t="str">
        <v/>
      </c>
      <c r="F309" s="167" t="str">
        <v/>
      </c>
      <c r="G309" s="167" t="str">
        <v/>
      </c>
      <c r="H309" s="167" t="str">
        <v/>
      </c>
      <c r="I309" s="167" t="str">
        <v/>
      </c>
      <c r="J309" s="167" t="str">
        <v/>
      </c>
      <c r="K309" s="167" t="str">
        <v/>
      </c>
      <c r="L309" s="167" t="str">
        <v/>
      </c>
      <c r="M309" s="167" t="str">
        <v/>
      </c>
      <c r="N309" s="167" t="str">
        <v/>
      </c>
      <c r="O309" s="167" t="str">
        <v/>
      </c>
      <c r="P309" s="167" t="str">
        <v/>
      </c>
    </row>
    <row r="310" spans="1:16" x14ac:dyDescent="0.2">
      <c r="A310" s="58" t="str">
        <v/>
      </c>
      <c r="B310" s="144" t="str">
        <f>IFERROR(TIMEVALUE(DaqBook_RAW_Data!Q300),IFERROR(TIMEVALUE(DaqBook_RAW_Data!A300),""))</f>
        <v/>
      </c>
      <c r="C310" s="167" t="str">
        <v/>
      </c>
      <c r="D310" s="167" t="str">
        <v/>
      </c>
      <c r="E310" s="167" t="str">
        <v/>
      </c>
      <c r="F310" s="167" t="str">
        <v/>
      </c>
      <c r="G310" s="167" t="str">
        <v/>
      </c>
      <c r="H310" s="167" t="str">
        <v/>
      </c>
      <c r="I310" s="167" t="str">
        <v/>
      </c>
      <c r="J310" s="167" t="str">
        <v/>
      </c>
      <c r="K310" s="167" t="str">
        <v/>
      </c>
      <c r="L310" s="167" t="str">
        <v/>
      </c>
      <c r="M310" s="167" t="str">
        <v/>
      </c>
      <c r="N310" s="167" t="str">
        <v/>
      </c>
      <c r="O310" s="167" t="str">
        <v/>
      </c>
      <c r="P310" s="167" t="str">
        <v/>
      </c>
    </row>
    <row r="311" spans="1:16" x14ac:dyDescent="0.2">
      <c r="A311" s="58" t="str">
        <v/>
      </c>
      <c r="B311" s="144" t="str">
        <f>IFERROR(TIMEVALUE(DaqBook_RAW_Data!Q301),IFERROR(TIMEVALUE(DaqBook_RAW_Data!A301),""))</f>
        <v/>
      </c>
      <c r="C311" s="167" t="str">
        <v/>
      </c>
      <c r="D311" s="167" t="str">
        <v/>
      </c>
      <c r="E311" s="167" t="str">
        <v/>
      </c>
      <c r="F311" s="167" t="str">
        <v/>
      </c>
      <c r="G311" s="167" t="str">
        <v/>
      </c>
      <c r="H311" s="167" t="str">
        <v/>
      </c>
      <c r="I311" s="167" t="str">
        <v/>
      </c>
      <c r="J311" s="167" t="str">
        <v/>
      </c>
      <c r="K311" s="167" t="str">
        <v/>
      </c>
      <c r="L311" s="167" t="str">
        <v/>
      </c>
      <c r="M311" s="167" t="str">
        <v/>
      </c>
      <c r="N311" s="167" t="str">
        <v/>
      </c>
      <c r="O311" s="167" t="str">
        <v/>
      </c>
      <c r="P311" s="167" t="str">
        <v/>
      </c>
    </row>
    <row r="312" spans="1:16" x14ac:dyDescent="0.2">
      <c r="A312" s="58" t="str">
        <v/>
      </c>
      <c r="B312" s="144" t="str">
        <f>IFERROR(TIMEVALUE(DaqBook_RAW_Data!Q302),IFERROR(TIMEVALUE(DaqBook_RAW_Data!A302),""))</f>
        <v/>
      </c>
      <c r="C312" s="167" t="str">
        <v/>
      </c>
      <c r="D312" s="167" t="str">
        <v/>
      </c>
      <c r="E312" s="167" t="str">
        <v/>
      </c>
      <c r="F312" s="167" t="str">
        <v/>
      </c>
      <c r="G312" s="167" t="str">
        <v/>
      </c>
      <c r="H312" s="167" t="str">
        <v/>
      </c>
      <c r="I312" s="167" t="str">
        <v/>
      </c>
      <c r="J312" s="167" t="str">
        <v/>
      </c>
      <c r="K312" s="167" t="str">
        <v/>
      </c>
      <c r="L312" s="167" t="str">
        <v/>
      </c>
      <c r="M312" s="167" t="str">
        <v/>
      </c>
      <c r="N312" s="167" t="str">
        <v/>
      </c>
      <c r="O312" s="167" t="str">
        <v/>
      </c>
      <c r="P312" s="167" t="str">
        <v/>
      </c>
    </row>
    <row r="313" spans="1:16" x14ac:dyDescent="0.2">
      <c r="A313" s="58" t="str">
        <v/>
      </c>
      <c r="B313" s="144" t="str">
        <f>IFERROR(TIMEVALUE(DaqBook_RAW_Data!Q303),IFERROR(TIMEVALUE(DaqBook_RAW_Data!A303),""))</f>
        <v/>
      </c>
      <c r="C313" s="167" t="str">
        <v/>
      </c>
      <c r="D313" s="167" t="str">
        <v/>
      </c>
      <c r="E313" s="167" t="str">
        <v/>
      </c>
      <c r="F313" s="167" t="str">
        <v/>
      </c>
      <c r="G313" s="167" t="str">
        <v/>
      </c>
      <c r="H313" s="167" t="str">
        <v/>
      </c>
      <c r="I313" s="167" t="str">
        <v/>
      </c>
      <c r="J313" s="167" t="str">
        <v/>
      </c>
      <c r="K313" s="167" t="str">
        <v/>
      </c>
      <c r="L313" s="167" t="str">
        <v/>
      </c>
      <c r="M313" s="167" t="str">
        <v/>
      </c>
      <c r="N313" s="167" t="str">
        <v/>
      </c>
      <c r="O313" s="167" t="str">
        <v/>
      </c>
      <c r="P313" s="167" t="str">
        <v/>
      </c>
    </row>
    <row r="314" spans="1:16" x14ac:dyDescent="0.2">
      <c r="A314" s="58" t="str">
        <v/>
      </c>
      <c r="B314" s="144" t="str">
        <f>IFERROR(TIMEVALUE(DaqBook_RAW_Data!Q304),IFERROR(TIMEVALUE(DaqBook_RAW_Data!A304),""))</f>
        <v/>
      </c>
      <c r="C314" s="167" t="str">
        <v/>
      </c>
      <c r="D314" s="167" t="str">
        <v/>
      </c>
      <c r="E314" s="167" t="str">
        <v/>
      </c>
      <c r="F314" s="167" t="str">
        <v/>
      </c>
      <c r="G314" s="167" t="str">
        <v/>
      </c>
      <c r="H314" s="167" t="str">
        <v/>
      </c>
      <c r="I314" s="167" t="str">
        <v/>
      </c>
      <c r="J314" s="167" t="str">
        <v/>
      </c>
      <c r="K314" s="167" t="str">
        <v/>
      </c>
      <c r="L314" s="167" t="str">
        <v/>
      </c>
      <c r="M314" s="167" t="str">
        <v/>
      </c>
      <c r="N314" s="167" t="str">
        <v/>
      </c>
      <c r="O314" s="167" t="str">
        <v/>
      </c>
      <c r="P314" s="167" t="str">
        <v/>
      </c>
    </row>
    <row r="315" spans="1:16" x14ac:dyDescent="0.2">
      <c r="A315" s="58" t="str">
        <v/>
      </c>
      <c r="B315" s="144" t="str">
        <f>IFERROR(TIMEVALUE(DaqBook_RAW_Data!Q305),IFERROR(TIMEVALUE(DaqBook_RAW_Data!A305),""))</f>
        <v/>
      </c>
      <c r="C315" s="167" t="str">
        <v/>
      </c>
      <c r="D315" s="167" t="str">
        <v/>
      </c>
      <c r="E315" s="167" t="str">
        <v/>
      </c>
      <c r="F315" s="167" t="str">
        <v/>
      </c>
      <c r="G315" s="167" t="str">
        <v/>
      </c>
      <c r="H315" s="167" t="str">
        <v/>
      </c>
      <c r="I315" s="167" t="str">
        <v/>
      </c>
      <c r="J315" s="167" t="str">
        <v/>
      </c>
      <c r="K315" s="167" t="str">
        <v/>
      </c>
      <c r="L315" s="167" t="str">
        <v/>
      </c>
      <c r="M315" s="167" t="str">
        <v/>
      </c>
      <c r="N315" s="167" t="str">
        <v/>
      </c>
      <c r="O315" s="167" t="str">
        <v/>
      </c>
      <c r="P315" s="167" t="str">
        <v/>
      </c>
    </row>
    <row r="316" spans="1:16" x14ac:dyDescent="0.2">
      <c r="A316" s="58" t="str">
        <v/>
      </c>
      <c r="B316" s="144" t="str">
        <f>IFERROR(TIMEVALUE(DaqBook_RAW_Data!Q306),IFERROR(TIMEVALUE(DaqBook_RAW_Data!A306),""))</f>
        <v/>
      </c>
      <c r="C316" s="167" t="str">
        <v/>
      </c>
      <c r="D316" s="167" t="str">
        <v/>
      </c>
      <c r="E316" s="167" t="str">
        <v/>
      </c>
      <c r="F316" s="167" t="str">
        <v/>
      </c>
      <c r="G316" s="167" t="str">
        <v/>
      </c>
      <c r="H316" s="167" t="str">
        <v/>
      </c>
      <c r="I316" s="167" t="str">
        <v/>
      </c>
      <c r="J316" s="167" t="str">
        <v/>
      </c>
      <c r="K316" s="167" t="str">
        <v/>
      </c>
      <c r="L316" s="167" t="str">
        <v/>
      </c>
      <c r="M316" s="167" t="str">
        <v/>
      </c>
      <c r="N316" s="167" t="str">
        <v/>
      </c>
      <c r="O316" s="167" t="str">
        <v/>
      </c>
      <c r="P316" s="167" t="str">
        <v/>
      </c>
    </row>
    <row r="317" spans="1:16" x14ac:dyDescent="0.2">
      <c r="A317" s="58" t="str">
        <v/>
      </c>
      <c r="B317" s="144" t="str">
        <f>IFERROR(TIMEVALUE(DaqBook_RAW_Data!Q307),IFERROR(TIMEVALUE(DaqBook_RAW_Data!A307),""))</f>
        <v/>
      </c>
      <c r="C317" s="167" t="str">
        <v/>
      </c>
      <c r="D317" s="167" t="str">
        <v/>
      </c>
      <c r="E317" s="167" t="str">
        <v/>
      </c>
      <c r="F317" s="167" t="str">
        <v/>
      </c>
      <c r="G317" s="167" t="str">
        <v/>
      </c>
      <c r="H317" s="167" t="str">
        <v/>
      </c>
      <c r="I317" s="167" t="str">
        <v/>
      </c>
      <c r="J317" s="167" t="str">
        <v/>
      </c>
      <c r="K317" s="167" t="str">
        <v/>
      </c>
      <c r="L317" s="167" t="str">
        <v/>
      </c>
      <c r="M317" s="167" t="str">
        <v/>
      </c>
      <c r="N317" s="167" t="str">
        <v/>
      </c>
      <c r="O317" s="167" t="str">
        <v/>
      </c>
      <c r="P317" s="167" t="str">
        <v/>
      </c>
    </row>
    <row r="318" spans="1:16" x14ac:dyDescent="0.2">
      <c r="A318" s="58" t="str">
        <v/>
      </c>
      <c r="B318" s="144" t="str">
        <f>IFERROR(TIMEVALUE(DaqBook_RAW_Data!Q308),IFERROR(TIMEVALUE(DaqBook_RAW_Data!A308),""))</f>
        <v/>
      </c>
      <c r="C318" s="167" t="str">
        <v/>
      </c>
      <c r="D318" s="167" t="str">
        <v/>
      </c>
      <c r="E318" s="167" t="str">
        <v/>
      </c>
      <c r="F318" s="167" t="str">
        <v/>
      </c>
      <c r="G318" s="167" t="str">
        <v/>
      </c>
      <c r="H318" s="167" t="str">
        <v/>
      </c>
      <c r="I318" s="167" t="str">
        <v/>
      </c>
      <c r="J318" s="167" t="str">
        <v/>
      </c>
      <c r="K318" s="167" t="str">
        <v/>
      </c>
      <c r="L318" s="167" t="str">
        <v/>
      </c>
      <c r="M318" s="167" t="str">
        <v/>
      </c>
      <c r="N318" s="167" t="str">
        <v/>
      </c>
      <c r="O318" s="167" t="str">
        <v/>
      </c>
      <c r="P318" s="167" t="str">
        <v/>
      </c>
    </row>
    <row r="319" spans="1:16" x14ac:dyDescent="0.2">
      <c r="A319" s="58" t="str">
        <v/>
      </c>
      <c r="B319" s="144" t="str">
        <f>IFERROR(TIMEVALUE(DaqBook_RAW_Data!Q309),IFERROR(TIMEVALUE(DaqBook_RAW_Data!A309),""))</f>
        <v/>
      </c>
      <c r="C319" s="167" t="str">
        <v/>
      </c>
      <c r="D319" s="167" t="str">
        <v/>
      </c>
      <c r="E319" s="167" t="str">
        <v/>
      </c>
      <c r="F319" s="167" t="str">
        <v/>
      </c>
      <c r="G319" s="167" t="str">
        <v/>
      </c>
      <c r="H319" s="167" t="str">
        <v/>
      </c>
      <c r="I319" s="167" t="str">
        <v/>
      </c>
      <c r="J319" s="167" t="str">
        <v/>
      </c>
      <c r="K319" s="167" t="str">
        <v/>
      </c>
      <c r="L319" s="167" t="str">
        <v/>
      </c>
      <c r="M319" s="167" t="str">
        <v/>
      </c>
      <c r="N319" s="167" t="str">
        <v/>
      </c>
      <c r="O319" s="167" t="str">
        <v/>
      </c>
      <c r="P319" s="167" t="str">
        <v/>
      </c>
    </row>
    <row r="320" spans="1:16" x14ac:dyDescent="0.2">
      <c r="A320" s="58" t="str">
        <v/>
      </c>
      <c r="B320" s="144" t="str">
        <f>IFERROR(TIMEVALUE(DaqBook_RAW_Data!Q310),IFERROR(TIMEVALUE(DaqBook_RAW_Data!A310),""))</f>
        <v/>
      </c>
      <c r="C320" s="167" t="str">
        <v/>
      </c>
      <c r="D320" s="167" t="str">
        <v/>
      </c>
      <c r="E320" s="167" t="str">
        <v/>
      </c>
      <c r="F320" s="167" t="str">
        <v/>
      </c>
      <c r="G320" s="167" t="str">
        <v/>
      </c>
      <c r="H320" s="167" t="str">
        <v/>
      </c>
      <c r="I320" s="167" t="str">
        <v/>
      </c>
      <c r="J320" s="167" t="str">
        <v/>
      </c>
      <c r="K320" s="167" t="str">
        <v/>
      </c>
      <c r="L320" s="167" t="str">
        <v/>
      </c>
      <c r="M320" s="167" t="str">
        <v/>
      </c>
      <c r="N320" s="167" t="str">
        <v/>
      </c>
      <c r="O320" s="167" t="str">
        <v/>
      </c>
      <c r="P320" s="167" t="str">
        <v/>
      </c>
    </row>
    <row r="321" spans="1:16" x14ac:dyDescent="0.2">
      <c r="A321" s="58" t="str">
        <v/>
      </c>
      <c r="B321" s="144" t="str">
        <f>IFERROR(TIMEVALUE(DaqBook_RAW_Data!Q311),IFERROR(TIMEVALUE(DaqBook_RAW_Data!A311),""))</f>
        <v/>
      </c>
      <c r="C321" s="167" t="str">
        <v/>
      </c>
      <c r="D321" s="167" t="str">
        <v/>
      </c>
      <c r="E321" s="167" t="str">
        <v/>
      </c>
      <c r="F321" s="167" t="str">
        <v/>
      </c>
      <c r="G321" s="167" t="str">
        <v/>
      </c>
      <c r="H321" s="167" t="str">
        <v/>
      </c>
      <c r="I321" s="167" t="str">
        <v/>
      </c>
      <c r="J321" s="167" t="str">
        <v/>
      </c>
      <c r="K321" s="167" t="str">
        <v/>
      </c>
      <c r="L321" s="167" t="str">
        <v/>
      </c>
      <c r="M321" s="167" t="str">
        <v/>
      </c>
      <c r="N321" s="167" t="str">
        <v/>
      </c>
      <c r="O321" s="167" t="str">
        <v/>
      </c>
      <c r="P321" s="167" t="str">
        <v/>
      </c>
    </row>
    <row r="322" spans="1:16" x14ac:dyDescent="0.2">
      <c r="A322" s="58" t="str">
        <v/>
      </c>
      <c r="B322" s="144" t="str">
        <f>IFERROR(TIMEVALUE(DaqBook_RAW_Data!Q312),IFERROR(TIMEVALUE(DaqBook_RAW_Data!A312),""))</f>
        <v/>
      </c>
      <c r="C322" s="167" t="str">
        <v/>
      </c>
      <c r="D322" s="167" t="str">
        <v/>
      </c>
      <c r="E322" s="167" t="str">
        <v/>
      </c>
      <c r="F322" s="167" t="str">
        <v/>
      </c>
      <c r="G322" s="167" t="str">
        <v/>
      </c>
      <c r="H322" s="167" t="str">
        <v/>
      </c>
      <c r="I322" s="167" t="str">
        <v/>
      </c>
      <c r="J322" s="167" t="str">
        <v/>
      </c>
      <c r="K322" s="167" t="str">
        <v/>
      </c>
      <c r="L322" s="167" t="str">
        <v/>
      </c>
      <c r="M322" s="167" t="str">
        <v/>
      </c>
      <c r="N322" s="167" t="str">
        <v/>
      </c>
      <c r="O322" s="167" t="str">
        <v/>
      </c>
      <c r="P322" s="167" t="str">
        <v/>
      </c>
    </row>
    <row r="323" spans="1:16" x14ac:dyDescent="0.2">
      <c r="A323" s="58" t="str">
        <v/>
      </c>
      <c r="B323" s="144" t="str">
        <f>IFERROR(TIMEVALUE(DaqBook_RAW_Data!Q313),IFERROR(TIMEVALUE(DaqBook_RAW_Data!A313),""))</f>
        <v/>
      </c>
      <c r="C323" s="167" t="str">
        <v/>
      </c>
      <c r="D323" s="167" t="str">
        <v/>
      </c>
      <c r="E323" s="167" t="str">
        <v/>
      </c>
      <c r="F323" s="167" t="str">
        <v/>
      </c>
      <c r="G323" s="167" t="str">
        <v/>
      </c>
      <c r="H323" s="167" t="str">
        <v/>
      </c>
      <c r="I323" s="167" t="str">
        <v/>
      </c>
      <c r="J323" s="167" t="str">
        <v/>
      </c>
      <c r="K323" s="167" t="str">
        <v/>
      </c>
      <c r="L323" s="167" t="str">
        <v/>
      </c>
      <c r="M323" s="167" t="str">
        <v/>
      </c>
      <c r="N323" s="167" t="str">
        <v/>
      </c>
      <c r="O323" s="167" t="str">
        <v/>
      </c>
      <c r="P323" s="167" t="str">
        <v/>
      </c>
    </row>
    <row r="324" spans="1:16" x14ac:dyDescent="0.2">
      <c r="A324" s="58" t="str">
        <v/>
      </c>
      <c r="B324" s="144" t="str">
        <f>IFERROR(TIMEVALUE(DaqBook_RAW_Data!Q314),IFERROR(TIMEVALUE(DaqBook_RAW_Data!A314),""))</f>
        <v/>
      </c>
      <c r="C324" s="167" t="str">
        <v/>
      </c>
      <c r="D324" s="167" t="str">
        <v/>
      </c>
      <c r="E324" s="167" t="str">
        <v/>
      </c>
      <c r="F324" s="167" t="str">
        <v/>
      </c>
      <c r="G324" s="167" t="str">
        <v/>
      </c>
      <c r="H324" s="167" t="str">
        <v/>
      </c>
      <c r="I324" s="167" t="str">
        <v/>
      </c>
      <c r="J324" s="167" t="str">
        <v/>
      </c>
      <c r="K324" s="167" t="str">
        <v/>
      </c>
      <c r="L324" s="167" t="str">
        <v/>
      </c>
      <c r="M324" s="167" t="str">
        <v/>
      </c>
      <c r="N324" s="167" t="str">
        <v/>
      </c>
      <c r="O324" s="167" t="str">
        <v/>
      </c>
      <c r="P324" s="167" t="str">
        <v/>
      </c>
    </row>
    <row r="325" spans="1:16" x14ac:dyDescent="0.2">
      <c r="A325" s="58" t="str">
        <v/>
      </c>
      <c r="B325" s="144" t="str">
        <f>IFERROR(TIMEVALUE(DaqBook_RAW_Data!Q315),IFERROR(TIMEVALUE(DaqBook_RAW_Data!A315),""))</f>
        <v/>
      </c>
      <c r="C325" s="167" t="str">
        <v/>
      </c>
      <c r="D325" s="167" t="str">
        <v/>
      </c>
      <c r="E325" s="167" t="str">
        <v/>
      </c>
      <c r="F325" s="167" t="str">
        <v/>
      </c>
      <c r="G325" s="167" t="str">
        <v/>
      </c>
      <c r="H325" s="167" t="str">
        <v/>
      </c>
      <c r="I325" s="167" t="str">
        <v/>
      </c>
      <c r="J325" s="167" t="str">
        <v/>
      </c>
      <c r="K325" s="167" t="str">
        <v/>
      </c>
      <c r="L325" s="167" t="str">
        <v/>
      </c>
      <c r="M325" s="167" t="str">
        <v/>
      </c>
      <c r="N325" s="167" t="str">
        <v/>
      </c>
      <c r="O325" s="167" t="str">
        <v/>
      </c>
      <c r="P325" s="167" t="str">
        <v/>
      </c>
    </row>
    <row r="326" spans="1:16" x14ac:dyDescent="0.2">
      <c r="A326" s="58" t="str">
        <v/>
      </c>
      <c r="B326" s="144" t="str">
        <f>IFERROR(TIMEVALUE(DaqBook_RAW_Data!Q316),IFERROR(TIMEVALUE(DaqBook_RAW_Data!A316),""))</f>
        <v/>
      </c>
      <c r="C326" s="167" t="str">
        <v/>
      </c>
      <c r="D326" s="167" t="str">
        <v/>
      </c>
      <c r="E326" s="167" t="str">
        <v/>
      </c>
      <c r="F326" s="167" t="str">
        <v/>
      </c>
      <c r="G326" s="167" t="str">
        <v/>
      </c>
      <c r="H326" s="167" t="str">
        <v/>
      </c>
      <c r="I326" s="167" t="str">
        <v/>
      </c>
      <c r="J326" s="167" t="str">
        <v/>
      </c>
      <c r="K326" s="167" t="str">
        <v/>
      </c>
      <c r="L326" s="167" t="str">
        <v/>
      </c>
      <c r="M326" s="167" t="str">
        <v/>
      </c>
      <c r="N326" s="167" t="str">
        <v/>
      </c>
      <c r="O326" s="167" t="str">
        <v/>
      </c>
      <c r="P326" s="167" t="str">
        <v/>
      </c>
    </row>
    <row r="327" spans="1:16" x14ac:dyDescent="0.2">
      <c r="A327" s="58" t="str">
        <v/>
      </c>
      <c r="B327" s="144" t="str">
        <f>IFERROR(TIMEVALUE(DaqBook_RAW_Data!Q317),IFERROR(TIMEVALUE(DaqBook_RAW_Data!A317),""))</f>
        <v/>
      </c>
      <c r="C327" s="167" t="str">
        <v/>
      </c>
      <c r="D327" s="167" t="str">
        <v/>
      </c>
      <c r="E327" s="167" t="str">
        <v/>
      </c>
      <c r="F327" s="167" t="str">
        <v/>
      </c>
      <c r="G327" s="167" t="str">
        <v/>
      </c>
      <c r="H327" s="167" t="str">
        <v/>
      </c>
      <c r="I327" s="167" t="str">
        <v/>
      </c>
      <c r="J327" s="167" t="str">
        <v/>
      </c>
      <c r="K327" s="167" t="str">
        <v/>
      </c>
      <c r="L327" s="167" t="str">
        <v/>
      </c>
      <c r="M327" s="167" t="str">
        <v/>
      </c>
      <c r="N327" s="167" t="str">
        <v/>
      </c>
      <c r="O327" s="167" t="str">
        <v/>
      </c>
      <c r="P327" s="167" t="str">
        <v/>
      </c>
    </row>
    <row r="328" spans="1:16" x14ac:dyDescent="0.2">
      <c r="A328" s="58" t="str">
        <v/>
      </c>
      <c r="B328" s="144" t="str">
        <f>IFERROR(TIMEVALUE(DaqBook_RAW_Data!Q318),IFERROR(TIMEVALUE(DaqBook_RAW_Data!A318),""))</f>
        <v/>
      </c>
      <c r="C328" s="167" t="str">
        <v/>
      </c>
      <c r="D328" s="167" t="str">
        <v/>
      </c>
      <c r="E328" s="167" t="str">
        <v/>
      </c>
      <c r="F328" s="167" t="str">
        <v/>
      </c>
      <c r="G328" s="167" t="str">
        <v/>
      </c>
      <c r="H328" s="167" t="str">
        <v/>
      </c>
      <c r="I328" s="167" t="str">
        <v/>
      </c>
      <c r="J328" s="167" t="str">
        <v/>
      </c>
      <c r="K328" s="167" t="str">
        <v/>
      </c>
      <c r="L328" s="167" t="str">
        <v/>
      </c>
      <c r="M328" s="167" t="str">
        <v/>
      </c>
      <c r="N328" s="167" t="str">
        <v/>
      </c>
      <c r="O328" s="167" t="str">
        <v/>
      </c>
      <c r="P328" s="167" t="str">
        <v/>
      </c>
    </row>
    <row r="329" spans="1:16" x14ac:dyDescent="0.2">
      <c r="A329" s="58" t="str">
        <v/>
      </c>
      <c r="B329" s="144" t="str">
        <f>IFERROR(TIMEVALUE(DaqBook_RAW_Data!Q319),IFERROR(TIMEVALUE(DaqBook_RAW_Data!A319),""))</f>
        <v/>
      </c>
      <c r="C329" s="167" t="str">
        <v/>
      </c>
      <c r="D329" s="167" t="str">
        <v/>
      </c>
      <c r="E329" s="167" t="str">
        <v/>
      </c>
      <c r="F329" s="167" t="str">
        <v/>
      </c>
      <c r="G329" s="167" t="str">
        <v/>
      </c>
      <c r="H329" s="167" t="str">
        <v/>
      </c>
      <c r="I329" s="167" t="str">
        <v/>
      </c>
      <c r="J329" s="167" t="str">
        <v/>
      </c>
      <c r="K329" s="167" t="str">
        <v/>
      </c>
      <c r="L329" s="167" t="str">
        <v/>
      </c>
      <c r="M329" s="167" t="str">
        <v/>
      </c>
      <c r="N329" s="167" t="str">
        <v/>
      </c>
      <c r="O329" s="167" t="str">
        <v/>
      </c>
      <c r="P329" s="167" t="str">
        <v/>
      </c>
    </row>
    <row r="330" spans="1:16" x14ac:dyDescent="0.2">
      <c r="A330" s="58" t="str">
        <v/>
      </c>
      <c r="B330" s="144" t="str">
        <f>IFERROR(TIMEVALUE(DaqBook_RAW_Data!Q320),IFERROR(TIMEVALUE(DaqBook_RAW_Data!A320),""))</f>
        <v/>
      </c>
      <c r="C330" s="167" t="str">
        <v/>
      </c>
      <c r="D330" s="167" t="str">
        <v/>
      </c>
      <c r="E330" s="167" t="str">
        <v/>
      </c>
      <c r="F330" s="167" t="str">
        <v/>
      </c>
      <c r="G330" s="167" t="str">
        <v/>
      </c>
      <c r="H330" s="167" t="str">
        <v/>
      </c>
      <c r="I330" s="167" t="str">
        <v/>
      </c>
      <c r="J330" s="167" t="str">
        <v/>
      </c>
      <c r="K330" s="167" t="str">
        <v/>
      </c>
      <c r="L330" s="167" t="str">
        <v/>
      </c>
      <c r="M330" s="167" t="str">
        <v/>
      </c>
      <c r="N330" s="167" t="str">
        <v/>
      </c>
      <c r="O330" s="167" t="str">
        <v/>
      </c>
      <c r="P330" s="167" t="str">
        <v/>
      </c>
    </row>
    <row r="331" spans="1:16" x14ac:dyDescent="0.2">
      <c r="A331" s="58" t="str">
        <v/>
      </c>
      <c r="B331" s="144" t="str">
        <f>IFERROR(TIMEVALUE(DaqBook_RAW_Data!Q321),IFERROR(TIMEVALUE(DaqBook_RAW_Data!A321),""))</f>
        <v/>
      </c>
      <c r="C331" s="167" t="str">
        <v/>
      </c>
      <c r="D331" s="167" t="str">
        <v/>
      </c>
      <c r="E331" s="167" t="str">
        <v/>
      </c>
      <c r="F331" s="167" t="str">
        <v/>
      </c>
      <c r="G331" s="167" t="str">
        <v/>
      </c>
      <c r="H331" s="167" t="str">
        <v/>
      </c>
      <c r="I331" s="167" t="str">
        <v/>
      </c>
      <c r="J331" s="167" t="str">
        <v/>
      </c>
      <c r="K331" s="167" t="str">
        <v/>
      </c>
      <c r="L331" s="167" t="str">
        <v/>
      </c>
      <c r="M331" s="167" t="str">
        <v/>
      </c>
      <c r="N331" s="167" t="str">
        <v/>
      </c>
      <c r="O331" s="167" t="str">
        <v/>
      </c>
      <c r="P331" s="167" t="str">
        <v/>
      </c>
    </row>
    <row r="332" spans="1:16" x14ac:dyDescent="0.2">
      <c r="A332" s="58" t="str">
        <v/>
      </c>
      <c r="B332" s="144" t="str">
        <f>IFERROR(TIMEVALUE(DaqBook_RAW_Data!Q322),IFERROR(TIMEVALUE(DaqBook_RAW_Data!A322),""))</f>
        <v/>
      </c>
      <c r="C332" s="167" t="str">
        <v/>
      </c>
      <c r="D332" s="167" t="str">
        <v/>
      </c>
      <c r="E332" s="167" t="str">
        <v/>
      </c>
      <c r="F332" s="167" t="str">
        <v/>
      </c>
      <c r="G332" s="167" t="str">
        <v/>
      </c>
      <c r="H332" s="167" t="str">
        <v/>
      </c>
      <c r="I332" s="167" t="str">
        <v/>
      </c>
      <c r="J332" s="167" t="str">
        <v/>
      </c>
      <c r="K332" s="167" t="str">
        <v/>
      </c>
      <c r="L332" s="167" t="str">
        <v/>
      </c>
      <c r="M332" s="167" t="str">
        <v/>
      </c>
      <c r="N332" s="167" t="str">
        <v/>
      </c>
      <c r="O332" s="167" t="str">
        <v/>
      </c>
      <c r="P332" s="167" t="str">
        <v/>
      </c>
    </row>
    <row r="333" spans="1:16" x14ac:dyDescent="0.2">
      <c r="A333" s="58" t="str">
        <v/>
      </c>
      <c r="B333" s="144" t="str">
        <f>IFERROR(TIMEVALUE(DaqBook_RAW_Data!Q323),IFERROR(TIMEVALUE(DaqBook_RAW_Data!A323),""))</f>
        <v/>
      </c>
      <c r="C333" s="167" t="str">
        <v/>
      </c>
      <c r="D333" s="167" t="str">
        <v/>
      </c>
      <c r="E333" s="167" t="str">
        <v/>
      </c>
      <c r="F333" s="167" t="str">
        <v/>
      </c>
      <c r="G333" s="167" t="str">
        <v/>
      </c>
      <c r="H333" s="167" t="str">
        <v/>
      </c>
      <c r="I333" s="167" t="str">
        <v/>
      </c>
      <c r="J333" s="167" t="str">
        <v/>
      </c>
      <c r="K333" s="167" t="str">
        <v/>
      </c>
      <c r="L333" s="167" t="str">
        <v/>
      </c>
      <c r="M333" s="167" t="str">
        <v/>
      </c>
      <c r="N333" s="167" t="str">
        <v/>
      </c>
      <c r="O333" s="167" t="str">
        <v/>
      </c>
      <c r="P333" s="167" t="str">
        <v/>
      </c>
    </row>
    <row r="334" spans="1:16" x14ac:dyDescent="0.2">
      <c r="A334" s="58" t="str">
        <v/>
      </c>
      <c r="B334" s="144" t="str">
        <f>IFERROR(TIMEVALUE(DaqBook_RAW_Data!Q324),IFERROR(TIMEVALUE(DaqBook_RAW_Data!A324),""))</f>
        <v/>
      </c>
      <c r="C334" s="167" t="str">
        <v/>
      </c>
      <c r="D334" s="167" t="str">
        <v/>
      </c>
      <c r="E334" s="167" t="str">
        <v/>
      </c>
      <c r="F334" s="167" t="str">
        <v/>
      </c>
      <c r="G334" s="167" t="str">
        <v/>
      </c>
      <c r="H334" s="167" t="str">
        <v/>
      </c>
      <c r="I334" s="167" t="str">
        <v/>
      </c>
      <c r="J334" s="167" t="str">
        <v/>
      </c>
      <c r="K334" s="167" t="str">
        <v/>
      </c>
      <c r="L334" s="167" t="str">
        <v/>
      </c>
      <c r="M334" s="167" t="str">
        <v/>
      </c>
      <c r="N334" s="167" t="str">
        <v/>
      </c>
      <c r="O334" s="167" t="str">
        <v/>
      </c>
      <c r="P334" s="167" t="str">
        <v/>
      </c>
    </row>
    <row r="335" spans="1:16" x14ac:dyDescent="0.2">
      <c r="A335" s="58" t="str">
        <v/>
      </c>
      <c r="B335" s="144" t="str">
        <f>IFERROR(TIMEVALUE(DaqBook_RAW_Data!Q325),IFERROR(TIMEVALUE(DaqBook_RAW_Data!A325),""))</f>
        <v/>
      </c>
      <c r="C335" s="167" t="str">
        <v/>
      </c>
      <c r="D335" s="167" t="str">
        <v/>
      </c>
      <c r="E335" s="167" t="str">
        <v/>
      </c>
      <c r="F335" s="167" t="str">
        <v/>
      </c>
      <c r="G335" s="167" t="str">
        <v/>
      </c>
      <c r="H335" s="167" t="str">
        <v/>
      </c>
      <c r="I335" s="167" t="str">
        <v/>
      </c>
      <c r="J335" s="167" t="str">
        <v/>
      </c>
      <c r="K335" s="167" t="str">
        <v/>
      </c>
      <c r="L335" s="167" t="str">
        <v/>
      </c>
      <c r="M335" s="167" t="str">
        <v/>
      </c>
      <c r="N335" s="167" t="str">
        <v/>
      </c>
      <c r="O335" s="167" t="str">
        <v/>
      </c>
      <c r="P335" s="167" t="str">
        <v/>
      </c>
    </row>
    <row r="336" spans="1:16" x14ac:dyDescent="0.2">
      <c r="A336" s="58" t="str">
        <v/>
      </c>
      <c r="B336" s="144" t="str">
        <f>IFERROR(TIMEVALUE(DaqBook_RAW_Data!Q326),IFERROR(TIMEVALUE(DaqBook_RAW_Data!A326),""))</f>
        <v/>
      </c>
      <c r="C336" s="167" t="str">
        <v/>
      </c>
      <c r="D336" s="167" t="str">
        <v/>
      </c>
      <c r="E336" s="167" t="str">
        <v/>
      </c>
      <c r="F336" s="167" t="str">
        <v/>
      </c>
      <c r="G336" s="167" t="str">
        <v/>
      </c>
      <c r="H336" s="167" t="str">
        <v/>
      </c>
      <c r="I336" s="167" t="str">
        <v/>
      </c>
      <c r="J336" s="167" t="str">
        <v/>
      </c>
      <c r="K336" s="167" t="str">
        <v/>
      </c>
      <c r="L336" s="167" t="str">
        <v/>
      </c>
      <c r="M336" s="167" t="str">
        <v/>
      </c>
      <c r="N336" s="167" t="str">
        <v/>
      </c>
      <c r="O336" s="167" t="str">
        <v/>
      </c>
      <c r="P336" s="167" t="str">
        <v/>
      </c>
    </row>
    <row r="337" spans="1:16" x14ac:dyDescent="0.2">
      <c r="A337" s="58" t="str">
        <v/>
      </c>
      <c r="B337" s="144" t="str">
        <f>IFERROR(TIMEVALUE(DaqBook_RAW_Data!Q327),IFERROR(TIMEVALUE(DaqBook_RAW_Data!A327),""))</f>
        <v/>
      </c>
      <c r="C337" s="167" t="str">
        <v/>
      </c>
      <c r="D337" s="167" t="str">
        <v/>
      </c>
      <c r="E337" s="167" t="str">
        <v/>
      </c>
      <c r="F337" s="167" t="str">
        <v/>
      </c>
      <c r="G337" s="167" t="str">
        <v/>
      </c>
      <c r="H337" s="167" t="str">
        <v/>
      </c>
      <c r="I337" s="167" t="str">
        <v/>
      </c>
      <c r="J337" s="167" t="str">
        <v/>
      </c>
      <c r="K337" s="167" t="str">
        <v/>
      </c>
      <c r="L337" s="167" t="str">
        <v/>
      </c>
      <c r="M337" s="167" t="str">
        <v/>
      </c>
      <c r="N337" s="167" t="str">
        <v/>
      </c>
      <c r="O337" s="167" t="str">
        <v/>
      </c>
      <c r="P337" s="167" t="str">
        <v/>
      </c>
    </row>
    <row r="338" spans="1:16" x14ac:dyDescent="0.2">
      <c r="A338" s="58" t="str">
        <v/>
      </c>
      <c r="B338" s="144" t="str">
        <f>IFERROR(TIMEVALUE(DaqBook_RAW_Data!Q328),IFERROR(TIMEVALUE(DaqBook_RAW_Data!A328),""))</f>
        <v/>
      </c>
      <c r="C338" s="167" t="str">
        <v/>
      </c>
      <c r="D338" s="167" t="str">
        <v/>
      </c>
      <c r="E338" s="167" t="str">
        <v/>
      </c>
      <c r="F338" s="167" t="str">
        <v/>
      </c>
      <c r="G338" s="167" t="str">
        <v/>
      </c>
      <c r="H338" s="167" t="str">
        <v/>
      </c>
      <c r="I338" s="167" t="str">
        <v/>
      </c>
      <c r="J338" s="167" t="str">
        <v/>
      </c>
      <c r="K338" s="167" t="str">
        <v/>
      </c>
      <c r="L338" s="167" t="str">
        <v/>
      </c>
      <c r="M338" s="167" t="str">
        <v/>
      </c>
      <c r="N338" s="167" t="str">
        <v/>
      </c>
      <c r="O338" s="167" t="str">
        <v/>
      </c>
      <c r="P338" s="167" t="str">
        <v/>
      </c>
    </row>
    <row r="339" spans="1:16" x14ac:dyDescent="0.2">
      <c r="A339" s="58" t="str">
        <v/>
      </c>
      <c r="B339" s="144" t="str">
        <f>IFERROR(TIMEVALUE(DaqBook_RAW_Data!Q329),IFERROR(TIMEVALUE(DaqBook_RAW_Data!A329),""))</f>
        <v/>
      </c>
      <c r="C339" s="167" t="str">
        <v/>
      </c>
      <c r="D339" s="167" t="str">
        <v/>
      </c>
      <c r="E339" s="167" t="str">
        <v/>
      </c>
      <c r="F339" s="167" t="str">
        <v/>
      </c>
      <c r="G339" s="167" t="str">
        <v/>
      </c>
      <c r="H339" s="167" t="str">
        <v/>
      </c>
      <c r="I339" s="167" t="str">
        <v/>
      </c>
      <c r="J339" s="167" t="str">
        <v/>
      </c>
      <c r="K339" s="167" t="str">
        <v/>
      </c>
      <c r="L339" s="167" t="str">
        <v/>
      </c>
      <c r="M339" s="167" t="str">
        <v/>
      </c>
      <c r="N339" s="167" t="str">
        <v/>
      </c>
      <c r="O339" s="167" t="str">
        <v/>
      </c>
      <c r="P339" s="167" t="str">
        <v/>
      </c>
    </row>
    <row r="340" spans="1:16" x14ac:dyDescent="0.2">
      <c r="A340" s="58" t="str">
        <v/>
      </c>
      <c r="B340" s="144" t="str">
        <f>IFERROR(TIMEVALUE(DaqBook_RAW_Data!Q330),IFERROR(TIMEVALUE(DaqBook_RAW_Data!A330),""))</f>
        <v/>
      </c>
      <c r="C340" s="167" t="str">
        <v/>
      </c>
      <c r="D340" s="167" t="str">
        <v/>
      </c>
      <c r="E340" s="167" t="str">
        <v/>
      </c>
      <c r="F340" s="167" t="str">
        <v/>
      </c>
      <c r="G340" s="167" t="str">
        <v/>
      </c>
      <c r="H340" s="167" t="str">
        <v/>
      </c>
      <c r="I340" s="167" t="str">
        <v/>
      </c>
      <c r="J340" s="167" t="str">
        <v/>
      </c>
      <c r="K340" s="167" t="str">
        <v/>
      </c>
      <c r="L340" s="167" t="str">
        <v/>
      </c>
      <c r="M340" s="167" t="str">
        <v/>
      </c>
      <c r="N340" s="167" t="str">
        <v/>
      </c>
      <c r="O340" s="167" t="str">
        <v/>
      </c>
      <c r="P340" s="167" t="str">
        <v/>
      </c>
    </row>
    <row r="341" spans="1:16" x14ac:dyDescent="0.2">
      <c r="A341" s="58" t="str">
        <v/>
      </c>
      <c r="B341" s="144" t="str">
        <f>IFERROR(TIMEVALUE(DaqBook_RAW_Data!Q331),IFERROR(TIMEVALUE(DaqBook_RAW_Data!A331),""))</f>
        <v/>
      </c>
      <c r="C341" s="167" t="str">
        <v/>
      </c>
      <c r="D341" s="167" t="str">
        <v/>
      </c>
      <c r="E341" s="167" t="str">
        <v/>
      </c>
      <c r="F341" s="167" t="str">
        <v/>
      </c>
      <c r="G341" s="167" t="str">
        <v/>
      </c>
      <c r="H341" s="167" t="str">
        <v/>
      </c>
      <c r="I341" s="167" t="str">
        <v/>
      </c>
      <c r="J341" s="167" t="str">
        <v/>
      </c>
      <c r="K341" s="167" t="str">
        <v/>
      </c>
      <c r="L341" s="167" t="str">
        <v/>
      </c>
      <c r="M341" s="167" t="str">
        <v/>
      </c>
      <c r="N341" s="167" t="str">
        <v/>
      </c>
      <c r="O341" s="167" t="str">
        <v/>
      </c>
      <c r="P341" s="167" t="str">
        <v/>
      </c>
    </row>
    <row r="342" spans="1:16" x14ac:dyDescent="0.2">
      <c r="A342" s="58" t="str">
        <v/>
      </c>
      <c r="B342" s="144" t="str">
        <f>IFERROR(TIMEVALUE(DaqBook_RAW_Data!Q332),IFERROR(TIMEVALUE(DaqBook_RAW_Data!A332),""))</f>
        <v/>
      </c>
      <c r="C342" s="167" t="str">
        <v/>
      </c>
      <c r="D342" s="167" t="str">
        <v/>
      </c>
      <c r="E342" s="167" t="str">
        <v/>
      </c>
      <c r="F342" s="167" t="str">
        <v/>
      </c>
      <c r="G342" s="167" t="str">
        <v/>
      </c>
      <c r="H342" s="167" t="str">
        <v/>
      </c>
      <c r="I342" s="167" t="str">
        <v/>
      </c>
      <c r="J342" s="167" t="str">
        <v/>
      </c>
      <c r="K342" s="167" t="str">
        <v/>
      </c>
      <c r="L342" s="167" t="str">
        <v/>
      </c>
      <c r="M342" s="167" t="str">
        <v/>
      </c>
      <c r="N342" s="167" t="str">
        <v/>
      </c>
      <c r="O342" s="167" t="str">
        <v/>
      </c>
      <c r="P342" s="167" t="str">
        <v/>
      </c>
    </row>
    <row r="343" spans="1:16" x14ac:dyDescent="0.2">
      <c r="A343" s="58" t="str">
        <v/>
      </c>
      <c r="B343" s="144" t="str">
        <f>IFERROR(TIMEVALUE(DaqBook_RAW_Data!Q333),IFERROR(TIMEVALUE(DaqBook_RAW_Data!A333),""))</f>
        <v/>
      </c>
      <c r="C343" s="167" t="str">
        <v/>
      </c>
      <c r="D343" s="167" t="str">
        <v/>
      </c>
      <c r="E343" s="167" t="str">
        <v/>
      </c>
      <c r="F343" s="167" t="str">
        <v/>
      </c>
      <c r="G343" s="167" t="str">
        <v/>
      </c>
      <c r="H343" s="167" t="str">
        <v/>
      </c>
      <c r="I343" s="167" t="str">
        <v/>
      </c>
      <c r="J343" s="167" t="str">
        <v/>
      </c>
      <c r="K343" s="167" t="str">
        <v/>
      </c>
      <c r="L343" s="167" t="str">
        <v/>
      </c>
      <c r="M343" s="167" t="str">
        <v/>
      </c>
      <c r="N343" s="167" t="str">
        <v/>
      </c>
      <c r="O343" s="167" t="str">
        <v/>
      </c>
      <c r="P343" s="167" t="str">
        <v/>
      </c>
    </row>
    <row r="344" spans="1:16" x14ac:dyDescent="0.2">
      <c r="A344" s="58" t="str">
        <v/>
      </c>
      <c r="B344" s="144" t="str">
        <f>IFERROR(TIMEVALUE(DaqBook_RAW_Data!Q334),IFERROR(TIMEVALUE(DaqBook_RAW_Data!A334),""))</f>
        <v/>
      </c>
      <c r="C344" s="167" t="str">
        <v/>
      </c>
      <c r="D344" s="167" t="str">
        <v/>
      </c>
      <c r="E344" s="167" t="str">
        <v/>
      </c>
      <c r="F344" s="167" t="str">
        <v/>
      </c>
      <c r="G344" s="167" t="str">
        <v/>
      </c>
      <c r="H344" s="167" t="str">
        <v/>
      </c>
      <c r="I344" s="167" t="str">
        <v/>
      </c>
      <c r="J344" s="167" t="str">
        <v/>
      </c>
      <c r="K344" s="167" t="str">
        <v/>
      </c>
      <c r="L344" s="167" t="str">
        <v/>
      </c>
      <c r="M344" s="167" t="str">
        <v/>
      </c>
      <c r="N344" s="167" t="str">
        <v/>
      </c>
      <c r="O344" s="167" t="str">
        <v/>
      </c>
      <c r="P344" s="167" t="str">
        <v/>
      </c>
    </row>
    <row r="345" spans="1:16" x14ac:dyDescent="0.2">
      <c r="A345" s="58" t="str">
        <v/>
      </c>
      <c r="B345" s="144" t="str">
        <f>IFERROR(TIMEVALUE(DaqBook_RAW_Data!Q335),IFERROR(TIMEVALUE(DaqBook_RAW_Data!A335),""))</f>
        <v/>
      </c>
      <c r="C345" s="167" t="str">
        <v/>
      </c>
      <c r="D345" s="167" t="str">
        <v/>
      </c>
      <c r="E345" s="167" t="str">
        <v/>
      </c>
      <c r="F345" s="167" t="str">
        <v/>
      </c>
      <c r="G345" s="167" t="str">
        <v/>
      </c>
      <c r="H345" s="167" t="str">
        <v/>
      </c>
      <c r="I345" s="167" t="str">
        <v/>
      </c>
      <c r="J345" s="167" t="str">
        <v/>
      </c>
      <c r="K345" s="167" t="str">
        <v/>
      </c>
      <c r="L345" s="167" t="str">
        <v/>
      </c>
      <c r="M345" s="167" t="str">
        <v/>
      </c>
      <c r="N345" s="167" t="str">
        <v/>
      </c>
      <c r="O345" s="167" t="str">
        <v/>
      </c>
      <c r="P345" s="167" t="str">
        <v/>
      </c>
    </row>
    <row r="346" spans="1:16" x14ac:dyDescent="0.2">
      <c r="A346" s="58" t="str">
        <v/>
      </c>
      <c r="B346" s="144" t="str">
        <f>IFERROR(TIMEVALUE(DaqBook_RAW_Data!Q336),IFERROR(TIMEVALUE(DaqBook_RAW_Data!A336),""))</f>
        <v/>
      </c>
      <c r="C346" s="167" t="str">
        <v/>
      </c>
      <c r="D346" s="167" t="str">
        <v/>
      </c>
      <c r="E346" s="167" t="str">
        <v/>
      </c>
      <c r="F346" s="167" t="str">
        <v/>
      </c>
      <c r="G346" s="167" t="str">
        <v/>
      </c>
      <c r="H346" s="167" t="str">
        <v/>
      </c>
      <c r="I346" s="167" t="str">
        <v/>
      </c>
      <c r="J346" s="167" t="str">
        <v/>
      </c>
      <c r="K346" s="167" t="str">
        <v/>
      </c>
      <c r="L346" s="167" t="str">
        <v/>
      </c>
      <c r="M346" s="167" t="str">
        <v/>
      </c>
      <c r="N346" s="167" t="str">
        <v/>
      </c>
      <c r="O346" s="167" t="str">
        <v/>
      </c>
      <c r="P346" s="167" t="str">
        <v/>
      </c>
    </row>
    <row r="347" spans="1:16" x14ac:dyDescent="0.2">
      <c r="A347" s="58" t="str">
        <v/>
      </c>
      <c r="B347" s="144" t="str">
        <f>IFERROR(TIMEVALUE(DaqBook_RAW_Data!Q337),IFERROR(TIMEVALUE(DaqBook_RAW_Data!A337),""))</f>
        <v/>
      </c>
      <c r="C347" s="167" t="str">
        <v/>
      </c>
      <c r="D347" s="167" t="str">
        <v/>
      </c>
      <c r="E347" s="167" t="str">
        <v/>
      </c>
      <c r="F347" s="167" t="str">
        <v/>
      </c>
      <c r="G347" s="167" t="str">
        <v/>
      </c>
      <c r="H347" s="167" t="str">
        <v/>
      </c>
      <c r="I347" s="167" t="str">
        <v/>
      </c>
      <c r="J347" s="167" t="str">
        <v/>
      </c>
      <c r="K347" s="167" t="str">
        <v/>
      </c>
      <c r="L347" s="167" t="str">
        <v/>
      </c>
      <c r="M347" s="167" t="str">
        <v/>
      </c>
      <c r="N347" s="167" t="str">
        <v/>
      </c>
      <c r="O347" s="167" t="str">
        <v/>
      </c>
      <c r="P347" s="167" t="str">
        <v/>
      </c>
    </row>
    <row r="348" spans="1:16" x14ac:dyDescent="0.2">
      <c r="A348" s="58" t="str">
        <v/>
      </c>
      <c r="B348" s="144" t="str">
        <f>IFERROR(TIMEVALUE(DaqBook_RAW_Data!Q338),IFERROR(TIMEVALUE(DaqBook_RAW_Data!A338),""))</f>
        <v/>
      </c>
      <c r="C348" s="167" t="str">
        <v/>
      </c>
      <c r="D348" s="167" t="str">
        <v/>
      </c>
      <c r="E348" s="167" t="str">
        <v/>
      </c>
      <c r="F348" s="167" t="str">
        <v/>
      </c>
      <c r="G348" s="167" t="str">
        <v/>
      </c>
      <c r="H348" s="167" t="str">
        <v/>
      </c>
      <c r="I348" s="167" t="str">
        <v/>
      </c>
      <c r="J348" s="167" t="str">
        <v/>
      </c>
      <c r="K348" s="167" t="str">
        <v/>
      </c>
      <c r="L348" s="167" t="str">
        <v/>
      </c>
      <c r="M348" s="167" t="str">
        <v/>
      </c>
      <c r="N348" s="167" t="str">
        <v/>
      </c>
      <c r="O348" s="167" t="str">
        <v/>
      </c>
      <c r="P348" s="167" t="str">
        <v/>
      </c>
    </row>
    <row r="349" spans="1:16" x14ac:dyDescent="0.2">
      <c r="A349" s="58" t="str">
        <v/>
      </c>
      <c r="B349" s="144" t="str">
        <f>IFERROR(TIMEVALUE(DaqBook_RAW_Data!Q339),IFERROR(TIMEVALUE(DaqBook_RAW_Data!A339),""))</f>
        <v/>
      </c>
      <c r="C349" s="167" t="str">
        <v/>
      </c>
      <c r="D349" s="167" t="str">
        <v/>
      </c>
      <c r="E349" s="167" t="str">
        <v/>
      </c>
      <c r="F349" s="167" t="str">
        <v/>
      </c>
      <c r="G349" s="167" t="str">
        <v/>
      </c>
      <c r="H349" s="167" t="str">
        <v/>
      </c>
      <c r="I349" s="167" t="str">
        <v/>
      </c>
      <c r="J349" s="167" t="str">
        <v/>
      </c>
      <c r="K349" s="167" t="str">
        <v/>
      </c>
      <c r="L349" s="167" t="str">
        <v/>
      </c>
      <c r="M349" s="167" t="str">
        <v/>
      </c>
      <c r="N349" s="167" t="str">
        <v/>
      </c>
      <c r="O349" s="167" t="str">
        <v/>
      </c>
      <c r="P349" s="167" t="str">
        <v/>
      </c>
    </row>
    <row r="350" spans="1:16" x14ac:dyDescent="0.2">
      <c r="A350" s="58" t="str">
        <v/>
      </c>
      <c r="B350" s="144" t="str">
        <f>IFERROR(TIMEVALUE(DaqBook_RAW_Data!Q340),IFERROR(TIMEVALUE(DaqBook_RAW_Data!A340),""))</f>
        <v/>
      </c>
      <c r="C350" s="167" t="str">
        <v/>
      </c>
      <c r="D350" s="167" t="str">
        <v/>
      </c>
      <c r="E350" s="167" t="str">
        <v/>
      </c>
      <c r="F350" s="167" t="str">
        <v/>
      </c>
      <c r="G350" s="167" t="str">
        <v/>
      </c>
      <c r="H350" s="167" t="str">
        <v/>
      </c>
      <c r="I350" s="167" t="str">
        <v/>
      </c>
      <c r="J350" s="167" t="str">
        <v/>
      </c>
      <c r="K350" s="167" t="str">
        <v/>
      </c>
      <c r="L350" s="167" t="str">
        <v/>
      </c>
      <c r="M350" s="167" t="str">
        <v/>
      </c>
      <c r="N350" s="167" t="str">
        <v/>
      </c>
      <c r="O350" s="167" t="str">
        <v/>
      </c>
      <c r="P350" s="167" t="str">
        <v/>
      </c>
    </row>
    <row r="351" spans="1:16" x14ac:dyDescent="0.2">
      <c r="A351" s="58" t="str">
        <v/>
      </c>
      <c r="B351" s="144" t="str">
        <f>IFERROR(TIMEVALUE(DaqBook_RAW_Data!Q341),IFERROR(TIMEVALUE(DaqBook_RAW_Data!A341),""))</f>
        <v/>
      </c>
      <c r="C351" s="167" t="str">
        <v/>
      </c>
      <c r="D351" s="167" t="str">
        <v/>
      </c>
      <c r="E351" s="167" t="str">
        <v/>
      </c>
      <c r="F351" s="167" t="str">
        <v/>
      </c>
      <c r="G351" s="167" t="str">
        <v/>
      </c>
      <c r="H351" s="167" t="str">
        <v/>
      </c>
      <c r="I351" s="167" t="str">
        <v/>
      </c>
      <c r="J351" s="167" t="str">
        <v/>
      </c>
      <c r="K351" s="167" t="str">
        <v/>
      </c>
      <c r="L351" s="167" t="str">
        <v/>
      </c>
      <c r="M351" s="167" t="str">
        <v/>
      </c>
      <c r="N351" s="167" t="str">
        <v/>
      </c>
      <c r="O351" s="167" t="str">
        <v/>
      </c>
      <c r="P351" s="167" t="str">
        <v/>
      </c>
    </row>
    <row r="352" spans="1:16" x14ac:dyDescent="0.2">
      <c r="A352" s="58" t="str">
        <v/>
      </c>
      <c r="B352" s="144" t="str">
        <f>IFERROR(TIMEVALUE(DaqBook_RAW_Data!Q342),IFERROR(TIMEVALUE(DaqBook_RAW_Data!A342),""))</f>
        <v/>
      </c>
      <c r="C352" s="167" t="str">
        <v/>
      </c>
      <c r="D352" s="167" t="str">
        <v/>
      </c>
      <c r="E352" s="167" t="str">
        <v/>
      </c>
      <c r="F352" s="167" t="str">
        <v/>
      </c>
      <c r="G352" s="167" t="str">
        <v/>
      </c>
      <c r="H352" s="167" t="str">
        <v/>
      </c>
      <c r="I352" s="167" t="str">
        <v/>
      </c>
      <c r="J352" s="167" t="str">
        <v/>
      </c>
      <c r="K352" s="167" t="str">
        <v/>
      </c>
      <c r="L352" s="167" t="str">
        <v/>
      </c>
      <c r="M352" s="167" t="str">
        <v/>
      </c>
      <c r="N352" s="167" t="str">
        <v/>
      </c>
      <c r="O352" s="167" t="str">
        <v/>
      </c>
      <c r="P352" s="167" t="str">
        <v/>
      </c>
    </row>
    <row r="353" spans="1:16" x14ac:dyDescent="0.2">
      <c r="A353" s="58" t="str">
        <v/>
      </c>
      <c r="B353" s="144" t="str">
        <f>IFERROR(TIMEVALUE(DaqBook_RAW_Data!Q343),IFERROR(TIMEVALUE(DaqBook_RAW_Data!A343),""))</f>
        <v/>
      </c>
      <c r="C353" s="167" t="str">
        <v/>
      </c>
      <c r="D353" s="167" t="str">
        <v/>
      </c>
      <c r="E353" s="167" t="str">
        <v/>
      </c>
      <c r="F353" s="167" t="str">
        <v/>
      </c>
      <c r="G353" s="167" t="str">
        <v/>
      </c>
      <c r="H353" s="167" t="str">
        <v/>
      </c>
      <c r="I353" s="167" t="str">
        <v/>
      </c>
      <c r="J353" s="167" t="str">
        <v/>
      </c>
      <c r="K353" s="167" t="str">
        <v/>
      </c>
      <c r="L353" s="167" t="str">
        <v/>
      </c>
      <c r="M353" s="167" t="str">
        <v/>
      </c>
      <c r="N353" s="167" t="str">
        <v/>
      </c>
      <c r="O353" s="167" t="str">
        <v/>
      </c>
      <c r="P353" s="167" t="str">
        <v/>
      </c>
    </row>
    <row r="354" spans="1:16" x14ac:dyDescent="0.2">
      <c r="A354" s="58" t="str">
        <v/>
      </c>
      <c r="B354" s="144" t="str">
        <f>IFERROR(TIMEVALUE(DaqBook_RAW_Data!Q344),IFERROR(TIMEVALUE(DaqBook_RAW_Data!A344),""))</f>
        <v/>
      </c>
      <c r="C354" s="167" t="str">
        <v/>
      </c>
      <c r="D354" s="167" t="str">
        <v/>
      </c>
      <c r="E354" s="167" t="str">
        <v/>
      </c>
      <c r="F354" s="167" t="str">
        <v/>
      </c>
      <c r="G354" s="167" t="str">
        <v/>
      </c>
      <c r="H354" s="167" t="str">
        <v/>
      </c>
      <c r="I354" s="167" t="str">
        <v/>
      </c>
      <c r="J354" s="167" t="str">
        <v/>
      </c>
      <c r="K354" s="167" t="str">
        <v/>
      </c>
      <c r="L354" s="167" t="str">
        <v/>
      </c>
      <c r="M354" s="167" t="str">
        <v/>
      </c>
      <c r="N354" s="167" t="str">
        <v/>
      </c>
      <c r="O354" s="167" t="str">
        <v/>
      </c>
      <c r="P354" s="167" t="str">
        <v/>
      </c>
    </row>
    <row r="355" spans="1:16" x14ac:dyDescent="0.2">
      <c r="A355" s="58" t="str">
        <v/>
      </c>
      <c r="B355" s="144" t="str">
        <f>IFERROR(TIMEVALUE(DaqBook_RAW_Data!Q345),IFERROR(TIMEVALUE(DaqBook_RAW_Data!A345),""))</f>
        <v/>
      </c>
      <c r="C355" s="167" t="str">
        <v/>
      </c>
      <c r="D355" s="167" t="str">
        <v/>
      </c>
      <c r="E355" s="167" t="str">
        <v/>
      </c>
      <c r="F355" s="167" t="str">
        <v/>
      </c>
      <c r="G355" s="167" t="str">
        <v/>
      </c>
      <c r="H355" s="167" t="str">
        <v/>
      </c>
      <c r="I355" s="167" t="str">
        <v/>
      </c>
      <c r="J355" s="167" t="str">
        <v/>
      </c>
      <c r="K355" s="167" t="str">
        <v/>
      </c>
      <c r="L355" s="167" t="str">
        <v/>
      </c>
      <c r="M355" s="167" t="str">
        <v/>
      </c>
      <c r="N355" s="167" t="str">
        <v/>
      </c>
      <c r="O355" s="167" t="str">
        <v/>
      </c>
      <c r="P355" s="167" t="str">
        <v/>
      </c>
    </row>
    <row r="356" spans="1:16" x14ac:dyDescent="0.2">
      <c r="A356" s="58" t="str">
        <v/>
      </c>
      <c r="B356" s="144" t="str">
        <f>IFERROR(TIMEVALUE(DaqBook_RAW_Data!Q346),IFERROR(TIMEVALUE(DaqBook_RAW_Data!A346),""))</f>
        <v/>
      </c>
      <c r="C356" s="167" t="str">
        <v/>
      </c>
      <c r="D356" s="167" t="str">
        <v/>
      </c>
      <c r="E356" s="167" t="str">
        <v/>
      </c>
      <c r="F356" s="167" t="str">
        <v/>
      </c>
      <c r="G356" s="167" t="str">
        <v/>
      </c>
      <c r="H356" s="167" t="str">
        <v/>
      </c>
      <c r="I356" s="167" t="str">
        <v/>
      </c>
      <c r="J356" s="167" t="str">
        <v/>
      </c>
      <c r="K356" s="167" t="str">
        <v/>
      </c>
      <c r="L356" s="167" t="str">
        <v/>
      </c>
      <c r="M356" s="167" t="str">
        <v/>
      </c>
      <c r="N356" s="167" t="str">
        <v/>
      </c>
      <c r="O356" s="167" t="str">
        <v/>
      </c>
      <c r="P356" s="167" t="str">
        <v/>
      </c>
    </row>
    <row r="357" spans="1:16" x14ac:dyDescent="0.2">
      <c r="A357" s="58" t="str">
        <v/>
      </c>
      <c r="B357" s="144" t="str">
        <f>IFERROR(TIMEVALUE(DaqBook_RAW_Data!Q347),IFERROR(TIMEVALUE(DaqBook_RAW_Data!A347),""))</f>
        <v/>
      </c>
      <c r="C357" s="167" t="str">
        <v/>
      </c>
      <c r="D357" s="167" t="str">
        <v/>
      </c>
      <c r="E357" s="167" t="str">
        <v/>
      </c>
      <c r="F357" s="167" t="str">
        <v/>
      </c>
      <c r="G357" s="167" t="str">
        <v/>
      </c>
      <c r="H357" s="167" t="str">
        <v/>
      </c>
      <c r="I357" s="167" t="str">
        <v/>
      </c>
      <c r="J357" s="167" t="str">
        <v/>
      </c>
      <c r="K357" s="167" t="str">
        <v/>
      </c>
      <c r="L357" s="167" t="str">
        <v/>
      </c>
      <c r="M357" s="167" t="str">
        <v/>
      </c>
      <c r="N357" s="167" t="str">
        <v/>
      </c>
      <c r="O357" s="167" t="str">
        <v/>
      </c>
      <c r="P357" s="167" t="str">
        <v/>
      </c>
    </row>
    <row r="358" spans="1:16" x14ac:dyDescent="0.2">
      <c r="A358" s="58" t="str">
        <v/>
      </c>
      <c r="B358" s="144" t="str">
        <f>IFERROR(TIMEVALUE(DaqBook_RAW_Data!Q348),IFERROR(TIMEVALUE(DaqBook_RAW_Data!A348),""))</f>
        <v/>
      </c>
      <c r="C358" s="167" t="str">
        <v/>
      </c>
      <c r="D358" s="167" t="str">
        <v/>
      </c>
      <c r="E358" s="167" t="str">
        <v/>
      </c>
      <c r="F358" s="167" t="str">
        <v/>
      </c>
      <c r="G358" s="167" t="str">
        <v/>
      </c>
      <c r="H358" s="167" t="str">
        <v/>
      </c>
      <c r="I358" s="167" t="str">
        <v/>
      </c>
      <c r="J358" s="167" t="str">
        <v/>
      </c>
      <c r="K358" s="167" t="str">
        <v/>
      </c>
      <c r="L358" s="167" t="str">
        <v/>
      </c>
      <c r="M358" s="167" t="str">
        <v/>
      </c>
      <c r="N358" s="167" t="str">
        <v/>
      </c>
      <c r="O358" s="167" t="str">
        <v/>
      </c>
      <c r="P358" s="167" t="str">
        <v/>
      </c>
    </row>
    <row r="359" spans="1:16" x14ac:dyDescent="0.2">
      <c r="A359" s="58" t="str">
        <v/>
      </c>
      <c r="B359" s="144" t="str">
        <f>IFERROR(TIMEVALUE(DaqBook_RAW_Data!Q349),IFERROR(TIMEVALUE(DaqBook_RAW_Data!A349),""))</f>
        <v/>
      </c>
      <c r="C359" s="167" t="str">
        <v/>
      </c>
      <c r="D359" s="167" t="str">
        <v/>
      </c>
      <c r="E359" s="167" t="str">
        <v/>
      </c>
      <c r="F359" s="167" t="str">
        <v/>
      </c>
      <c r="G359" s="167" t="str">
        <v/>
      </c>
      <c r="H359" s="167" t="str">
        <v/>
      </c>
      <c r="I359" s="167" t="str">
        <v/>
      </c>
      <c r="J359" s="167" t="str">
        <v/>
      </c>
      <c r="K359" s="167" t="str">
        <v/>
      </c>
      <c r="L359" s="167" t="str">
        <v/>
      </c>
      <c r="M359" s="167" t="str">
        <v/>
      </c>
      <c r="N359" s="167" t="str">
        <v/>
      </c>
      <c r="O359" s="167" t="str">
        <v/>
      </c>
      <c r="P359" s="167" t="str">
        <v/>
      </c>
    </row>
    <row r="360" spans="1:16" x14ac:dyDescent="0.2">
      <c r="A360" s="58" t="str">
        <v/>
      </c>
      <c r="B360" s="144" t="str">
        <f>IFERROR(TIMEVALUE(DaqBook_RAW_Data!Q350),IFERROR(TIMEVALUE(DaqBook_RAW_Data!A350),""))</f>
        <v/>
      </c>
      <c r="C360" s="167" t="str">
        <v/>
      </c>
      <c r="D360" s="167" t="str">
        <v/>
      </c>
      <c r="E360" s="167" t="str">
        <v/>
      </c>
      <c r="F360" s="167" t="str">
        <v/>
      </c>
      <c r="G360" s="167" t="str">
        <v/>
      </c>
      <c r="H360" s="167" t="str">
        <v/>
      </c>
      <c r="I360" s="167" t="str">
        <v/>
      </c>
      <c r="J360" s="167" t="str">
        <v/>
      </c>
      <c r="K360" s="167" t="str">
        <v/>
      </c>
      <c r="L360" s="167" t="str">
        <v/>
      </c>
      <c r="M360" s="167" t="str">
        <v/>
      </c>
      <c r="N360" s="167" t="str">
        <v/>
      </c>
      <c r="O360" s="167" t="str">
        <v/>
      </c>
      <c r="P360" s="167" t="str">
        <v/>
      </c>
    </row>
    <row r="361" spans="1:16" x14ac:dyDescent="0.2">
      <c r="A361" s="58" t="str">
        <v/>
      </c>
      <c r="B361" s="144" t="str">
        <f>IFERROR(TIMEVALUE(DaqBook_RAW_Data!Q351),IFERROR(TIMEVALUE(DaqBook_RAW_Data!A351),""))</f>
        <v/>
      </c>
      <c r="C361" s="167" t="str">
        <v/>
      </c>
      <c r="D361" s="167" t="str">
        <v/>
      </c>
      <c r="E361" s="167" t="str">
        <v/>
      </c>
      <c r="F361" s="167" t="str">
        <v/>
      </c>
      <c r="G361" s="167" t="str">
        <v/>
      </c>
      <c r="H361" s="167" t="str">
        <v/>
      </c>
      <c r="I361" s="167" t="str">
        <v/>
      </c>
      <c r="J361" s="167" t="str">
        <v/>
      </c>
      <c r="K361" s="167" t="str">
        <v/>
      </c>
      <c r="L361" s="167" t="str">
        <v/>
      </c>
      <c r="M361" s="167" t="str">
        <v/>
      </c>
      <c r="N361" s="167" t="str">
        <v/>
      </c>
      <c r="O361" s="167" t="str">
        <v/>
      </c>
      <c r="P361" s="167" t="str">
        <v/>
      </c>
    </row>
    <row r="362" spans="1:16" x14ac:dyDescent="0.2">
      <c r="A362" s="58" t="str">
        <v/>
      </c>
      <c r="B362" s="144" t="str">
        <f>IFERROR(TIMEVALUE(DaqBook_RAW_Data!Q352),IFERROR(TIMEVALUE(DaqBook_RAW_Data!A352),""))</f>
        <v/>
      </c>
      <c r="C362" s="167" t="str">
        <v/>
      </c>
      <c r="D362" s="167" t="str">
        <v/>
      </c>
      <c r="E362" s="167" t="str">
        <v/>
      </c>
      <c r="F362" s="167" t="str">
        <v/>
      </c>
      <c r="G362" s="167" t="str">
        <v/>
      </c>
      <c r="H362" s="167" t="str">
        <v/>
      </c>
      <c r="I362" s="167" t="str">
        <v/>
      </c>
      <c r="J362" s="167" t="str">
        <v/>
      </c>
      <c r="K362" s="167" t="str">
        <v/>
      </c>
      <c r="L362" s="167" t="str">
        <v/>
      </c>
      <c r="M362" s="167" t="str">
        <v/>
      </c>
      <c r="N362" s="167" t="str">
        <v/>
      </c>
      <c r="O362" s="167" t="str">
        <v/>
      </c>
      <c r="P362" s="167" t="str">
        <v/>
      </c>
    </row>
    <row r="363" spans="1:16" x14ac:dyDescent="0.2">
      <c r="A363" s="58" t="str">
        <v/>
      </c>
      <c r="B363" s="144" t="str">
        <f>IFERROR(TIMEVALUE(DaqBook_RAW_Data!Q353),IFERROR(TIMEVALUE(DaqBook_RAW_Data!A353),""))</f>
        <v/>
      </c>
      <c r="C363" s="167" t="str">
        <v/>
      </c>
      <c r="D363" s="167" t="str">
        <v/>
      </c>
      <c r="E363" s="167" t="str">
        <v/>
      </c>
      <c r="F363" s="167" t="str">
        <v/>
      </c>
      <c r="G363" s="167" t="str">
        <v/>
      </c>
      <c r="H363" s="167" t="str">
        <v/>
      </c>
      <c r="I363" s="167" t="str">
        <v/>
      </c>
      <c r="J363" s="167" t="str">
        <v/>
      </c>
      <c r="K363" s="167" t="str">
        <v/>
      </c>
      <c r="L363" s="167" t="str">
        <v/>
      </c>
      <c r="M363" s="167" t="str">
        <v/>
      </c>
      <c r="N363" s="167" t="str">
        <v/>
      </c>
      <c r="O363" s="167" t="str">
        <v/>
      </c>
      <c r="P363" s="167" t="str">
        <v/>
      </c>
    </row>
    <row r="364" spans="1:16" x14ac:dyDescent="0.2">
      <c r="A364" s="58" t="str">
        <v/>
      </c>
      <c r="B364" s="144" t="str">
        <f>IFERROR(TIMEVALUE(DaqBook_RAW_Data!Q354),IFERROR(TIMEVALUE(DaqBook_RAW_Data!A354),""))</f>
        <v/>
      </c>
      <c r="C364" s="167" t="str">
        <v/>
      </c>
      <c r="D364" s="167" t="str">
        <v/>
      </c>
      <c r="E364" s="167" t="str">
        <v/>
      </c>
      <c r="F364" s="167" t="str">
        <v/>
      </c>
      <c r="G364" s="167" t="str">
        <v/>
      </c>
      <c r="H364" s="167" t="str">
        <v/>
      </c>
      <c r="I364" s="167" t="str">
        <v/>
      </c>
      <c r="J364" s="167" t="str">
        <v/>
      </c>
      <c r="K364" s="167" t="str">
        <v/>
      </c>
      <c r="L364" s="167" t="str">
        <v/>
      </c>
      <c r="M364" s="167" t="str">
        <v/>
      </c>
      <c r="N364" s="167" t="str">
        <v/>
      </c>
      <c r="O364" s="167" t="str">
        <v/>
      </c>
      <c r="P364" s="167" t="str">
        <v/>
      </c>
    </row>
    <row r="365" spans="1:16" x14ac:dyDescent="0.2">
      <c r="A365" s="58" t="str">
        <v/>
      </c>
      <c r="B365" s="144" t="str">
        <f>IFERROR(TIMEVALUE(DaqBook_RAW_Data!Q355),IFERROR(TIMEVALUE(DaqBook_RAW_Data!A355),""))</f>
        <v/>
      </c>
      <c r="C365" s="167" t="str">
        <v/>
      </c>
      <c r="D365" s="167" t="str">
        <v/>
      </c>
      <c r="E365" s="167" t="str">
        <v/>
      </c>
      <c r="F365" s="167" t="str">
        <v/>
      </c>
      <c r="G365" s="167" t="str">
        <v/>
      </c>
      <c r="H365" s="167" t="str">
        <v/>
      </c>
      <c r="I365" s="167" t="str">
        <v/>
      </c>
      <c r="J365" s="167" t="str">
        <v/>
      </c>
      <c r="K365" s="167" t="str">
        <v/>
      </c>
      <c r="L365" s="167" t="str">
        <v/>
      </c>
      <c r="M365" s="167" t="str">
        <v/>
      </c>
      <c r="N365" s="167" t="str">
        <v/>
      </c>
      <c r="O365" s="167" t="str">
        <v/>
      </c>
      <c r="P365" s="167" t="str">
        <v/>
      </c>
    </row>
    <row r="366" spans="1:16" x14ac:dyDescent="0.2">
      <c r="A366" s="58" t="str">
        <v/>
      </c>
      <c r="B366" s="144" t="str">
        <f>IFERROR(TIMEVALUE(DaqBook_RAW_Data!Q356),IFERROR(TIMEVALUE(DaqBook_RAW_Data!A356),""))</f>
        <v/>
      </c>
      <c r="C366" s="167" t="str">
        <v/>
      </c>
      <c r="D366" s="167" t="str">
        <v/>
      </c>
      <c r="E366" s="167" t="str">
        <v/>
      </c>
      <c r="F366" s="167" t="str">
        <v/>
      </c>
      <c r="G366" s="167" t="str">
        <v/>
      </c>
      <c r="H366" s="167" t="str">
        <v/>
      </c>
      <c r="I366" s="167" t="str">
        <v/>
      </c>
      <c r="J366" s="167" t="str">
        <v/>
      </c>
      <c r="K366" s="167" t="str">
        <v/>
      </c>
      <c r="L366" s="167" t="str">
        <v/>
      </c>
      <c r="M366" s="167" t="str">
        <v/>
      </c>
      <c r="N366" s="167" t="str">
        <v/>
      </c>
      <c r="O366" s="167" t="str">
        <v/>
      </c>
      <c r="P366" s="167" t="str">
        <v/>
      </c>
    </row>
    <row r="367" spans="1:16" x14ac:dyDescent="0.2">
      <c r="A367" s="58" t="str">
        <v/>
      </c>
      <c r="B367" s="144" t="str">
        <f>IFERROR(TIMEVALUE(DaqBook_RAW_Data!Q357),IFERROR(TIMEVALUE(DaqBook_RAW_Data!A357),""))</f>
        <v/>
      </c>
      <c r="C367" s="167" t="str">
        <v/>
      </c>
      <c r="D367" s="167" t="str">
        <v/>
      </c>
      <c r="E367" s="167" t="str">
        <v/>
      </c>
      <c r="F367" s="167" t="str">
        <v/>
      </c>
      <c r="G367" s="167" t="str">
        <v/>
      </c>
      <c r="H367" s="167" t="str">
        <v/>
      </c>
      <c r="I367" s="167" t="str">
        <v/>
      </c>
      <c r="J367" s="167" t="str">
        <v/>
      </c>
      <c r="K367" s="167" t="str">
        <v/>
      </c>
      <c r="L367" s="167" t="str">
        <v/>
      </c>
      <c r="M367" s="167" t="str">
        <v/>
      </c>
      <c r="N367" s="167" t="str">
        <v/>
      </c>
      <c r="O367" s="167" t="str">
        <v/>
      </c>
      <c r="P367" s="167" t="str">
        <v/>
      </c>
    </row>
    <row r="368" spans="1:16" x14ac:dyDescent="0.2">
      <c r="A368" s="58" t="str">
        <v/>
      </c>
      <c r="B368" s="144" t="str">
        <f>IFERROR(TIMEVALUE(DaqBook_RAW_Data!Q358),IFERROR(TIMEVALUE(DaqBook_RAW_Data!A358),""))</f>
        <v/>
      </c>
      <c r="C368" s="167" t="str">
        <v/>
      </c>
      <c r="D368" s="167" t="str">
        <v/>
      </c>
      <c r="E368" s="167" t="str">
        <v/>
      </c>
      <c r="F368" s="167" t="str">
        <v/>
      </c>
      <c r="G368" s="167" t="str">
        <v/>
      </c>
      <c r="H368" s="167" t="str">
        <v/>
      </c>
      <c r="I368" s="167" t="str">
        <v/>
      </c>
      <c r="J368" s="167" t="str">
        <v/>
      </c>
      <c r="K368" s="167" t="str">
        <v/>
      </c>
      <c r="L368" s="167" t="str">
        <v/>
      </c>
      <c r="M368" s="167" t="str">
        <v/>
      </c>
      <c r="N368" s="167" t="str">
        <v/>
      </c>
      <c r="O368" s="167" t="str">
        <v/>
      </c>
      <c r="P368" s="167" t="str">
        <v/>
      </c>
    </row>
    <row r="369" spans="1:16" x14ac:dyDescent="0.2">
      <c r="A369" s="58" t="str">
        <v/>
      </c>
      <c r="B369" s="144" t="str">
        <f>IFERROR(TIMEVALUE(DaqBook_RAW_Data!Q359),IFERROR(TIMEVALUE(DaqBook_RAW_Data!A359),""))</f>
        <v/>
      </c>
      <c r="C369" s="167" t="str">
        <v/>
      </c>
      <c r="D369" s="167" t="str">
        <v/>
      </c>
      <c r="E369" s="167" t="str">
        <v/>
      </c>
      <c r="F369" s="167" t="str">
        <v/>
      </c>
      <c r="G369" s="167" t="str">
        <v/>
      </c>
      <c r="H369" s="167" t="str">
        <v/>
      </c>
      <c r="I369" s="167" t="str">
        <v/>
      </c>
      <c r="J369" s="167" t="str">
        <v/>
      </c>
      <c r="K369" s="167" t="str">
        <v/>
      </c>
      <c r="L369" s="167" t="str">
        <v/>
      </c>
      <c r="M369" s="167" t="str">
        <v/>
      </c>
      <c r="N369" s="167" t="str">
        <v/>
      </c>
      <c r="O369" s="167" t="str">
        <v/>
      </c>
      <c r="P369" s="167" t="str">
        <v/>
      </c>
    </row>
    <row r="370" spans="1:16" x14ac:dyDescent="0.2">
      <c r="A370" s="58" t="str">
        <v/>
      </c>
      <c r="B370" s="144" t="str">
        <f>IFERROR(TIMEVALUE(DaqBook_RAW_Data!Q360),IFERROR(TIMEVALUE(DaqBook_RAW_Data!A360),""))</f>
        <v/>
      </c>
      <c r="C370" s="167" t="str">
        <v/>
      </c>
      <c r="D370" s="167" t="str">
        <v/>
      </c>
      <c r="E370" s="167" t="str">
        <v/>
      </c>
      <c r="F370" s="167" t="str">
        <v/>
      </c>
      <c r="G370" s="167" t="str">
        <v/>
      </c>
      <c r="H370" s="167" t="str">
        <v/>
      </c>
      <c r="I370" s="167" t="str">
        <v/>
      </c>
      <c r="J370" s="167" t="str">
        <v/>
      </c>
      <c r="K370" s="167" t="str">
        <v/>
      </c>
      <c r="L370" s="167" t="str">
        <v/>
      </c>
      <c r="M370" s="167" t="str">
        <v/>
      </c>
      <c r="N370" s="167" t="str">
        <v/>
      </c>
      <c r="O370" s="167" t="str">
        <v/>
      </c>
      <c r="P370" s="167" t="str">
        <v/>
      </c>
    </row>
    <row r="371" spans="1:16" x14ac:dyDescent="0.2">
      <c r="A371" s="58" t="str">
        <v/>
      </c>
      <c r="B371" s="144" t="str">
        <f>IFERROR(TIMEVALUE(DaqBook_RAW_Data!Q361),IFERROR(TIMEVALUE(DaqBook_RAW_Data!A361),""))</f>
        <v/>
      </c>
      <c r="C371" s="167" t="str">
        <v/>
      </c>
      <c r="D371" s="167" t="str">
        <v/>
      </c>
      <c r="E371" s="167" t="str">
        <v/>
      </c>
      <c r="F371" s="167" t="str">
        <v/>
      </c>
      <c r="G371" s="167" t="str">
        <v/>
      </c>
      <c r="H371" s="167" t="str">
        <v/>
      </c>
      <c r="I371" s="167" t="str">
        <v/>
      </c>
      <c r="J371" s="167" t="str">
        <v/>
      </c>
      <c r="K371" s="167" t="str">
        <v/>
      </c>
      <c r="L371" s="167" t="str">
        <v/>
      </c>
      <c r="M371" s="167" t="str">
        <v/>
      </c>
      <c r="N371" s="167" t="str">
        <v/>
      </c>
      <c r="O371" s="167" t="str">
        <v/>
      </c>
      <c r="P371" s="167" t="str">
        <v/>
      </c>
    </row>
    <row r="372" spans="1:16" x14ac:dyDescent="0.2">
      <c r="A372" s="58" t="str">
        <v/>
      </c>
      <c r="B372" s="144" t="str">
        <f>IFERROR(TIMEVALUE(DaqBook_RAW_Data!Q362),IFERROR(TIMEVALUE(DaqBook_RAW_Data!A362),""))</f>
        <v/>
      </c>
      <c r="C372" s="167" t="str">
        <v/>
      </c>
      <c r="D372" s="167" t="str">
        <v/>
      </c>
      <c r="E372" s="167" t="str">
        <v/>
      </c>
      <c r="F372" s="167" t="str">
        <v/>
      </c>
      <c r="G372" s="167" t="str">
        <v/>
      </c>
      <c r="H372" s="167" t="str">
        <v/>
      </c>
      <c r="I372" s="167" t="str">
        <v/>
      </c>
      <c r="J372" s="167" t="str">
        <v/>
      </c>
      <c r="K372" s="167" t="str">
        <v/>
      </c>
      <c r="L372" s="167" t="str">
        <v/>
      </c>
      <c r="M372" s="167" t="str">
        <v/>
      </c>
      <c r="N372" s="167" t="str">
        <v/>
      </c>
      <c r="O372" s="167" t="str">
        <v/>
      </c>
      <c r="P372" s="167" t="str">
        <v/>
      </c>
    </row>
    <row r="373" spans="1:16" x14ac:dyDescent="0.2">
      <c r="A373" s="58" t="str">
        <v/>
      </c>
      <c r="B373" s="144" t="str">
        <f>IFERROR(TIMEVALUE(DaqBook_RAW_Data!Q363),IFERROR(TIMEVALUE(DaqBook_RAW_Data!A363),""))</f>
        <v/>
      </c>
      <c r="C373" s="167" t="str">
        <v/>
      </c>
      <c r="D373" s="167" t="str">
        <v/>
      </c>
      <c r="E373" s="167" t="str">
        <v/>
      </c>
      <c r="F373" s="167" t="str">
        <v/>
      </c>
      <c r="G373" s="167" t="str">
        <v/>
      </c>
      <c r="H373" s="167" t="str">
        <v/>
      </c>
      <c r="I373" s="167" t="str">
        <v/>
      </c>
      <c r="J373" s="167" t="str">
        <v/>
      </c>
      <c r="K373" s="167" t="str">
        <v/>
      </c>
      <c r="L373" s="167" t="str">
        <v/>
      </c>
      <c r="M373" s="167" t="str">
        <v/>
      </c>
      <c r="N373" s="167" t="str">
        <v/>
      </c>
      <c r="O373" s="167" t="str">
        <v/>
      </c>
      <c r="P373" s="167" t="str">
        <v/>
      </c>
    </row>
    <row r="374" spans="1:16" x14ac:dyDescent="0.2">
      <c r="A374" s="58" t="str">
        <v/>
      </c>
      <c r="B374" s="144" t="str">
        <f>IFERROR(TIMEVALUE(DaqBook_RAW_Data!Q364),IFERROR(TIMEVALUE(DaqBook_RAW_Data!A364),""))</f>
        <v/>
      </c>
      <c r="C374" s="167" t="str">
        <v/>
      </c>
      <c r="D374" s="167" t="str">
        <v/>
      </c>
      <c r="E374" s="167" t="str">
        <v/>
      </c>
      <c r="F374" s="167" t="str">
        <v/>
      </c>
      <c r="G374" s="167" t="str">
        <v/>
      </c>
      <c r="H374" s="167" t="str">
        <v/>
      </c>
      <c r="I374" s="167" t="str">
        <v/>
      </c>
      <c r="J374" s="167" t="str">
        <v/>
      </c>
      <c r="K374" s="167" t="str">
        <v/>
      </c>
      <c r="L374" s="167" t="str">
        <v/>
      </c>
      <c r="M374" s="167" t="str">
        <v/>
      </c>
      <c r="N374" s="167" t="str">
        <v/>
      </c>
      <c r="O374" s="167" t="str">
        <v/>
      </c>
      <c r="P374" s="167" t="str">
        <v/>
      </c>
    </row>
    <row r="375" spans="1:16" x14ac:dyDescent="0.2">
      <c r="A375" s="58" t="str">
        <v/>
      </c>
      <c r="B375" s="144" t="str">
        <f>IFERROR(TIMEVALUE(DaqBook_RAW_Data!Q365),IFERROR(TIMEVALUE(DaqBook_RAW_Data!A365),""))</f>
        <v/>
      </c>
      <c r="C375" s="167" t="str">
        <v/>
      </c>
      <c r="D375" s="167" t="str">
        <v/>
      </c>
      <c r="E375" s="167" t="str">
        <v/>
      </c>
      <c r="F375" s="167" t="str">
        <v/>
      </c>
      <c r="G375" s="167" t="str">
        <v/>
      </c>
      <c r="H375" s="167" t="str">
        <v/>
      </c>
      <c r="I375" s="167" t="str">
        <v/>
      </c>
      <c r="J375" s="167" t="str">
        <v/>
      </c>
      <c r="K375" s="167" t="str">
        <v/>
      </c>
      <c r="L375" s="167" t="str">
        <v/>
      </c>
      <c r="M375" s="167" t="str">
        <v/>
      </c>
      <c r="N375" s="167" t="str">
        <v/>
      </c>
      <c r="O375" s="167" t="str">
        <v/>
      </c>
      <c r="P375" s="167" t="str">
        <v/>
      </c>
    </row>
    <row r="376" spans="1:16" x14ac:dyDescent="0.2">
      <c r="A376" s="58" t="str">
        <v/>
      </c>
      <c r="B376" s="144" t="str">
        <f>IFERROR(TIMEVALUE(DaqBook_RAW_Data!Q366),IFERROR(TIMEVALUE(DaqBook_RAW_Data!A366),""))</f>
        <v/>
      </c>
      <c r="C376" s="167" t="str">
        <v/>
      </c>
      <c r="D376" s="167" t="str">
        <v/>
      </c>
      <c r="E376" s="167" t="str">
        <v/>
      </c>
      <c r="F376" s="167" t="str">
        <v/>
      </c>
      <c r="G376" s="167" t="str">
        <v/>
      </c>
      <c r="H376" s="167" t="str">
        <v/>
      </c>
      <c r="I376" s="167" t="str">
        <v/>
      </c>
      <c r="J376" s="167" t="str">
        <v/>
      </c>
      <c r="K376" s="167" t="str">
        <v/>
      </c>
      <c r="L376" s="167" t="str">
        <v/>
      </c>
      <c r="M376" s="167" t="str">
        <v/>
      </c>
      <c r="N376" s="167" t="str">
        <v/>
      </c>
      <c r="O376" s="167" t="str">
        <v/>
      </c>
      <c r="P376" s="167" t="str">
        <v/>
      </c>
    </row>
    <row r="377" spans="1:16" x14ac:dyDescent="0.2">
      <c r="A377" s="58" t="str">
        <v/>
      </c>
      <c r="B377" s="144" t="str">
        <f>IFERROR(TIMEVALUE(DaqBook_RAW_Data!Q367),IFERROR(TIMEVALUE(DaqBook_RAW_Data!A367),""))</f>
        <v/>
      </c>
      <c r="C377" s="167" t="str">
        <v/>
      </c>
      <c r="D377" s="167" t="str">
        <v/>
      </c>
      <c r="E377" s="167" t="str">
        <v/>
      </c>
      <c r="F377" s="167" t="str">
        <v/>
      </c>
      <c r="G377" s="167" t="str">
        <v/>
      </c>
      <c r="H377" s="167" t="str">
        <v/>
      </c>
      <c r="I377" s="167" t="str">
        <v/>
      </c>
      <c r="J377" s="167" t="str">
        <v/>
      </c>
      <c r="K377" s="167" t="str">
        <v/>
      </c>
      <c r="L377" s="167" t="str">
        <v/>
      </c>
      <c r="M377" s="167" t="str">
        <v/>
      </c>
      <c r="N377" s="167" t="str">
        <v/>
      </c>
      <c r="O377" s="167" t="str">
        <v/>
      </c>
      <c r="P377" s="167" t="str">
        <v/>
      </c>
    </row>
    <row r="378" spans="1:16" x14ac:dyDescent="0.2">
      <c r="A378" s="58" t="str">
        <v/>
      </c>
      <c r="B378" s="144" t="str">
        <f>IFERROR(TIMEVALUE(DaqBook_RAW_Data!Q368),IFERROR(TIMEVALUE(DaqBook_RAW_Data!A368),""))</f>
        <v/>
      </c>
      <c r="C378" s="167" t="str">
        <v/>
      </c>
      <c r="D378" s="167" t="str">
        <v/>
      </c>
      <c r="E378" s="167" t="str">
        <v/>
      </c>
      <c r="F378" s="167" t="str">
        <v/>
      </c>
      <c r="G378" s="167" t="str">
        <v/>
      </c>
      <c r="H378" s="167" t="str">
        <v/>
      </c>
      <c r="I378" s="167" t="str">
        <v/>
      </c>
      <c r="J378" s="167" t="str">
        <v/>
      </c>
      <c r="K378" s="167" t="str">
        <v/>
      </c>
      <c r="L378" s="167" t="str">
        <v/>
      </c>
      <c r="M378" s="167" t="str">
        <v/>
      </c>
      <c r="N378" s="167" t="str">
        <v/>
      </c>
      <c r="O378" s="167" t="str">
        <v/>
      </c>
      <c r="P378" s="167" t="str">
        <v/>
      </c>
    </row>
    <row r="379" spans="1:16" x14ac:dyDescent="0.2">
      <c r="A379" s="58" t="str">
        <v/>
      </c>
      <c r="B379" s="144" t="str">
        <f>IFERROR(TIMEVALUE(DaqBook_RAW_Data!Q369),IFERROR(TIMEVALUE(DaqBook_RAW_Data!A369),""))</f>
        <v/>
      </c>
      <c r="C379" s="167" t="str">
        <v/>
      </c>
      <c r="D379" s="167" t="str">
        <v/>
      </c>
      <c r="E379" s="167" t="str">
        <v/>
      </c>
      <c r="F379" s="167" t="str">
        <v/>
      </c>
      <c r="G379" s="167" t="str">
        <v/>
      </c>
      <c r="H379" s="167" t="str">
        <v/>
      </c>
      <c r="I379" s="167" t="str">
        <v/>
      </c>
      <c r="J379" s="167" t="str">
        <v/>
      </c>
      <c r="K379" s="167" t="str">
        <v/>
      </c>
      <c r="L379" s="167" t="str">
        <v/>
      </c>
      <c r="M379" s="167" t="str">
        <v/>
      </c>
      <c r="N379" s="167" t="str">
        <v/>
      </c>
      <c r="O379" s="167" t="str">
        <v/>
      </c>
      <c r="P379" s="167" t="str">
        <v/>
      </c>
    </row>
    <row r="380" spans="1:16" x14ac:dyDescent="0.2">
      <c r="A380" s="58" t="str">
        <v/>
      </c>
      <c r="B380" s="144" t="str">
        <f>IFERROR(TIMEVALUE(DaqBook_RAW_Data!Q370),IFERROR(TIMEVALUE(DaqBook_RAW_Data!A370),""))</f>
        <v/>
      </c>
      <c r="C380" s="167" t="str">
        <v/>
      </c>
      <c r="D380" s="167" t="str">
        <v/>
      </c>
      <c r="E380" s="167" t="str">
        <v/>
      </c>
      <c r="F380" s="167" t="str">
        <v/>
      </c>
      <c r="G380" s="167" t="str">
        <v/>
      </c>
      <c r="H380" s="167" t="str">
        <v/>
      </c>
      <c r="I380" s="167" t="str">
        <v/>
      </c>
      <c r="J380" s="167" t="str">
        <v/>
      </c>
      <c r="K380" s="167" t="str">
        <v/>
      </c>
      <c r="L380" s="167" t="str">
        <v/>
      </c>
      <c r="M380" s="167" t="str">
        <v/>
      </c>
      <c r="N380" s="167" t="str">
        <v/>
      </c>
      <c r="O380" s="167" t="str">
        <v/>
      </c>
      <c r="P380" s="167" t="str">
        <v/>
      </c>
    </row>
    <row r="381" spans="1:16" x14ac:dyDescent="0.2">
      <c r="A381" s="58" t="str">
        <v/>
      </c>
      <c r="B381" s="144" t="str">
        <f>IFERROR(TIMEVALUE(DaqBook_RAW_Data!Q371),IFERROR(TIMEVALUE(DaqBook_RAW_Data!A371),""))</f>
        <v/>
      </c>
      <c r="C381" s="167" t="str">
        <v/>
      </c>
      <c r="D381" s="167" t="str">
        <v/>
      </c>
      <c r="E381" s="167" t="str">
        <v/>
      </c>
      <c r="F381" s="167" t="str">
        <v/>
      </c>
      <c r="G381" s="167" t="str">
        <v/>
      </c>
      <c r="H381" s="167" t="str">
        <v/>
      </c>
      <c r="I381" s="167" t="str">
        <v/>
      </c>
      <c r="J381" s="167" t="str">
        <v/>
      </c>
      <c r="K381" s="167" t="str">
        <v/>
      </c>
      <c r="L381" s="167" t="str">
        <v/>
      </c>
      <c r="M381" s="167" t="str">
        <v/>
      </c>
      <c r="N381" s="167" t="str">
        <v/>
      </c>
      <c r="O381" s="167" t="str">
        <v/>
      </c>
      <c r="P381" s="167" t="str">
        <v/>
      </c>
    </row>
    <row r="382" spans="1:16" x14ac:dyDescent="0.2">
      <c r="A382" s="58" t="str">
        <v/>
      </c>
      <c r="B382" s="144" t="str">
        <f>IFERROR(TIMEVALUE(DaqBook_RAW_Data!Q372),IFERROR(TIMEVALUE(DaqBook_RAW_Data!A372),""))</f>
        <v/>
      </c>
      <c r="C382" s="167" t="str">
        <v/>
      </c>
      <c r="D382" s="167" t="str">
        <v/>
      </c>
      <c r="E382" s="167" t="str">
        <v/>
      </c>
      <c r="F382" s="167" t="str">
        <v/>
      </c>
      <c r="G382" s="167" t="str">
        <v/>
      </c>
      <c r="H382" s="167" t="str">
        <v/>
      </c>
      <c r="I382" s="167" t="str">
        <v/>
      </c>
      <c r="J382" s="167" t="str">
        <v/>
      </c>
      <c r="K382" s="167" t="str">
        <v/>
      </c>
      <c r="L382" s="167" t="str">
        <v/>
      </c>
      <c r="M382" s="167" t="str">
        <v/>
      </c>
      <c r="N382" s="167" t="str">
        <v/>
      </c>
      <c r="O382" s="167" t="str">
        <v/>
      </c>
      <c r="P382" s="167" t="str">
        <v/>
      </c>
    </row>
    <row r="383" spans="1:16" x14ac:dyDescent="0.2">
      <c r="A383" s="58" t="str">
        <v/>
      </c>
      <c r="B383" s="144" t="str">
        <f>IFERROR(TIMEVALUE(DaqBook_RAW_Data!Q373),IFERROR(TIMEVALUE(DaqBook_RAW_Data!A373),""))</f>
        <v/>
      </c>
      <c r="C383" s="167" t="str">
        <v/>
      </c>
      <c r="D383" s="167" t="str">
        <v/>
      </c>
      <c r="E383" s="167" t="str">
        <v/>
      </c>
      <c r="F383" s="167" t="str">
        <v/>
      </c>
      <c r="G383" s="167" t="str">
        <v/>
      </c>
      <c r="H383" s="167" t="str">
        <v/>
      </c>
      <c r="I383" s="167" t="str">
        <v/>
      </c>
      <c r="J383" s="167" t="str">
        <v/>
      </c>
      <c r="K383" s="167" t="str">
        <v/>
      </c>
      <c r="L383" s="167" t="str">
        <v/>
      </c>
      <c r="M383" s="167" t="str">
        <v/>
      </c>
      <c r="N383" s="167" t="str">
        <v/>
      </c>
      <c r="O383" s="167" t="str">
        <v/>
      </c>
      <c r="P383" s="167" t="str">
        <v/>
      </c>
    </row>
    <row r="384" spans="1:16" x14ac:dyDescent="0.2">
      <c r="A384" s="58" t="str">
        <v/>
      </c>
      <c r="B384" s="144" t="str">
        <f>IFERROR(TIMEVALUE(DaqBook_RAW_Data!Q374),IFERROR(TIMEVALUE(DaqBook_RAW_Data!A374),""))</f>
        <v/>
      </c>
      <c r="C384" s="167" t="str">
        <v/>
      </c>
      <c r="D384" s="167" t="str">
        <v/>
      </c>
      <c r="E384" s="167" t="str">
        <v/>
      </c>
      <c r="F384" s="167" t="str">
        <v/>
      </c>
      <c r="G384" s="167" t="str">
        <v/>
      </c>
      <c r="H384" s="167" t="str">
        <v/>
      </c>
      <c r="I384" s="167" t="str">
        <v/>
      </c>
      <c r="J384" s="167" t="str">
        <v/>
      </c>
      <c r="K384" s="167" t="str">
        <v/>
      </c>
      <c r="L384" s="167" t="str">
        <v/>
      </c>
      <c r="M384" s="167" t="str">
        <v/>
      </c>
      <c r="N384" s="167" t="str">
        <v/>
      </c>
      <c r="O384" s="167" t="str">
        <v/>
      </c>
      <c r="P384" s="167" t="str">
        <v/>
      </c>
    </row>
    <row r="385" spans="1:16" x14ac:dyDescent="0.2">
      <c r="A385" s="58" t="str">
        <v/>
      </c>
      <c r="B385" s="144" t="str">
        <f>IFERROR(TIMEVALUE(DaqBook_RAW_Data!Q375),IFERROR(TIMEVALUE(DaqBook_RAW_Data!A375),""))</f>
        <v/>
      </c>
      <c r="C385" s="167" t="str">
        <v/>
      </c>
      <c r="D385" s="167" t="str">
        <v/>
      </c>
      <c r="E385" s="167" t="str">
        <v/>
      </c>
      <c r="F385" s="167" t="str">
        <v/>
      </c>
      <c r="G385" s="167" t="str">
        <v/>
      </c>
      <c r="H385" s="167" t="str">
        <v/>
      </c>
      <c r="I385" s="167" t="str">
        <v/>
      </c>
      <c r="J385" s="167" t="str">
        <v/>
      </c>
      <c r="K385" s="167" t="str">
        <v/>
      </c>
      <c r="L385" s="167" t="str">
        <v/>
      </c>
      <c r="M385" s="167" t="str">
        <v/>
      </c>
      <c r="N385" s="167" t="str">
        <v/>
      </c>
      <c r="O385" s="167" t="str">
        <v/>
      </c>
      <c r="P385" s="167" t="str">
        <v/>
      </c>
    </row>
    <row r="386" spans="1:16" x14ac:dyDescent="0.2">
      <c r="A386" s="58" t="str">
        <v/>
      </c>
      <c r="B386" s="144" t="str">
        <f>IFERROR(TIMEVALUE(DaqBook_RAW_Data!Q376),IFERROR(TIMEVALUE(DaqBook_RAW_Data!A376),""))</f>
        <v/>
      </c>
      <c r="C386" s="167" t="str">
        <v/>
      </c>
      <c r="D386" s="167" t="str">
        <v/>
      </c>
      <c r="E386" s="167" t="str">
        <v/>
      </c>
      <c r="F386" s="167" t="str">
        <v/>
      </c>
      <c r="G386" s="167" t="str">
        <v/>
      </c>
      <c r="H386" s="167" t="str">
        <v/>
      </c>
      <c r="I386" s="167" t="str">
        <v/>
      </c>
      <c r="J386" s="167" t="str">
        <v/>
      </c>
      <c r="K386" s="167" t="str">
        <v/>
      </c>
      <c r="L386" s="167" t="str">
        <v/>
      </c>
      <c r="M386" s="167" t="str">
        <v/>
      </c>
      <c r="N386" s="167" t="str">
        <v/>
      </c>
      <c r="O386" s="167" t="str">
        <v/>
      </c>
      <c r="P386" s="167" t="str">
        <v/>
      </c>
    </row>
    <row r="387" spans="1:16" x14ac:dyDescent="0.2">
      <c r="A387" s="58" t="str">
        <v/>
      </c>
      <c r="B387" s="144" t="str">
        <f>IFERROR(TIMEVALUE(DaqBook_RAW_Data!Q377),IFERROR(TIMEVALUE(DaqBook_RAW_Data!A377),""))</f>
        <v/>
      </c>
      <c r="C387" s="167" t="str">
        <v/>
      </c>
      <c r="D387" s="167" t="str">
        <v/>
      </c>
      <c r="E387" s="167" t="str">
        <v/>
      </c>
      <c r="F387" s="167" t="str">
        <v/>
      </c>
      <c r="G387" s="167" t="str">
        <v/>
      </c>
      <c r="H387" s="167" t="str">
        <v/>
      </c>
      <c r="I387" s="167" t="str">
        <v/>
      </c>
      <c r="J387" s="167" t="str">
        <v/>
      </c>
      <c r="K387" s="167" t="str">
        <v/>
      </c>
      <c r="L387" s="167" t="str">
        <v/>
      </c>
      <c r="M387" s="167" t="str">
        <v/>
      </c>
      <c r="N387" s="167" t="str">
        <v/>
      </c>
      <c r="O387" s="167" t="str">
        <v/>
      </c>
      <c r="P387" s="167" t="str">
        <v/>
      </c>
    </row>
    <row r="388" spans="1:16" x14ac:dyDescent="0.2">
      <c r="A388" s="58" t="str">
        <v/>
      </c>
      <c r="B388" s="144" t="str">
        <f>IFERROR(TIMEVALUE(DaqBook_RAW_Data!Q378),IFERROR(TIMEVALUE(DaqBook_RAW_Data!A378),""))</f>
        <v/>
      </c>
      <c r="C388" s="167" t="str">
        <v/>
      </c>
      <c r="D388" s="167" t="str">
        <v/>
      </c>
      <c r="E388" s="167" t="str">
        <v/>
      </c>
      <c r="F388" s="167" t="str">
        <v/>
      </c>
      <c r="G388" s="167" t="str">
        <v/>
      </c>
      <c r="H388" s="167" t="str">
        <v/>
      </c>
      <c r="I388" s="167" t="str">
        <v/>
      </c>
      <c r="J388" s="167" t="str">
        <v/>
      </c>
      <c r="K388" s="167" t="str">
        <v/>
      </c>
      <c r="L388" s="167" t="str">
        <v/>
      </c>
      <c r="M388" s="167" t="str">
        <v/>
      </c>
      <c r="N388" s="167" t="str">
        <v/>
      </c>
      <c r="O388" s="167" t="str">
        <v/>
      </c>
      <c r="P388" s="167" t="str">
        <v/>
      </c>
    </row>
    <row r="389" spans="1:16" x14ac:dyDescent="0.2">
      <c r="A389" s="58" t="str">
        <v/>
      </c>
      <c r="B389" s="144" t="str">
        <f>IFERROR(TIMEVALUE(DaqBook_RAW_Data!Q379),IFERROR(TIMEVALUE(DaqBook_RAW_Data!A379),""))</f>
        <v/>
      </c>
      <c r="C389" s="167" t="str">
        <v/>
      </c>
      <c r="D389" s="167" t="str">
        <v/>
      </c>
      <c r="E389" s="167" t="str">
        <v/>
      </c>
      <c r="F389" s="167" t="str">
        <v/>
      </c>
      <c r="G389" s="167" t="str">
        <v/>
      </c>
      <c r="H389" s="167" t="str">
        <v/>
      </c>
      <c r="I389" s="167" t="str">
        <v/>
      </c>
      <c r="J389" s="167" t="str">
        <v/>
      </c>
      <c r="K389" s="167" t="str">
        <v/>
      </c>
      <c r="L389" s="167" t="str">
        <v/>
      </c>
      <c r="M389" s="167" t="str">
        <v/>
      </c>
      <c r="N389" s="167" t="str">
        <v/>
      </c>
      <c r="O389" s="167" t="str">
        <v/>
      </c>
      <c r="P389" s="167" t="str">
        <v/>
      </c>
    </row>
    <row r="390" spans="1:16" x14ac:dyDescent="0.2">
      <c r="A390" s="58" t="str">
        <v/>
      </c>
      <c r="B390" s="144" t="str">
        <f>IFERROR(TIMEVALUE(DaqBook_RAW_Data!Q380),IFERROR(TIMEVALUE(DaqBook_RAW_Data!A380),""))</f>
        <v/>
      </c>
      <c r="C390" s="167" t="str">
        <v/>
      </c>
      <c r="D390" s="167" t="str">
        <v/>
      </c>
      <c r="E390" s="167" t="str">
        <v/>
      </c>
      <c r="F390" s="167" t="str">
        <v/>
      </c>
      <c r="G390" s="167" t="str">
        <v/>
      </c>
      <c r="H390" s="167" t="str">
        <v/>
      </c>
      <c r="I390" s="167" t="str">
        <v/>
      </c>
      <c r="J390" s="167" t="str">
        <v/>
      </c>
      <c r="K390" s="167" t="str">
        <v/>
      </c>
      <c r="L390" s="167" t="str">
        <v/>
      </c>
      <c r="M390" s="167" t="str">
        <v/>
      </c>
      <c r="N390" s="167" t="str">
        <v/>
      </c>
      <c r="O390" s="167" t="str">
        <v/>
      </c>
      <c r="P390" s="167" t="str">
        <v/>
      </c>
    </row>
    <row r="391" spans="1:16" x14ac:dyDescent="0.2">
      <c r="A391" s="58" t="str">
        <v/>
      </c>
      <c r="B391" s="144" t="str">
        <f>IFERROR(TIMEVALUE(DaqBook_RAW_Data!Q381),IFERROR(TIMEVALUE(DaqBook_RAW_Data!A381),""))</f>
        <v/>
      </c>
      <c r="C391" s="167" t="str">
        <v/>
      </c>
      <c r="D391" s="167" t="str">
        <v/>
      </c>
      <c r="E391" s="167" t="str">
        <v/>
      </c>
      <c r="F391" s="167" t="str">
        <v/>
      </c>
      <c r="G391" s="167" t="str">
        <v/>
      </c>
      <c r="H391" s="167" t="str">
        <v/>
      </c>
      <c r="I391" s="167" t="str">
        <v/>
      </c>
      <c r="J391" s="167" t="str">
        <v/>
      </c>
      <c r="K391" s="167" t="str">
        <v/>
      </c>
      <c r="L391" s="167" t="str">
        <v/>
      </c>
      <c r="M391" s="167" t="str">
        <v/>
      </c>
      <c r="N391" s="167" t="str">
        <v/>
      </c>
      <c r="O391" s="167" t="str">
        <v/>
      </c>
      <c r="P391" s="167" t="str">
        <v/>
      </c>
    </row>
    <row r="392" spans="1:16" x14ac:dyDescent="0.2">
      <c r="A392" s="58" t="str">
        <v/>
      </c>
      <c r="B392" s="144" t="str">
        <f>IFERROR(TIMEVALUE(DaqBook_RAW_Data!Q382),IFERROR(TIMEVALUE(DaqBook_RAW_Data!A382),""))</f>
        <v/>
      </c>
      <c r="C392" s="167" t="str">
        <v/>
      </c>
      <c r="D392" s="167" t="str">
        <v/>
      </c>
      <c r="E392" s="167" t="str">
        <v/>
      </c>
      <c r="F392" s="167" t="str">
        <v/>
      </c>
      <c r="G392" s="167" t="str">
        <v/>
      </c>
      <c r="H392" s="167" t="str">
        <v/>
      </c>
      <c r="I392" s="167" t="str">
        <v/>
      </c>
      <c r="J392" s="167" t="str">
        <v/>
      </c>
      <c r="K392" s="167" t="str">
        <v/>
      </c>
      <c r="L392" s="167" t="str">
        <v/>
      </c>
      <c r="M392" s="167" t="str">
        <v/>
      </c>
      <c r="N392" s="167" t="str">
        <v/>
      </c>
      <c r="O392" s="167" t="str">
        <v/>
      </c>
      <c r="P392" s="167" t="str">
        <v/>
      </c>
    </row>
    <row r="393" spans="1:16" x14ac:dyDescent="0.2">
      <c r="A393" s="58" t="str">
        <v/>
      </c>
      <c r="B393" s="144" t="str">
        <f>IFERROR(TIMEVALUE(DaqBook_RAW_Data!Q383),IFERROR(TIMEVALUE(DaqBook_RAW_Data!A383),""))</f>
        <v/>
      </c>
      <c r="C393" s="167" t="str">
        <v/>
      </c>
      <c r="D393" s="167" t="str">
        <v/>
      </c>
      <c r="E393" s="167" t="str">
        <v/>
      </c>
      <c r="F393" s="167" t="str">
        <v/>
      </c>
      <c r="G393" s="167" t="str">
        <v/>
      </c>
      <c r="H393" s="167" t="str">
        <v/>
      </c>
      <c r="I393" s="167" t="str">
        <v/>
      </c>
      <c r="J393" s="167" t="str">
        <v/>
      </c>
      <c r="K393" s="167" t="str">
        <v/>
      </c>
      <c r="L393" s="167" t="str">
        <v/>
      </c>
      <c r="M393" s="167" t="str">
        <v/>
      </c>
      <c r="N393" s="167" t="str">
        <v/>
      </c>
      <c r="O393" s="167" t="str">
        <v/>
      </c>
      <c r="P393" s="167" t="str">
        <v/>
      </c>
    </row>
    <row r="394" spans="1:16" x14ac:dyDescent="0.2">
      <c r="A394" s="58" t="str">
        <v/>
      </c>
      <c r="B394" s="144" t="str">
        <f>IFERROR(TIMEVALUE(DaqBook_RAW_Data!Q384),IFERROR(TIMEVALUE(DaqBook_RAW_Data!A384),""))</f>
        <v/>
      </c>
      <c r="C394" s="167" t="str">
        <v/>
      </c>
      <c r="D394" s="167" t="str">
        <v/>
      </c>
      <c r="E394" s="167" t="str">
        <v/>
      </c>
      <c r="F394" s="167" t="str">
        <v/>
      </c>
      <c r="G394" s="167" t="str">
        <v/>
      </c>
      <c r="H394" s="167" t="str">
        <v/>
      </c>
      <c r="I394" s="167" t="str">
        <v/>
      </c>
      <c r="J394" s="167" t="str">
        <v/>
      </c>
      <c r="K394" s="167" t="str">
        <v/>
      </c>
      <c r="L394" s="167" t="str">
        <v/>
      </c>
      <c r="M394" s="167" t="str">
        <v/>
      </c>
      <c r="N394" s="167" t="str">
        <v/>
      </c>
      <c r="O394" s="167" t="str">
        <v/>
      </c>
      <c r="P394" s="167" t="str">
        <v/>
      </c>
    </row>
    <row r="395" spans="1:16" x14ac:dyDescent="0.2">
      <c r="A395" s="58" t="str">
        <v/>
      </c>
      <c r="B395" s="144" t="str">
        <f>IFERROR(TIMEVALUE(DaqBook_RAW_Data!Q385),IFERROR(TIMEVALUE(DaqBook_RAW_Data!A385),""))</f>
        <v/>
      </c>
      <c r="C395" s="167" t="str">
        <v/>
      </c>
      <c r="D395" s="167" t="str">
        <v/>
      </c>
      <c r="E395" s="167" t="str">
        <v/>
      </c>
      <c r="F395" s="167" t="str">
        <v/>
      </c>
      <c r="G395" s="167" t="str">
        <v/>
      </c>
      <c r="H395" s="167" t="str">
        <v/>
      </c>
      <c r="I395" s="167" t="str">
        <v/>
      </c>
      <c r="J395" s="167" t="str">
        <v/>
      </c>
      <c r="K395" s="167" t="str">
        <v/>
      </c>
      <c r="L395" s="167" t="str">
        <v/>
      </c>
      <c r="M395" s="167" t="str">
        <v/>
      </c>
      <c r="N395" s="167" t="str">
        <v/>
      </c>
      <c r="O395" s="167" t="str">
        <v/>
      </c>
      <c r="P395" s="167" t="str">
        <v/>
      </c>
    </row>
    <row r="396" spans="1:16" x14ac:dyDescent="0.2">
      <c r="A396" s="58" t="str">
        <v/>
      </c>
      <c r="B396" s="144" t="str">
        <f>IFERROR(TIMEVALUE(DaqBook_RAW_Data!Q386),IFERROR(TIMEVALUE(DaqBook_RAW_Data!A386),""))</f>
        <v/>
      </c>
      <c r="C396" s="167" t="str">
        <v/>
      </c>
      <c r="D396" s="167" t="str">
        <v/>
      </c>
      <c r="E396" s="167" t="str">
        <v/>
      </c>
      <c r="F396" s="167" t="str">
        <v/>
      </c>
      <c r="G396" s="167" t="str">
        <v/>
      </c>
      <c r="H396" s="167" t="str">
        <v/>
      </c>
      <c r="I396" s="167" t="str">
        <v/>
      </c>
      <c r="J396" s="167" t="str">
        <v/>
      </c>
      <c r="K396" s="167" t="str">
        <v/>
      </c>
      <c r="L396" s="167" t="str">
        <v/>
      </c>
      <c r="M396" s="167" t="str">
        <v/>
      </c>
      <c r="N396" s="167" t="str">
        <v/>
      </c>
      <c r="O396" s="167" t="str">
        <v/>
      </c>
      <c r="P396" s="167" t="str">
        <v/>
      </c>
    </row>
    <row r="397" spans="1:16" x14ac:dyDescent="0.2">
      <c r="A397" s="58" t="str">
        <v/>
      </c>
      <c r="B397" s="144" t="str">
        <f>IFERROR(TIMEVALUE(DaqBook_RAW_Data!Q387),IFERROR(TIMEVALUE(DaqBook_RAW_Data!A387),""))</f>
        <v/>
      </c>
      <c r="C397" s="167" t="str">
        <v/>
      </c>
      <c r="D397" s="167" t="str">
        <v/>
      </c>
      <c r="E397" s="167" t="str">
        <v/>
      </c>
      <c r="F397" s="167" t="str">
        <v/>
      </c>
      <c r="G397" s="167" t="str">
        <v/>
      </c>
      <c r="H397" s="167" t="str">
        <v/>
      </c>
      <c r="I397" s="167" t="str">
        <v/>
      </c>
      <c r="J397" s="167" t="str">
        <v/>
      </c>
      <c r="K397" s="167" t="str">
        <v/>
      </c>
      <c r="L397" s="167" t="str">
        <v/>
      </c>
      <c r="M397" s="167" t="str">
        <v/>
      </c>
      <c r="N397" s="167" t="str">
        <v/>
      </c>
      <c r="O397" s="167" t="str">
        <v/>
      </c>
      <c r="P397" s="167" t="str">
        <v/>
      </c>
    </row>
    <row r="398" spans="1:16" x14ac:dyDescent="0.2">
      <c r="A398" s="58" t="str">
        <v/>
      </c>
      <c r="B398" s="144" t="str">
        <f>IFERROR(TIMEVALUE(DaqBook_RAW_Data!Q388),IFERROR(TIMEVALUE(DaqBook_RAW_Data!A388),""))</f>
        <v/>
      </c>
      <c r="C398" s="167" t="str">
        <v/>
      </c>
      <c r="D398" s="167" t="str">
        <v/>
      </c>
      <c r="E398" s="167" t="str">
        <v/>
      </c>
      <c r="F398" s="167" t="str">
        <v/>
      </c>
      <c r="G398" s="167" t="str">
        <v/>
      </c>
      <c r="H398" s="167" t="str">
        <v/>
      </c>
      <c r="I398" s="167" t="str">
        <v/>
      </c>
      <c r="J398" s="167" t="str">
        <v/>
      </c>
      <c r="K398" s="167" t="str">
        <v/>
      </c>
      <c r="L398" s="167" t="str">
        <v/>
      </c>
      <c r="M398" s="167" t="str">
        <v/>
      </c>
      <c r="N398" s="167" t="str">
        <v/>
      </c>
      <c r="O398" s="167" t="str">
        <v/>
      </c>
      <c r="P398" s="167" t="str">
        <v/>
      </c>
    </row>
    <row r="399" spans="1:16" x14ac:dyDescent="0.2">
      <c r="A399" s="58" t="str">
        <v/>
      </c>
      <c r="B399" s="144" t="str">
        <f>IFERROR(TIMEVALUE(DaqBook_RAW_Data!Q389),IFERROR(TIMEVALUE(DaqBook_RAW_Data!A389),""))</f>
        <v/>
      </c>
      <c r="C399" s="167" t="str">
        <v/>
      </c>
      <c r="D399" s="167" t="str">
        <v/>
      </c>
      <c r="E399" s="167" t="str">
        <v/>
      </c>
      <c r="F399" s="167" t="str">
        <v/>
      </c>
      <c r="G399" s="167" t="str">
        <v/>
      </c>
      <c r="H399" s="167" t="str">
        <v/>
      </c>
      <c r="I399" s="167" t="str">
        <v/>
      </c>
      <c r="J399" s="167" t="str">
        <v/>
      </c>
      <c r="K399" s="167" t="str">
        <v/>
      </c>
      <c r="L399" s="167" t="str">
        <v/>
      </c>
      <c r="M399" s="167" t="str">
        <v/>
      </c>
      <c r="N399" s="167" t="str">
        <v/>
      </c>
      <c r="O399" s="167" t="str">
        <v/>
      </c>
      <c r="P399" s="167" t="str">
        <v/>
      </c>
    </row>
    <row r="400" spans="1:16" x14ac:dyDescent="0.2">
      <c r="A400" s="58" t="str">
        <v/>
      </c>
      <c r="B400" s="144" t="str">
        <f>IFERROR(TIMEVALUE(DaqBook_RAW_Data!Q390),IFERROR(TIMEVALUE(DaqBook_RAW_Data!A390),""))</f>
        <v/>
      </c>
      <c r="C400" s="167" t="str">
        <v/>
      </c>
      <c r="D400" s="167" t="str">
        <v/>
      </c>
      <c r="E400" s="167" t="str">
        <v/>
      </c>
      <c r="F400" s="167" t="str">
        <v/>
      </c>
      <c r="G400" s="167" t="str">
        <v/>
      </c>
      <c r="H400" s="167" t="str">
        <v/>
      </c>
      <c r="I400" s="167" t="str">
        <v/>
      </c>
      <c r="J400" s="167" t="str">
        <v/>
      </c>
      <c r="K400" s="167" t="str">
        <v/>
      </c>
      <c r="L400" s="167" t="str">
        <v/>
      </c>
      <c r="M400" s="167" t="str">
        <v/>
      </c>
      <c r="N400" s="167" t="str">
        <v/>
      </c>
      <c r="O400" s="167" t="str">
        <v/>
      </c>
      <c r="P400" s="167" t="str">
        <v/>
      </c>
    </row>
    <row r="401" spans="1:16" x14ac:dyDescent="0.2">
      <c r="A401" s="58" t="str">
        <v/>
      </c>
      <c r="B401" s="144" t="str">
        <f>IFERROR(TIMEVALUE(DaqBook_RAW_Data!Q391),IFERROR(TIMEVALUE(DaqBook_RAW_Data!A391),""))</f>
        <v/>
      </c>
      <c r="C401" s="167" t="str">
        <v/>
      </c>
      <c r="D401" s="167" t="str">
        <v/>
      </c>
      <c r="E401" s="167" t="str">
        <v/>
      </c>
      <c r="F401" s="167" t="str">
        <v/>
      </c>
      <c r="G401" s="167" t="str">
        <v/>
      </c>
      <c r="H401" s="167" t="str">
        <v/>
      </c>
      <c r="I401" s="167" t="str">
        <v/>
      </c>
      <c r="J401" s="167" t="str">
        <v/>
      </c>
      <c r="K401" s="167" t="str">
        <v/>
      </c>
      <c r="L401" s="167" t="str">
        <v/>
      </c>
      <c r="M401" s="167" t="str">
        <v/>
      </c>
      <c r="N401" s="167" t="str">
        <v/>
      </c>
      <c r="O401" s="167" t="str">
        <v/>
      </c>
      <c r="P401" s="167" t="str">
        <v/>
      </c>
    </row>
    <row r="402" spans="1:16" x14ac:dyDescent="0.2">
      <c r="A402" s="58" t="str">
        <v/>
      </c>
      <c r="B402" s="144" t="str">
        <f>IFERROR(TIMEVALUE(DaqBook_RAW_Data!Q392),IFERROR(TIMEVALUE(DaqBook_RAW_Data!A392),""))</f>
        <v/>
      </c>
      <c r="C402" s="167" t="str">
        <v/>
      </c>
      <c r="D402" s="167" t="str">
        <v/>
      </c>
      <c r="E402" s="167" t="str">
        <v/>
      </c>
      <c r="F402" s="167" t="str">
        <v/>
      </c>
      <c r="G402" s="167" t="str">
        <v/>
      </c>
      <c r="H402" s="167" t="str">
        <v/>
      </c>
      <c r="I402" s="167" t="str">
        <v/>
      </c>
      <c r="J402" s="167" t="str">
        <v/>
      </c>
      <c r="K402" s="167" t="str">
        <v/>
      </c>
      <c r="L402" s="167" t="str">
        <v/>
      </c>
      <c r="M402" s="167" t="str">
        <v/>
      </c>
      <c r="N402" s="167" t="str">
        <v/>
      </c>
      <c r="O402" s="167" t="str">
        <v/>
      </c>
      <c r="P402" s="167" t="str">
        <v/>
      </c>
    </row>
    <row r="403" spans="1:16" x14ac:dyDescent="0.2">
      <c r="A403" s="58" t="str">
        <v/>
      </c>
      <c r="B403" s="144" t="str">
        <f>IFERROR(TIMEVALUE(DaqBook_RAW_Data!Q393),IFERROR(TIMEVALUE(DaqBook_RAW_Data!A393),""))</f>
        <v/>
      </c>
      <c r="C403" s="167" t="str">
        <v/>
      </c>
      <c r="D403" s="167" t="str">
        <v/>
      </c>
      <c r="E403" s="167" t="str">
        <v/>
      </c>
      <c r="F403" s="167" t="str">
        <v/>
      </c>
      <c r="G403" s="167" t="str">
        <v/>
      </c>
      <c r="H403" s="167" t="str">
        <v/>
      </c>
      <c r="I403" s="167" t="str">
        <v/>
      </c>
      <c r="J403" s="167" t="str">
        <v/>
      </c>
      <c r="K403" s="167" t="str">
        <v/>
      </c>
      <c r="L403" s="167" t="str">
        <v/>
      </c>
      <c r="M403" s="167" t="str">
        <v/>
      </c>
      <c r="N403" s="167" t="str">
        <v/>
      </c>
      <c r="O403" s="167" t="str">
        <v/>
      </c>
      <c r="P403" s="167" t="str">
        <v/>
      </c>
    </row>
    <row r="404" spans="1:16" x14ac:dyDescent="0.2">
      <c r="A404" s="58" t="str">
        <v/>
      </c>
      <c r="B404" s="144" t="str">
        <f>IFERROR(TIMEVALUE(DaqBook_RAW_Data!Q394),IFERROR(TIMEVALUE(DaqBook_RAW_Data!A394),""))</f>
        <v/>
      </c>
      <c r="C404" s="167" t="str">
        <v/>
      </c>
      <c r="D404" s="167" t="str">
        <v/>
      </c>
      <c r="E404" s="167" t="str">
        <v/>
      </c>
      <c r="F404" s="167" t="str">
        <v/>
      </c>
      <c r="G404" s="167" t="str">
        <v/>
      </c>
      <c r="H404" s="167" t="str">
        <v/>
      </c>
      <c r="I404" s="167" t="str">
        <v/>
      </c>
      <c r="J404" s="167" t="str">
        <v/>
      </c>
      <c r="K404" s="167" t="str">
        <v/>
      </c>
      <c r="L404" s="167" t="str">
        <v/>
      </c>
      <c r="M404" s="167" t="str">
        <v/>
      </c>
      <c r="N404" s="167" t="str">
        <v/>
      </c>
      <c r="O404" s="167" t="str">
        <v/>
      </c>
      <c r="P404" s="167" t="str">
        <v/>
      </c>
    </row>
    <row r="405" spans="1:16" x14ac:dyDescent="0.2">
      <c r="A405" s="58" t="str">
        <v/>
      </c>
      <c r="B405" s="144" t="str">
        <f>IFERROR(TIMEVALUE(DaqBook_RAW_Data!Q395),IFERROR(TIMEVALUE(DaqBook_RAW_Data!A395),""))</f>
        <v/>
      </c>
      <c r="C405" s="167" t="str">
        <v/>
      </c>
      <c r="D405" s="167" t="str">
        <v/>
      </c>
      <c r="E405" s="167" t="str">
        <v/>
      </c>
      <c r="F405" s="167" t="str">
        <v/>
      </c>
      <c r="G405" s="167" t="str">
        <v/>
      </c>
      <c r="H405" s="167" t="str">
        <v/>
      </c>
      <c r="I405" s="167" t="str">
        <v/>
      </c>
      <c r="J405" s="167" t="str">
        <v/>
      </c>
      <c r="K405" s="167" t="str">
        <v/>
      </c>
      <c r="L405" s="167" t="str">
        <v/>
      </c>
      <c r="M405" s="167" t="str">
        <v/>
      </c>
      <c r="N405" s="167" t="str">
        <v/>
      </c>
      <c r="O405" s="167" t="str">
        <v/>
      </c>
      <c r="P405" s="167" t="str">
        <v/>
      </c>
    </row>
    <row r="406" spans="1:16" x14ac:dyDescent="0.2">
      <c r="A406" s="58" t="str">
        <v/>
      </c>
      <c r="B406" s="144" t="str">
        <f>IFERROR(TIMEVALUE(DaqBook_RAW_Data!Q396),IFERROR(TIMEVALUE(DaqBook_RAW_Data!A396),""))</f>
        <v/>
      </c>
      <c r="C406" s="167" t="str">
        <v/>
      </c>
      <c r="D406" s="167" t="str">
        <v/>
      </c>
      <c r="E406" s="167" t="str">
        <v/>
      </c>
      <c r="F406" s="167" t="str">
        <v/>
      </c>
      <c r="G406" s="167" t="str">
        <v/>
      </c>
      <c r="H406" s="167" t="str">
        <v/>
      </c>
      <c r="I406" s="167" t="str">
        <v/>
      </c>
      <c r="J406" s="167" t="str">
        <v/>
      </c>
      <c r="K406" s="167" t="str">
        <v/>
      </c>
      <c r="L406" s="167" t="str">
        <v/>
      </c>
      <c r="M406" s="167" t="str">
        <v/>
      </c>
      <c r="N406" s="167" t="str">
        <v/>
      </c>
      <c r="O406" s="167" t="str">
        <v/>
      </c>
      <c r="P406" s="167" t="str">
        <v/>
      </c>
    </row>
    <row r="407" spans="1:16" x14ac:dyDescent="0.2">
      <c r="A407" s="58" t="str">
        <v/>
      </c>
      <c r="B407" s="144" t="str">
        <f>IFERROR(TIMEVALUE(DaqBook_RAW_Data!Q397),IFERROR(TIMEVALUE(DaqBook_RAW_Data!A397),""))</f>
        <v/>
      </c>
      <c r="C407" s="167" t="str">
        <v/>
      </c>
      <c r="D407" s="167" t="str">
        <v/>
      </c>
      <c r="E407" s="167" t="str">
        <v/>
      </c>
      <c r="F407" s="167" t="str">
        <v/>
      </c>
      <c r="G407" s="167" t="str">
        <v/>
      </c>
      <c r="H407" s="167" t="str">
        <v/>
      </c>
      <c r="I407" s="167" t="str">
        <v/>
      </c>
      <c r="J407" s="167" t="str">
        <v/>
      </c>
      <c r="K407" s="167" t="str">
        <v/>
      </c>
      <c r="L407" s="167" t="str">
        <v/>
      </c>
      <c r="M407" s="167" t="str">
        <v/>
      </c>
      <c r="N407" s="167" t="str">
        <v/>
      </c>
      <c r="O407" s="167" t="str">
        <v/>
      </c>
      <c r="P407" s="167" t="str">
        <v/>
      </c>
    </row>
    <row r="408" spans="1:16" x14ac:dyDescent="0.2">
      <c r="A408" s="58" t="str">
        <v/>
      </c>
      <c r="B408" s="144" t="str">
        <f>IFERROR(TIMEVALUE(DaqBook_RAW_Data!Q398),IFERROR(TIMEVALUE(DaqBook_RAW_Data!A398),""))</f>
        <v/>
      </c>
      <c r="C408" s="167" t="str">
        <v/>
      </c>
      <c r="D408" s="167" t="str">
        <v/>
      </c>
      <c r="E408" s="167" t="str">
        <v/>
      </c>
      <c r="F408" s="167" t="str">
        <v/>
      </c>
      <c r="G408" s="167" t="str">
        <v/>
      </c>
      <c r="H408" s="167" t="str">
        <v/>
      </c>
      <c r="I408" s="167" t="str">
        <v/>
      </c>
      <c r="J408" s="167" t="str">
        <v/>
      </c>
      <c r="K408" s="167" t="str">
        <v/>
      </c>
      <c r="L408" s="167" t="str">
        <v/>
      </c>
      <c r="M408" s="167" t="str">
        <v/>
      </c>
      <c r="N408" s="167" t="str">
        <v/>
      </c>
      <c r="O408" s="167" t="str">
        <v/>
      </c>
      <c r="P408" s="167" t="str">
        <v/>
      </c>
    </row>
    <row r="409" spans="1:16" x14ac:dyDescent="0.2">
      <c r="A409" s="58" t="str">
        <v/>
      </c>
      <c r="B409" s="144" t="str">
        <f>IFERROR(TIMEVALUE(DaqBook_RAW_Data!Q399),IFERROR(TIMEVALUE(DaqBook_RAW_Data!A399),""))</f>
        <v/>
      </c>
      <c r="C409" s="167" t="str">
        <v/>
      </c>
      <c r="D409" s="167" t="str">
        <v/>
      </c>
      <c r="E409" s="167" t="str">
        <v/>
      </c>
      <c r="F409" s="167" t="str">
        <v/>
      </c>
      <c r="G409" s="167" t="str">
        <v/>
      </c>
      <c r="H409" s="167" t="str">
        <v/>
      </c>
      <c r="I409" s="167" t="str">
        <v/>
      </c>
      <c r="J409" s="167" t="str">
        <v/>
      </c>
      <c r="K409" s="167" t="str">
        <v/>
      </c>
      <c r="L409" s="167" t="str">
        <v/>
      </c>
      <c r="M409" s="167" t="str">
        <v/>
      </c>
      <c r="N409" s="167" t="str">
        <v/>
      </c>
      <c r="O409" s="167" t="str">
        <v/>
      </c>
      <c r="P409" s="167" t="str">
        <v/>
      </c>
    </row>
    <row r="410" spans="1:16" x14ac:dyDescent="0.2">
      <c r="A410" s="58" t="str">
        <v/>
      </c>
      <c r="B410" s="144" t="str">
        <f>IFERROR(TIMEVALUE(DaqBook_RAW_Data!Q400),IFERROR(TIMEVALUE(DaqBook_RAW_Data!A400),""))</f>
        <v/>
      </c>
      <c r="C410" s="167" t="str">
        <v/>
      </c>
      <c r="D410" s="167" t="str">
        <v/>
      </c>
      <c r="E410" s="167" t="str">
        <v/>
      </c>
      <c r="F410" s="167" t="str">
        <v/>
      </c>
      <c r="G410" s="167" t="str">
        <v/>
      </c>
      <c r="H410" s="167" t="str">
        <v/>
      </c>
      <c r="I410" s="167" t="str">
        <v/>
      </c>
      <c r="J410" s="167" t="str">
        <v/>
      </c>
      <c r="K410" s="167" t="str">
        <v/>
      </c>
      <c r="L410" s="167" t="str">
        <v/>
      </c>
      <c r="M410" s="167" t="str">
        <v/>
      </c>
      <c r="N410" s="167" t="str">
        <v/>
      </c>
      <c r="O410" s="167" t="str">
        <v/>
      </c>
      <c r="P410" s="167" t="str">
        <v/>
      </c>
    </row>
    <row r="411" spans="1:16" x14ac:dyDescent="0.2">
      <c r="A411" s="58" t="str">
        <v/>
      </c>
      <c r="B411" s="144" t="str">
        <f>IFERROR(TIMEVALUE(DaqBook_RAW_Data!Q401),IFERROR(TIMEVALUE(DaqBook_RAW_Data!A401),""))</f>
        <v/>
      </c>
      <c r="C411" s="167" t="str">
        <v/>
      </c>
      <c r="D411" s="167" t="str">
        <v/>
      </c>
      <c r="E411" s="167" t="str">
        <v/>
      </c>
      <c r="F411" s="167" t="str">
        <v/>
      </c>
      <c r="G411" s="167" t="str">
        <v/>
      </c>
      <c r="H411" s="167" t="str">
        <v/>
      </c>
      <c r="I411" s="167" t="str">
        <v/>
      </c>
      <c r="J411" s="167" t="str">
        <v/>
      </c>
      <c r="K411" s="167" t="str">
        <v/>
      </c>
      <c r="L411" s="167" t="str">
        <v/>
      </c>
      <c r="M411" s="167" t="str">
        <v/>
      </c>
      <c r="N411" s="167" t="str">
        <v/>
      </c>
      <c r="O411" s="167" t="str">
        <v/>
      </c>
      <c r="P411" s="167" t="str">
        <v/>
      </c>
    </row>
    <row r="412" spans="1:16" x14ac:dyDescent="0.2">
      <c r="A412" s="58" t="str">
        <v/>
      </c>
      <c r="B412" s="144" t="str">
        <f>IFERROR(TIMEVALUE(DaqBook_RAW_Data!Q402),IFERROR(TIMEVALUE(DaqBook_RAW_Data!A402),""))</f>
        <v/>
      </c>
      <c r="C412" s="167" t="str">
        <v/>
      </c>
      <c r="D412" s="167" t="str">
        <v/>
      </c>
      <c r="E412" s="167" t="str">
        <v/>
      </c>
      <c r="F412" s="167" t="str">
        <v/>
      </c>
      <c r="G412" s="167" t="str">
        <v/>
      </c>
      <c r="H412" s="167" t="str">
        <v/>
      </c>
      <c r="I412" s="167" t="str">
        <v/>
      </c>
      <c r="J412" s="167" t="str">
        <v/>
      </c>
      <c r="K412" s="167" t="str">
        <v/>
      </c>
      <c r="L412" s="167" t="str">
        <v/>
      </c>
      <c r="M412" s="167" t="str">
        <v/>
      </c>
      <c r="N412" s="167" t="str">
        <v/>
      </c>
      <c r="O412" s="167" t="str">
        <v/>
      </c>
      <c r="P412" s="167" t="str">
        <v/>
      </c>
    </row>
    <row r="413" spans="1:16" x14ac:dyDescent="0.2">
      <c r="A413" s="58" t="str">
        <v/>
      </c>
      <c r="B413" s="144" t="str">
        <f>IFERROR(TIMEVALUE(DaqBook_RAW_Data!Q403),IFERROR(TIMEVALUE(DaqBook_RAW_Data!A403),""))</f>
        <v/>
      </c>
      <c r="C413" s="167" t="str">
        <v/>
      </c>
      <c r="D413" s="167" t="str">
        <v/>
      </c>
      <c r="E413" s="167" t="str">
        <v/>
      </c>
      <c r="F413" s="167" t="str">
        <v/>
      </c>
      <c r="G413" s="167" t="str">
        <v/>
      </c>
      <c r="H413" s="167" t="str">
        <v/>
      </c>
      <c r="I413" s="167" t="str">
        <v/>
      </c>
      <c r="J413" s="167" t="str">
        <v/>
      </c>
      <c r="K413" s="167" t="str">
        <v/>
      </c>
      <c r="L413" s="167" t="str">
        <v/>
      </c>
      <c r="M413" s="167" t="str">
        <v/>
      </c>
      <c r="N413" s="167" t="str">
        <v/>
      </c>
      <c r="O413" s="167" t="str">
        <v/>
      </c>
      <c r="P413" s="167" t="str">
        <v/>
      </c>
    </row>
    <row r="414" spans="1:16" x14ac:dyDescent="0.2">
      <c r="A414" s="58" t="str">
        <v/>
      </c>
      <c r="B414" s="144" t="str">
        <f>IFERROR(TIMEVALUE(DaqBook_RAW_Data!Q404),IFERROR(TIMEVALUE(DaqBook_RAW_Data!A404),""))</f>
        <v/>
      </c>
      <c r="C414" s="167" t="str">
        <v/>
      </c>
      <c r="D414" s="167" t="str">
        <v/>
      </c>
      <c r="E414" s="167" t="str">
        <v/>
      </c>
      <c r="F414" s="167" t="str">
        <v/>
      </c>
      <c r="G414" s="167" t="str">
        <v/>
      </c>
      <c r="H414" s="167" t="str">
        <v/>
      </c>
      <c r="I414" s="167" t="str">
        <v/>
      </c>
      <c r="J414" s="167" t="str">
        <v/>
      </c>
      <c r="K414" s="167" t="str">
        <v/>
      </c>
      <c r="L414" s="167" t="str">
        <v/>
      </c>
      <c r="M414" s="167" t="str">
        <v/>
      </c>
      <c r="N414" s="167" t="str">
        <v/>
      </c>
      <c r="O414" s="167" t="str">
        <v/>
      </c>
      <c r="P414" s="167" t="str">
        <v/>
      </c>
    </row>
    <row r="415" spans="1:16" x14ac:dyDescent="0.2">
      <c r="A415" s="58" t="str">
        <v/>
      </c>
      <c r="B415" s="144" t="str">
        <f>IFERROR(TIMEVALUE(DaqBook_RAW_Data!Q405),IFERROR(TIMEVALUE(DaqBook_RAW_Data!A405),""))</f>
        <v/>
      </c>
      <c r="C415" s="167" t="str">
        <v/>
      </c>
      <c r="D415" s="167" t="str">
        <v/>
      </c>
      <c r="E415" s="167" t="str">
        <v/>
      </c>
      <c r="F415" s="167" t="str">
        <v/>
      </c>
      <c r="G415" s="167" t="str">
        <v/>
      </c>
      <c r="H415" s="167" t="str">
        <v/>
      </c>
      <c r="I415" s="167" t="str">
        <v/>
      </c>
      <c r="J415" s="167" t="str">
        <v/>
      </c>
      <c r="K415" s="167" t="str">
        <v/>
      </c>
      <c r="L415" s="167" t="str">
        <v/>
      </c>
      <c r="M415" s="167" t="str">
        <v/>
      </c>
      <c r="N415" s="167" t="str">
        <v/>
      </c>
      <c r="O415" s="167" t="str">
        <v/>
      </c>
      <c r="P415" s="167" t="str">
        <v/>
      </c>
    </row>
    <row r="416" spans="1:16" x14ac:dyDescent="0.2">
      <c r="A416" s="58" t="str">
        <v/>
      </c>
      <c r="B416" s="144" t="str">
        <f>IFERROR(TIMEVALUE(DaqBook_RAW_Data!Q406),IFERROR(TIMEVALUE(DaqBook_RAW_Data!A406),""))</f>
        <v/>
      </c>
      <c r="C416" s="167" t="str">
        <v/>
      </c>
      <c r="D416" s="167" t="str">
        <v/>
      </c>
      <c r="E416" s="167" t="str">
        <v/>
      </c>
      <c r="F416" s="167" t="str">
        <v/>
      </c>
      <c r="G416" s="167" t="str">
        <v/>
      </c>
      <c r="H416" s="167" t="str">
        <v/>
      </c>
      <c r="I416" s="167" t="str">
        <v/>
      </c>
      <c r="J416" s="167" t="str">
        <v/>
      </c>
      <c r="K416" s="167" t="str">
        <v/>
      </c>
      <c r="L416" s="167" t="str">
        <v/>
      </c>
      <c r="M416" s="167" t="str">
        <v/>
      </c>
      <c r="N416" s="167" t="str">
        <v/>
      </c>
      <c r="O416" s="167" t="str">
        <v/>
      </c>
      <c r="P416" s="167" t="str">
        <v/>
      </c>
    </row>
    <row r="417" spans="1:16" x14ac:dyDescent="0.2">
      <c r="A417" s="58" t="str">
        <v/>
      </c>
      <c r="B417" s="144" t="str">
        <f>IFERROR(TIMEVALUE(DaqBook_RAW_Data!Q407),IFERROR(TIMEVALUE(DaqBook_RAW_Data!A407),""))</f>
        <v/>
      </c>
      <c r="C417" s="167" t="str">
        <v/>
      </c>
      <c r="D417" s="167" t="str">
        <v/>
      </c>
      <c r="E417" s="167" t="str">
        <v/>
      </c>
      <c r="F417" s="167" t="str">
        <v/>
      </c>
      <c r="G417" s="167" t="str">
        <v/>
      </c>
      <c r="H417" s="167" t="str">
        <v/>
      </c>
      <c r="I417" s="167" t="str">
        <v/>
      </c>
      <c r="J417" s="167" t="str">
        <v/>
      </c>
      <c r="K417" s="167" t="str">
        <v/>
      </c>
      <c r="L417" s="167" t="str">
        <v/>
      </c>
      <c r="M417" s="167" t="str">
        <v/>
      </c>
      <c r="N417" s="167" t="str">
        <v/>
      </c>
      <c r="O417" s="167" t="str">
        <v/>
      </c>
      <c r="P417" s="167" t="str">
        <v/>
      </c>
    </row>
    <row r="418" spans="1:16" x14ac:dyDescent="0.2">
      <c r="A418" s="58" t="str">
        <v/>
      </c>
      <c r="B418" s="144" t="str">
        <f>IFERROR(TIMEVALUE(DaqBook_RAW_Data!Q408),IFERROR(TIMEVALUE(DaqBook_RAW_Data!A408),""))</f>
        <v/>
      </c>
      <c r="C418" s="167" t="str">
        <v/>
      </c>
      <c r="D418" s="167" t="str">
        <v/>
      </c>
      <c r="E418" s="167" t="str">
        <v/>
      </c>
      <c r="F418" s="167" t="str">
        <v/>
      </c>
      <c r="G418" s="167" t="str">
        <v/>
      </c>
      <c r="H418" s="167" t="str">
        <v/>
      </c>
      <c r="I418" s="167" t="str">
        <v/>
      </c>
      <c r="J418" s="167" t="str">
        <v/>
      </c>
      <c r="K418" s="167" t="str">
        <v/>
      </c>
      <c r="L418" s="167" t="str">
        <v/>
      </c>
      <c r="M418" s="167" t="str">
        <v/>
      </c>
      <c r="N418" s="167" t="str">
        <v/>
      </c>
      <c r="O418" s="167" t="str">
        <v/>
      </c>
      <c r="P418" s="167" t="str">
        <v/>
      </c>
    </row>
    <row r="419" spans="1:16" x14ac:dyDescent="0.2">
      <c r="A419" s="58" t="str">
        <v/>
      </c>
      <c r="B419" s="144" t="str">
        <f>IFERROR(TIMEVALUE(DaqBook_RAW_Data!Q409),IFERROR(TIMEVALUE(DaqBook_RAW_Data!A409),""))</f>
        <v/>
      </c>
      <c r="C419" s="167" t="str">
        <v/>
      </c>
      <c r="D419" s="167" t="str">
        <v/>
      </c>
      <c r="E419" s="167" t="str">
        <v/>
      </c>
      <c r="F419" s="167" t="str">
        <v/>
      </c>
      <c r="G419" s="167" t="str">
        <v/>
      </c>
      <c r="H419" s="167" t="str">
        <v/>
      </c>
      <c r="I419" s="167" t="str">
        <v/>
      </c>
      <c r="J419" s="167" t="str">
        <v/>
      </c>
      <c r="K419" s="167" t="str">
        <v/>
      </c>
      <c r="L419" s="167" t="str">
        <v/>
      </c>
      <c r="M419" s="167" t="str">
        <v/>
      </c>
      <c r="N419" s="167" t="str">
        <v/>
      </c>
      <c r="O419" s="167" t="str">
        <v/>
      </c>
      <c r="P419" s="167" t="str">
        <v/>
      </c>
    </row>
    <row r="420" spans="1:16" x14ac:dyDescent="0.2">
      <c r="A420" s="58" t="str">
        <v/>
      </c>
      <c r="B420" s="144" t="str">
        <f>IFERROR(TIMEVALUE(DaqBook_RAW_Data!Q410),IFERROR(TIMEVALUE(DaqBook_RAW_Data!A410),""))</f>
        <v/>
      </c>
      <c r="C420" s="167" t="str">
        <v/>
      </c>
      <c r="D420" s="167" t="str">
        <v/>
      </c>
      <c r="E420" s="167" t="str">
        <v/>
      </c>
      <c r="F420" s="167" t="str">
        <v/>
      </c>
      <c r="G420" s="167" t="str">
        <v/>
      </c>
      <c r="H420" s="167" t="str">
        <v/>
      </c>
      <c r="I420" s="167" t="str">
        <v/>
      </c>
      <c r="J420" s="167" t="str">
        <v/>
      </c>
      <c r="K420" s="167" t="str">
        <v/>
      </c>
      <c r="L420" s="167" t="str">
        <v/>
      </c>
      <c r="M420" s="167" t="str">
        <v/>
      </c>
      <c r="N420" s="167" t="str">
        <v/>
      </c>
      <c r="O420" s="167" t="str">
        <v/>
      </c>
      <c r="P420" s="167" t="str">
        <v/>
      </c>
    </row>
    <row r="421" spans="1:16" x14ac:dyDescent="0.2">
      <c r="A421" s="58" t="str">
        <v/>
      </c>
      <c r="B421" s="144" t="str">
        <f>IFERROR(TIMEVALUE(DaqBook_RAW_Data!Q411),IFERROR(TIMEVALUE(DaqBook_RAW_Data!A411),""))</f>
        <v/>
      </c>
      <c r="C421" s="167" t="str">
        <v/>
      </c>
      <c r="D421" s="167" t="str">
        <v/>
      </c>
      <c r="E421" s="167" t="str">
        <v/>
      </c>
      <c r="F421" s="167" t="str">
        <v/>
      </c>
      <c r="G421" s="167" t="str">
        <v/>
      </c>
      <c r="H421" s="167" t="str">
        <v/>
      </c>
      <c r="I421" s="167" t="str">
        <v/>
      </c>
      <c r="J421" s="167" t="str">
        <v/>
      </c>
      <c r="K421" s="167" t="str">
        <v/>
      </c>
      <c r="L421" s="167" t="str">
        <v/>
      </c>
      <c r="M421" s="167" t="str">
        <v/>
      </c>
      <c r="N421" s="167" t="str">
        <v/>
      </c>
      <c r="O421" s="167" t="str">
        <v/>
      </c>
      <c r="P421" s="167" t="str">
        <v/>
      </c>
    </row>
    <row r="422" spans="1:16" x14ac:dyDescent="0.2">
      <c r="A422" s="58" t="str">
        <v/>
      </c>
      <c r="B422" s="144" t="str">
        <f>IFERROR(TIMEVALUE(DaqBook_RAW_Data!Q412),IFERROR(TIMEVALUE(DaqBook_RAW_Data!A412),""))</f>
        <v/>
      </c>
      <c r="C422" s="167" t="str">
        <v/>
      </c>
      <c r="D422" s="167" t="str">
        <v/>
      </c>
      <c r="E422" s="167" t="str">
        <v/>
      </c>
      <c r="F422" s="167" t="str">
        <v/>
      </c>
      <c r="G422" s="167" t="str">
        <v/>
      </c>
      <c r="H422" s="167" t="str">
        <v/>
      </c>
      <c r="I422" s="167" t="str">
        <v/>
      </c>
      <c r="J422" s="167" t="str">
        <v/>
      </c>
      <c r="K422" s="167" t="str">
        <v/>
      </c>
      <c r="L422" s="167" t="str">
        <v/>
      </c>
      <c r="M422" s="167" t="str">
        <v/>
      </c>
      <c r="N422" s="167" t="str">
        <v/>
      </c>
      <c r="O422" s="167" t="str">
        <v/>
      </c>
      <c r="P422" s="167" t="str">
        <v/>
      </c>
    </row>
    <row r="423" spans="1:16" x14ac:dyDescent="0.2">
      <c r="A423" s="58" t="str">
        <v/>
      </c>
      <c r="B423" s="144" t="str">
        <f>IFERROR(TIMEVALUE(DaqBook_RAW_Data!Q413),IFERROR(TIMEVALUE(DaqBook_RAW_Data!A413),""))</f>
        <v/>
      </c>
      <c r="C423" s="167" t="str">
        <v/>
      </c>
      <c r="D423" s="167" t="str">
        <v/>
      </c>
      <c r="E423" s="167" t="str">
        <v/>
      </c>
      <c r="F423" s="167" t="str">
        <v/>
      </c>
      <c r="G423" s="167" t="str">
        <v/>
      </c>
      <c r="H423" s="167" t="str">
        <v/>
      </c>
      <c r="I423" s="167" t="str">
        <v/>
      </c>
      <c r="J423" s="167" t="str">
        <v/>
      </c>
      <c r="K423" s="167" t="str">
        <v/>
      </c>
      <c r="L423" s="167" t="str">
        <v/>
      </c>
      <c r="M423" s="167" t="str">
        <v/>
      </c>
      <c r="N423" s="167" t="str">
        <v/>
      </c>
      <c r="O423" s="167" t="str">
        <v/>
      </c>
      <c r="P423" s="167" t="str">
        <v/>
      </c>
    </row>
    <row r="424" spans="1:16" x14ac:dyDescent="0.2">
      <c r="A424" s="58" t="str">
        <v/>
      </c>
      <c r="B424" s="144" t="str">
        <f>IFERROR(TIMEVALUE(DaqBook_RAW_Data!Q414),IFERROR(TIMEVALUE(DaqBook_RAW_Data!A414),""))</f>
        <v/>
      </c>
      <c r="C424" s="167" t="str">
        <v/>
      </c>
      <c r="D424" s="167" t="str">
        <v/>
      </c>
      <c r="E424" s="167" t="str">
        <v/>
      </c>
      <c r="F424" s="167" t="str">
        <v/>
      </c>
      <c r="G424" s="167" t="str">
        <v/>
      </c>
      <c r="H424" s="167" t="str">
        <v/>
      </c>
      <c r="I424" s="167" t="str">
        <v/>
      </c>
      <c r="J424" s="167" t="str">
        <v/>
      </c>
      <c r="K424" s="167" t="str">
        <v/>
      </c>
      <c r="L424" s="167" t="str">
        <v/>
      </c>
      <c r="M424" s="167" t="str">
        <v/>
      </c>
      <c r="N424" s="167" t="str">
        <v/>
      </c>
      <c r="O424" s="167" t="str">
        <v/>
      </c>
      <c r="P424" s="167" t="str">
        <v/>
      </c>
    </row>
    <row r="425" spans="1:16" x14ac:dyDescent="0.2">
      <c r="A425" s="58" t="str">
        <v/>
      </c>
      <c r="B425" s="144" t="str">
        <f>IFERROR(TIMEVALUE(DaqBook_RAW_Data!Q415),IFERROR(TIMEVALUE(DaqBook_RAW_Data!A415),""))</f>
        <v/>
      </c>
      <c r="C425" s="167" t="str">
        <v/>
      </c>
      <c r="D425" s="167" t="str">
        <v/>
      </c>
      <c r="E425" s="167" t="str">
        <v/>
      </c>
      <c r="F425" s="167" t="str">
        <v/>
      </c>
      <c r="G425" s="167" t="str">
        <v/>
      </c>
      <c r="H425" s="167" t="str">
        <v/>
      </c>
      <c r="I425" s="167" t="str">
        <v/>
      </c>
      <c r="J425" s="167" t="str">
        <v/>
      </c>
      <c r="K425" s="167" t="str">
        <v/>
      </c>
      <c r="L425" s="167" t="str">
        <v/>
      </c>
      <c r="M425" s="167" t="str">
        <v/>
      </c>
      <c r="N425" s="167" t="str">
        <v/>
      </c>
      <c r="O425" s="167" t="str">
        <v/>
      </c>
      <c r="P425" s="167" t="str">
        <v/>
      </c>
    </row>
    <row r="426" spans="1:16" x14ac:dyDescent="0.2">
      <c r="A426" s="58" t="str">
        <v/>
      </c>
      <c r="B426" s="144" t="str">
        <f>IFERROR(TIMEVALUE(DaqBook_RAW_Data!Q416),IFERROR(TIMEVALUE(DaqBook_RAW_Data!A416),""))</f>
        <v/>
      </c>
      <c r="C426" s="167" t="str">
        <v/>
      </c>
      <c r="D426" s="167" t="str">
        <v/>
      </c>
      <c r="E426" s="167" t="str">
        <v/>
      </c>
      <c r="F426" s="167" t="str">
        <v/>
      </c>
      <c r="G426" s="167" t="str">
        <v/>
      </c>
      <c r="H426" s="167" t="str">
        <v/>
      </c>
      <c r="I426" s="167" t="str">
        <v/>
      </c>
      <c r="J426" s="167" t="str">
        <v/>
      </c>
      <c r="K426" s="167" t="str">
        <v/>
      </c>
      <c r="L426" s="167" t="str">
        <v/>
      </c>
      <c r="M426" s="167" t="str">
        <v/>
      </c>
      <c r="N426" s="167" t="str">
        <v/>
      </c>
      <c r="O426" s="167" t="str">
        <v/>
      </c>
      <c r="P426" s="167" t="str">
        <v/>
      </c>
    </row>
    <row r="427" spans="1:16" x14ac:dyDescent="0.2">
      <c r="A427" s="58" t="str">
        <v/>
      </c>
      <c r="B427" s="144" t="str">
        <f>IFERROR(TIMEVALUE(DaqBook_RAW_Data!Q417),IFERROR(TIMEVALUE(DaqBook_RAW_Data!A417),""))</f>
        <v/>
      </c>
      <c r="C427" s="167" t="str">
        <v/>
      </c>
      <c r="D427" s="167" t="str">
        <v/>
      </c>
      <c r="E427" s="167" t="str">
        <v/>
      </c>
      <c r="F427" s="167" t="str">
        <v/>
      </c>
      <c r="G427" s="167" t="str">
        <v/>
      </c>
      <c r="H427" s="167" t="str">
        <v/>
      </c>
      <c r="I427" s="167" t="str">
        <v/>
      </c>
      <c r="J427" s="167" t="str">
        <v/>
      </c>
      <c r="K427" s="167" t="str">
        <v/>
      </c>
      <c r="L427" s="167" t="str">
        <v/>
      </c>
      <c r="M427" s="167" t="str">
        <v/>
      </c>
      <c r="N427" s="167" t="str">
        <v/>
      </c>
      <c r="O427" s="167" t="str">
        <v/>
      </c>
      <c r="P427" s="167" t="str">
        <v/>
      </c>
    </row>
    <row r="428" spans="1:16" x14ac:dyDescent="0.2">
      <c r="A428" s="58" t="str">
        <v/>
      </c>
      <c r="B428" s="144" t="str">
        <f>IFERROR(TIMEVALUE(DaqBook_RAW_Data!Q418),IFERROR(TIMEVALUE(DaqBook_RAW_Data!A418),""))</f>
        <v/>
      </c>
      <c r="C428" s="167" t="str">
        <v/>
      </c>
      <c r="D428" s="167" t="str">
        <v/>
      </c>
      <c r="E428" s="167" t="str">
        <v/>
      </c>
      <c r="F428" s="167" t="str">
        <v/>
      </c>
      <c r="G428" s="167" t="str">
        <v/>
      </c>
      <c r="H428" s="167" t="str">
        <v/>
      </c>
      <c r="I428" s="167" t="str">
        <v/>
      </c>
      <c r="J428" s="167" t="str">
        <v/>
      </c>
      <c r="K428" s="167" t="str">
        <v/>
      </c>
      <c r="L428" s="167" t="str">
        <v/>
      </c>
      <c r="M428" s="167" t="str">
        <v/>
      </c>
      <c r="N428" s="167" t="str">
        <v/>
      </c>
      <c r="O428" s="167" t="str">
        <v/>
      </c>
      <c r="P428" s="167" t="str">
        <v/>
      </c>
    </row>
    <row r="429" spans="1:16" x14ac:dyDescent="0.2">
      <c r="A429" s="58" t="str">
        <v/>
      </c>
      <c r="B429" s="144" t="str">
        <f>IFERROR(TIMEVALUE(DaqBook_RAW_Data!Q419),IFERROR(TIMEVALUE(DaqBook_RAW_Data!A419),""))</f>
        <v/>
      </c>
      <c r="C429" s="167" t="str">
        <v/>
      </c>
      <c r="D429" s="167" t="str">
        <v/>
      </c>
      <c r="E429" s="167" t="str">
        <v/>
      </c>
      <c r="F429" s="167" t="str">
        <v/>
      </c>
      <c r="G429" s="167" t="str">
        <v/>
      </c>
      <c r="H429" s="167" t="str">
        <v/>
      </c>
      <c r="I429" s="167" t="str">
        <v/>
      </c>
      <c r="J429" s="167" t="str">
        <v/>
      </c>
      <c r="K429" s="167" t="str">
        <v/>
      </c>
      <c r="L429" s="167" t="str">
        <v/>
      </c>
      <c r="M429" s="167" t="str">
        <v/>
      </c>
      <c r="N429" s="167" t="str">
        <v/>
      </c>
      <c r="O429" s="167" t="str">
        <v/>
      </c>
      <c r="P429" s="167" t="str">
        <v/>
      </c>
    </row>
    <row r="430" spans="1:16" x14ac:dyDescent="0.2">
      <c r="A430" s="58" t="str">
        <v/>
      </c>
      <c r="B430" s="144" t="str">
        <f>IFERROR(TIMEVALUE(DaqBook_RAW_Data!Q420),IFERROR(TIMEVALUE(DaqBook_RAW_Data!A420),""))</f>
        <v/>
      </c>
      <c r="C430" s="167" t="str">
        <v/>
      </c>
      <c r="D430" s="167" t="str">
        <v/>
      </c>
      <c r="E430" s="167" t="str">
        <v/>
      </c>
      <c r="F430" s="167" t="str">
        <v/>
      </c>
      <c r="G430" s="167" t="str">
        <v/>
      </c>
      <c r="H430" s="167" t="str">
        <v/>
      </c>
      <c r="I430" s="167" t="str">
        <v/>
      </c>
      <c r="J430" s="167" t="str">
        <v/>
      </c>
      <c r="K430" s="167" t="str">
        <v/>
      </c>
      <c r="L430" s="167" t="str">
        <v/>
      </c>
      <c r="M430" s="167" t="str">
        <v/>
      </c>
      <c r="N430" s="167" t="str">
        <v/>
      </c>
      <c r="O430" s="167" t="str">
        <v/>
      </c>
      <c r="P430" s="167" t="str">
        <v/>
      </c>
    </row>
    <row r="431" spans="1:16" x14ac:dyDescent="0.2">
      <c r="A431" s="58" t="str">
        <v/>
      </c>
      <c r="B431" s="144" t="str">
        <f>IFERROR(TIMEVALUE(DaqBook_RAW_Data!Q421),IFERROR(TIMEVALUE(DaqBook_RAW_Data!A421),""))</f>
        <v/>
      </c>
      <c r="C431" s="167" t="str">
        <v/>
      </c>
      <c r="D431" s="167" t="str">
        <v/>
      </c>
      <c r="E431" s="167" t="str">
        <v/>
      </c>
      <c r="F431" s="167" t="str">
        <v/>
      </c>
      <c r="G431" s="167" t="str">
        <v/>
      </c>
      <c r="H431" s="167" t="str">
        <v/>
      </c>
      <c r="I431" s="167" t="str">
        <v/>
      </c>
      <c r="J431" s="167" t="str">
        <v/>
      </c>
      <c r="K431" s="167" t="str">
        <v/>
      </c>
      <c r="L431" s="167" t="str">
        <v/>
      </c>
      <c r="M431" s="167" t="str">
        <v/>
      </c>
      <c r="N431" s="167" t="str">
        <v/>
      </c>
      <c r="O431" s="167" t="str">
        <v/>
      </c>
      <c r="P431" s="167" t="str">
        <v/>
      </c>
    </row>
    <row r="432" spans="1:16" x14ac:dyDescent="0.2">
      <c r="A432" s="58" t="str">
        <v/>
      </c>
      <c r="B432" s="144" t="str">
        <f>IFERROR(TIMEVALUE(DaqBook_RAW_Data!Q422),IFERROR(TIMEVALUE(DaqBook_RAW_Data!A422),""))</f>
        <v/>
      </c>
      <c r="C432" s="167" t="str">
        <v/>
      </c>
      <c r="D432" s="167" t="str">
        <v/>
      </c>
      <c r="E432" s="167" t="str">
        <v/>
      </c>
      <c r="F432" s="167" t="str">
        <v/>
      </c>
      <c r="G432" s="167" t="str">
        <v/>
      </c>
      <c r="H432" s="167" t="str">
        <v/>
      </c>
      <c r="I432" s="167" t="str">
        <v/>
      </c>
      <c r="J432" s="167" t="str">
        <v/>
      </c>
      <c r="K432" s="167" t="str">
        <v/>
      </c>
      <c r="L432" s="167" t="str">
        <v/>
      </c>
      <c r="M432" s="167" t="str">
        <v/>
      </c>
      <c r="N432" s="167" t="str">
        <v/>
      </c>
      <c r="O432" s="167" t="str">
        <v/>
      </c>
      <c r="P432" s="167" t="str">
        <v/>
      </c>
    </row>
    <row r="433" spans="1:16" x14ac:dyDescent="0.2">
      <c r="A433" s="58" t="str">
        <v/>
      </c>
      <c r="B433" s="144" t="str">
        <f>IFERROR(TIMEVALUE(DaqBook_RAW_Data!Q423),IFERROR(TIMEVALUE(DaqBook_RAW_Data!A423),""))</f>
        <v/>
      </c>
      <c r="C433" s="167" t="str">
        <v/>
      </c>
      <c r="D433" s="167" t="str">
        <v/>
      </c>
      <c r="E433" s="167" t="str">
        <v/>
      </c>
      <c r="F433" s="167" t="str">
        <v/>
      </c>
      <c r="G433" s="167" t="str">
        <v/>
      </c>
      <c r="H433" s="167" t="str">
        <v/>
      </c>
      <c r="I433" s="167" t="str">
        <v/>
      </c>
      <c r="J433" s="167" t="str">
        <v/>
      </c>
      <c r="K433" s="167" t="str">
        <v/>
      </c>
      <c r="L433" s="167" t="str">
        <v/>
      </c>
      <c r="M433" s="167" t="str">
        <v/>
      </c>
      <c r="N433" s="167" t="str">
        <v/>
      </c>
      <c r="O433" s="167" t="str">
        <v/>
      </c>
      <c r="P433" s="167" t="str">
        <v/>
      </c>
    </row>
    <row r="434" spans="1:16" x14ac:dyDescent="0.2">
      <c r="A434" s="58" t="str">
        <v/>
      </c>
      <c r="B434" s="144" t="str">
        <f>IFERROR(TIMEVALUE(DaqBook_RAW_Data!Q424),IFERROR(TIMEVALUE(DaqBook_RAW_Data!A424),""))</f>
        <v/>
      </c>
      <c r="C434" s="167" t="str">
        <v/>
      </c>
      <c r="D434" s="167" t="str">
        <v/>
      </c>
      <c r="E434" s="167" t="str">
        <v/>
      </c>
      <c r="F434" s="167" t="str">
        <v/>
      </c>
      <c r="G434" s="167" t="str">
        <v/>
      </c>
      <c r="H434" s="167" t="str">
        <v/>
      </c>
      <c r="I434" s="167" t="str">
        <v/>
      </c>
      <c r="J434" s="167" t="str">
        <v/>
      </c>
      <c r="K434" s="167" t="str">
        <v/>
      </c>
      <c r="L434" s="167" t="str">
        <v/>
      </c>
      <c r="M434" s="167" t="str">
        <v/>
      </c>
      <c r="N434" s="167" t="str">
        <v/>
      </c>
      <c r="O434" s="167" t="str">
        <v/>
      </c>
      <c r="P434" s="167" t="str">
        <v/>
      </c>
    </row>
    <row r="435" spans="1:16" x14ac:dyDescent="0.2">
      <c r="A435" s="58" t="str">
        <v/>
      </c>
      <c r="B435" s="144" t="str">
        <f>IFERROR(TIMEVALUE(DaqBook_RAW_Data!Q425),IFERROR(TIMEVALUE(DaqBook_RAW_Data!A425),""))</f>
        <v/>
      </c>
      <c r="C435" s="167" t="str">
        <v/>
      </c>
      <c r="D435" s="167" t="str">
        <v/>
      </c>
      <c r="E435" s="167" t="str">
        <v/>
      </c>
      <c r="F435" s="167" t="str">
        <v/>
      </c>
      <c r="G435" s="167" t="str">
        <v/>
      </c>
      <c r="H435" s="167" t="str">
        <v/>
      </c>
      <c r="I435" s="167" t="str">
        <v/>
      </c>
      <c r="J435" s="167" t="str">
        <v/>
      </c>
      <c r="K435" s="167" t="str">
        <v/>
      </c>
      <c r="L435" s="167" t="str">
        <v/>
      </c>
      <c r="M435" s="167" t="str">
        <v/>
      </c>
      <c r="N435" s="167" t="str">
        <v/>
      </c>
      <c r="O435" s="167" t="str">
        <v/>
      </c>
      <c r="P435" s="167" t="str">
        <v/>
      </c>
    </row>
    <row r="436" spans="1:16" x14ac:dyDescent="0.2">
      <c r="A436" s="58" t="str">
        <v/>
      </c>
      <c r="B436" s="144" t="str">
        <f>IFERROR(TIMEVALUE(DaqBook_RAW_Data!Q426),IFERROR(TIMEVALUE(DaqBook_RAW_Data!A426),""))</f>
        <v/>
      </c>
      <c r="C436" s="167" t="str">
        <v/>
      </c>
      <c r="D436" s="167" t="str">
        <v/>
      </c>
      <c r="E436" s="167" t="str">
        <v/>
      </c>
      <c r="F436" s="167" t="str">
        <v/>
      </c>
      <c r="G436" s="167" t="str">
        <v/>
      </c>
      <c r="H436" s="167" t="str">
        <v/>
      </c>
      <c r="I436" s="167" t="str">
        <v/>
      </c>
      <c r="J436" s="167" t="str">
        <v/>
      </c>
      <c r="K436" s="167" t="str">
        <v/>
      </c>
      <c r="L436" s="167" t="str">
        <v/>
      </c>
      <c r="M436" s="167" t="str">
        <v/>
      </c>
      <c r="N436" s="167" t="str">
        <v/>
      </c>
      <c r="O436" s="167" t="str">
        <v/>
      </c>
      <c r="P436" s="167" t="str">
        <v/>
      </c>
    </row>
    <row r="437" spans="1:16" x14ac:dyDescent="0.2">
      <c r="A437" s="58" t="str">
        <v/>
      </c>
      <c r="B437" s="144" t="str">
        <f>IFERROR(TIMEVALUE(DaqBook_RAW_Data!Q427),IFERROR(TIMEVALUE(DaqBook_RAW_Data!A427),""))</f>
        <v/>
      </c>
      <c r="C437" s="167" t="str">
        <v/>
      </c>
      <c r="D437" s="167" t="str">
        <v/>
      </c>
      <c r="E437" s="167" t="str">
        <v/>
      </c>
      <c r="F437" s="167" t="str">
        <v/>
      </c>
      <c r="G437" s="167" t="str">
        <v/>
      </c>
      <c r="H437" s="167" t="str">
        <v/>
      </c>
      <c r="I437" s="167" t="str">
        <v/>
      </c>
      <c r="J437" s="167" t="str">
        <v/>
      </c>
      <c r="K437" s="167" t="str">
        <v/>
      </c>
      <c r="L437" s="167" t="str">
        <v/>
      </c>
      <c r="M437" s="167" t="str">
        <v/>
      </c>
      <c r="N437" s="167" t="str">
        <v/>
      </c>
      <c r="O437" s="167" t="str">
        <v/>
      </c>
      <c r="P437" s="167" t="str">
        <v/>
      </c>
    </row>
    <row r="438" spans="1:16" x14ac:dyDescent="0.2">
      <c r="A438" s="58" t="str">
        <v/>
      </c>
      <c r="B438" s="144" t="str">
        <f>IFERROR(TIMEVALUE(DaqBook_RAW_Data!Q428),IFERROR(TIMEVALUE(DaqBook_RAW_Data!A428),""))</f>
        <v/>
      </c>
      <c r="C438" s="167" t="str">
        <v/>
      </c>
      <c r="D438" s="167" t="str">
        <v/>
      </c>
      <c r="E438" s="167" t="str">
        <v/>
      </c>
      <c r="F438" s="167" t="str">
        <v/>
      </c>
      <c r="G438" s="167" t="str">
        <v/>
      </c>
      <c r="H438" s="167" t="str">
        <v/>
      </c>
      <c r="I438" s="167" t="str">
        <v/>
      </c>
      <c r="J438" s="167" t="str">
        <v/>
      </c>
      <c r="K438" s="167" t="str">
        <v/>
      </c>
      <c r="L438" s="167" t="str">
        <v/>
      </c>
      <c r="M438" s="167" t="str">
        <v/>
      </c>
      <c r="N438" s="167" t="str">
        <v/>
      </c>
      <c r="O438" s="167" t="str">
        <v/>
      </c>
      <c r="P438" s="167" t="str">
        <v/>
      </c>
    </row>
    <row r="439" spans="1:16" x14ac:dyDescent="0.2">
      <c r="A439" s="58" t="str">
        <v/>
      </c>
      <c r="B439" s="144" t="str">
        <f>IFERROR(TIMEVALUE(DaqBook_RAW_Data!Q429),IFERROR(TIMEVALUE(DaqBook_RAW_Data!A429),""))</f>
        <v/>
      </c>
      <c r="C439" s="167" t="str">
        <v/>
      </c>
      <c r="D439" s="167" t="str">
        <v/>
      </c>
      <c r="E439" s="167" t="str">
        <v/>
      </c>
      <c r="F439" s="167" t="str">
        <v/>
      </c>
      <c r="G439" s="167" t="str">
        <v/>
      </c>
      <c r="H439" s="167" t="str">
        <v/>
      </c>
      <c r="I439" s="167" t="str">
        <v/>
      </c>
      <c r="J439" s="167" t="str">
        <v/>
      </c>
      <c r="K439" s="167" t="str">
        <v/>
      </c>
      <c r="L439" s="167" t="str">
        <v/>
      </c>
      <c r="M439" s="167" t="str">
        <v/>
      </c>
      <c r="N439" s="167" t="str">
        <v/>
      </c>
      <c r="O439" s="167" t="str">
        <v/>
      </c>
      <c r="P439" s="167" t="str">
        <v/>
      </c>
    </row>
    <row r="440" spans="1:16" x14ac:dyDescent="0.2">
      <c r="A440" s="58" t="str">
        <v/>
      </c>
      <c r="B440" s="144" t="str">
        <f>IFERROR(TIMEVALUE(DaqBook_RAW_Data!Q430),IFERROR(TIMEVALUE(DaqBook_RAW_Data!A430),""))</f>
        <v/>
      </c>
      <c r="C440" s="167" t="str">
        <v/>
      </c>
      <c r="D440" s="167" t="str">
        <v/>
      </c>
      <c r="E440" s="167" t="str">
        <v/>
      </c>
      <c r="F440" s="167" t="str">
        <v/>
      </c>
      <c r="G440" s="167" t="str">
        <v/>
      </c>
      <c r="H440" s="167" t="str">
        <v/>
      </c>
      <c r="I440" s="167" t="str">
        <v/>
      </c>
      <c r="J440" s="167" t="str">
        <v/>
      </c>
      <c r="K440" s="167" t="str">
        <v/>
      </c>
      <c r="L440" s="167" t="str">
        <v/>
      </c>
      <c r="M440" s="167" t="str">
        <v/>
      </c>
      <c r="N440" s="167" t="str">
        <v/>
      </c>
      <c r="O440" s="167" t="str">
        <v/>
      </c>
      <c r="P440" s="167" t="str">
        <v/>
      </c>
    </row>
    <row r="441" spans="1:16" x14ac:dyDescent="0.2">
      <c r="A441" s="58" t="str">
        <v/>
      </c>
      <c r="B441" s="144" t="str">
        <f>IFERROR(TIMEVALUE(DaqBook_RAW_Data!Q431),IFERROR(TIMEVALUE(DaqBook_RAW_Data!A431),""))</f>
        <v/>
      </c>
      <c r="C441" s="167" t="str">
        <v/>
      </c>
      <c r="D441" s="167" t="str">
        <v/>
      </c>
      <c r="E441" s="167" t="str">
        <v/>
      </c>
      <c r="F441" s="167" t="str">
        <v/>
      </c>
      <c r="G441" s="167" t="str">
        <v/>
      </c>
      <c r="H441" s="167" t="str">
        <v/>
      </c>
      <c r="I441" s="167" t="str">
        <v/>
      </c>
      <c r="J441" s="167" t="str">
        <v/>
      </c>
      <c r="K441" s="167" t="str">
        <v/>
      </c>
      <c r="L441" s="167" t="str">
        <v/>
      </c>
      <c r="M441" s="167" t="str">
        <v/>
      </c>
      <c r="N441" s="167" t="str">
        <v/>
      </c>
      <c r="O441" s="167" t="str">
        <v/>
      </c>
      <c r="P441" s="167" t="str">
        <v/>
      </c>
    </row>
    <row r="442" spans="1:16" x14ac:dyDescent="0.2">
      <c r="A442" s="58" t="str">
        <v/>
      </c>
      <c r="B442" s="144" t="str">
        <f>IFERROR(TIMEVALUE(DaqBook_RAW_Data!Q432),IFERROR(TIMEVALUE(DaqBook_RAW_Data!A432),""))</f>
        <v/>
      </c>
      <c r="C442" s="167" t="str">
        <v/>
      </c>
      <c r="D442" s="167" t="str">
        <v/>
      </c>
      <c r="E442" s="167" t="str">
        <v/>
      </c>
      <c r="F442" s="167" t="str">
        <v/>
      </c>
      <c r="G442" s="167" t="str">
        <v/>
      </c>
      <c r="H442" s="167" t="str">
        <v/>
      </c>
      <c r="I442" s="167" t="str">
        <v/>
      </c>
      <c r="J442" s="167" t="str">
        <v/>
      </c>
      <c r="K442" s="167" t="str">
        <v/>
      </c>
      <c r="L442" s="167" t="str">
        <v/>
      </c>
      <c r="M442" s="167" t="str">
        <v/>
      </c>
      <c r="N442" s="167" t="str">
        <v/>
      </c>
      <c r="O442" s="167" t="str">
        <v/>
      </c>
      <c r="P442" s="167" t="str">
        <v/>
      </c>
    </row>
    <row r="443" spans="1:16" x14ac:dyDescent="0.2">
      <c r="A443" s="58" t="str">
        <v/>
      </c>
      <c r="B443" s="144" t="str">
        <f>IFERROR(TIMEVALUE(DaqBook_RAW_Data!Q433),IFERROR(TIMEVALUE(DaqBook_RAW_Data!A433),""))</f>
        <v/>
      </c>
      <c r="C443" s="167" t="str">
        <v/>
      </c>
      <c r="D443" s="167" t="str">
        <v/>
      </c>
      <c r="E443" s="167" t="str">
        <v/>
      </c>
      <c r="F443" s="167" t="str">
        <v/>
      </c>
      <c r="G443" s="167" t="str">
        <v/>
      </c>
      <c r="H443" s="167" t="str">
        <v/>
      </c>
      <c r="I443" s="167" t="str">
        <v/>
      </c>
      <c r="J443" s="167" t="str">
        <v/>
      </c>
      <c r="K443" s="167" t="str">
        <v/>
      </c>
      <c r="L443" s="167" t="str">
        <v/>
      </c>
      <c r="M443" s="167" t="str">
        <v/>
      </c>
      <c r="N443" s="167" t="str">
        <v/>
      </c>
      <c r="O443" s="167" t="str">
        <v/>
      </c>
      <c r="P443" s="167" t="str">
        <v/>
      </c>
    </row>
    <row r="444" spans="1:16" x14ac:dyDescent="0.2">
      <c r="A444" s="58" t="str">
        <v/>
      </c>
      <c r="B444" s="144" t="str">
        <f>IFERROR(TIMEVALUE(DaqBook_RAW_Data!Q434),IFERROR(TIMEVALUE(DaqBook_RAW_Data!A434),""))</f>
        <v/>
      </c>
      <c r="C444" s="167" t="str">
        <v/>
      </c>
      <c r="D444" s="167" t="str">
        <v/>
      </c>
      <c r="E444" s="167" t="str">
        <v/>
      </c>
      <c r="F444" s="167" t="str">
        <v/>
      </c>
      <c r="G444" s="167" t="str">
        <v/>
      </c>
      <c r="H444" s="167" t="str">
        <v/>
      </c>
      <c r="I444" s="167" t="str">
        <v/>
      </c>
      <c r="J444" s="167" t="str">
        <v/>
      </c>
      <c r="K444" s="167" t="str">
        <v/>
      </c>
      <c r="L444" s="167" t="str">
        <v/>
      </c>
      <c r="M444" s="167" t="str">
        <v/>
      </c>
      <c r="N444" s="167" t="str">
        <v/>
      </c>
      <c r="O444" s="167" t="str">
        <v/>
      </c>
      <c r="P444" s="167" t="str">
        <v/>
      </c>
    </row>
    <row r="445" spans="1:16" x14ac:dyDescent="0.2">
      <c r="A445" s="58" t="str">
        <v/>
      </c>
      <c r="B445" s="144" t="str">
        <f>IFERROR(TIMEVALUE(DaqBook_RAW_Data!Q435),IFERROR(TIMEVALUE(DaqBook_RAW_Data!A435),""))</f>
        <v/>
      </c>
      <c r="C445" s="167" t="str">
        <v/>
      </c>
      <c r="D445" s="167" t="str">
        <v/>
      </c>
      <c r="E445" s="167" t="str">
        <v/>
      </c>
      <c r="F445" s="167" t="str">
        <v/>
      </c>
      <c r="G445" s="167" t="str">
        <v/>
      </c>
      <c r="H445" s="167" t="str">
        <v/>
      </c>
      <c r="I445" s="167" t="str">
        <v/>
      </c>
      <c r="J445" s="167" t="str">
        <v/>
      </c>
      <c r="K445" s="167" t="str">
        <v/>
      </c>
      <c r="L445" s="167" t="str">
        <v/>
      </c>
      <c r="M445" s="167" t="str">
        <v/>
      </c>
      <c r="N445" s="167" t="str">
        <v/>
      </c>
      <c r="O445" s="167" t="str">
        <v/>
      </c>
      <c r="P445" s="167" t="str">
        <v/>
      </c>
    </row>
    <row r="446" spans="1:16" x14ac:dyDescent="0.2">
      <c r="A446" s="58" t="str">
        <v/>
      </c>
      <c r="B446" s="144" t="str">
        <f>IFERROR(TIMEVALUE(DaqBook_RAW_Data!Q436),IFERROR(TIMEVALUE(DaqBook_RAW_Data!A436),""))</f>
        <v/>
      </c>
      <c r="C446" s="167" t="str">
        <v/>
      </c>
      <c r="D446" s="167" t="str">
        <v/>
      </c>
      <c r="E446" s="167" t="str">
        <v/>
      </c>
      <c r="F446" s="167" t="str">
        <v/>
      </c>
      <c r="G446" s="167" t="str">
        <v/>
      </c>
      <c r="H446" s="167" t="str">
        <v/>
      </c>
      <c r="I446" s="167" t="str">
        <v/>
      </c>
      <c r="J446" s="167" t="str">
        <v/>
      </c>
      <c r="K446" s="167" t="str">
        <v/>
      </c>
      <c r="L446" s="167" t="str">
        <v/>
      </c>
      <c r="M446" s="167" t="str">
        <v/>
      </c>
      <c r="N446" s="167" t="str">
        <v/>
      </c>
      <c r="O446" s="167" t="str">
        <v/>
      </c>
      <c r="P446" s="167" t="str">
        <v/>
      </c>
    </row>
    <row r="447" spans="1:16" x14ac:dyDescent="0.2">
      <c r="A447" s="58" t="str">
        <v/>
      </c>
      <c r="B447" s="144" t="str">
        <f>IFERROR(TIMEVALUE(DaqBook_RAW_Data!Q437),IFERROR(TIMEVALUE(DaqBook_RAW_Data!A437),""))</f>
        <v/>
      </c>
      <c r="C447" s="167" t="str">
        <v/>
      </c>
      <c r="D447" s="167" t="str">
        <v/>
      </c>
      <c r="E447" s="167" t="str">
        <v/>
      </c>
      <c r="F447" s="167" t="str">
        <v/>
      </c>
      <c r="G447" s="167" t="str">
        <v/>
      </c>
      <c r="H447" s="167" t="str">
        <v/>
      </c>
      <c r="I447" s="167" t="str">
        <v/>
      </c>
      <c r="J447" s="167" t="str">
        <v/>
      </c>
      <c r="K447" s="167" t="str">
        <v/>
      </c>
      <c r="L447" s="167" t="str">
        <v/>
      </c>
      <c r="M447" s="167" t="str">
        <v/>
      </c>
      <c r="N447" s="167" t="str">
        <v/>
      </c>
      <c r="O447" s="167" t="str">
        <v/>
      </c>
      <c r="P447" s="167" t="str">
        <v/>
      </c>
    </row>
    <row r="448" spans="1:16" x14ac:dyDescent="0.2">
      <c r="A448" s="58" t="str">
        <v/>
      </c>
      <c r="B448" s="144" t="str">
        <f>IFERROR(TIMEVALUE(DaqBook_RAW_Data!Q438),IFERROR(TIMEVALUE(DaqBook_RAW_Data!A438),""))</f>
        <v/>
      </c>
      <c r="C448" s="167" t="str">
        <v/>
      </c>
      <c r="D448" s="167" t="str">
        <v/>
      </c>
      <c r="E448" s="167" t="str">
        <v/>
      </c>
      <c r="F448" s="167" t="str">
        <v/>
      </c>
      <c r="G448" s="167" t="str">
        <v/>
      </c>
      <c r="H448" s="167" t="str">
        <v/>
      </c>
      <c r="I448" s="167" t="str">
        <v/>
      </c>
      <c r="J448" s="167" t="str">
        <v/>
      </c>
      <c r="K448" s="167" t="str">
        <v/>
      </c>
      <c r="L448" s="167" t="str">
        <v/>
      </c>
      <c r="M448" s="167" t="str">
        <v/>
      </c>
      <c r="N448" s="167" t="str">
        <v/>
      </c>
      <c r="O448" s="167" t="str">
        <v/>
      </c>
      <c r="P448" s="167" t="str">
        <v/>
      </c>
    </row>
    <row r="449" spans="1:16" x14ac:dyDescent="0.2">
      <c r="A449" s="58" t="str">
        <v/>
      </c>
      <c r="B449" s="144" t="str">
        <f>IFERROR(TIMEVALUE(DaqBook_RAW_Data!Q439),IFERROR(TIMEVALUE(DaqBook_RAW_Data!A439),""))</f>
        <v/>
      </c>
      <c r="C449" s="167" t="str">
        <v/>
      </c>
      <c r="D449" s="167" t="str">
        <v/>
      </c>
      <c r="E449" s="167" t="str">
        <v/>
      </c>
      <c r="F449" s="167" t="str">
        <v/>
      </c>
      <c r="G449" s="167" t="str">
        <v/>
      </c>
      <c r="H449" s="167" t="str">
        <v/>
      </c>
      <c r="I449" s="167" t="str">
        <v/>
      </c>
      <c r="J449" s="167" t="str">
        <v/>
      </c>
      <c r="K449" s="167" t="str">
        <v/>
      </c>
      <c r="L449" s="167" t="str">
        <v/>
      </c>
      <c r="M449" s="167" t="str">
        <v/>
      </c>
      <c r="N449" s="167" t="str">
        <v/>
      </c>
      <c r="O449" s="167" t="str">
        <v/>
      </c>
      <c r="P449" s="167" t="str">
        <v/>
      </c>
    </row>
    <row r="450" spans="1:16" x14ac:dyDescent="0.2">
      <c r="A450" s="58" t="str">
        <v/>
      </c>
      <c r="B450" s="144" t="str">
        <f>IFERROR(TIMEVALUE(DaqBook_RAW_Data!Q440),IFERROR(TIMEVALUE(DaqBook_RAW_Data!A440),""))</f>
        <v/>
      </c>
      <c r="C450" s="167" t="str">
        <v/>
      </c>
      <c r="D450" s="167" t="str">
        <v/>
      </c>
      <c r="E450" s="167" t="str">
        <v/>
      </c>
      <c r="F450" s="167" t="str">
        <v/>
      </c>
      <c r="G450" s="167" t="str">
        <v/>
      </c>
      <c r="H450" s="167" t="str">
        <v/>
      </c>
      <c r="I450" s="167" t="str">
        <v/>
      </c>
      <c r="J450" s="167" t="str">
        <v/>
      </c>
      <c r="K450" s="167" t="str">
        <v/>
      </c>
      <c r="L450" s="167" t="str">
        <v/>
      </c>
      <c r="M450" s="167" t="str">
        <v/>
      </c>
      <c r="N450" s="167" t="str">
        <v/>
      </c>
      <c r="O450" s="167" t="str">
        <v/>
      </c>
      <c r="P450" s="167" t="str">
        <v/>
      </c>
    </row>
    <row r="451" spans="1:16" x14ac:dyDescent="0.2">
      <c r="A451" s="58" t="str">
        <v/>
      </c>
      <c r="B451" s="144" t="str">
        <f>IFERROR(TIMEVALUE(DaqBook_RAW_Data!Q441),IFERROR(TIMEVALUE(DaqBook_RAW_Data!A441),""))</f>
        <v/>
      </c>
      <c r="C451" s="167" t="str">
        <v/>
      </c>
      <c r="D451" s="167" t="str">
        <v/>
      </c>
      <c r="E451" s="167" t="str">
        <v/>
      </c>
      <c r="F451" s="167" t="str">
        <v/>
      </c>
      <c r="G451" s="167" t="str">
        <v/>
      </c>
      <c r="H451" s="167" t="str">
        <v/>
      </c>
      <c r="I451" s="167" t="str">
        <v/>
      </c>
      <c r="J451" s="167" t="str">
        <v/>
      </c>
      <c r="K451" s="167" t="str">
        <v/>
      </c>
      <c r="L451" s="167" t="str">
        <v/>
      </c>
      <c r="M451" s="167" t="str">
        <v/>
      </c>
      <c r="N451" s="167" t="str">
        <v/>
      </c>
      <c r="O451" s="167" t="str">
        <v/>
      </c>
      <c r="P451" s="167" t="str">
        <v/>
      </c>
    </row>
    <row r="452" spans="1:16" x14ac:dyDescent="0.2">
      <c r="A452" s="58" t="str">
        <v/>
      </c>
      <c r="B452" s="144" t="str">
        <f>IFERROR(TIMEVALUE(DaqBook_RAW_Data!Q442),IFERROR(TIMEVALUE(DaqBook_RAW_Data!A442),""))</f>
        <v/>
      </c>
      <c r="C452" s="167" t="str">
        <v/>
      </c>
      <c r="D452" s="167" t="str">
        <v/>
      </c>
      <c r="E452" s="167" t="str">
        <v/>
      </c>
      <c r="F452" s="167" t="str">
        <v/>
      </c>
      <c r="G452" s="167" t="str">
        <v/>
      </c>
      <c r="H452" s="167" t="str">
        <v/>
      </c>
      <c r="I452" s="167" t="str">
        <v/>
      </c>
      <c r="J452" s="167" t="str">
        <v/>
      </c>
      <c r="K452" s="167" t="str">
        <v/>
      </c>
      <c r="L452" s="167" t="str">
        <v/>
      </c>
      <c r="M452" s="167" t="str">
        <v/>
      </c>
      <c r="N452" s="167" t="str">
        <v/>
      </c>
      <c r="O452" s="167" t="str">
        <v/>
      </c>
      <c r="P452" s="167" t="str">
        <v/>
      </c>
    </row>
    <row r="453" spans="1:16" x14ac:dyDescent="0.2">
      <c r="A453" s="58" t="str">
        <v/>
      </c>
      <c r="B453" s="144" t="str">
        <f>IFERROR(TIMEVALUE(DaqBook_RAW_Data!Q443),IFERROR(TIMEVALUE(DaqBook_RAW_Data!A443),""))</f>
        <v/>
      </c>
      <c r="C453" s="167" t="str">
        <v/>
      </c>
      <c r="D453" s="167" t="str">
        <v/>
      </c>
      <c r="E453" s="167" t="str">
        <v/>
      </c>
      <c r="F453" s="167" t="str">
        <v/>
      </c>
      <c r="G453" s="167" t="str">
        <v/>
      </c>
      <c r="H453" s="167" t="str">
        <v/>
      </c>
      <c r="I453" s="167" t="str">
        <v/>
      </c>
      <c r="J453" s="167" t="str">
        <v/>
      </c>
      <c r="K453" s="167" t="str">
        <v/>
      </c>
      <c r="L453" s="167" t="str">
        <v/>
      </c>
      <c r="M453" s="167" t="str">
        <v/>
      </c>
      <c r="N453" s="167" t="str">
        <v/>
      </c>
      <c r="O453" s="167" t="str">
        <v/>
      </c>
      <c r="P453" s="167" t="str">
        <v/>
      </c>
    </row>
    <row r="454" spans="1:16" x14ac:dyDescent="0.2">
      <c r="A454" s="58" t="str">
        <v/>
      </c>
      <c r="B454" s="144" t="str">
        <f>IFERROR(TIMEVALUE(DaqBook_RAW_Data!Q444),IFERROR(TIMEVALUE(DaqBook_RAW_Data!A444),""))</f>
        <v/>
      </c>
      <c r="C454" s="167" t="str">
        <v/>
      </c>
      <c r="D454" s="167" t="str">
        <v/>
      </c>
      <c r="E454" s="167" t="str">
        <v/>
      </c>
      <c r="F454" s="167" t="str">
        <v/>
      </c>
      <c r="G454" s="167" t="str">
        <v/>
      </c>
      <c r="H454" s="167" t="str">
        <v/>
      </c>
      <c r="I454" s="167" t="str">
        <v/>
      </c>
      <c r="J454" s="167" t="str">
        <v/>
      </c>
      <c r="K454" s="167" t="str">
        <v/>
      </c>
      <c r="L454" s="167" t="str">
        <v/>
      </c>
      <c r="M454" s="167" t="str">
        <v/>
      </c>
      <c r="N454" s="167" t="str">
        <v/>
      </c>
      <c r="O454" s="167" t="str">
        <v/>
      </c>
      <c r="P454" s="167" t="str">
        <v/>
      </c>
    </row>
    <row r="455" spans="1:16" x14ac:dyDescent="0.2">
      <c r="A455" s="58" t="str">
        <v/>
      </c>
      <c r="B455" s="144" t="str">
        <f>IFERROR(TIMEVALUE(DaqBook_RAW_Data!Q445),IFERROR(TIMEVALUE(DaqBook_RAW_Data!A445),""))</f>
        <v/>
      </c>
      <c r="C455" s="167" t="str">
        <v/>
      </c>
      <c r="D455" s="167" t="str">
        <v/>
      </c>
      <c r="E455" s="167" t="str">
        <v/>
      </c>
      <c r="F455" s="167" t="str">
        <v/>
      </c>
      <c r="G455" s="167" t="str">
        <v/>
      </c>
      <c r="H455" s="167" t="str">
        <v/>
      </c>
      <c r="I455" s="167" t="str">
        <v/>
      </c>
      <c r="J455" s="167" t="str">
        <v/>
      </c>
      <c r="K455" s="167" t="str">
        <v/>
      </c>
      <c r="L455" s="167" t="str">
        <v/>
      </c>
      <c r="M455" s="167" t="str">
        <v/>
      </c>
      <c r="N455" s="167" t="str">
        <v/>
      </c>
      <c r="O455" s="167" t="str">
        <v/>
      </c>
      <c r="P455" s="167" t="str">
        <v/>
      </c>
    </row>
    <row r="456" spans="1:16" x14ac:dyDescent="0.2">
      <c r="A456" s="58" t="str">
        <v/>
      </c>
      <c r="B456" s="144" t="str">
        <f>IFERROR(TIMEVALUE(DaqBook_RAW_Data!Q446),IFERROR(TIMEVALUE(DaqBook_RAW_Data!A446),""))</f>
        <v/>
      </c>
      <c r="C456" s="167" t="str">
        <v/>
      </c>
      <c r="D456" s="167" t="str">
        <v/>
      </c>
      <c r="E456" s="167" t="str">
        <v/>
      </c>
      <c r="F456" s="167" t="str">
        <v/>
      </c>
      <c r="G456" s="167" t="str">
        <v/>
      </c>
      <c r="H456" s="167" t="str">
        <v/>
      </c>
      <c r="I456" s="167" t="str">
        <v/>
      </c>
      <c r="J456" s="167" t="str">
        <v/>
      </c>
      <c r="K456" s="167" t="str">
        <v/>
      </c>
      <c r="L456" s="167" t="str">
        <v/>
      </c>
      <c r="M456" s="167" t="str">
        <v/>
      </c>
      <c r="N456" s="167" t="str">
        <v/>
      </c>
      <c r="O456" s="167" t="str">
        <v/>
      </c>
      <c r="P456" s="167" t="str">
        <v/>
      </c>
    </row>
    <row r="457" spans="1:16" x14ac:dyDescent="0.2">
      <c r="A457" s="58" t="str">
        <v/>
      </c>
      <c r="B457" s="144" t="str">
        <f>IFERROR(TIMEVALUE(DaqBook_RAW_Data!Q447),IFERROR(TIMEVALUE(DaqBook_RAW_Data!A447),""))</f>
        <v/>
      </c>
      <c r="C457" s="167" t="str">
        <v/>
      </c>
      <c r="D457" s="167" t="str">
        <v/>
      </c>
      <c r="E457" s="167" t="str">
        <v/>
      </c>
      <c r="F457" s="167" t="str">
        <v/>
      </c>
      <c r="G457" s="167" t="str">
        <v/>
      </c>
      <c r="H457" s="167" t="str">
        <v/>
      </c>
      <c r="I457" s="167" t="str">
        <v/>
      </c>
      <c r="J457" s="167" t="str">
        <v/>
      </c>
      <c r="K457" s="167" t="str">
        <v/>
      </c>
      <c r="L457" s="167" t="str">
        <v/>
      </c>
      <c r="M457" s="167" t="str">
        <v/>
      </c>
      <c r="N457" s="167" t="str">
        <v/>
      </c>
      <c r="O457" s="167" t="str">
        <v/>
      </c>
      <c r="P457" s="167" t="str">
        <v/>
      </c>
    </row>
    <row r="458" spans="1:16" x14ac:dyDescent="0.2">
      <c r="A458" s="58" t="str">
        <v/>
      </c>
      <c r="B458" s="144" t="str">
        <f>IFERROR(TIMEVALUE(DaqBook_RAW_Data!Q448),IFERROR(TIMEVALUE(DaqBook_RAW_Data!A448),""))</f>
        <v/>
      </c>
      <c r="C458" s="167" t="str">
        <v/>
      </c>
      <c r="D458" s="167" t="str">
        <v/>
      </c>
      <c r="E458" s="167" t="str">
        <v/>
      </c>
      <c r="F458" s="167" t="str">
        <v/>
      </c>
      <c r="G458" s="167" t="str">
        <v/>
      </c>
      <c r="H458" s="167" t="str">
        <v/>
      </c>
      <c r="I458" s="167" t="str">
        <v/>
      </c>
      <c r="J458" s="167" t="str">
        <v/>
      </c>
      <c r="K458" s="167" t="str">
        <v/>
      </c>
      <c r="L458" s="167" t="str">
        <v/>
      </c>
      <c r="M458" s="167" t="str">
        <v/>
      </c>
      <c r="N458" s="167" t="str">
        <v/>
      </c>
      <c r="O458" s="167" t="str">
        <v/>
      </c>
      <c r="P458" s="167" t="str">
        <v/>
      </c>
    </row>
    <row r="459" spans="1:16" x14ac:dyDescent="0.2">
      <c r="A459" s="58" t="str">
        <v/>
      </c>
      <c r="B459" s="144" t="str">
        <f>IFERROR(TIMEVALUE(DaqBook_RAW_Data!Q449),IFERROR(TIMEVALUE(DaqBook_RAW_Data!A449),""))</f>
        <v/>
      </c>
      <c r="C459" s="167" t="str">
        <v/>
      </c>
      <c r="D459" s="167" t="str">
        <v/>
      </c>
      <c r="E459" s="167" t="str">
        <v/>
      </c>
      <c r="F459" s="167" t="str">
        <v/>
      </c>
      <c r="G459" s="167" t="str">
        <v/>
      </c>
      <c r="H459" s="167" t="str">
        <v/>
      </c>
      <c r="I459" s="167" t="str">
        <v/>
      </c>
      <c r="J459" s="167" t="str">
        <v/>
      </c>
      <c r="K459" s="167" t="str">
        <v/>
      </c>
      <c r="L459" s="167" t="str">
        <v/>
      </c>
      <c r="M459" s="167" t="str">
        <v/>
      </c>
      <c r="N459" s="167" t="str">
        <v/>
      </c>
      <c r="O459" s="167" t="str">
        <v/>
      </c>
      <c r="P459" s="167" t="str">
        <v/>
      </c>
    </row>
    <row r="460" spans="1:16" x14ac:dyDescent="0.2">
      <c r="A460" s="58" t="str">
        <v/>
      </c>
      <c r="B460" s="144" t="str">
        <f>IFERROR(TIMEVALUE(DaqBook_RAW_Data!Q450),IFERROR(TIMEVALUE(DaqBook_RAW_Data!A450),""))</f>
        <v/>
      </c>
      <c r="C460" s="167" t="str">
        <v/>
      </c>
      <c r="D460" s="167" t="str">
        <v/>
      </c>
      <c r="E460" s="167" t="str">
        <v/>
      </c>
      <c r="F460" s="167" t="str">
        <v/>
      </c>
      <c r="G460" s="167" t="str">
        <v/>
      </c>
      <c r="H460" s="167" t="str">
        <v/>
      </c>
      <c r="I460" s="167" t="str">
        <v/>
      </c>
      <c r="J460" s="167" t="str">
        <v/>
      </c>
      <c r="K460" s="167" t="str">
        <v/>
      </c>
      <c r="L460" s="167" t="str">
        <v/>
      </c>
      <c r="M460" s="167" t="str">
        <v/>
      </c>
      <c r="N460" s="167" t="str">
        <v/>
      </c>
      <c r="O460" s="167" t="str">
        <v/>
      </c>
      <c r="P460" s="167" t="str">
        <v/>
      </c>
    </row>
    <row r="461" spans="1:16" x14ac:dyDescent="0.2">
      <c r="A461" s="58" t="str">
        <v/>
      </c>
      <c r="B461" s="144" t="str">
        <f>IFERROR(TIMEVALUE(DaqBook_RAW_Data!Q451),IFERROR(TIMEVALUE(DaqBook_RAW_Data!A451),""))</f>
        <v/>
      </c>
      <c r="C461" s="167" t="str">
        <v/>
      </c>
      <c r="D461" s="167" t="str">
        <v/>
      </c>
      <c r="E461" s="167" t="str">
        <v/>
      </c>
      <c r="F461" s="167" t="str">
        <v/>
      </c>
      <c r="G461" s="167" t="str">
        <v/>
      </c>
      <c r="H461" s="167" t="str">
        <v/>
      </c>
      <c r="I461" s="167" t="str">
        <v/>
      </c>
      <c r="J461" s="167" t="str">
        <v/>
      </c>
      <c r="K461" s="167" t="str">
        <v/>
      </c>
      <c r="L461" s="167" t="str">
        <v/>
      </c>
      <c r="M461" s="167" t="str">
        <v/>
      </c>
      <c r="N461" s="167" t="str">
        <v/>
      </c>
      <c r="O461" s="167" t="str">
        <v/>
      </c>
      <c r="P461" s="167" t="str">
        <v/>
      </c>
    </row>
    <row r="462" spans="1:16" x14ac:dyDescent="0.2">
      <c r="A462" s="58" t="str">
        <v/>
      </c>
      <c r="B462" s="144" t="str">
        <f>IFERROR(TIMEVALUE(DaqBook_RAW_Data!Q452),IFERROR(TIMEVALUE(DaqBook_RAW_Data!A452),""))</f>
        <v/>
      </c>
      <c r="C462" s="167" t="str">
        <v/>
      </c>
      <c r="D462" s="167" t="str">
        <v/>
      </c>
      <c r="E462" s="167" t="str">
        <v/>
      </c>
      <c r="F462" s="167" t="str">
        <v/>
      </c>
      <c r="G462" s="167" t="str">
        <v/>
      </c>
      <c r="H462" s="167" t="str">
        <v/>
      </c>
      <c r="I462" s="167" t="str">
        <v/>
      </c>
      <c r="J462" s="167" t="str">
        <v/>
      </c>
      <c r="K462" s="167" t="str">
        <v/>
      </c>
      <c r="L462" s="167" t="str">
        <v/>
      </c>
      <c r="M462" s="167" t="str">
        <v/>
      </c>
      <c r="N462" s="167" t="str">
        <v/>
      </c>
      <c r="O462" s="167" t="str">
        <v/>
      </c>
      <c r="P462" s="167" t="str">
        <v/>
      </c>
    </row>
    <row r="463" spans="1:16" x14ac:dyDescent="0.2">
      <c r="A463" s="58" t="str">
        <v/>
      </c>
      <c r="B463" s="144" t="str">
        <f>IFERROR(TIMEVALUE(DaqBook_RAW_Data!Q453),IFERROR(TIMEVALUE(DaqBook_RAW_Data!A453),""))</f>
        <v/>
      </c>
      <c r="C463" s="167" t="str">
        <v/>
      </c>
      <c r="D463" s="167" t="str">
        <v/>
      </c>
      <c r="E463" s="167" t="str">
        <v/>
      </c>
      <c r="F463" s="167" t="str">
        <v/>
      </c>
      <c r="G463" s="167" t="str">
        <v/>
      </c>
      <c r="H463" s="167" t="str">
        <v/>
      </c>
      <c r="I463" s="167" t="str">
        <v/>
      </c>
      <c r="J463" s="167" t="str">
        <v/>
      </c>
      <c r="K463" s="167" t="str">
        <v/>
      </c>
      <c r="L463" s="167" t="str">
        <v/>
      </c>
      <c r="M463" s="167" t="str">
        <v/>
      </c>
      <c r="N463" s="167" t="str">
        <v/>
      </c>
      <c r="O463" s="167" t="str">
        <v/>
      </c>
      <c r="P463" s="167" t="str">
        <v/>
      </c>
    </row>
    <row r="464" spans="1:16" x14ac:dyDescent="0.2">
      <c r="A464" s="58" t="str">
        <v/>
      </c>
      <c r="B464" s="144" t="str">
        <f>IFERROR(TIMEVALUE(DaqBook_RAW_Data!Q454),IFERROR(TIMEVALUE(DaqBook_RAW_Data!A454),""))</f>
        <v/>
      </c>
      <c r="C464" s="167" t="str">
        <v/>
      </c>
      <c r="D464" s="167" t="str">
        <v/>
      </c>
      <c r="E464" s="167" t="str">
        <v/>
      </c>
      <c r="F464" s="167" t="str">
        <v/>
      </c>
      <c r="G464" s="167" t="str">
        <v/>
      </c>
      <c r="H464" s="167" t="str">
        <v/>
      </c>
      <c r="I464" s="167" t="str">
        <v/>
      </c>
      <c r="J464" s="167" t="str">
        <v/>
      </c>
      <c r="K464" s="167" t="str">
        <v/>
      </c>
      <c r="L464" s="167" t="str">
        <v/>
      </c>
      <c r="M464" s="167" t="str">
        <v/>
      </c>
      <c r="N464" s="167" t="str">
        <v/>
      </c>
      <c r="O464" s="167" t="str">
        <v/>
      </c>
      <c r="P464" s="167" t="str">
        <v/>
      </c>
    </row>
    <row r="465" spans="1:16" x14ac:dyDescent="0.2">
      <c r="A465" s="58" t="str">
        <v/>
      </c>
      <c r="B465" s="144" t="str">
        <f>IFERROR(TIMEVALUE(DaqBook_RAW_Data!Q455),IFERROR(TIMEVALUE(DaqBook_RAW_Data!A455),""))</f>
        <v/>
      </c>
      <c r="C465" s="167" t="str">
        <v/>
      </c>
      <c r="D465" s="167" t="str">
        <v/>
      </c>
      <c r="E465" s="167" t="str">
        <v/>
      </c>
      <c r="F465" s="167" t="str">
        <v/>
      </c>
      <c r="G465" s="167" t="str">
        <v/>
      </c>
      <c r="H465" s="167" t="str">
        <v/>
      </c>
      <c r="I465" s="167" t="str">
        <v/>
      </c>
      <c r="J465" s="167" t="str">
        <v/>
      </c>
      <c r="K465" s="167" t="str">
        <v/>
      </c>
      <c r="L465" s="167" t="str">
        <v/>
      </c>
      <c r="M465" s="167" t="str">
        <v/>
      </c>
      <c r="N465" s="167" t="str">
        <v/>
      </c>
      <c r="O465" s="167" t="str">
        <v/>
      </c>
      <c r="P465" s="167" t="str">
        <v/>
      </c>
    </row>
    <row r="466" spans="1:16" x14ac:dyDescent="0.2">
      <c r="A466" s="58" t="str">
        <v/>
      </c>
      <c r="B466" s="144" t="str">
        <f>IFERROR(TIMEVALUE(DaqBook_RAW_Data!Q456),IFERROR(TIMEVALUE(DaqBook_RAW_Data!A456),""))</f>
        <v/>
      </c>
      <c r="C466" s="167" t="str">
        <v/>
      </c>
      <c r="D466" s="167" t="str">
        <v/>
      </c>
      <c r="E466" s="167" t="str">
        <v/>
      </c>
      <c r="F466" s="167" t="str">
        <v/>
      </c>
      <c r="G466" s="167" t="str">
        <v/>
      </c>
      <c r="H466" s="167" t="str">
        <v/>
      </c>
      <c r="I466" s="167" t="str">
        <v/>
      </c>
      <c r="J466" s="167" t="str">
        <v/>
      </c>
      <c r="K466" s="167" t="str">
        <v/>
      </c>
      <c r="L466" s="167" t="str">
        <v/>
      </c>
      <c r="M466" s="167" t="str">
        <v/>
      </c>
      <c r="N466" s="167" t="str">
        <v/>
      </c>
      <c r="O466" s="167" t="str">
        <v/>
      </c>
      <c r="P466" s="167" t="str">
        <v/>
      </c>
    </row>
    <row r="467" spans="1:16" x14ac:dyDescent="0.2">
      <c r="A467" s="58" t="str">
        <v/>
      </c>
      <c r="B467" s="144" t="str">
        <f>IFERROR(TIMEVALUE(DaqBook_RAW_Data!Q457),IFERROR(TIMEVALUE(DaqBook_RAW_Data!A457),""))</f>
        <v/>
      </c>
      <c r="C467" s="167" t="str">
        <v/>
      </c>
      <c r="D467" s="167" t="str">
        <v/>
      </c>
      <c r="E467" s="167" t="str">
        <v/>
      </c>
      <c r="F467" s="167" t="str">
        <v/>
      </c>
      <c r="G467" s="167" t="str">
        <v/>
      </c>
      <c r="H467" s="167" t="str">
        <v/>
      </c>
      <c r="I467" s="167" t="str">
        <v/>
      </c>
      <c r="J467" s="167" t="str">
        <v/>
      </c>
      <c r="K467" s="167" t="str">
        <v/>
      </c>
      <c r="L467" s="167" t="str">
        <v/>
      </c>
      <c r="M467" s="167" t="str">
        <v/>
      </c>
      <c r="N467" s="167" t="str">
        <v/>
      </c>
      <c r="O467" s="167" t="str">
        <v/>
      </c>
      <c r="P467" s="167" t="str">
        <v/>
      </c>
    </row>
    <row r="468" spans="1:16" x14ac:dyDescent="0.2">
      <c r="A468" s="58" t="str">
        <v/>
      </c>
      <c r="B468" s="144" t="str">
        <f>IFERROR(TIMEVALUE(DaqBook_RAW_Data!Q458),IFERROR(TIMEVALUE(DaqBook_RAW_Data!A458),""))</f>
        <v/>
      </c>
      <c r="C468" s="167" t="str">
        <v/>
      </c>
      <c r="D468" s="167" t="str">
        <v/>
      </c>
      <c r="E468" s="167" t="str">
        <v/>
      </c>
      <c r="F468" s="167" t="str">
        <v/>
      </c>
      <c r="G468" s="167" t="str">
        <v/>
      </c>
      <c r="H468" s="167" t="str">
        <v/>
      </c>
      <c r="I468" s="167" t="str">
        <v/>
      </c>
      <c r="J468" s="167" t="str">
        <v/>
      </c>
      <c r="K468" s="167" t="str">
        <v/>
      </c>
      <c r="L468" s="167" t="str">
        <v/>
      </c>
      <c r="M468" s="167" t="str">
        <v/>
      </c>
      <c r="N468" s="167" t="str">
        <v/>
      </c>
      <c r="O468" s="167" t="str">
        <v/>
      </c>
      <c r="P468" s="167" t="str">
        <v/>
      </c>
    </row>
    <row r="469" spans="1:16" x14ac:dyDescent="0.2">
      <c r="A469" s="58" t="str">
        <v/>
      </c>
      <c r="B469" s="144" t="str">
        <f>IFERROR(TIMEVALUE(DaqBook_RAW_Data!Q459),IFERROR(TIMEVALUE(DaqBook_RAW_Data!A459),""))</f>
        <v/>
      </c>
      <c r="C469" s="167" t="str">
        <v/>
      </c>
      <c r="D469" s="167" t="str">
        <v/>
      </c>
      <c r="E469" s="167" t="str">
        <v/>
      </c>
      <c r="F469" s="167" t="str">
        <v/>
      </c>
      <c r="G469" s="167" t="str">
        <v/>
      </c>
      <c r="H469" s="167" t="str">
        <v/>
      </c>
      <c r="I469" s="167" t="str">
        <v/>
      </c>
      <c r="J469" s="167" t="str">
        <v/>
      </c>
      <c r="K469" s="167" t="str">
        <v/>
      </c>
      <c r="L469" s="167" t="str">
        <v/>
      </c>
      <c r="M469" s="167" t="str">
        <v/>
      </c>
      <c r="N469" s="167" t="str">
        <v/>
      </c>
      <c r="O469" s="167" t="str">
        <v/>
      </c>
      <c r="P469" s="167" t="str">
        <v/>
      </c>
    </row>
    <row r="470" spans="1:16" x14ac:dyDescent="0.2">
      <c r="A470" s="58" t="str">
        <v/>
      </c>
      <c r="B470" s="144" t="str">
        <f>IFERROR(TIMEVALUE(DaqBook_RAW_Data!Q460),IFERROR(TIMEVALUE(DaqBook_RAW_Data!A460),""))</f>
        <v/>
      </c>
      <c r="C470" s="167" t="str">
        <v/>
      </c>
      <c r="D470" s="167" t="str">
        <v/>
      </c>
      <c r="E470" s="167" t="str">
        <v/>
      </c>
      <c r="F470" s="167" t="str">
        <v/>
      </c>
      <c r="G470" s="167" t="str">
        <v/>
      </c>
      <c r="H470" s="167" t="str">
        <v/>
      </c>
      <c r="I470" s="167" t="str">
        <v/>
      </c>
      <c r="J470" s="167" t="str">
        <v/>
      </c>
      <c r="K470" s="167" t="str">
        <v/>
      </c>
      <c r="L470" s="167" t="str">
        <v/>
      </c>
      <c r="M470" s="167" t="str">
        <v/>
      </c>
      <c r="N470" s="167" t="str">
        <v/>
      </c>
      <c r="O470" s="167" t="str">
        <v/>
      </c>
      <c r="P470" s="167" t="str">
        <v/>
      </c>
    </row>
    <row r="471" spans="1:16" x14ac:dyDescent="0.2">
      <c r="A471" s="58" t="str">
        <v/>
      </c>
      <c r="B471" s="144" t="str">
        <f>IFERROR(TIMEVALUE(DaqBook_RAW_Data!Q461),IFERROR(TIMEVALUE(DaqBook_RAW_Data!A461),""))</f>
        <v/>
      </c>
      <c r="C471" s="167" t="str">
        <v/>
      </c>
      <c r="D471" s="167" t="str">
        <v/>
      </c>
      <c r="E471" s="167" t="str">
        <v/>
      </c>
      <c r="F471" s="167" t="str">
        <v/>
      </c>
      <c r="G471" s="167" t="str">
        <v/>
      </c>
      <c r="H471" s="167" t="str">
        <v/>
      </c>
      <c r="I471" s="167" t="str">
        <v/>
      </c>
      <c r="J471" s="167" t="str">
        <v/>
      </c>
      <c r="K471" s="167" t="str">
        <v/>
      </c>
      <c r="L471" s="167" t="str">
        <v/>
      </c>
      <c r="M471" s="167" t="str">
        <v/>
      </c>
      <c r="N471" s="167" t="str">
        <v/>
      </c>
      <c r="O471" s="167" t="str">
        <v/>
      </c>
      <c r="P471" s="167" t="str">
        <v/>
      </c>
    </row>
    <row r="472" spans="1:16" x14ac:dyDescent="0.2">
      <c r="A472" s="58" t="str">
        <v/>
      </c>
      <c r="B472" s="144" t="str">
        <f>IFERROR(TIMEVALUE(DaqBook_RAW_Data!Q462),IFERROR(TIMEVALUE(DaqBook_RAW_Data!A462),""))</f>
        <v/>
      </c>
      <c r="C472" s="167" t="str">
        <v/>
      </c>
      <c r="D472" s="167" t="str">
        <v/>
      </c>
      <c r="E472" s="167" t="str">
        <v/>
      </c>
      <c r="F472" s="167" t="str">
        <v/>
      </c>
      <c r="G472" s="167" t="str">
        <v/>
      </c>
      <c r="H472" s="167" t="str">
        <v/>
      </c>
      <c r="I472" s="167" t="str">
        <v/>
      </c>
      <c r="J472" s="167" t="str">
        <v/>
      </c>
      <c r="K472" s="167" t="str">
        <v/>
      </c>
      <c r="L472" s="167" t="str">
        <v/>
      </c>
      <c r="M472" s="167" t="str">
        <v/>
      </c>
      <c r="N472" s="167" t="str">
        <v/>
      </c>
      <c r="O472" s="167" t="str">
        <v/>
      </c>
      <c r="P472" s="167" t="str">
        <v/>
      </c>
    </row>
    <row r="473" spans="1:16" x14ac:dyDescent="0.2">
      <c r="A473" s="58" t="str">
        <v/>
      </c>
      <c r="B473" s="144" t="str">
        <f>IFERROR(TIMEVALUE(DaqBook_RAW_Data!Q463),IFERROR(TIMEVALUE(DaqBook_RAW_Data!A463),""))</f>
        <v/>
      </c>
      <c r="C473" s="167" t="str">
        <v/>
      </c>
      <c r="D473" s="167" t="str">
        <v/>
      </c>
      <c r="E473" s="167" t="str">
        <v/>
      </c>
      <c r="F473" s="167" t="str">
        <v/>
      </c>
      <c r="G473" s="167" t="str">
        <v/>
      </c>
      <c r="H473" s="167" t="str">
        <v/>
      </c>
      <c r="I473" s="167" t="str">
        <v/>
      </c>
      <c r="J473" s="167" t="str">
        <v/>
      </c>
      <c r="K473" s="167" t="str">
        <v/>
      </c>
      <c r="L473" s="167" t="str">
        <v/>
      </c>
      <c r="M473" s="167" t="str">
        <v/>
      </c>
      <c r="N473" s="167" t="str">
        <v/>
      </c>
      <c r="O473" s="167" t="str">
        <v/>
      </c>
      <c r="P473" s="167" t="str">
        <v/>
      </c>
    </row>
    <row r="474" spans="1:16" x14ac:dyDescent="0.2">
      <c r="A474" s="58" t="str">
        <v/>
      </c>
      <c r="B474" s="144" t="str">
        <f>IFERROR(TIMEVALUE(DaqBook_RAW_Data!Q464),IFERROR(TIMEVALUE(DaqBook_RAW_Data!A464),""))</f>
        <v/>
      </c>
      <c r="C474" s="167" t="str">
        <v/>
      </c>
      <c r="D474" s="167" t="str">
        <v/>
      </c>
      <c r="E474" s="167" t="str">
        <v/>
      </c>
      <c r="F474" s="167" t="str">
        <v/>
      </c>
      <c r="G474" s="167" t="str">
        <v/>
      </c>
      <c r="H474" s="167" t="str">
        <v/>
      </c>
      <c r="I474" s="167" t="str">
        <v/>
      </c>
      <c r="J474" s="167" t="str">
        <v/>
      </c>
      <c r="K474" s="167" t="str">
        <v/>
      </c>
      <c r="L474" s="167" t="str">
        <v/>
      </c>
      <c r="M474" s="167" t="str">
        <v/>
      </c>
      <c r="N474" s="167" t="str">
        <v/>
      </c>
      <c r="O474" s="167" t="str">
        <v/>
      </c>
      <c r="P474" s="167" t="str">
        <v/>
      </c>
    </row>
    <row r="475" spans="1:16" x14ac:dyDescent="0.2">
      <c r="A475" s="58" t="str">
        <v/>
      </c>
      <c r="B475" s="144" t="str">
        <f>IFERROR(TIMEVALUE(DaqBook_RAW_Data!Q465),IFERROR(TIMEVALUE(DaqBook_RAW_Data!A465),""))</f>
        <v/>
      </c>
      <c r="C475" s="167" t="str">
        <v/>
      </c>
      <c r="D475" s="167" t="str">
        <v/>
      </c>
      <c r="E475" s="167" t="str">
        <v/>
      </c>
      <c r="F475" s="167" t="str">
        <v/>
      </c>
      <c r="G475" s="167" t="str">
        <v/>
      </c>
      <c r="H475" s="167" t="str">
        <v/>
      </c>
      <c r="I475" s="167" t="str">
        <v/>
      </c>
      <c r="J475" s="167" t="str">
        <v/>
      </c>
      <c r="K475" s="167" t="str">
        <v/>
      </c>
      <c r="L475" s="167" t="str">
        <v/>
      </c>
      <c r="M475" s="167" t="str">
        <v/>
      </c>
      <c r="N475" s="167" t="str">
        <v/>
      </c>
      <c r="O475" s="167" t="str">
        <v/>
      </c>
      <c r="P475" s="167" t="str">
        <v/>
      </c>
    </row>
    <row r="476" spans="1:16" x14ac:dyDescent="0.2">
      <c r="A476" s="58" t="str">
        <v/>
      </c>
      <c r="B476" s="144" t="str">
        <f>IFERROR(TIMEVALUE(DaqBook_RAW_Data!Q466),IFERROR(TIMEVALUE(DaqBook_RAW_Data!A466),""))</f>
        <v/>
      </c>
      <c r="C476" s="167" t="str">
        <v/>
      </c>
      <c r="D476" s="167" t="str">
        <v/>
      </c>
      <c r="E476" s="167" t="str">
        <v/>
      </c>
      <c r="F476" s="167" t="str">
        <v/>
      </c>
      <c r="G476" s="167" t="str">
        <v/>
      </c>
      <c r="H476" s="167" t="str">
        <v/>
      </c>
      <c r="I476" s="167" t="str">
        <v/>
      </c>
      <c r="J476" s="167" t="str">
        <v/>
      </c>
      <c r="K476" s="167" t="str">
        <v/>
      </c>
      <c r="L476" s="167" t="str">
        <v/>
      </c>
      <c r="M476" s="167" t="str">
        <v/>
      </c>
      <c r="N476" s="167" t="str">
        <v/>
      </c>
      <c r="O476" s="167" t="str">
        <v/>
      </c>
      <c r="P476" s="167" t="str">
        <v/>
      </c>
    </row>
    <row r="477" spans="1:16" x14ac:dyDescent="0.2">
      <c r="A477" s="58" t="str">
        <v/>
      </c>
      <c r="B477" s="144" t="str">
        <f>IFERROR(TIMEVALUE(DaqBook_RAW_Data!Q467),IFERROR(TIMEVALUE(DaqBook_RAW_Data!A467),""))</f>
        <v/>
      </c>
      <c r="C477" s="167" t="str">
        <v/>
      </c>
      <c r="D477" s="167" t="str">
        <v/>
      </c>
      <c r="E477" s="167" t="str">
        <v/>
      </c>
      <c r="F477" s="167" t="str">
        <v/>
      </c>
      <c r="G477" s="167" t="str">
        <v/>
      </c>
      <c r="H477" s="167" t="str">
        <v/>
      </c>
      <c r="I477" s="167" t="str">
        <v/>
      </c>
      <c r="J477" s="167" t="str">
        <v/>
      </c>
      <c r="K477" s="167" t="str">
        <v/>
      </c>
      <c r="L477" s="167" t="str">
        <v/>
      </c>
      <c r="M477" s="167" t="str">
        <v/>
      </c>
      <c r="N477" s="167" t="str">
        <v/>
      </c>
      <c r="O477" s="167" t="str">
        <v/>
      </c>
      <c r="P477" s="167" t="str">
        <v/>
      </c>
    </row>
    <row r="478" spans="1:16" x14ac:dyDescent="0.2">
      <c r="A478" s="58" t="str">
        <v/>
      </c>
      <c r="B478" s="144" t="str">
        <f>IFERROR(TIMEVALUE(DaqBook_RAW_Data!Q468),IFERROR(TIMEVALUE(DaqBook_RAW_Data!A468),""))</f>
        <v/>
      </c>
      <c r="C478" s="167" t="str">
        <v/>
      </c>
      <c r="D478" s="167" t="str">
        <v/>
      </c>
      <c r="E478" s="167" t="str">
        <v/>
      </c>
      <c r="F478" s="167" t="str">
        <v/>
      </c>
      <c r="G478" s="167" t="str">
        <v/>
      </c>
      <c r="H478" s="167" t="str">
        <v/>
      </c>
      <c r="I478" s="167" t="str">
        <v/>
      </c>
      <c r="J478" s="167" t="str">
        <v/>
      </c>
      <c r="K478" s="167" t="str">
        <v/>
      </c>
      <c r="L478" s="167" t="str">
        <v/>
      </c>
      <c r="M478" s="167" t="str">
        <v/>
      </c>
      <c r="N478" s="167" t="str">
        <v/>
      </c>
      <c r="O478" s="167" t="str">
        <v/>
      </c>
      <c r="P478" s="167" t="str">
        <v/>
      </c>
    </row>
    <row r="479" spans="1:16" x14ac:dyDescent="0.2">
      <c r="A479" s="58" t="str">
        <v/>
      </c>
      <c r="B479" s="144" t="str">
        <f>IFERROR(TIMEVALUE(DaqBook_RAW_Data!Q469),IFERROR(TIMEVALUE(DaqBook_RAW_Data!A469),""))</f>
        <v/>
      </c>
      <c r="C479" s="167" t="str">
        <v/>
      </c>
      <c r="D479" s="167" t="str">
        <v/>
      </c>
      <c r="E479" s="167" t="str">
        <v/>
      </c>
      <c r="F479" s="167" t="str">
        <v/>
      </c>
      <c r="G479" s="167" t="str">
        <v/>
      </c>
      <c r="H479" s="167" t="str">
        <v/>
      </c>
      <c r="I479" s="167" t="str">
        <v/>
      </c>
      <c r="J479" s="167" t="str">
        <v/>
      </c>
      <c r="K479" s="167" t="str">
        <v/>
      </c>
      <c r="L479" s="167" t="str">
        <v/>
      </c>
      <c r="M479" s="167" t="str">
        <v/>
      </c>
      <c r="N479" s="167" t="str">
        <v/>
      </c>
      <c r="O479" s="167" t="str">
        <v/>
      </c>
      <c r="P479" s="167" t="str">
        <v/>
      </c>
    </row>
    <row r="480" spans="1:16" x14ac:dyDescent="0.2">
      <c r="A480" s="58" t="str">
        <v/>
      </c>
      <c r="B480" s="144" t="str">
        <f>IFERROR(TIMEVALUE(DaqBook_RAW_Data!Q470),IFERROR(TIMEVALUE(DaqBook_RAW_Data!A470),""))</f>
        <v/>
      </c>
      <c r="C480" s="167" t="str">
        <v/>
      </c>
      <c r="D480" s="167" t="str">
        <v/>
      </c>
      <c r="E480" s="167" t="str">
        <v/>
      </c>
      <c r="F480" s="167" t="str">
        <v/>
      </c>
      <c r="G480" s="167" t="str">
        <v/>
      </c>
      <c r="H480" s="167" t="str">
        <v/>
      </c>
      <c r="I480" s="167" t="str">
        <v/>
      </c>
      <c r="J480" s="167" t="str">
        <v/>
      </c>
      <c r="K480" s="167" t="str">
        <v/>
      </c>
      <c r="L480" s="167" t="str">
        <v/>
      </c>
      <c r="M480" s="167" t="str">
        <v/>
      </c>
      <c r="N480" s="167" t="str">
        <v/>
      </c>
      <c r="O480" s="167" t="str">
        <v/>
      </c>
      <c r="P480" s="167" t="str">
        <v/>
      </c>
    </row>
    <row r="481" spans="1:16" x14ac:dyDescent="0.2">
      <c r="A481" s="58" t="str">
        <v/>
      </c>
      <c r="B481" s="144" t="str">
        <f>IFERROR(TIMEVALUE(DaqBook_RAW_Data!Q471),IFERROR(TIMEVALUE(DaqBook_RAW_Data!A471),""))</f>
        <v/>
      </c>
      <c r="C481" s="167" t="str">
        <v/>
      </c>
      <c r="D481" s="167" t="str">
        <v/>
      </c>
      <c r="E481" s="167" t="str">
        <v/>
      </c>
      <c r="F481" s="167" t="str">
        <v/>
      </c>
      <c r="G481" s="167" t="str">
        <v/>
      </c>
      <c r="H481" s="167" t="str">
        <v/>
      </c>
      <c r="I481" s="167" t="str">
        <v/>
      </c>
      <c r="J481" s="167" t="str">
        <v/>
      </c>
      <c r="K481" s="167" t="str">
        <v/>
      </c>
      <c r="L481" s="167" t="str">
        <v/>
      </c>
      <c r="M481" s="167" t="str">
        <v/>
      </c>
      <c r="N481" s="167" t="str">
        <v/>
      </c>
      <c r="O481" s="167" t="str">
        <v/>
      </c>
      <c r="P481" s="167" t="str">
        <v/>
      </c>
    </row>
    <row r="482" spans="1:16" x14ac:dyDescent="0.2">
      <c r="A482" s="58" t="str">
        <v/>
      </c>
      <c r="B482" s="144" t="str">
        <f>IFERROR(TIMEVALUE(DaqBook_RAW_Data!Q472),IFERROR(TIMEVALUE(DaqBook_RAW_Data!A472),""))</f>
        <v/>
      </c>
      <c r="C482" s="167" t="str">
        <v/>
      </c>
      <c r="D482" s="167" t="str">
        <v/>
      </c>
      <c r="E482" s="167" t="str">
        <v/>
      </c>
      <c r="F482" s="167" t="str">
        <v/>
      </c>
      <c r="G482" s="167" t="str">
        <v/>
      </c>
      <c r="H482" s="167" t="str">
        <v/>
      </c>
      <c r="I482" s="167" t="str">
        <v/>
      </c>
      <c r="J482" s="167" t="str">
        <v/>
      </c>
      <c r="K482" s="167" t="str">
        <v/>
      </c>
      <c r="L482" s="167" t="str">
        <v/>
      </c>
      <c r="M482" s="167" t="str">
        <v/>
      </c>
      <c r="N482" s="167" t="str">
        <v/>
      </c>
      <c r="O482" s="167" t="str">
        <v/>
      </c>
      <c r="P482" s="167" t="str">
        <v/>
      </c>
    </row>
    <row r="483" spans="1:16" x14ac:dyDescent="0.2">
      <c r="A483" s="58" t="str">
        <v/>
      </c>
      <c r="B483" s="144" t="str">
        <f>IFERROR(TIMEVALUE(DaqBook_RAW_Data!Q473),IFERROR(TIMEVALUE(DaqBook_RAW_Data!A473),""))</f>
        <v/>
      </c>
      <c r="C483" s="167" t="str">
        <v/>
      </c>
      <c r="D483" s="167" t="str">
        <v/>
      </c>
      <c r="E483" s="167" t="str">
        <v/>
      </c>
      <c r="F483" s="167" t="str">
        <v/>
      </c>
      <c r="G483" s="167" t="str">
        <v/>
      </c>
      <c r="H483" s="167" t="str">
        <v/>
      </c>
      <c r="I483" s="167" t="str">
        <v/>
      </c>
      <c r="J483" s="167" t="str">
        <v/>
      </c>
      <c r="K483" s="167" t="str">
        <v/>
      </c>
      <c r="L483" s="167" t="str">
        <v/>
      </c>
      <c r="M483" s="167" t="str">
        <v/>
      </c>
      <c r="N483" s="167" t="str">
        <v/>
      </c>
      <c r="O483" s="167" t="str">
        <v/>
      </c>
      <c r="P483" s="167" t="str">
        <v/>
      </c>
    </row>
    <row r="484" spans="1:16" x14ac:dyDescent="0.2">
      <c r="A484" s="58" t="str">
        <v/>
      </c>
      <c r="B484" s="144" t="str">
        <f>IFERROR(TIMEVALUE(DaqBook_RAW_Data!Q474),IFERROR(TIMEVALUE(DaqBook_RAW_Data!A474),""))</f>
        <v/>
      </c>
      <c r="C484" s="167" t="str">
        <v/>
      </c>
      <c r="D484" s="167" t="str">
        <v/>
      </c>
      <c r="E484" s="167" t="str">
        <v/>
      </c>
      <c r="F484" s="167" t="str">
        <v/>
      </c>
      <c r="G484" s="167" t="str">
        <v/>
      </c>
      <c r="H484" s="167" t="str">
        <v/>
      </c>
      <c r="I484" s="167" t="str">
        <v/>
      </c>
      <c r="J484" s="167" t="str">
        <v/>
      </c>
      <c r="K484" s="167" t="str">
        <v/>
      </c>
      <c r="L484" s="167" t="str">
        <v/>
      </c>
      <c r="M484" s="167" t="str">
        <v/>
      </c>
      <c r="N484" s="167" t="str">
        <v/>
      </c>
      <c r="O484" s="167" t="str">
        <v/>
      </c>
      <c r="P484" s="167" t="str">
        <v/>
      </c>
    </row>
    <row r="485" spans="1:16" x14ac:dyDescent="0.2">
      <c r="A485" s="58" t="str">
        <v/>
      </c>
      <c r="B485" s="144" t="str">
        <f>IFERROR(TIMEVALUE(DaqBook_RAW_Data!Q475),IFERROR(TIMEVALUE(DaqBook_RAW_Data!A475),""))</f>
        <v/>
      </c>
      <c r="C485" s="167" t="str">
        <v/>
      </c>
      <c r="D485" s="167" t="str">
        <v/>
      </c>
      <c r="E485" s="167" t="str">
        <v/>
      </c>
      <c r="F485" s="167" t="str">
        <v/>
      </c>
      <c r="G485" s="167" t="str">
        <v/>
      </c>
      <c r="H485" s="167" t="str">
        <v/>
      </c>
      <c r="I485" s="167" t="str">
        <v/>
      </c>
      <c r="J485" s="167" t="str">
        <v/>
      </c>
      <c r="K485" s="167" t="str">
        <v/>
      </c>
      <c r="L485" s="167" t="str">
        <v/>
      </c>
      <c r="M485" s="167" t="str">
        <v/>
      </c>
      <c r="N485" s="167" t="str">
        <v/>
      </c>
      <c r="O485" s="167" t="str">
        <v/>
      </c>
      <c r="P485" s="167" t="str">
        <v/>
      </c>
    </row>
    <row r="486" spans="1:16" x14ac:dyDescent="0.2">
      <c r="A486" s="58" t="str">
        <v/>
      </c>
      <c r="B486" s="144" t="str">
        <f>IFERROR(TIMEVALUE(DaqBook_RAW_Data!Q476),IFERROR(TIMEVALUE(DaqBook_RAW_Data!A476),""))</f>
        <v/>
      </c>
      <c r="C486" s="167" t="str">
        <v/>
      </c>
      <c r="D486" s="167" t="str">
        <v/>
      </c>
      <c r="E486" s="167" t="str">
        <v/>
      </c>
      <c r="F486" s="167" t="str">
        <v/>
      </c>
      <c r="G486" s="167" t="str">
        <v/>
      </c>
      <c r="H486" s="167" t="str">
        <v/>
      </c>
      <c r="I486" s="167" t="str">
        <v/>
      </c>
      <c r="J486" s="167" t="str">
        <v/>
      </c>
      <c r="K486" s="167" t="str">
        <v/>
      </c>
      <c r="L486" s="167" t="str">
        <v/>
      </c>
      <c r="M486" s="167" t="str">
        <v/>
      </c>
      <c r="N486" s="167" t="str">
        <v/>
      </c>
      <c r="O486" s="167" t="str">
        <v/>
      </c>
      <c r="P486" s="167" t="str">
        <v/>
      </c>
    </row>
    <row r="487" spans="1:16" x14ac:dyDescent="0.2">
      <c r="A487" s="58" t="str">
        <v/>
      </c>
      <c r="B487" s="144" t="str">
        <f>IFERROR(TIMEVALUE(DaqBook_RAW_Data!Q477),IFERROR(TIMEVALUE(DaqBook_RAW_Data!A477),""))</f>
        <v/>
      </c>
      <c r="C487" s="167" t="str">
        <v/>
      </c>
      <c r="D487" s="167" t="str">
        <v/>
      </c>
      <c r="E487" s="167" t="str">
        <v/>
      </c>
      <c r="F487" s="167" t="str">
        <v/>
      </c>
      <c r="G487" s="167" t="str">
        <v/>
      </c>
      <c r="H487" s="167" t="str">
        <v/>
      </c>
      <c r="I487" s="167" t="str">
        <v/>
      </c>
      <c r="J487" s="167" t="str">
        <v/>
      </c>
      <c r="K487" s="167" t="str">
        <v/>
      </c>
      <c r="L487" s="167" t="str">
        <v/>
      </c>
      <c r="M487" s="167" t="str">
        <v/>
      </c>
      <c r="N487" s="167" t="str">
        <v/>
      </c>
      <c r="O487" s="167" t="str">
        <v/>
      </c>
      <c r="P487" s="167" t="str">
        <v/>
      </c>
    </row>
    <row r="488" spans="1:16" x14ac:dyDescent="0.2">
      <c r="A488" s="58" t="str">
        <v/>
      </c>
      <c r="B488" s="144" t="str">
        <f>IFERROR(TIMEVALUE(DaqBook_RAW_Data!Q478),IFERROR(TIMEVALUE(DaqBook_RAW_Data!A478),""))</f>
        <v/>
      </c>
      <c r="C488" s="167" t="str">
        <v/>
      </c>
      <c r="D488" s="167" t="str">
        <v/>
      </c>
      <c r="E488" s="167" t="str">
        <v/>
      </c>
      <c r="F488" s="167" t="str">
        <v/>
      </c>
      <c r="G488" s="167" t="str">
        <v/>
      </c>
      <c r="H488" s="167" t="str">
        <v/>
      </c>
      <c r="I488" s="167" t="str">
        <v/>
      </c>
      <c r="J488" s="167" t="str">
        <v/>
      </c>
      <c r="K488" s="167" t="str">
        <v/>
      </c>
      <c r="L488" s="167" t="str">
        <v/>
      </c>
      <c r="M488" s="167" t="str">
        <v/>
      </c>
      <c r="N488" s="167" t="str">
        <v/>
      </c>
      <c r="O488" s="167" t="str">
        <v/>
      </c>
      <c r="P488" s="167" t="str">
        <v/>
      </c>
    </row>
    <row r="489" spans="1:16" x14ac:dyDescent="0.2">
      <c r="A489" s="58" t="str">
        <v/>
      </c>
      <c r="B489" s="144" t="str">
        <f>IFERROR(TIMEVALUE(DaqBook_RAW_Data!Q479),IFERROR(TIMEVALUE(DaqBook_RAW_Data!A479),""))</f>
        <v/>
      </c>
      <c r="C489" s="167" t="str">
        <v/>
      </c>
      <c r="D489" s="167" t="str">
        <v/>
      </c>
      <c r="E489" s="167" t="str">
        <v/>
      </c>
      <c r="F489" s="167" t="str">
        <v/>
      </c>
      <c r="G489" s="167" t="str">
        <v/>
      </c>
      <c r="H489" s="167" t="str">
        <v/>
      </c>
      <c r="I489" s="167" t="str">
        <v/>
      </c>
      <c r="J489" s="167" t="str">
        <v/>
      </c>
      <c r="K489" s="167" t="str">
        <v/>
      </c>
      <c r="L489" s="167" t="str">
        <v/>
      </c>
      <c r="M489" s="167" t="str">
        <v/>
      </c>
      <c r="N489" s="167" t="str">
        <v/>
      </c>
      <c r="O489" s="167" t="str">
        <v/>
      </c>
      <c r="P489" s="167" t="str">
        <v/>
      </c>
    </row>
    <row r="490" spans="1:16" x14ac:dyDescent="0.2">
      <c r="A490" s="58" t="str">
        <v/>
      </c>
      <c r="B490" s="144" t="str">
        <f>IFERROR(TIMEVALUE(DaqBook_RAW_Data!Q480),IFERROR(TIMEVALUE(DaqBook_RAW_Data!A480),""))</f>
        <v/>
      </c>
      <c r="C490" s="167" t="str">
        <v/>
      </c>
      <c r="D490" s="167" t="str">
        <v/>
      </c>
      <c r="E490" s="167" t="str">
        <v/>
      </c>
      <c r="F490" s="167" t="str">
        <v/>
      </c>
      <c r="G490" s="167" t="str">
        <v/>
      </c>
      <c r="H490" s="167" t="str">
        <v/>
      </c>
      <c r="I490" s="167" t="str">
        <v/>
      </c>
      <c r="J490" s="167" t="str">
        <v/>
      </c>
      <c r="K490" s="167" t="str">
        <v/>
      </c>
      <c r="L490" s="167" t="str">
        <v/>
      </c>
      <c r="M490" s="167" t="str">
        <v/>
      </c>
      <c r="N490" s="167" t="str">
        <v/>
      </c>
      <c r="O490" s="167" t="str">
        <v/>
      </c>
      <c r="P490" s="167" t="str">
        <v/>
      </c>
    </row>
    <row r="491" spans="1:16" x14ac:dyDescent="0.2">
      <c r="A491" s="58" t="str">
        <v/>
      </c>
      <c r="B491" s="144" t="str">
        <f>IFERROR(TIMEVALUE(DaqBook_RAW_Data!Q481),IFERROR(TIMEVALUE(DaqBook_RAW_Data!A481),""))</f>
        <v/>
      </c>
      <c r="C491" s="167" t="str">
        <v/>
      </c>
      <c r="D491" s="167" t="str">
        <v/>
      </c>
      <c r="E491" s="167" t="str">
        <v/>
      </c>
      <c r="F491" s="167" t="str">
        <v/>
      </c>
      <c r="G491" s="167" t="str">
        <v/>
      </c>
      <c r="H491" s="167" t="str">
        <v/>
      </c>
      <c r="I491" s="167" t="str">
        <v/>
      </c>
      <c r="J491" s="167" t="str">
        <v/>
      </c>
      <c r="K491" s="167" t="str">
        <v/>
      </c>
      <c r="L491" s="167" t="str">
        <v/>
      </c>
      <c r="M491" s="167" t="str">
        <v/>
      </c>
      <c r="N491" s="167" t="str">
        <v/>
      </c>
      <c r="O491" s="167" t="str">
        <v/>
      </c>
      <c r="P491" s="167" t="str">
        <v/>
      </c>
    </row>
    <row r="492" spans="1:16" x14ac:dyDescent="0.2">
      <c r="A492" s="58" t="str">
        <v/>
      </c>
      <c r="B492" s="144" t="str">
        <f>IFERROR(TIMEVALUE(DaqBook_RAW_Data!Q482),IFERROR(TIMEVALUE(DaqBook_RAW_Data!A482),""))</f>
        <v/>
      </c>
      <c r="C492" s="167" t="str">
        <v/>
      </c>
      <c r="D492" s="167" t="str">
        <v/>
      </c>
      <c r="E492" s="167" t="str">
        <v/>
      </c>
      <c r="F492" s="167" t="str">
        <v/>
      </c>
      <c r="G492" s="167" t="str">
        <v/>
      </c>
      <c r="H492" s="167" t="str">
        <v/>
      </c>
      <c r="I492" s="167" t="str">
        <v/>
      </c>
      <c r="J492" s="167" t="str">
        <v/>
      </c>
      <c r="K492" s="167" t="str">
        <v/>
      </c>
      <c r="L492" s="167" t="str">
        <v/>
      </c>
      <c r="M492" s="167" t="str">
        <v/>
      </c>
      <c r="N492" s="167" t="str">
        <v/>
      </c>
      <c r="O492" s="167" t="str">
        <v/>
      </c>
      <c r="P492" s="167" t="str">
        <v/>
      </c>
    </row>
    <row r="493" spans="1:16" x14ac:dyDescent="0.2">
      <c r="A493" s="58" t="str">
        <v/>
      </c>
      <c r="B493" s="144" t="str">
        <f>IFERROR(TIMEVALUE(DaqBook_RAW_Data!Q483),IFERROR(TIMEVALUE(DaqBook_RAW_Data!A483),""))</f>
        <v/>
      </c>
      <c r="C493" s="167" t="str">
        <v/>
      </c>
      <c r="D493" s="167" t="str">
        <v/>
      </c>
      <c r="E493" s="167" t="str">
        <v/>
      </c>
      <c r="F493" s="167" t="str">
        <v/>
      </c>
      <c r="G493" s="167" t="str">
        <v/>
      </c>
      <c r="H493" s="167" t="str">
        <v/>
      </c>
      <c r="I493" s="167" t="str">
        <v/>
      </c>
      <c r="J493" s="167" t="str">
        <v/>
      </c>
      <c r="K493" s="167" t="str">
        <v/>
      </c>
      <c r="L493" s="167" t="str">
        <v/>
      </c>
      <c r="M493" s="167" t="str">
        <v/>
      </c>
      <c r="N493" s="167" t="str">
        <v/>
      </c>
      <c r="O493" s="167" t="str">
        <v/>
      </c>
      <c r="P493" s="167" t="str">
        <v/>
      </c>
    </row>
    <row r="494" spans="1:16" x14ac:dyDescent="0.2">
      <c r="A494" s="58" t="str">
        <v/>
      </c>
      <c r="B494" s="144" t="str">
        <f>IFERROR(TIMEVALUE(DaqBook_RAW_Data!Q484),IFERROR(TIMEVALUE(DaqBook_RAW_Data!A484),""))</f>
        <v/>
      </c>
      <c r="C494" s="167" t="str">
        <v/>
      </c>
      <c r="D494" s="167" t="str">
        <v/>
      </c>
      <c r="E494" s="167" t="str">
        <v/>
      </c>
      <c r="F494" s="167" t="str">
        <v/>
      </c>
      <c r="G494" s="167" t="str">
        <v/>
      </c>
      <c r="H494" s="167" t="str">
        <v/>
      </c>
      <c r="I494" s="167" t="str">
        <v/>
      </c>
      <c r="J494" s="167" t="str">
        <v/>
      </c>
      <c r="K494" s="167" t="str">
        <v/>
      </c>
      <c r="L494" s="167" t="str">
        <v/>
      </c>
      <c r="M494" s="167" t="str">
        <v/>
      </c>
      <c r="N494" s="167" t="str">
        <v/>
      </c>
      <c r="O494" s="167" t="str">
        <v/>
      </c>
      <c r="P494" s="167" t="str">
        <v/>
      </c>
    </row>
    <row r="495" spans="1:16" x14ac:dyDescent="0.2">
      <c r="A495" s="58" t="str">
        <v/>
      </c>
      <c r="B495" s="144" t="str">
        <f>IFERROR(TIMEVALUE(DaqBook_RAW_Data!Q485),IFERROR(TIMEVALUE(DaqBook_RAW_Data!A485),""))</f>
        <v/>
      </c>
      <c r="C495" s="167" t="str">
        <v/>
      </c>
      <c r="D495" s="167" t="str">
        <v/>
      </c>
      <c r="E495" s="167" t="str">
        <v/>
      </c>
      <c r="F495" s="167" t="str">
        <v/>
      </c>
      <c r="G495" s="167" t="str">
        <v/>
      </c>
      <c r="H495" s="167" t="str">
        <v/>
      </c>
      <c r="I495" s="167" t="str">
        <v/>
      </c>
      <c r="J495" s="167" t="str">
        <v/>
      </c>
      <c r="K495" s="167" t="str">
        <v/>
      </c>
      <c r="L495" s="167" t="str">
        <v/>
      </c>
      <c r="M495" s="167" t="str">
        <v/>
      </c>
      <c r="N495" s="167" t="str">
        <v/>
      </c>
      <c r="O495" s="167" t="str">
        <v/>
      </c>
      <c r="P495" s="167" t="str">
        <v/>
      </c>
    </row>
    <row r="496" spans="1:16" x14ac:dyDescent="0.2">
      <c r="A496" s="58" t="str">
        <v/>
      </c>
      <c r="B496" s="144" t="str">
        <f>IFERROR(TIMEVALUE(DaqBook_RAW_Data!Q486),IFERROR(TIMEVALUE(DaqBook_RAW_Data!A486),""))</f>
        <v/>
      </c>
      <c r="C496" s="167" t="str">
        <v/>
      </c>
      <c r="D496" s="167" t="str">
        <v/>
      </c>
      <c r="E496" s="167" t="str">
        <v/>
      </c>
      <c r="F496" s="167" t="str">
        <v/>
      </c>
      <c r="G496" s="167" t="str">
        <v/>
      </c>
      <c r="H496" s="167" t="str">
        <v/>
      </c>
      <c r="I496" s="167" t="str">
        <v/>
      </c>
      <c r="J496" s="167" t="str">
        <v/>
      </c>
      <c r="K496" s="167" t="str">
        <v/>
      </c>
      <c r="L496" s="167" t="str">
        <v/>
      </c>
      <c r="M496" s="167" t="str">
        <v/>
      </c>
      <c r="N496" s="167" t="str">
        <v/>
      </c>
      <c r="O496" s="167" t="str">
        <v/>
      </c>
      <c r="P496" s="167" t="str">
        <v/>
      </c>
    </row>
    <row r="497" spans="1:16" x14ac:dyDescent="0.2">
      <c r="A497" s="58" t="str">
        <v/>
      </c>
      <c r="B497" s="144" t="str">
        <f>IFERROR(TIMEVALUE(DaqBook_RAW_Data!Q487),IFERROR(TIMEVALUE(DaqBook_RAW_Data!A487),""))</f>
        <v/>
      </c>
      <c r="C497" s="167" t="str">
        <v/>
      </c>
      <c r="D497" s="167" t="str">
        <v/>
      </c>
      <c r="E497" s="167" t="str">
        <v/>
      </c>
      <c r="F497" s="167" t="str">
        <v/>
      </c>
      <c r="G497" s="167" t="str">
        <v/>
      </c>
      <c r="H497" s="167" t="str">
        <v/>
      </c>
      <c r="I497" s="167" t="str">
        <v/>
      </c>
      <c r="J497" s="167" t="str">
        <v/>
      </c>
      <c r="K497" s="167" t="str">
        <v/>
      </c>
      <c r="L497" s="167" t="str">
        <v/>
      </c>
      <c r="M497" s="167" t="str">
        <v/>
      </c>
      <c r="N497" s="167" t="str">
        <v/>
      </c>
      <c r="O497" s="167" t="str">
        <v/>
      </c>
      <c r="P497" s="167" t="str">
        <v/>
      </c>
    </row>
    <row r="498" spans="1:16" x14ac:dyDescent="0.2">
      <c r="A498" s="58" t="str">
        <v/>
      </c>
      <c r="B498" s="144" t="str">
        <f>IFERROR(TIMEVALUE(DaqBook_RAW_Data!Q488),IFERROR(TIMEVALUE(DaqBook_RAW_Data!A488),""))</f>
        <v/>
      </c>
      <c r="C498" s="167" t="str">
        <v/>
      </c>
      <c r="D498" s="167" t="str">
        <v/>
      </c>
      <c r="E498" s="167" t="str">
        <v/>
      </c>
      <c r="F498" s="167" t="str">
        <v/>
      </c>
      <c r="G498" s="167" t="str">
        <v/>
      </c>
      <c r="H498" s="167" t="str">
        <v/>
      </c>
      <c r="I498" s="167" t="str">
        <v/>
      </c>
      <c r="J498" s="167" t="str">
        <v/>
      </c>
      <c r="K498" s="167" t="str">
        <v/>
      </c>
      <c r="L498" s="167" t="str">
        <v/>
      </c>
      <c r="M498" s="167" t="str">
        <v/>
      </c>
      <c r="N498" s="167" t="str">
        <v/>
      </c>
      <c r="O498" s="167" t="str">
        <v/>
      </c>
      <c r="P498" s="167" t="str">
        <v/>
      </c>
    </row>
    <row r="499" spans="1:16" x14ac:dyDescent="0.2">
      <c r="A499" s="58" t="str">
        <v/>
      </c>
      <c r="B499" s="144" t="str">
        <f>IFERROR(TIMEVALUE(DaqBook_RAW_Data!Q489),IFERROR(TIMEVALUE(DaqBook_RAW_Data!A489),""))</f>
        <v/>
      </c>
      <c r="C499" s="167" t="str">
        <v/>
      </c>
      <c r="D499" s="167" t="str">
        <v/>
      </c>
      <c r="E499" s="167" t="str">
        <v/>
      </c>
      <c r="F499" s="167" t="str">
        <v/>
      </c>
      <c r="G499" s="167" t="str">
        <v/>
      </c>
      <c r="H499" s="167" t="str">
        <v/>
      </c>
      <c r="I499" s="167" t="str">
        <v/>
      </c>
      <c r="J499" s="167" t="str">
        <v/>
      </c>
      <c r="K499" s="167" t="str">
        <v/>
      </c>
      <c r="L499" s="167" t="str">
        <v/>
      </c>
      <c r="M499" s="167" t="str">
        <v/>
      </c>
      <c r="N499" s="167" t="str">
        <v/>
      </c>
      <c r="O499" s="167" t="str">
        <v/>
      </c>
      <c r="P499" s="167" t="str">
        <v/>
      </c>
    </row>
    <row r="500" spans="1:16" x14ac:dyDescent="0.2">
      <c r="A500" s="58" t="str">
        <v/>
      </c>
      <c r="B500" s="144" t="str">
        <f>IFERROR(TIMEVALUE(DaqBook_RAW_Data!Q490),IFERROR(TIMEVALUE(DaqBook_RAW_Data!A490),""))</f>
        <v/>
      </c>
      <c r="C500" s="167" t="str">
        <v/>
      </c>
      <c r="D500" s="167" t="str">
        <v/>
      </c>
      <c r="E500" s="167" t="str">
        <v/>
      </c>
      <c r="F500" s="167" t="str">
        <v/>
      </c>
      <c r="G500" s="167" t="str">
        <v/>
      </c>
      <c r="H500" s="167" t="str">
        <v/>
      </c>
      <c r="I500" s="167" t="str">
        <v/>
      </c>
      <c r="J500" s="167" t="str">
        <v/>
      </c>
      <c r="K500" s="167" t="str">
        <v/>
      </c>
      <c r="L500" s="167" t="str">
        <v/>
      </c>
      <c r="M500" s="167" t="str">
        <v/>
      </c>
      <c r="N500" s="167" t="str">
        <v/>
      </c>
      <c r="O500" s="167" t="str">
        <v/>
      </c>
      <c r="P500" s="167" t="str">
        <v/>
      </c>
    </row>
    <row r="501" spans="1:16" x14ac:dyDescent="0.2">
      <c r="A501" s="58" t="str">
        <v/>
      </c>
      <c r="B501" s="144" t="str">
        <f>IFERROR(TIMEVALUE(DaqBook_RAW_Data!Q491),IFERROR(TIMEVALUE(DaqBook_RAW_Data!A491),""))</f>
        <v/>
      </c>
      <c r="C501" s="167" t="str">
        <v/>
      </c>
      <c r="D501" s="167" t="str">
        <v/>
      </c>
      <c r="E501" s="167" t="str">
        <v/>
      </c>
      <c r="F501" s="167" t="str">
        <v/>
      </c>
      <c r="G501" s="167" t="str">
        <v/>
      </c>
      <c r="H501" s="167" t="str">
        <v/>
      </c>
      <c r="I501" s="167" t="str">
        <v/>
      </c>
      <c r="J501" s="167" t="str">
        <v/>
      </c>
      <c r="K501" s="167" t="str">
        <v/>
      </c>
      <c r="L501" s="167" t="str">
        <v/>
      </c>
      <c r="M501" s="167" t="str">
        <v/>
      </c>
      <c r="N501" s="167" t="str">
        <v/>
      </c>
      <c r="O501" s="167" t="str">
        <v/>
      </c>
      <c r="P501" s="167" t="str">
        <v/>
      </c>
    </row>
    <row r="502" spans="1:16" x14ac:dyDescent="0.2">
      <c r="A502" s="58" t="str">
        <v/>
      </c>
      <c r="B502" s="144" t="str">
        <f>IFERROR(TIMEVALUE(DaqBook_RAW_Data!Q492),IFERROR(TIMEVALUE(DaqBook_RAW_Data!A492),""))</f>
        <v/>
      </c>
      <c r="C502" s="167" t="str">
        <v/>
      </c>
      <c r="D502" s="167" t="str">
        <v/>
      </c>
      <c r="E502" s="167" t="str">
        <v/>
      </c>
      <c r="F502" s="167" t="str">
        <v/>
      </c>
      <c r="G502" s="167" t="str">
        <v/>
      </c>
      <c r="H502" s="167" t="str">
        <v/>
      </c>
      <c r="I502" s="167" t="str">
        <v/>
      </c>
      <c r="J502" s="167" t="str">
        <v/>
      </c>
      <c r="K502" s="167" t="str">
        <v/>
      </c>
      <c r="L502" s="167" t="str">
        <v/>
      </c>
      <c r="M502" s="167" t="str">
        <v/>
      </c>
      <c r="N502" s="167" t="str">
        <v/>
      </c>
      <c r="O502" s="167" t="str">
        <v/>
      </c>
      <c r="P502" s="167" t="str">
        <v/>
      </c>
    </row>
    <row r="503" spans="1:16" x14ac:dyDescent="0.2">
      <c r="A503" s="58" t="str">
        <v/>
      </c>
      <c r="B503" s="144" t="str">
        <f>IFERROR(TIMEVALUE(DaqBook_RAW_Data!Q493),IFERROR(TIMEVALUE(DaqBook_RAW_Data!A493),""))</f>
        <v/>
      </c>
      <c r="C503" s="167" t="str">
        <v/>
      </c>
      <c r="D503" s="167" t="str">
        <v/>
      </c>
      <c r="E503" s="167" t="str">
        <v/>
      </c>
      <c r="F503" s="167" t="str">
        <v/>
      </c>
      <c r="G503" s="167" t="str">
        <v/>
      </c>
      <c r="H503" s="167" t="str">
        <v/>
      </c>
      <c r="I503" s="167" t="str">
        <v/>
      </c>
      <c r="J503" s="167" t="str">
        <v/>
      </c>
      <c r="K503" s="167" t="str">
        <v/>
      </c>
      <c r="L503" s="167" t="str">
        <v/>
      </c>
      <c r="M503" s="167" t="str">
        <v/>
      </c>
      <c r="N503" s="167" t="str">
        <v/>
      </c>
      <c r="O503" s="167" t="str">
        <v/>
      </c>
      <c r="P503" s="167" t="str">
        <v/>
      </c>
    </row>
    <row r="504" spans="1:16" x14ac:dyDescent="0.2">
      <c r="A504" s="58" t="str">
        <v/>
      </c>
      <c r="B504" s="144" t="str">
        <f>IFERROR(TIMEVALUE(DaqBook_RAW_Data!Q494),IFERROR(TIMEVALUE(DaqBook_RAW_Data!A494),""))</f>
        <v/>
      </c>
      <c r="C504" s="167" t="str">
        <v/>
      </c>
      <c r="D504" s="167" t="str">
        <v/>
      </c>
      <c r="E504" s="167" t="str">
        <v/>
      </c>
      <c r="F504" s="167" t="str">
        <v/>
      </c>
      <c r="G504" s="167" t="str">
        <v/>
      </c>
      <c r="H504" s="167" t="str">
        <v/>
      </c>
      <c r="I504" s="167" t="str">
        <v/>
      </c>
      <c r="J504" s="167" t="str">
        <v/>
      </c>
      <c r="K504" s="167" t="str">
        <v/>
      </c>
      <c r="L504" s="167" t="str">
        <v/>
      </c>
      <c r="M504" s="167" t="str">
        <v/>
      </c>
      <c r="N504" s="167" t="str">
        <v/>
      </c>
      <c r="O504" s="167" t="str">
        <v/>
      </c>
      <c r="P504" s="167" t="str">
        <v/>
      </c>
    </row>
    <row r="505" spans="1:16" x14ac:dyDescent="0.2">
      <c r="A505" s="58" t="str">
        <v/>
      </c>
      <c r="B505" s="144" t="str">
        <f>IFERROR(TIMEVALUE(DaqBook_RAW_Data!Q495),IFERROR(TIMEVALUE(DaqBook_RAW_Data!A495),""))</f>
        <v/>
      </c>
      <c r="C505" s="167" t="str">
        <v/>
      </c>
      <c r="D505" s="167" t="str">
        <v/>
      </c>
      <c r="E505" s="167" t="str">
        <v/>
      </c>
      <c r="F505" s="167" t="str">
        <v/>
      </c>
      <c r="G505" s="167" t="str">
        <v/>
      </c>
      <c r="H505" s="167" t="str">
        <v/>
      </c>
      <c r="I505" s="167" t="str">
        <v/>
      </c>
      <c r="J505" s="167" t="str">
        <v/>
      </c>
      <c r="K505" s="167" t="str">
        <v/>
      </c>
      <c r="L505" s="167" t="str">
        <v/>
      </c>
      <c r="M505" s="167" t="str">
        <v/>
      </c>
      <c r="N505" s="167" t="str">
        <v/>
      </c>
      <c r="O505" s="167" t="str">
        <v/>
      </c>
      <c r="P505" s="167" t="str">
        <v/>
      </c>
    </row>
    <row r="506" spans="1:16" x14ac:dyDescent="0.2">
      <c r="A506" s="58" t="str">
        <v/>
      </c>
      <c r="B506" s="144" t="str">
        <f>IFERROR(TIMEVALUE(DaqBook_RAW_Data!Q496),IFERROR(TIMEVALUE(DaqBook_RAW_Data!A496),""))</f>
        <v/>
      </c>
      <c r="C506" s="167" t="str">
        <v/>
      </c>
      <c r="D506" s="167" t="str">
        <v/>
      </c>
      <c r="E506" s="167" t="str">
        <v/>
      </c>
      <c r="F506" s="167" t="str">
        <v/>
      </c>
      <c r="G506" s="167" t="str">
        <v/>
      </c>
      <c r="H506" s="167" t="str">
        <v/>
      </c>
      <c r="I506" s="167" t="str">
        <v/>
      </c>
      <c r="J506" s="167" t="str">
        <v/>
      </c>
      <c r="K506" s="167" t="str">
        <v/>
      </c>
      <c r="L506" s="167" t="str">
        <v/>
      </c>
      <c r="M506" s="167" t="str">
        <v/>
      </c>
      <c r="N506" s="167" t="str">
        <v/>
      </c>
      <c r="O506" s="167" t="str">
        <v/>
      </c>
      <c r="P506" s="167" t="str">
        <v/>
      </c>
    </row>
    <row r="507" spans="1:16" x14ac:dyDescent="0.2">
      <c r="A507" s="58" t="str">
        <v/>
      </c>
      <c r="B507" s="144" t="str">
        <f>IFERROR(TIMEVALUE(DaqBook_RAW_Data!Q497),IFERROR(TIMEVALUE(DaqBook_RAW_Data!A497),""))</f>
        <v/>
      </c>
      <c r="C507" s="167" t="str">
        <v/>
      </c>
      <c r="D507" s="167" t="str">
        <v/>
      </c>
      <c r="E507" s="167" t="str">
        <v/>
      </c>
      <c r="F507" s="167" t="str">
        <v/>
      </c>
      <c r="G507" s="167" t="str">
        <v/>
      </c>
      <c r="H507" s="167" t="str">
        <v/>
      </c>
      <c r="I507" s="167" t="str">
        <v/>
      </c>
      <c r="J507" s="167" t="str">
        <v/>
      </c>
      <c r="K507" s="167" t="str">
        <v/>
      </c>
      <c r="L507" s="167" t="str">
        <v/>
      </c>
      <c r="M507" s="167" t="str">
        <v/>
      </c>
      <c r="N507" s="167" t="str">
        <v/>
      </c>
      <c r="O507" s="167" t="str">
        <v/>
      </c>
      <c r="P507" s="167" t="str">
        <v/>
      </c>
    </row>
    <row r="508" spans="1:16" x14ac:dyDescent="0.2">
      <c r="A508" s="58" t="str">
        <v/>
      </c>
      <c r="B508" s="144" t="str">
        <f>IFERROR(TIMEVALUE(DaqBook_RAW_Data!Q498),IFERROR(TIMEVALUE(DaqBook_RAW_Data!A498),""))</f>
        <v/>
      </c>
      <c r="C508" s="167" t="str">
        <v/>
      </c>
      <c r="D508" s="167" t="str">
        <v/>
      </c>
      <c r="E508" s="167" t="str">
        <v/>
      </c>
      <c r="F508" s="167" t="str">
        <v/>
      </c>
      <c r="G508" s="167" t="str">
        <v/>
      </c>
      <c r="H508" s="167" t="str">
        <v/>
      </c>
      <c r="I508" s="167" t="str">
        <v/>
      </c>
      <c r="J508" s="167" t="str">
        <v/>
      </c>
      <c r="K508" s="167" t="str">
        <v/>
      </c>
      <c r="L508" s="167" t="str">
        <v/>
      </c>
      <c r="M508" s="167" t="str">
        <v/>
      </c>
      <c r="N508" s="167" t="str">
        <v/>
      </c>
      <c r="O508" s="167" t="str">
        <v/>
      </c>
      <c r="P508" s="167" t="str">
        <v/>
      </c>
    </row>
    <row r="509" spans="1:16" x14ac:dyDescent="0.2">
      <c r="A509" s="58" t="str">
        <v/>
      </c>
      <c r="B509" s="144" t="str">
        <f>IFERROR(TIMEVALUE(DaqBook_RAW_Data!Q499),IFERROR(TIMEVALUE(DaqBook_RAW_Data!A499),""))</f>
        <v/>
      </c>
      <c r="C509" s="167" t="str">
        <v/>
      </c>
      <c r="D509" s="167" t="str">
        <v/>
      </c>
      <c r="E509" s="167" t="str">
        <v/>
      </c>
      <c r="F509" s="167" t="str">
        <v/>
      </c>
      <c r="G509" s="167" t="str">
        <v/>
      </c>
      <c r="H509" s="167" t="str">
        <v/>
      </c>
      <c r="I509" s="167" t="str">
        <v/>
      </c>
      <c r="J509" s="167" t="str">
        <v/>
      </c>
      <c r="K509" s="167" t="str">
        <v/>
      </c>
      <c r="L509" s="167" t="str">
        <v/>
      </c>
      <c r="M509" s="167" t="str">
        <v/>
      </c>
      <c r="N509" s="167" t="str">
        <v/>
      </c>
      <c r="O509" s="167" t="str">
        <v/>
      </c>
      <c r="P509" s="167" t="str">
        <v/>
      </c>
    </row>
    <row r="510" spans="1:16" x14ac:dyDescent="0.2">
      <c r="A510" s="58" t="str">
        <v/>
      </c>
      <c r="B510" s="144" t="str">
        <f>IFERROR(TIMEVALUE(DaqBook_RAW_Data!Q500),IFERROR(TIMEVALUE(DaqBook_RAW_Data!A500),""))</f>
        <v/>
      </c>
      <c r="C510" s="167" t="str">
        <v/>
      </c>
      <c r="D510" s="167" t="str">
        <v/>
      </c>
      <c r="E510" s="167" t="str">
        <v/>
      </c>
      <c r="F510" s="167" t="str">
        <v/>
      </c>
      <c r="G510" s="167" t="str">
        <v/>
      </c>
      <c r="H510" s="167" t="str">
        <v/>
      </c>
      <c r="I510" s="167" t="str">
        <v/>
      </c>
      <c r="J510" s="167" t="str">
        <v/>
      </c>
      <c r="K510" s="167" t="str">
        <v/>
      </c>
      <c r="L510" s="167" t="str">
        <v/>
      </c>
      <c r="M510" s="167" t="str">
        <v/>
      </c>
      <c r="N510" s="167" t="str">
        <v/>
      </c>
      <c r="O510" s="167" t="str">
        <v/>
      </c>
      <c r="P510" s="167" t="str">
        <v/>
      </c>
    </row>
    <row r="511" spans="1:16" x14ac:dyDescent="0.2">
      <c r="A511" s="58" t="str">
        <v/>
      </c>
      <c r="B511" s="144" t="str">
        <f>IFERROR(TIMEVALUE(DaqBook_RAW_Data!Q501),IFERROR(TIMEVALUE(DaqBook_RAW_Data!A501),""))</f>
        <v/>
      </c>
      <c r="C511" s="167" t="str">
        <v/>
      </c>
      <c r="D511" s="167" t="str">
        <v/>
      </c>
      <c r="E511" s="167" t="str">
        <v/>
      </c>
      <c r="F511" s="167" t="str">
        <v/>
      </c>
      <c r="G511" s="167" t="str">
        <v/>
      </c>
      <c r="H511" s="167" t="str">
        <v/>
      </c>
      <c r="I511" s="167" t="str">
        <v/>
      </c>
      <c r="J511" s="167" t="str">
        <v/>
      </c>
      <c r="K511" s="167" t="str">
        <v/>
      </c>
      <c r="L511" s="167" t="str">
        <v/>
      </c>
      <c r="M511" s="167" t="str">
        <v/>
      </c>
      <c r="N511" s="167" t="str">
        <v/>
      </c>
      <c r="O511" s="167" t="str">
        <v/>
      </c>
      <c r="P511" s="167" t="str">
        <v/>
      </c>
    </row>
    <row r="512" spans="1:16" x14ac:dyDescent="0.2">
      <c r="A512" s="58" t="str">
        <v/>
      </c>
      <c r="B512" s="144" t="str">
        <f>IFERROR(TIMEVALUE(DaqBook_RAW_Data!Q502),IFERROR(TIMEVALUE(DaqBook_RAW_Data!A502),""))</f>
        <v/>
      </c>
      <c r="C512" s="167" t="str">
        <v/>
      </c>
      <c r="D512" s="167" t="str">
        <v/>
      </c>
      <c r="E512" s="167" t="str">
        <v/>
      </c>
      <c r="F512" s="167" t="str">
        <v/>
      </c>
      <c r="G512" s="167" t="str">
        <v/>
      </c>
      <c r="H512" s="167" t="str">
        <v/>
      </c>
      <c r="I512" s="167" t="str">
        <v/>
      </c>
      <c r="J512" s="167" t="str">
        <v/>
      </c>
      <c r="K512" s="167" t="str">
        <v/>
      </c>
      <c r="L512" s="167" t="str">
        <v/>
      </c>
      <c r="M512" s="167" t="str">
        <v/>
      </c>
      <c r="N512" s="167" t="str">
        <v/>
      </c>
      <c r="O512" s="167" t="str">
        <v/>
      </c>
      <c r="P512" s="167" t="str">
        <v/>
      </c>
    </row>
    <row r="513" spans="1:16" x14ac:dyDescent="0.2">
      <c r="A513" s="58" t="str">
        <v/>
      </c>
      <c r="B513" s="144" t="str">
        <f>IFERROR(TIMEVALUE(DaqBook_RAW_Data!Q503),IFERROR(TIMEVALUE(DaqBook_RAW_Data!A503),""))</f>
        <v/>
      </c>
      <c r="C513" s="167" t="str">
        <v/>
      </c>
      <c r="D513" s="167" t="str">
        <v/>
      </c>
      <c r="E513" s="167" t="str">
        <v/>
      </c>
      <c r="F513" s="167" t="str">
        <v/>
      </c>
      <c r="G513" s="167" t="str">
        <v/>
      </c>
      <c r="H513" s="167" t="str">
        <v/>
      </c>
      <c r="I513" s="167" t="str">
        <v/>
      </c>
      <c r="J513" s="167" t="str">
        <v/>
      </c>
      <c r="K513" s="167" t="str">
        <v/>
      </c>
      <c r="L513" s="167" t="str">
        <v/>
      </c>
      <c r="M513" s="167" t="str">
        <v/>
      </c>
      <c r="N513" s="167" t="str">
        <v/>
      </c>
      <c r="O513" s="167" t="str">
        <v/>
      </c>
      <c r="P513" s="167" t="str">
        <v/>
      </c>
    </row>
    <row r="514" spans="1:16" x14ac:dyDescent="0.2">
      <c r="A514" s="58" t="str">
        <v/>
      </c>
      <c r="B514" s="144" t="str">
        <f>IFERROR(TIMEVALUE(DaqBook_RAW_Data!Q504),IFERROR(TIMEVALUE(DaqBook_RAW_Data!A504),""))</f>
        <v/>
      </c>
      <c r="C514" s="167" t="str">
        <v/>
      </c>
      <c r="D514" s="167" t="str">
        <v/>
      </c>
      <c r="E514" s="167" t="str">
        <v/>
      </c>
      <c r="F514" s="167" t="str">
        <v/>
      </c>
      <c r="G514" s="167" t="str">
        <v/>
      </c>
      <c r="H514" s="167" t="str">
        <v/>
      </c>
      <c r="I514" s="167" t="str">
        <v/>
      </c>
      <c r="J514" s="167" t="str">
        <v/>
      </c>
      <c r="K514" s="167" t="str">
        <v/>
      </c>
      <c r="L514" s="167" t="str">
        <v/>
      </c>
      <c r="M514" s="167" t="str">
        <v/>
      </c>
      <c r="N514" s="167" t="str">
        <v/>
      </c>
      <c r="O514" s="167" t="str">
        <v/>
      </c>
      <c r="P514" s="167" t="str">
        <v/>
      </c>
    </row>
    <row r="515" spans="1:16" x14ac:dyDescent="0.2">
      <c r="A515" s="58" t="str">
        <v/>
      </c>
      <c r="B515" s="144" t="str">
        <f>IFERROR(TIMEVALUE(DaqBook_RAW_Data!Q505),IFERROR(TIMEVALUE(DaqBook_RAW_Data!A505),""))</f>
        <v/>
      </c>
      <c r="C515" s="167" t="str">
        <v/>
      </c>
      <c r="D515" s="167" t="str">
        <v/>
      </c>
      <c r="E515" s="167" t="str">
        <v/>
      </c>
      <c r="F515" s="167" t="str">
        <v/>
      </c>
      <c r="G515" s="167" t="str">
        <v/>
      </c>
      <c r="H515" s="167" t="str">
        <v/>
      </c>
      <c r="I515" s="167" t="str">
        <v/>
      </c>
      <c r="J515" s="167" t="str">
        <v/>
      </c>
      <c r="K515" s="167" t="str">
        <v/>
      </c>
      <c r="L515" s="167" t="str">
        <v/>
      </c>
      <c r="M515" s="167" t="str">
        <v/>
      </c>
      <c r="N515" s="167" t="str">
        <v/>
      </c>
      <c r="O515" s="167" t="str">
        <v/>
      </c>
      <c r="P515" s="167" t="str">
        <v/>
      </c>
    </row>
    <row r="516" spans="1:16" x14ac:dyDescent="0.2">
      <c r="A516" s="58" t="str">
        <v/>
      </c>
      <c r="B516" s="144" t="str">
        <f>IFERROR(TIMEVALUE(DaqBook_RAW_Data!Q506),IFERROR(TIMEVALUE(DaqBook_RAW_Data!A506),""))</f>
        <v/>
      </c>
      <c r="C516" s="167" t="str">
        <v/>
      </c>
      <c r="D516" s="167" t="str">
        <v/>
      </c>
      <c r="E516" s="167" t="str">
        <v/>
      </c>
      <c r="F516" s="167" t="str">
        <v/>
      </c>
      <c r="G516" s="167" t="str">
        <v/>
      </c>
      <c r="H516" s="167" t="str">
        <v/>
      </c>
      <c r="I516" s="167" t="str">
        <v/>
      </c>
      <c r="J516" s="167" t="str">
        <v/>
      </c>
      <c r="K516" s="167" t="str">
        <v/>
      </c>
      <c r="L516" s="167" t="str">
        <v/>
      </c>
      <c r="M516" s="167" t="str">
        <v/>
      </c>
      <c r="N516" s="167" t="str">
        <v/>
      </c>
      <c r="O516" s="167" t="str">
        <v/>
      </c>
      <c r="P516" s="167" t="str">
        <v/>
      </c>
    </row>
    <row r="517" spans="1:16" x14ac:dyDescent="0.2">
      <c r="A517" s="58" t="str">
        <v/>
      </c>
      <c r="B517" s="144" t="str">
        <f>IFERROR(TIMEVALUE(DaqBook_RAW_Data!Q507),IFERROR(TIMEVALUE(DaqBook_RAW_Data!A507),""))</f>
        <v/>
      </c>
      <c r="C517" s="167" t="str">
        <v/>
      </c>
      <c r="D517" s="167" t="str">
        <v/>
      </c>
      <c r="E517" s="167" t="str">
        <v/>
      </c>
      <c r="F517" s="167" t="str">
        <v/>
      </c>
      <c r="G517" s="167" t="str">
        <v/>
      </c>
      <c r="H517" s="167" t="str">
        <v/>
      </c>
      <c r="I517" s="167" t="str">
        <v/>
      </c>
      <c r="J517" s="167" t="str">
        <v/>
      </c>
      <c r="K517" s="167" t="str">
        <v/>
      </c>
      <c r="L517" s="167" t="str">
        <v/>
      </c>
      <c r="M517" s="167" t="str">
        <v/>
      </c>
      <c r="N517" s="167" t="str">
        <v/>
      </c>
      <c r="O517" s="167" t="str">
        <v/>
      </c>
      <c r="P517" s="167" t="str">
        <v/>
      </c>
    </row>
    <row r="518" spans="1:16" x14ac:dyDescent="0.2">
      <c r="A518" s="58" t="str">
        <v/>
      </c>
      <c r="B518" s="144" t="str">
        <f>IFERROR(TIMEVALUE(DaqBook_RAW_Data!Q508),IFERROR(TIMEVALUE(DaqBook_RAW_Data!A508),""))</f>
        <v/>
      </c>
      <c r="C518" s="167" t="str">
        <v/>
      </c>
      <c r="D518" s="167" t="str">
        <v/>
      </c>
      <c r="E518" s="167" t="str">
        <v/>
      </c>
      <c r="F518" s="167" t="str">
        <v/>
      </c>
      <c r="G518" s="167" t="str">
        <v/>
      </c>
      <c r="H518" s="167" t="str">
        <v/>
      </c>
      <c r="I518" s="167" t="str">
        <v/>
      </c>
      <c r="J518" s="167" t="str">
        <v/>
      </c>
      <c r="K518" s="167" t="str">
        <v/>
      </c>
      <c r="L518" s="167" t="str">
        <v/>
      </c>
      <c r="M518" s="167" t="str">
        <v/>
      </c>
      <c r="N518" s="167" t="str">
        <v/>
      </c>
      <c r="O518" s="167" t="str">
        <v/>
      </c>
      <c r="P518" s="167" t="str">
        <v/>
      </c>
    </row>
    <row r="519" spans="1:16" x14ac:dyDescent="0.2">
      <c r="A519" s="58" t="str">
        <v/>
      </c>
      <c r="B519" s="144" t="str">
        <f>IFERROR(TIMEVALUE(DaqBook_RAW_Data!Q509),IFERROR(TIMEVALUE(DaqBook_RAW_Data!A509),""))</f>
        <v/>
      </c>
      <c r="C519" s="167" t="str">
        <v/>
      </c>
      <c r="D519" s="167" t="str">
        <v/>
      </c>
      <c r="E519" s="167" t="str">
        <v/>
      </c>
      <c r="F519" s="167" t="str">
        <v/>
      </c>
      <c r="G519" s="167" t="str">
        <v/>
      </c>
      <c r="H519" s="167" t="str">
        <v/>
      </c>
      <c r="I519" s="167" t="str">
        <v/>
      </c>
      <c r="J519" s="167" t="str">
        <v/>
      </c>
      <c r="K519" s="167" t="str">
        <v/>
      </c>
      <c r="L519" s="167" t="str">
        <v/>
      </c>
      <c r="M519" s="167" t="str">
        <v/>
      </c>
      <c r="N519" s="167" t="str">
        <v/>
      </c>
      <c r="O519" s="167" t="str">
        <v/>
      </c>
      <c r="P519" s="167" t="str">
        <v/>
      </c>
    </row>
    <row r="520" spans="1:16" x14ac:dyDescent="0.2">
      <c r="A520" s="58" t="str">
        <v/>
      </c>
      <c r="B520" s="144" t="str">
        <f>IFERROR(TIMEVALUE(DaqBook_RAW_Data!Q510),IFERROR(TIMEVALUE(DaqBook_RAW_Data!A510),""))</f>
        <v/>
      </c>
      <c r="C520" s="167" t="str">
        <v/>
      </c>
      <c r="D520" s="167" t="str">
        <v/>
      </c>
      <c r="E520" s="167" t="str">
        <v/>
      </c>
      <c r="F520" s="167" t="str">
        <v/>
      </c>
      <c r="G520" s="167" t="str">
        <v/>
      </c>
      <c r="H520" s="167" t="str">
        <v/>
      </c>
      <c r="I520" s="167" t="str">
        <v/>
      </c>
      <c r="J520" s="167" t="str">
        <v/>
      </c>
      <c r="K520" s="167" t="str">
        <v/>
      </c>
      <c r="L520" s="167" t="str">
        <v/>
      </c>
      <c r="M520" s="167" t="str">
        <v/>
      </c>
      <c r="N520" s="167" t="str">
        <v/>
      </c>
      <c r="O520" s="167" t="str">
        <v/>
      </c>
      <c r="P520" s="167" t="str">
        <v/>
      </c>
    </row>
    <row r="521" spans="1:16" x14ac:dyDescent="0.2">
      <c r="A521" s="58" t="str">
        <v/>
      </c>
      <c r="B521" s="144" t="str">
        <f>IFERROR(TIMEVALUE(DaqBook_RAW_Data!Q511),IFERROR(TIMEVALUE(DaqBook_RAW_Data!A511),""))</f>
        <v/>
      </c>
      <c r="C521" s="167" t="str">
        <v/>
      </c>
      <c r="D521" s="167" t="str">
        <v/>
      </c>
      <c r="E521" s="167" t="str">
        <v/>
      </c>
      <c r="F521" s="167" t="str">
        <v/>
      </c>
      <c r="G521" s="167" t="str">
        <v/>
      </c>
      <c r="H521" s="167" t="str">
        <v/>
      </c>
      <c r="I521" s="167" t="str">
        <v/>
      </c>
      <c r="J521" s="167" t="str">
        <v/>
      </c>
      <c r="K521" s="167" t="str">
        <v/>
      </c>
      <c r="L521" s="167" t="str">
        <v/>
      </c>
      <c r="M521" s="167" t="str">
        <v/>
      </c>
      <c r="N521" s="167" t="str">
        <v/>
      </c>
      <c r="O521" s="167" t="str">
        <v/>
      </c>
      <c r="P521" s="167" t="str">
        <v/>
      </c>
    </row>
    <row r="522" spans="1:16" x14ac:dyDescent="0.2">
      <c r="A522" s="58" t="str">
        <v/>
      </c>
      <c r="B522" s="144" t="str">
        <f>IFERROR(TIMEVALUE(DaqBook_RAW_Data!Q512),IFERROR(TIMEVALUE(DaqBook_RAW_Data!A512),""))</f>
        <v/>
      </c>
      <c r="C522" s="167" t="str">
        <v/>
      </c>
      <c r="D522" s="167" t="str">
        <v/>
      </c>
      <c r="E522" s="167" t="str">
        <v/>
      </c>
      <c r="F522" s="167" t="str">
        <v/>
      </c>
      <c r="G522" s="167" t="str">
        <v/>
      </c>
      <c r="H522" s="167" t="str">
        <v/>
      </c>
      <c r="I522" s="167" t="str">
        <v/>
      </c>
      <c r="J522" s="167" t="str">
        <v/>
      </c>
      <c r="K522" s="167" t="str">
        <v/>
      </c>
      <c r="L522" s="167" t="str">
        <v/>
      </c>
      <c r="M522" s="167" t="str">
        <v/>
      </c>
      <c r="N522" s="167" t="str">
        <v/>
      </c>
      <c r="O522" s="167" t="str">
        <v/>
      </c>
      <c r="P522" s="167" t="str">
        <v/>
      </c>
    </row>
    <row r="523" spans="1:16" x14ac:dyDescent="0.2">
      <c r="A523" s="58" t="str">
        <v/>
      </c>
      <c r="B523" s="144" t="str">
        <f>IFERROR(TIMEVALUE(DaqBook_RAW_Data!Q513),IFERROR(TIMEVALUE(DaqBook_RAW_Data!A513),""))</f>
        <v/>
      </c>
      <c r="C523" s="167" t="str">
        <v/>
      </c>
      <c r="D523" s="167" t="str">
        <v/>
      </c>
      <c r="E523" s="167" t="str">
        <v/>
      </c>
      <c r="F523" s="167" t="str">
        <v/>
      </c>
      <c r="G523" s="167" t="str">
        <v/>
      </c>
      <c r="H523" s="167" t="str">
        <v/>
      </c>
      <c r="I523" s="167" t="str">
        <v/>
      </c>
      <c r="J523" s="167" t="str">
        <v/>
      </c>
      <c r="K523" s="167" t="str">
        <v/>
      </c>
      <c r="L523" s="167" t="str">
        <v/>
      </c>
      <c r="M523" s="167" t="str">
        <v/>
      </c>
      <c r="N523" s="167" t="str">
        <v/>
      </c>
      <c r="O523" s="167" t="str">
        <v/>
      </c>
      <c r="P523" s="167" t="str">
        <v/>
      </c>
    </row>
    <row r="524" spans="1:16" x14ac:dyDescent="0.2">
      <c r="A524" s="58" t="str">
        <v/>
      </c>
      <c r="B524" s="144" t="str">
        <f>IFERROR(TIMEVALUE(DaqBook_RAW_Data!Q514),IFERROR(TIMEVALUE(DaqBook_RAW_Data!A514),""))</f>
        <v/>
      </c>
      <c r="C524" s="167" t="str">
        <v/>
      </c>
      <c r="D524" s="167" t="str">
        <v/>
      </c>
      <c r="E524" s="167" t="str">
        <v/>
      </c>
      <c r="F524" s="167" t="str">
        <v/>
      </c>
      <c r="G524" s="167" t="str">
        <v/>
      </c>
      <c r="H524" s="167" t="str">
        <v/>
      </c>
      <c r="I524" s="167" t="str">
        <v/>
      </c>
      <c r="J524" s="167" t="str">
        <v/>
      </c>
      <c r="K524" s="167" t="str">
        <v/>
      </c>
      <c r="L524" s="167" t="str">
        <v/>
      </c>
      <c r="M524" s="167" t="str">
        <v/>
      </c>
      <c r="N524" s="167" t="str">
        <v/>
      </c>
      <c r="O524" s="167" t="str">
        <v/>
      </c>
      <c r="P524" s="167" t="str">
        <v/>
      </c>
    </row>
    <row r="525" spans="1:16" x14ac:dyDescent="0.2">
      <c r="A525" s="58" t="str">
        <v/>
      </c>
      <c r="B525" s="144" t="str">
        <f>IFERROR(TIMEVALUE(DaqBook_RAW_Data!Q515),IFERROR(TIMEVALUE(DaqBook_RAW_Data!A515),""))</f>
        <v/>
      </c>
      <c r="C525" s="167" t="str">
        <v/>
      </c>
      <c r="D525" s="167" t="str">
        <v/>
      </c>
      <c r="E525" s="167" t="str">
        <v/>
      </c>
      <c r="F525" s="167" t="str">
        <v/>
      </c>
      <c r="G525" s="167" t="str">
        <v/>
      </c>
      <c r="H525" s="167" t="str">
        <v/>
      </c>
      <c r="I525" s="167" t="str">
        <v/>
      </c>
      <c r="J525" s="167" t="str">
        <v/>
      </c>
      <c r="K525" s="167" t="str">
        <v/>
      </c>
      <c r="L525" s="167" t="str">
        <v/>
      </c>
      <c r="M525" s="167" t="str">
        <v/>
      </c>
      <c r="N525" s="167" t="str">
        <v/>
      </c>
      <c r="O525" s="167" t="str">
        <v/>
      </c>
      <c r="P525" s="167" t="str">
        <v/>
      </c>
    </row>
    <row r="526" spans="1:16" x14ac:dyDescent="0.2">
      <c r="A526" s="58" t="str">
        <v/>
      </c>
      <c r="B526" s="144" t="str">
        <f>IFERROR(TIMEVALUE(DaqBook_RAW_Data!Q516),IFERROR(TIMEVALUE(DaqBook_RAW_Data!A516),""))</f>
        <v/>
      </c>
      <c r="C526" s="167" t="str">
        <v/>
      </c>
      <c r="D526" s="167" t="str">
        <v/>
      </c>
      <c r="E526" s="167" t="str">
        <v/>
      </c>
      <c r="F526" s="167" t="str">
        <v/>
      </c>
      <c r="G526" s="167" t="str">
        <v/>
      </c>
      <c r="H526" s="167" t="str">
        <v/>
      </c>
      <c r="I526" s="167" t="str">
        <v/>
      </c>
      <c r="J526" s="167" t="str">
        <v/>
      </c>
      <c r="K526" s="167" t="str">
        <v/>
      </c>
      <c r="L526" s="167" t="str">
        <v/>
      </c>
      <c r="M526" s="167" t="str">
        <v/>
      </c>
      <c r="N526" s="167" t="str">
        <v/>
      </c>
      <c r="O526" s="167" t="str">
        <v/>
      </c>
      <c r="P526" s="167" t="str">
        <v/>
      </c>
    </row>
    <row r="527" spans="1:16" x14ac:dyDescent="0.2">
      <c r="A527" s="58" t="str">
        <v/>
      </c>
      <c r="B527" s="144" t="str">
        <f>IFERROR(TIMEVALUE(DaqBook_RAW_Data!Q517),IFERROR(TIMEVALUE(DaqBook_RAW_Data!A517),""))</f>
        <v/>
      </c>
      <c r="C527" s="167" t="str">
        <v/>
      </c>
      <c r="D527" s="167" t="str">
        <v/>
      </c>
      <c r="E527" s="167" t="str">
        <v/>
      </c>
      <c r="F527" s="167" t="str">
        <v/>
      </c>
      <c r="G527" s="167" t="str">
        <v/>
      </c>
      <c r="H527" s="167" t="str">
        <v/>
      </c>
      <c r="I527" s="167" t="str">
        <v/>
      </c>
      <c r="J527" s="167" t="str">
        <v/>
      </c>
      <c r="K527" s="167" t="str">
        <v/>
      </c>
      <c r="L527" s="167" t="str">
        <v/>
      </c>
      <c r="M527" s="167" t="str">
        <v/>
      </c>
      <c r="N527" s="167" t="str">
        <v/>
      </c>
      <c r="O527" s="167" t="str">
        <v/>
      </c>
      <c r="P527" s="167" t="str">
        <v/>
      </c>
    </row>
    <row r="528" spans="1:16" x14ac:dyDescent="0.2">
      <c r="A528" s="58" t="str">
        <v/>
      </c>
      <c r="B528" s="144" t="str">
        <f>IFERROR(TIMEVALUE(DaqBook_RAW_Data!Q518),IFERROR(TIMEVALUE(DaqBook_RAW_Data!A518),""))</f>
        <v/>
      </c>
      <c r="C528" s="167" t="str">
        <v/>
      </c>
      <c r="D528" s="167" t="str">
        <v/>
      </c>
      <c r="E528" s="167" t="str">
        <v/>
      </c>
      <c r="F528" s="167" t="str">
        <v/>
      </c>
      <c r="G528" s="167" t="str">
        <v/>
      </c>
      <c r="H528" s="167" t="str">
        <v/>
      </c>
      <c r="I528" s="167" t="str">
        <v/>
      </c>
      <c r="J528" s="167" t="str">
        <v/>
      </c>
      <c r="K528" s="167" t="str">
        <v/>
      </c>
      <c r="L528" s="167" t="str">
        <v/>
      </c>
      <c r="M528" s="167" t="str">
        <v/>
      </c>
      <c r="N528" s="167" t="str">
        <v/>
      </c>
      <c r="O528" s="167" t="str">
        <v/>
      </c>
      <c r="P528" s="167" t="str">
        <v/>
      </c>
    </row>
    <row r="529" spans="1:16" x14ac:dyDescent="0.2">
      <c r="A529" s="58" t="str">
        <v/>
      </c>
      <c r="B529" s="144" t="str">
        <f>IFERROR(TIMEVALUE(DaqBook_RAW_Data!Q519),IFERROR(TIMEVALUE(DaqBook_RAW_Data!A519),""))</f>
        <v/>
      </c>
      <c r="C529" s="167" t="str">
        <v/>
      </c>
      <c r="D529" s="167" t="str">
        <v/>
      </c>
      <c r="E529" s="167" t="str">
        <v/>
      </c>
      <c r="F529" s="167" t="str">
        <v/>
      </c>
      <c r="G529" s="167" t="str">
        <v/>
      </c>
      <c r="H529" s="167" t="str">
        <v/>
      </c>
      <c r="I529" s="167" t="str">
        <v/>
      </c>
      <c r="J529" s="167" t="str">
        <v/>
      </c>
      <c r="K529" s="167" t="str">
        <v/>
      </c>
      <c r="L529" s="167" t="str">
        <v/>
      </c>
      <c r="M529" s="167" t="str">
        <v/>
      </c>
      <c r="N529" s="167" t="str">
        <v/>
      </c>
      <c r="O529" s="167" t="str">
        <v/>
      </c>
      <c r="P529" s="167" t="str">
        <v/>
      </c>
    </row>
    <row r="530" spans="1:16" x14ac:dyDescent="0.2">
      <c r="A530" s="58" t="str">
        <v/>
      </c>
      <c r="B530" s="144" t="str">
        <f>IFERROR(TIMEVALUE(DaqBook_RAW_Data!Q520),IFERROR(TIMEVALUE(DaqBook_RAW_Data!A520),""))</f>
        <v/>
      </c>
      <c r="C530" s="167" t="str">
        <v/>
      </c>
      <c r="D530" s="167" t="str">
        <v/>
      </c>
      <c r="E530" s="167" t="str">
        <v/>
      </c>
      <c r="F530" s="167" t="str">
        <v/>
      </c>
      <c r="G530" s="167" t="str">
        <v/>
      </c>
      <c r="H530" s="167" t="str">
        <v/>
      </c>
      <c r="I530" s="167" t="str">
        <v/>
      </c>
      <c r="J530" s="167" t="str">
        <v/>
      </c>
      <c r="K530" s="167" t="str">
        <v/>
      </c>
      <c r="L530" s="167" t="str">
        <v/>
      </c>
      <c r="M530" s="167" t="str">
        <v/>
      </c>
      <c r="N530" s="167" t="str">
        <v/>
      </c>
      <c r="O530" s="167" t="str">
        <v/>
      </c>
      <c r="P530" s="167" t="str">
        <v/>
      </c>
    </row>
    <row r="531" spans="1:16" x14ac:dyDescent="0.2">
      <c r="A531" s="58" t="str">
        <v/>
      </c>
      <c r="B531" s="144" t="str">
        <f>IFERROR(TIMEVALUE(DaqBook_RAW_Data!Q521),IFERROR(TIMEVALUE(DaqBook_RAW_Data!A521),""))</f>
        <v/>
      </c>
      <c r="C531" s="167" t="str">
        <v/>
      </c>
      <c r="D531" s="167" t="str">
        <v/>
      </c>
      <c r="E531" s="167" t="str">
        <v/>
      </c>
      <c r="F531" s="167" t="str">
        <v/>
      </c>
      <c r="G531" s="167" t="str">
        <v/>
      </c>
      <c r="H531" s="167" t="str">
        <v/>
      </c>
      <c r="I531" s="167" t="str">
        <v/>
      </c>
      <c r="J531" s="167" t="str">
        <v/>
      </c>
      <c r="K531" s="167" t="str">
        <v/>
      </c>
      <c r="L531" s="167" t="str">
        <v/>
      </c>
      <c r="M531" s="167" t="str">
        <v/>
      </c>
      <c r="N531" s="167" t="str">
        <v/>
      </c>
      <c r="O531" s="167" t="str">
        <v/>
      </c>
      <c r="P531" s="167" t="str">
        <v/>
      </c>
    </row>
    <row r="532" spans="1:16" x14ac:dyDescent="0.2">
      <c r="A532" s="58" t="str">
        <v/>
      </c>
      <c r="B532" s="144" t="str">
        <f>IFERROR(TIMEVALUE(DaqBook_RAW_Data!Q522),IFERROR(TIMEVALUE(DaqBook_RAW_Data!A522),""))</f>
        <v/>
      </c>
      <c r="C532" s="167" t="str">
        <v/>
      </c>
      <c r="D532" s="167" t="str">
        <v/>
      </c>
      <c r="E532" s="167" t="str">
        <v/>
      </c>
      <c r="F532" s="167" t="str">
        <v/>
      </c>
      <c r="G532" s="167" t="str">
        <v/>
      </c>
      <c r="H532" s="167" t="str">
        <v/>
      </c>
      <c r="I532" s="167" t="str">
        <v/>
      </c>
      <c r="J532" s="167" t="str">
        <v/>
      </c>
      <c r="K532" s="167" t="str">
        <v/>
      </c>
      <c r="L532" s="167" t="str">
        <v/>
      </c>
      <c r="M532" s="167" t="str">
        <v/>
      </c>
      <c r="N532" s="167" t="str">
        <v/>
      </c>
      <c r="O532" s="167" t="str">
        <v/>
      </c>
      <c r="P532" s="167" t="str">
        <v/>
      </c>
    </row>
    <row r="533" spans="1:16" x14ac:dyDescent="0.2">
      <c r="A533" s="58" t="str">
        <v/>
      </c>
      <c r="B533" s="144" t="str">
        <f>IFERROR(TIMEVALUE(DaqBook_RAW_Data!Q523),IFERROR(TIMEVALUE(DaqBook_RAW_Data!A523),""))</f>
        <v/>
      </c>
      <c r="C533" s="167" t="str">
        <v/>
      </c>
      <c r="D533" s="167" t="str">
        <v/>
      </c>
      <c r="E533" s="167" t="str">
        <v/>
      </c>
      <c r="F533" s="167" t="str">
        <v/>
      </c>
      <c r="G533" s="167" t="str">
        <v/>
      </c>
      <c r="H533" s="167" t="str">
        <v/>
      </c>
      <c r="I533" s="167" t="str">
        <v/>
      </c>
      <c r="J533" s="167" t="str">
        <v/>
      </c>
      <c r="K533" s="167" t="str">
        <v/>
      </c>
      <c r="L533" s="167" t="str">
        <v/>
      </c>
      <c r="M533" s="167" t="str">
        <v/>
      </c>
      <c r="N533" s="167" t="str">
        <v/>
      </c>
      <c r="O533" s="167" t="str">
        <v/>
      </c>
      <c r="P533" s="167" t="str">
        <v/>
      </c>
    </row>
    <row r="534" spans="1:16" x14ac:dyDescent="0.2">
      <c r="A534" s="58" t="str">
        <v/>
      </c>
      <c r="B534" s="144" t="str">
        <f>IFERROR(TIMEVALUE(DaqBook_RAW_Data!Q524),IFERROR(TIMEVALUE(DaqBook_RAW_Data!A524),""))</f>
        <v/>
      </c>
      <c r="C534" s="167" t="str">
        <v/>
      </c>
      <c r="D534" s="167" t="str">
        <v/>
      </c>
      <c r="E534" s="167" t="str">
        <v/>
      </c>
      <c r="F534" s="167" t="str">
        <v/>
      </c>
      <c r="G534" s="167" t="str">
        <v/>
      </c>
      <c r="H534" s="167" t="str">
        <v/>
      </c>
      <c r="I534" s="167" t="str">
        <v/>
      </c>
      <c r="J534" s="167" t="str">
        <v/>
      </c>
      <c r="K534" s="167" t="str">
        <v/>
      </c>
      <c r="L534" s="167" t="str">
        <v/>
      </c>
      <c r="M534" s="167" t="str">
        <v/>
      </c>
      <c r="N534" s="167" t="str">
        <v/>
      </c>
      <c r="O534" s="167" t="str">
        <v/>
      </c>
      <c r="P534" s="167" t="str">
        <v/>
      </c>
    </row>
    <row r="535" spans="1:16" x14ac:dyDescent="0.2">
      <c r="A535" s="58" t="str">
        <v/>
      </c>
      <c r="B535" s="144" t="str">
        <f>IFERROR(TIMEVALUE(DaqBook_RAW_Data!Q525),IFERROR(TIMEVALUE(DaqBook_RAW_Data!A525),""))</f>
        <v/>
      </c>
      <c r="C535" s="167" t="str">
        <v/>
      </c>
      <c r="D535" s="167" t="str">
        <v/>
      </c>
      <c r="E535" s="167" t="str">
        <v/>
      </c>
      <c r="F535" s="167" t="str">
        <v/>
      </c>
      <c r="G535" s="167" t="str">
        <v/>
      </c>
      <c r="H535" s="167" t="str">
        <v/>
      </c>
      <c r="I535" s="167" t="str">
        <v/>
      </c>
      <c r="J535" s="167" t="str">
        <v/>
      </c>
      <c r="K535" s="167" t="str">
        <v/>
      </c>
      <c r="L535" s="167" t="str">
        <v/>
      </c>
      <c r="M535" s="167" t="str">
        <v/>
      </c>
      <c r="N535" s="167" t="str">
        <v/>
      </c>
      <c r="O535" s="167" t="str">
        <v/>
      </c>
      <c r="P535" s="167" t="str">
        <v/>
      </c>
    </row>
    <row r="536" spans="1:16" x14ac:dyDescent="0.2">
      <c r="A536" s="58" t="str">
        <v/>
      </c>
      <c r="B536" s="144" t="str">
        <f>IFERROR(TIMEVALUE(DaqBook_RAW_Data!Q526),IFERROR(TIMEVALUE(DaqBook_RAW_Data!A526),""))</f>
        <v/>
      </c>
      <c r="C536" s="167" t="str">
        <v/>
      </c>
      <c r="D536" s="167" t="str">
        <v/>
      </c>
      <c r="E536" s="167" t="str">
        <v/>
      </c>
      <c r="F536" s="167" t="str">
        <v/>
      </c>
      <c r="G536" s="167" t="str">
        <v/>
      </c>
      <c r="H536" s="167" t="str">
        <v/>
      </c>
      <c r="I536" s="167" t="str">
        <v/>
      </c>
      <c r="J536" s="167" t="str">
        <v/>
      </c>
      <c r="K536" s="167" t="str">
        <v/>
      </c>
      <c r="L536" s="167" t="str">
        <v/>
      </c>
      <c r="M536" s="167" t="str">
        <v/>
      </c>
      <c r="N536" s="167" t="str">
        <v/>
      </c>
      <c r="O536" s="167" t="str">
        <v/>
      </c>
      <c r="P536" s="167" t="str">
        <v/>
      </c>
    </row>
    <row r="537" spans="1:16" x14ac:dyDescent="0.2">
      <c r="A537" s="58" t="str">
        <v/>
      </c>
      <c r="B537" s="144" t="str">
        <f>IFERROR(TIMEVALUE(DaqBook_RAW_Data!Q527),IFERROR(TIMEVALUE(DaqBook_RAW_Data!A527),""))</f>
        <v/>
      </c>
      <c r="C537" s="167" t="str">
        <v/>
      </c>
      <c r="D537" s="167" t="str">
        <v/>
      </c>
      <c r="E537" s="167" t="str">
        <v/>
      </c>
      <c r="F537" s="167" t="str">
        <v/>
      </c>
      <c r="G537" s="167" t="str">
        <v/>
      </c>
      <c r="H537" s="167" t="str">
        <v/>
      </c>
      <c r="I537" s="167" t="str">
        <v/>
      </c>
      <c r="J537" s="167" t="str">
        <v/>
      </c>
      <c r="K537" s="167" t="str">
        <v/>
      </c>
      <c r="L537" s="167" t="str">
        <v/>
      </c>
      <c r="M537" s="167" t="str">
        <v/>
      </c>
      <c r="N537" s="167" t="str">
        <v/>
      </c>
      <c r="O537" s="167" t="str">
        <v/>
      </c>
      <c r="P537" s="167" t="str">
        <v/>
      </c>
    </row>
    <row r="538" spans="1:16" x14ac:dyDescent="0.2">
      <c r="A538" s="58" t="str">
        <v/>
      </c>
      <c r="B538" s="144" t="str">
        <f>IFERROR(TIMEVALUE(DaqBook_RAW_Data!Q528),IFERROR(TIMEVALUE(DaqBook_RAW_Data!A528),""))</f>
        <v/>
      </c>
      <c r="C538" s="167" t="str">
        <v/>
      </c>
      <c r="D538" s="167" t="str">
        <v/>
      </c>
      <c r="E538" s="167" t="str">
        <v/>
      </c>
      <c r="F538" s="167" t="str">
        <v/>
      </c>
      <c r="G538" s="167" t="str">
        <v/>
      </c>
      <c r="H538" s="167" t="str">
        <v/>
      </c>
      <c r="I538" s="167" t="str">
        <v/>
      </c>
      <c r="J538" s="167" t="str">
        <v/>
      </c>
      <c r="K538" s="167" t="str">
        <v/>
      </c>
      <c r="L538" s="167" t="str">
        <v/>
      </c>
      <c r="M538" s="167" t="str">
        <v/>
      </c>
      <c r="N538" s="167" t="str">
        <v/>
      </c>
      <c r="O538" s="167" t="str">
        <v/>
      </c>
      <c r="P538" s="167" t="str">
        <v/>
      </c>
    </row>
    <row r="539" spans="1:16" x14ac:dyDescent="0.2">
      <c r="A539" s="58" t="str">
        <v/>
      </c>
      <c r="B539" s="144" t="str">
        <f>IFERROR(TIMEVALUE(DaqBook_RAW_Data!Q529),IFERROR(TIMEVALUE(DaqBook_RAW_Data!A529),""))</f>
        <v/>
      </c>
      <c r="C539" s="167" t="str">
        <v/>
      </c>
      <c r="D539" s="167" t="str">
        <v/>
      </c>
      <c r="E539" s="167" t="str">
        <v/>
      </c>
      <c r="F539" s="167" t="str">
        <v/>
      </c>
      <c r="G539" s="167" t="str">
        <v/>
      </c>
      <c r="H539" s="167" t="str">
        <v/>
      </c>
      <c r="I539" s="167" t="str">
        <v/>
      </c>
      <c r="J539" s="167" t="str">
        <v/>
      </c>
      <c r="K539" s="167" t="str">
        <v/>
      </c>
      <c r="L539" s="167" t="str">
        <v/>
      </c>
      <c r="M539" s="167" t="str">
        <v/>
      </c>
      <c r="N539" s="167" t="str">
        <v/>
      </c>
      <c r="O539" s="167" t="str">
        <v/>
      </c>
      <c r="P539" s="167" t="str">
        <v/>
      </c>
    </row>
    <row r="540" spans="1:16" x14ac:dyDescent="0.2">
      <c r="A540" s="58" t="str">
        <v/>
      </c>
      <c r="B540" s="144" t="str">
        <f>IFERROR(TIMEVALUE(DaqBook_RAW_Data!Q530),IFERROR(TIMEVALUE(DaqBook_RAW_Data!A530),""))</f>
        <v/>
      </c>
      <c r="C540" s="167" t="str">
        <v/>
      </c>
      <c r="D540" s="167" t="str">
        <v/>
      </c>
      <c r="E540" s="167" t="str">
        <v/>
      </c>
      <c r="F540" s="167" t="str">
        <v/>
      </c>
      <c r="G540" s="167" t="str">
        <v/>
      </c>
      <c r="H540" s="167" t="str">
        <v/>
      </c>
      <c r="I540" s="167" t="str">
        <v/>
      </c>
      <c r="J540" s="167" t="str">
        <v/>
      </c>
      <c r="K540" s="167" t="str">
        <v/>
      </c>
      <c r="L540" s="167" t="str">
        <v/>
      </c>
      <c r="M540" s="167" t="str">
        <v/>
      </c>
      <c r="N540" s="167" t="str">
        <v/>
      </c>
      <c r="O540" s="167" t="str">
        <v/>
      </c>
      <c r="P540" s="167" t="str">
        <v/>
      </c>
    </row>
    <row r="541" spans="1:16" x14ac:dyDescent="0.2">
      <c r="A541" s="58" t="str">
        <v/>
      </c>
      <c r="B541" s="144" t="str">
        <f>IFERROR(TIMEVALUE(DaqBook_RAW_Data!Q531),IFERROR(TIMEVALUE(DaqBook_RAW_Data!A531),""))</f>
        <v/>
      </c>
      <c r="C541" s="167" t="str">
        <v/>
      </c>
      <c r="D541" s="167" t="str">
        <v/>
      </c>
      <c r="E541" s="167" t="str">
        <v/>
      </c>
      <c r="F541" s="167" t="str">
        <v/>
      </c>
      <c r="G541" s="167" t="str">
        <v/>
      </c>
      <c r="H541" s="167" t="str">
        <v/>
      </c>
      <c r="I541" s="167" t="str">
        <v/>
      </c>
      <c r="J541" s="167" t="str">
        <v/>
      </c>
      <c r="K541" s="167" t="str">
        <v/>
      </c>
      <c r="L541" s="167" t="str">
        <v/>
      </c>
      <c r="M541" s="167" t="str">
        <v/>
      </c>
      <c r="N541" s="167" t="str">
        <v/>
      </c>
      <c r="O541" s="167" t="str">
        <v/>
      </c>
      <c r="P541" s="167" t="str">
        <v/>
      </c>
    </row>
    <row r="542" spans="1:16" x14ac:dyDescent="0.2">
      <c r="A542" s="58" t="str">
        <v/>
      </c>
      <c r="B542" s="144" t="str">
        <f>IFERROR(TIMEVALUE(DaqBook_RAW_Data!Q532),IFERROR(TIMEVALUE(DaqBook_RAW_Data!A532),""))</f>
        <v/>
      </c>
      <c r="C542" s="167" t="str">
        <v/>
      </c>
      <c r="D542" s="167" t="str">
        <v/>
      </c>
      <c r="E542" s="167" t="str">
        <v/>
      </c>
      <c r="F542" s="167" t="str">
        <v/>
      </c>
      <c r="G542" s="167" t="str">
        <v/>
      </c>
      <c r="H542" s="167" t="str">
        <v/>
      </c>
      <c r="I542" s="167" t="str">
        <v/>
      </c>
      <c r="J542" s="167" t="str">
        <v/>
      </c>
      <c r="K542" s="167" t="str">
        <v/>
      </c>
      <c r="L542" s="167" t="str">
        <v/>
      </c>
      <c r="M542" s="167" t="str">
        <v/>
      </c>
      <c r="N542" s="167" t="str">
        <v/>
      </c>
      <c r="O542" s="167" t="str">
        <v/>
      </c>
      <c r="P542" s="167" t="str">
        <v/>
      </c>
    </row>
    <row r="543" spans="1:16" x14ac:dyDescent="0.2">
      <c r="A543" s="58" t="str">
        <v/>
      </c>
      <c r="B543" s="144" t="str">
        <f>IFERROR(TIMEVALUE(DaqBook_RAW_Data!Q533),IFERROR(TIMEVALUE(DaqBook_RAW_Data!A533),""))</f>
        <v/>
      </c>
      <c r="C543" s="167" t="str">
        <v/>
      </c>
      <c r="D543" s="167" t="str">
        <v/>
      </c>
      <c r="E543" s="167" t="str">
        <v/>
      </c>
      <c r="F543" s="167" t="str">
        <v/>
      </c>
      <c r="G543" s="167" t="str">
        <v/>
      </c>
      <c r="H543" s="167" t="str">
        <v/>
      </c>
      <c r="I543" s="167" t="str">
        <v/>
      </c>
      <c r="J543" s="167" t="str">
        <v/>
      </c>
      <c r="K543" s="167" t="str">
        <v/>
      </c>
      <c r="L543" s="167" t="str">
        <v/>
      </c>
      <c r="M543" s="167" t="str">
        <v/>
      </c>
      <c r="N543" s="167" t="str">
        <v/>
      </c>
      <c r="O543" s="167" t="str">
        <v/>
      </c>
      <c r="P543" s="167" t="str">
        <v/>
      </c>
    </row>
    <row r="544" spans="1:16" x14ac:dyDescent="0.2">
      <c r="A544" s="58" t="str">
        <v/>
      </c>
      <c r="B544" s="144" t="str">
        <f>IFERROR(TIMEVALUE(DaqBook_RAW_Data!Q534),IFERROR(TIMEVALUE(DaqBook_RAW_Data!A534),""))</f>
        <v/>
      </c>
      <c r="C544" s="167" t="str">
        <v/>
      </c>
      <c r="D544" s="167" t="str">
        <v/>
      </c>
      <c r="E544" s="167" t="str">
        <v/>
      </c>
      <c r="F544" s="167" t="str">
        <v/>
      </c>
      <c r="G544" s="167" t="str">
        <v/>
      </c>
      <c r="H544" s="167" t="str">
        <v/>
      </c>
      <c r="I544" s="167" t="str">
        <v/>
      </c>
      <c r="J544" s="167" t="str">
        <v/>
      </c>
      <c r="K544" s="167" t="str">
        <v/>
      </c>
      <c r="L544" s="167" t="str">
        <v/>
      </c>
      <c r="M544" s="167" t="str">
        <v/>
      </c>
      <c r="N544" s="167" t="str">
        <v/>
      </c>
      <c r="O544" s="167" t="str">
        <v/>
      </c>
      <c r="P544" s="167" t="str">
        <v/>
      </c>
    </row>
    <row r="545" spans="1:16" x14ac:dyDescent="0.2">
      <c r="A545" s="58" t="str">
        <v/>
      </c>
      <c r="B545" s="144" t="str">
        <f>IFERROR(TIMEVALUE(DaqBook_RAW_Data!Q535),IFERROR(TIMEVALUE(DaqBook_RAW_Data!A535),""))</f>
        <v/>
      </c>
      <c r="C545" s="167" t="str">
        <v/>
      </c>
      <c r="D545" s="167" t="str">
        <v/>
      </c>
      <c r="E545" s="167" t="str">
        <v/>
      </c>
      <c r="F545" s="167" t="str">
        <v/>
      </c>
      <c r="G545" s="167" t="str">
        <v/>
      </c>
      <c r="H545" s="167" t="str">
        <v/>
      </c>
      <c r="I545" s="167" t="str">
        <v/>
      </c>
      <c r="J545" s="167" t="str">
        <v/>
      </c>
      <c r="K545" s="167" t="str">
        <v/>
      </c>
      <c r="L545" s="167" t="str">
        <v/>
      </c>
      <c r="M545" s="167" t="str">
        <v/>
      </c>
      <c r="N545" s="167" t="str">
        <v/>
      </c>
      <c r="O545" s="167" t="str">
        <v/>
      </c>
      <c r="P545" s="167" t="str">
        <v/>
      </c>
    </row>
    <row r="546" spans="1:16" x14ac:dyDescent="0.2">
      <c r="A546" s="58" t="str">
        <v/>
      </c>
      <c r="B546" s="144" t="str">
        <f>IFERROR(TIMEVALUE(DaqBook_RAW_Data!Q536),IFERROR(TIMEVALUE(DaqBook_RAW_Data!A536),""))</f>
        <v/>
      </c>
      <c r="C546" s="167" t="str">
        <v/>
      </c>
      <c r="D546" s="167" t="str">
        <v/>
      </c>
      <c r="E546" s="167" t="str">
        <v/>
      </c>
      <c r="F546" s="167" t="str">
        <v/>
      </c>
      <c r="G546" s="167" t="str">
        <v/>
      </c>
      <c r="H546" s="167" t="str">
        <v/>
      </c>
      <c r="I546" s="167" t="str">
        <v/>
      </c>
      <c r="J546" s="167" t="str">
        <v/>
      </c>
      <c r="K546" s="167" t="str">
        <v/>
      </c>
      <c r="L546" s="167" t="str">
        <v/>
      </c>
      <c r="M546" s="167" t="str">
        <v/>
      </c>
      <c r="N546" s="167" t="str">
        <v/>
      </c>
      <c r="O546" s="167" t="str">
        <v/>
      </c>
      <c r="P546" s="167" t="str">
        <v/>
      </c>
    </row>
    <row r="547" spans="1:16" x14ac:dyDescent="0.2">
      <c r="A547" s="58" t="str">
        <v/>
      </c>
      <c r="B547" s="144" t="str">
        <f>IFERROR(TIMEVALUE(DaqBook_RAW_Data!Q537),IFERROR(TIMEVALUE(DaqBook_RAW_Data!A537),""))</f>
        <v/>
      </c>
      <c r="C547" s="167" t="str">
        <v/>
      </c>
      <c r="D547" s="167" t="str">
        <v/>
      </c>
      <c r="E547" s="167" t="str">
        <v/>
      </c>
      <c r="F547" s="167" t="str">
        <v/>
      </c>
      <c r="G547" s="167" t="str">
        <v/>
      </c>
      <c r="H547" s="167" t="str">
        <v/>
      </c>
      <c r="I547" s="167" t="str">
        <v/>
      </c>
      <c r="J547" s="167" t="str">
        <v/>
      </c>
      <c r="K547" s="167" t="str">
        <v/>
      </c>
      <c r="L547" s="167" t="str">
        <v/>
      </c>
      <c r="M547" s="167" t="str">
        <v/>
      </c>
      <c r="N547" s="167" t="str">
        <v/>
      </c>
      <c r="O547" s="167" t="str">
        <v/>
      </c>
      <c r="P547" s="167" t="str">
        <v/>
      </c>
    </row>
    <row r="548" spans="1:16" x14ac:dyDescent="0.2">
      <c r="A548" s="58" t="str">
        <v/>
      </c>
      <c r="B548" s="144" t="str">
        <f>IFERROR(TIMEVALUE(DaqBook_RAW_Data!Q538),IFERROR(TIMEVALUE(DaqBook_RAW_Data!A538),""))</f>
        <v/>
      </c>
      <c r="C548" s="167" t="str">
        <v/>
      </c>
      <c r="D548" s="167" t="str">
        <v/>
      </c>
      <c r="E548" s="167" t="str">
        <v/>
      </c>
      <c r="F548" s="167" t="str">
        <v/>
      </c>
      <c r="G548" s="167" t="str">
        <v/>
      </c>
      <c r="H548" s="167" t="str">
        <v/>
      </c>
      <c r="I548" s="167" t="str">
        <v/>
      </c>
      <c r="J548" s="167" t="str">
        <v/>
      </c>
      <c r="K548" s="167" t="str">
        <v/>
      </c>
      <c r="L548" s="167" t="str">
        <v/>
      </c>
      <c r="M548" s="167" t="str">
        <v/>
      </c>
      <c r="N548" s="167" t="str">
        <v/>
      </c>
      <c r="O548" s="167" t="str">
        <v/>
      </c>
      <c r="P548" s="167" t="str">
        <v/>
      </c>
    </row>
    <row r="549" spans="1:16" x14ac:dyDescent="0.2">
      <c r="A549" s="58" t="str">
        <v/>
      </c>
      <c r="B549" s="144" t="str">
        <f>IFERROR(TIMEVALUE(DaqBook_RAW_Data!Q539),IFERROR(TIMEVALUE(DaqBook_RAW_Data!A539),""))</f>
        <v/>
      </c>
      <c r="C549" s="167" t="str">
        <v/>
      </c>
      <c r="D549" s="167" t="str">
        <v/>
      </c>
      <c r="E549" s="167" t="str">
        <v/>
      </c>
      <c r="F549" s="167" t="str">
        <v/>
      </c>
      <c r="G549" s="167" t="str">
        <v/>
      </c>
      <c r="H549" s="167" t="str">
        <v/>
      </c>
      <c r="I549" s="167" t="str">
        <v/>
      </c>
      <c r="J549" s="167" t="str">
        <v/>
      </c>
      <c r="K549" s="167" t="str">
        <v/>
      </c>
      <c r="L549" s="167" t="str">
        <v/>
      </c>
      <c r="M549" s="167" t="str">
        <v/>
      </c>
      <c r="N549" s="167" t="str">
        <v/>
      </c>
      <c r="O549" s="167" t="str">
        <v/>
      </c>
      <c r="P549" s="167" t="str">
        <v/>
      </c>
    </row>
    <row r="550" spans="1:16" x14ac:dyDescent="0.2">
      <c r="A550" s="58" t="str">
        <v/>
      </c>
      <c r="B550" s="144" t="str">
        <f>IFERROR(TIMEVALUE(DaqBook_RAW_Data!Q540),IFERROR(TIMEVALUE(DaqBook_RAW_Data!A540),""))</f>
        <v/>
      </c>
      <c r="C550" s="167" t="str">
        <v/>
      </c>
      <c r="D550" s="167" t="str">
        <v/>
      </c>
      <c r="E550" s="167" t="str">
        <v/>
      </c>
      <c r="F550" s="167" t="str">
        <v/>
      </c>
      <c r="G550" s="167" t="str">
        <v/>
      </c>
      <c r="H550" s="167" t="str">
        <v/>
      </c>
      <c r="I550" s="167" t="str">
        <v/>
      </c>
      <c r="J550" s="167" t="str">
        <v/>
      </c>
      <c r="K550" s="167" t="str">
        <v/>
      </c>
      <c r="L550" s="167" t="str">
        <v/>
      </c>
      <c r="M550" s="167" t="str">
        <v/>
      </c>
      <c r="N550" s="167" t="str">
        <v/>
      </c>
      <c r="O550" s="167" t="str">
        <v/>
      </c>
      <c r="P550" s="167" t="str">
        <v/>
      </c>
    </row>
    <row r="551" spans="1:16" x14ac:dyDescent="0.2">
      <c r="A551" s="58" t="str">
        <v/>
      </c>
      <c r="B551" s="144" t="str">
        <f>IFERROR(TIMEVALUE(DaqBook_RAW_Data!Q541),IFERROR(TIMEVALUE(DaqBook_RAW_Data!A541),""))</f>
        <v/>
      </c>
      <c r="C551" s="167" t="str">
        <v/>
      </c>
      <c r="D551" s="167" t="str">
        <v/>
      </c>
      <c r="E551" s="167" t="str">
        <v/>
      </c>
      <c r="F551" s="167" t="str">
        <v/>
      </c>
      <c r="G551" s="167" t="str">
        <v/>
      </c>
      <c r="H551" s="167" t="str">
        <v/>
      </c>
      <c r="I551" s="167" t="str">
        <v/>
      </c>
      <c r="J551" s="167" t="str">
        <v/>
      </c>
      <c r="K551" s="167" t="str">
        <v/>
      </c>
      <c r="L551" s="167" t="str">
        <v/>
      </c>
      <c r="M551" s="167" t="str">
        <v/>
      </c>
      <c r="N551" s="167" t="str">
        <v/>
      </c>
      <c r="O551" s="167" t="str">
        <v/>
      </c>
      <c r="P551" s="167" t="str">
        <v/>
      </c>
    </row>
    <row r="552" spans="1:16" x14ac:dyDescent="0.2">
      <c r="A552" s="58" t="str">
        <v/>
      </c>
      <c r="B552" s="144" t="str">
        <f>IFERROR(TIMEVALUE(DaqBook_RAW_Data!Q542),IFERROR(TIMEVALUE(DaqBook_RAW_Data!A542),""))</f>
        <v/>
      </c>
      <c r="C552" s="167" t="str">
        <v/>
      </c>
      <c r="D552" s="167" t="str">
        <v/>
      </c>
      <c r="E552" s="167" t="str">
        <v/>
      </c>
      <c r="F552" s="167" t="str">
        <v/>
      </c>
      <c r="G552" s="167" t="str">
        <v/>
      </c>
      <c r="H552" s="167" t="str">
        <v/>
      </c>
      <c r="I552" s="167" t="str">
        <v/>
      </c>
      <c r="J552" s="167" t="str">
        <v/>
      </c>
      <c r="K552" s="167" t="str">
        <v/>
      </c>
      <c r="L552" s="167" t="str">
        <v/>
      </c>
      <c r="M552" s="167" t="str">
        <v/>
      </c>
      <c r="N552" s="167" t="str">
        <v/>
      </c>
      <c r="O552" s="167" t="str">
        <v/>
      </c>
      <c r="P552" s="167" t="str">
        <v/>
      </c>
    </row>
    <row r="553" spans="1:16" x14ac:dyDescent="0.2">
      <c r="A553" s="58" t="str">
        <v/>
      </c>
      <c r="B553" s="144" t="str">
        <f>IFERROR(TIMEVALUE(DaqBook_RAW_Data!Q543),IFERROR(TIMEVALUE(DaqBook_RAW_Data!A543),""))</f>
        <v/>
      </c>
      <c r="C553" s="167" t="str">
        <v/>
      </c>
      <c r="D553" s="167" t="str">
        <v/>
      </c>
      <c r="E553" s="167" t="str">
        <v/>
      </c>
      <c r="F553" s="167" t="str">
        <v/>
      </c>
      <c r="G553" s="167" t="str">
        <v/>
      </c>
      <c r="H553" s="167" t="str">
        <v/>
      </c>
      <c r="I553" s="167" t="str">
        <v/>
      </c>
      <c r="J553" s="167" t="str">
        <v/>
      </c>
      <c r="K553" s="167" t="str">
        <v/>
      </c>
      <c r="L553" s="167" t="str">
        <v/>
      </c>
      <c r="M553" s="167" t="str">
        <v/>
      </c>
      <c r="N553" s="167" t="str">
        <v/>
      </c>
      <c r="O553" s="167" t="str">
        <v/>
      </c>
      <c r="P553" s="167" t="str">
        <v/>
      </c>
    </row>
    <row r="554" spans="1:16" x14ac:dyDescent="0.2">
      <c r="A554" s="58" t="str">
        <v/>
      </c>
      <c r="B554" s="144" t="str">
        <f>IFERROR(TIMEVALUE(DaqBook_RAW_Data!Q544),IFERROR(TIMEVALUE(DaqBook_RAW_Data!A544),""))</f>
        <v/>
      </c>
      <c r="C554" s="167" t="str">
        <v/>
      </c>
      <c r="D554" s="167" t="str">
        <v/>
      </c>
      <c r="E554" s="167" t="str">
        <v/>
      </c>
      <c r="F554" s="167" t="str">
        <v/>
      </c>
      <c r="G554" s="167" t="str">
        <v/>
      </c>
      <c r="H554" s="167" t="str">
        <v/>
      </c>
      <c r="I554" s="167" t="str">
        <v/>
      </c>
      <c r="J554" s="167" t="str">
        <v/>
      </c>
      <c r="K554" s="167" t="str">
        <v/>
      </c>
      <c r="L554" s="167" t="str">
        <v/>
      </c>
      <c r="M554" s="167" t="str">
        <v/>
      </c>
      <c r="N554" s="167" t="str">
        <v/>
      </c>
      <c r="O554" s="167" t="str">
        <v/>
      </c>
      <c r="P554" s="167" t="str">
        <v/>
      </c>
    </row>
    <row r="555" spans="1:16" x14ac:dyDescent="0.2">
      <c r="A555" s="58" t="str">
        <v/>
      </c>
      <c r="B555" s="144" t="str">
        <f>IFERROR(TIMEVALUE(DaqBook_RAW_Data!Q545),IFERROR(TIMEVALUE(DaqBook_RAW_Data!A545),""))</f>
        <v/>
      </c>
      <c r="C555" s="167" t="str">
        <v/>
      </c>
      <c r="D555" s="167" t="str">
        <v/>
      </c>
      <c r="E555" s="167" t="str">
        <v/>
      </c>
      <c r="F555" s="167" t="str">
        <v/>
      </c>
      <c r="G555" s="167" t="str">
        <v/>
      </c>
      <c r="H555" s="167" t="str">
        <v/>
      </c>
      <c r="I555" s="167" t="str">
        <v/>
      </c>
      <c r="J555" s="167" t="str">
        <v/>
      </c>
      <c r="K555" s="167" t="str">
        <v/>
      </c>
      <c r="L555" s="167" t="str">
        <v/>
      </c>
      <c r="M555" s="167" t="str">
        <v/>
      </c>
      <c r="N555" s="167" t="str">
        <v/>
      </c>
      <c r="O555" s="167" t="str">
        <v/>
      </c>
      <c r="P555" s="167" t="str">
        <v/>
      </c>
    </row>
    <row r="556" spans="1:16" x14ac:dyDescent="0.2">
      <c r="A556" s="58" t="str">
        <v/>
      </c>
      <c r="B556" s="144" t="str">
        <f>IFERROR(TIMEVALUE(DaqBook_RAW_Data!Q546),IFERROR(TIMEVALUE(DaqBook_RAW_Data!A546),""))</f>
        <v/>
      </c>
      <c r="C556" s="167" t="str">
        <v/>
      </c>
      <c r="D556" s="167" t="str">
        <v/>
      </c>
      <c r="E556" s="167" t="str">
        <v/>
      </c>
      <c r="F556" s="167" t="str">
        <v/>
      </c>
      <c r="G556" s="167" t="str">
        <v/>
      </c>
      <c r="H556" s="167" t="str">
        <v/>
      </c>
      <c r="I556" s="167" t="str">
        <v/>
      </c>
      <c r="J556" s="167" t="str">
        <v/>
      </c>
      <c r="K556" s="167" t="str">
        <v/>
      </c>
      <c r="L556" s="167" t="str">
        <v/>
      </c>
      <c r="M556" s="167" t="str">
        <v/>
      </c>
      <c r="N556" s="167" t="str">
        <v/>
      </c>
      <c r="O556" s="167" t="str">
        <v/>
      </c>
      <c r="P556" s="167" t="str">
        <v/>
      </c>
    </row>
    <row r="557" spans="1:16" x14ac:dyDescent="0.2">
      <c r="A557" s="58" t="str">
        <v/>
      </c>
      <c r="B557" s="144" t="str">
        <f>IFERROR(TIMEVALUE(DaqBook_RAW_Data!Q547),IFERROR(TIMEVALUE(DaqBook_RAW_Data!A547),""))</f>
        <v/>
      </c>
      <c r="C557" s="167" t="str">
        <v/>
      </c>
      <c r="D557" s="167" t="str">
        <v/>
      </c>
      <c r="E557" s="167" t="str">
        <v/>
      </c>
      <c r="F557" s="167" t="str">
        <v/>
      </c>
      <c r="G557" s="167" t="str">
        <v/>
      </c>
      <c r="H557" s="167" t="str">
        <v/>
      </c>
      <c r="I557" s="167" t="str">
        <v/>
      </c>
      <c r="J557" s="167" t="str">
        <v/>
      </c>
      <c r="K557" s="167" t="str">
        <v/>
      </c>
      <c r="L557" s="167" t="str">
        <v/>
      </c>
      <c r="M557" s="167" t="str">
        <v/>
      </c>
      <c r="N557" s="167" t="str">
        <v/>
      </c>
      <c r="O557" s="167" t="str">
        <v/>
      </c>
      <c r="P557" s="167" t="str">
        <v/>
      </c>
    </row>
    <row r="558" spans="1:16" x14ac:dyDescent="0.2">
      <c r="A558" s="58" t="str">
        <v/>
      </c>
      <c r="B558" s="144" t="str">
        <f>IFERROR(TIMEVALUE(DaqBook_RAW_Data!Q548),IFERROR(TIMEVALUE(DaqBook_RAW_Data!A548),""))</f>
        <v/>
      </c>
      <c r="C558" s="167" t="str">
        <v/>
      </c>
      <c r="D558" s="167" t="str">
        <v/>
      </c>
      <c r="E558" s="167" t="str">
        <v/>
      </c>
      <c r="F558" s="167" t="str">
        <v/>
      </c>
      <c r="G558" s="167" t="str">
        <v/>
      </c>
      <c r="H558" s="167" t="str">
        <v/>
      </c>
      <c r="I558" s="167" t="str">
        <v/>
      </c>
      <c r="J558" s="167" t="str">
        <v/>
      </c>
      <c r="K558" s="167" t="str">
        <v/>
      </c>
      <c r="L558" s="167" t="str">
        <v/>
      </c>
      <c r="M558" s="167" t="str">
        <v/>
      </c>
      <c r="N558" s="167" t="str">
        <v/>
      </c>
      <c r="O558" s="167" t="str">
        <v/>
      </c>
      <c r="P558" s="167" t="str">
        <v/>
      </c>
    </row>
    <row r="559" spans="1:16" x14ac:dyDescent="0.2">
      <c r="A559" s="58" t="str">
        <v/>
      </c>
      <c r="B559" s="144" t="str">
        <f>IFERROR(TIMEVALUE(DaqBook_RAW_Data!Q549),IFERROR(TIMEVALUE(DaqBook_RAW_Data!A549),""))</f>
        <v/>
      </c>
      <c r="C559" s="167" t="str">
        <v/>
      </c>
      <c r="D559" s="167" t="str">
        <v/>
      </c>
      <c r="E559" s="167" t="str">
        <v/>
      </c>
      <c r="F559" s="167" t="str">
        <v/>
      </c>
      <c r="G559" s="167" t="str">
        <v/>
      </c>
      <c r="H559" s="167" t="str">
        <v/>
      </c>
      <c r="I559" s="167" t="str">
        <v/>
      </c>
      <c r="J559" s="167" t="str">
        <v/>
      </c>
      <c r="K559" s="167" t="str">
        <v/>
      </c>
      <c r="L559" s="167" t="str">
        <v/>
      </c>
      <c r="M559" s="167" t="str">
        <v/>
      </c>
      <c r="N559" s="167" t="str">
        <v/>
      </c>
      <c r="O559" s="167" t="str">
        <v/>
      </c>
      <c r="P559" s="167" t="str">
        <v/>
      </c>
    </row>
    <row r="560" spans="1:16" x14ac:dyDescent="0.2">
      <c r="A560" s="58" t="str">
        <v/>
      </c>
      <c r="B560" s="144" t="str">
        <f>IFERROR(TIMEVALUE(DaqBook_RAW_Data!Q550),IFERROR(TIMEVALUE(DaqBook_RAW_Data!A550),""))</f>
        <v/>
      </c>
      <c r="C560" s="167" t="str">
        <v/>
      </c>
      <c r="D560" s="167" t="str">
        <v/>
      </c>
      <c r="E560" s="167" t="str">
        <v/>
      </c>
      <c r="F560" s="167" t="str">
        <v/>
      </c>
      <c r="G560" s="167" t="str">
        <v/>
      </c>
      <c r="H560" s="167" t="str">
        <v/>
      </c>
      <c r="I560" s="167" t="str">
        <v/>
      </c>
      <c r="J560" s="167" t="str">
        <v/>
      </c>
      <c r="K560" s="167" t="str">
        <v/>
      </c>
      <c r="L560" s="167" t="str">
        <v/>
      </c>
      <c r="M560" s="167" t="str">
        <v/>
      </c>
      <c r="N560" s="167" t="str">
        <v/>
      </c>
      <c r="O560" s="167" t="str">
        <v/>
      </c>
      <c r="P560" s="167" t="str">
        <v/>
      </c>
    </row>
    <row r="561" spans="1:16" x14ac:dyDescent="0.2">
      <c r="A561" s="58" t="str">
        <v/>
      </c>
      <c r="B561" s="144" t="str">
        <f>IFERROR(TIMEVALUE(DaqBook_RAW_Data!Q551),IFERROR(TIMEVALUE(DaqBook_RAW_Data!A551),""))</f>
        <v/>
      </c>
      <c r="C561" s="167" t="str">
        <v/>
      </c>
      <c r="D561" s="167" t="str">
        <v/>
      </c>
      <c r="E561" s="167" t="str">
        <v/>
      </c>
      <c r="F561" s="167" t="str">
        <v/>
      </c>
      <c r="G561" s="167" t="str">
        <v/>
      </c>
      <c r="H561" s="167" t="str">
        <v/>
      </c>
      <c r="I561" s="167" t="str">
        <v/>
      </c>
      <c r="J561" s="167" t="str">
        <v/>
      </c>
      <c r="K561" s="167" t="str">
        <v/>
      </c>
      <c r="L561" s="167" t="str">
        <v/>
      </c>
      <c r="M561" s="167" t="str">
        <v/>
      </c>
      <c r="N561" s="167" t="str">
        <v/>
      </c>
      <c r="O561" s="167" t="str">
        <v/>
      </c>
      <c r="P561" s="167" t="str">
        <v/>
      </c>
    </row>
    <row r="562" spans="1:16" x14ac:dyDescent="0.2">
      <c r="A562" s="58" t="str">
        <v/>
      </c>
      <c r="B562" s="144" t="str">
        <f>IFERROR(TIMEVALUE(DaqBook_RAW_Data!Q552),IFERROR(TIMEVALUE(DaqBook_RAW_Data!A552),""))</f>
        <v/>
      </c>
      <c r="C562" s="167" t="str">
        <v/>
      </c>
      <c r="D562" s="167" t="str">
        <v/>
      </c>
      <c r="E562" s="167" t="str">
        <v/>
      </c>
      <c r="F562" s="167" t="str">
        <v/>
      </c>
      <c r="G562" s="167" t="str">
        <v/>
      </c>
      <c r="H562" s="167" t="str">
        <v/>
      </c>
      <c r="I562" s="167" t="str">
        <v/>
      </c>
      <c r="J562" s="167" t="str">
        <v/>
      </c>
      <c r="K562" s="167" t="str">
        <v/>
      </c>
      <c r="L562" s="167" t="str">
        <v/>
      </c>
      <c r="M562" s="167" t="str">
        <v/>
      </c>
      <c r="N562" s="167" t="str">
        <v/>
      </c>
      <c r="O562" s="167" t="str">
        <v/>
      </c>
      <c r="P562" s="167" t="str">
        <v/>
      </c>
    </row>
    <row r="563" spans="1:16" x14ac:dyDescent="0.2">
      <c r="A563" s="58" t="str">
        <v/>
      </c>
      <c r="B563" s="144" t="str">
        <f>IFERROR(TIMEVALUE(DaqBook_RAW_Data!Q553),IFERROR(TIMEVALUE(DaqBook_RAW_Data!A553),""))</f>
        <v/>
      </c>
      <c r="C563" s="167" t="str">
        <v/>
      </c>
      <c r="D563" s="167" t="str">
        <v/>
      </c>
      <c r="E563" s="167" t="str">
        <v/>
      </c>
      <c r="F563" s="167" t="str">
        <v/>
      </c>
      <c r="G563" s="167" t="str">
        <v/>
      </c>
      <c r="H563" s="167" t="str">
        <v/>
      </c>
      <c r="I563" s="167" t="str">
        <v/>
      </c>
      <c r="J563" s="167" t="str">
        <v/>
      </c>
      <c r="K563" s="167" t="str">
        <v/>
      </c>
      <c r="L563" s="167" t="str">
        <v/>
      </c>
      <c r="M563" s="167" t="str">
        <v/>
      </c>
      <c r="N563" s="167" t="str">
        <v/>
      </c>
      <c r="O563" s="167" t="str">
        <v/>
      </c>
      <c r="P563" s="167" t="str">
        <v/>
      </c>
    </row>
    <row r="564" spans="1:16" x14ac:dyDescent="0.2">
      <c r="A564" s="58" t="str">
        <v/>
      </c>
      <c r="B564" s="144" t="str">
        <f>IFERROR(TIMEVALUE(DaqBook_RAW_Data!Q554),IFERROR(TIMEVALUE(DaqBook_RAW_Data!A554),""))</f>
        <v/>
      </c>
      <c r="C564" s="167" t="str">
        <v/>
      </c>
      <c r="D564" s="167" t="str">
        <v/>
      </c>
      <c r="E564" s="167" t="str">
        <v/>
      </c>
      <c r="F564" s="167" t="str">
        <v/>
      </c>
      <c r="G564" s="167" t="str">
        <v/>
      </c>
      <c r="H564" s="167" t="str">
        <v/>
      </c>
      <c r="I564" s="167" t="str">
        <v/>
      </c>
      <c r="J564" s="167" t="str">
        <v/>
      </c>
      <c r="K564" s="167" t="str">
        <v/>
      </c>
      <c r="L564" s="167" t="str">
        <v/>
      </c>
      <c r="M564" s="167" t="str">
        <v/>
      </c>
      <c r="N564" s="167" t="str">
        <v/>
      </c>
      <c r="O564" s="167" t="str">
        <v/>
      </c>
      <c r="P564" s="167" t="str">
        <v/>
      </c>
    </row>
    <row r="565" spans="1:16" x14ac:dyDescent="0.2">
      <c r="A565" s="58" t="str">
        <v/>
      </c>
      <c r="B565" s="144" t="str">
        <f>IFERROR(TIMEVALUE(DaqBook_RAW_Data!Q555),IFERROR(TIMEVALUE(DaqBook_RAW_Data!A555),""))</f>
        <v/>
      </c>
      <c r="C565" s="167" t="str">
        <v/>
      </c>
      <c r="D565" s="167" t="str">
        <v/>
      </c>
      <c r="E565" s="167" t="str">
        <v/>
      </c>
      <c r="F565" s="167" t="str">
        <v/>
      </c>
      <c r="G565" s="167" t="str">
        <v/>
      </c>
      <c r="H565" s="167" t="str">
        <v/>
      </c>
      <c r="I565" s="167" t="str">
        <v/>
      </c>
      <c r="J565" s="167" t="str">
        <v/>
      </c>
      <c r="K565" s="167" t="str">
        <v/>
      </c>
      <c r="L565" s="167" t="str">
        <v/>
      </c>
      <c r="M565" s="167" t="str">
        <v/>
      </c>
      <c r="N565" s="167" t="str">
        <v/>
      </c>
      <c r="O565" s="167" t="str">
        <v/>
      </c>
      <c r="P565" s="167" t="str">
        <v/>
      </c>
    </row>
    <row r="566" spans="1:16" x14ac:dyDescent="0.2">
      <c r="A566" s="58" t="str">
        <v/>
      </c>
      <c r="B566" s="144" t="str">
        <f>IFERROR(TIMEVALUE(DaqBook_RAW_Data!Q556),IFERROR(TIMEVALUE(DaqBook_RAW_Data!A556),""))</f>
        <v/>
      </c>
      <c r="C566" s="167" t="str">
        <v/>
      </c>
      <c r="D566" s="167" t="str">
        <v/>
      </c>
      <c r="E566" s="167" t="str">
        <v/>
      </c>
      <c r="F566" s="167" t="str">
        <v/>
      </c>
      <c r="G566" s="167" t="str">
        <v/>
      </c>
      <c r="H566" s="167" t="str">
        <v/>
      </c>
      <c r="I566" s="167" t="str">
        <v/>
      </c>
      <c r="J566" s="167" t="str">
        <v/>
      </c>
      <c r="K566" s="167" t="str">
        <v/>
      </c>
      <c r="L566" s="167" t="str">
        <v/>
      </c>
      <c r="M566" s="167" t="str">
        <v/>
      </c>
      <c r="N566" s="167" t="str">
        <v/>
      </c>
      <c r="O566" s="167" t="str">
        <v/>
      </c>
      <c r="P566" s="167" t="str">
        <v/>
      </c>
    </row>
    <row r="567" spans="1:16" x14ac:dyDescent="0.2">
      <c r="A567" s="58" t="str">
        <v/>
      </c>
      <c r="B567" s="144" t="str">
        <f>IFERROR(TIMEVALUE(DaqBook_RAW_Data!Q557),IFERROR(TIMEVALUE(DaqBook_RAW_Data!A557),""))</f>
        <v/>
      </c>
      <c r="C567" s="167" t="str">
        <v/>
      </c>
      <c r="D567" s="167" t="str">
        <v/>
      </c>
      <c r="E567" s="167" t="str">
        <v/>
      </c>
      <c r="F567" s="167" t="str">
        <v/>
      </c>
      <c r="G567" s="167" t="str">
        <v/>
      </c>
      <c r="H567" s="167" t="str">
        <v/>
      </c>
      <c r="I567" s="167" t="str">
        <v/>
      </c>
      <c r="J567" s="167" t="str">
        <v/>
      </c>
      <c r="K567" s="167" t="str">
        <v/>
      </c>
      <c r="L567" s="167" t="str">
        <v/>
      </c>
      <c r="M567" s="167" t="str">
        <v/>
      </c>
      <c r="N567" s="167" t="str">
        <v/>
      </c>
      <c r="O567" s="167" t="str">
        <v/>
      </c>
      <c r="P567" s="167" t="str">
        <v/>
      </c>
    </row>
    <row r="568" spans="1:16" x14ac:dyDescent="0.2">
      <c r="A568" s="58" t="str">
        <v/>
      </c>
      <c r="B568" s="144" t="str">
        <f>IFERROR(TIMEVALUE(DaqBook_RAW_Data!Q558),IFERROR(TIMEVALUE(DaqBook_RAW_Data!A558),""))</f>
        <v/>
      </c>
      <c r="C568" s="167" t="str">
        <v/>
      </c>
      <c r="D568" s="167" t="str">
        <v/>
      </c>
      <c r="E568" s="167" t="str">
        <v/>
      </c>
      <c r="F568" s="167" t="str">
        <v/>
      </c>
      <c r="G568" s="167" t="str">
        <v/>
      </c>
      <c r="H568" s="167" t="str">
        <v/>
      </c>
      <c r="I568" s="167" t="str">
        <v/>
      </c>
      <c r="J568" s="167" t="str">
        <v/>
      </c>
      <c r="K568" s="167" t="str">
        <v/>
      </c>
      <c r="L568" s="167" t="str">
        <v/>
      </c>
      <c r="M568" s="167" t="str">
        <v/>
      </c>
      <c r="N568" s="167" t="str">
        <v/>
      </c>
      <c r="O568" s="167" t="str">
        <v/>
      </c>
      <c r="P568" s="167" t="str">
        <v/>
      </c>
    </row>
    <row r="569" spans="1:16" x14ac:dyDescent="0.2">
      <c r="A569" s="58" t="str">
        <v/>
      </c>
      <c r="B569" s="144" t="str">
        <f>IFERROR(TIMEVALUE(DaqBook_RAW_Data!Q559),IFERROR(TIMEVALUE(DaqBook_RAW_Data!A559),""))</f>
        <v/>
      </c>
      <c r="C569" s="167" t="str">
        <v/>
      </c>
      <c r="D569" s="167" t="str">
        <v/>
      </c>
      <c r="E569" s="167" t="str">
        <v/>
      </c>
      <c r="F569" s="167" t="str">
        <v/>
      </c>
      <c r="G569" s="167" t="str">
        <v/>
      </c>
      <c r="H569" s="167" t="str">
        <v/>
      </c>
      <c r="I569" s="167" t="str">
        <v/>
      </c>
      <c r="J569" s="167" t="str">
        <v/>
      </c>
      <c r="K569" s="167" t="str">
        <v/>
      </c>
      <c r="L569" s="167" t="str">
        <v/>
      </c>
      <c r="M569" s="167" t="str">
        <v/>
      </c>
      <c r="N569" s="167" t="str">
        <v/>
      </c>
      <c r="O569" s="167" t="str">
        <v/>
      </c>
      <c r="P569" s="167" t="str">
        <v/>
      </c>
    </row>
    <row r="570" spans="1:16" x14ac:dyDescent="0.2">
      <c r="A570" s="58" t="str">
        <v/>
      </c>
      <c r="B570" s="144" t="str">
        <f>IFERROR(TIMEVALUE(DaqBook_RAW_Data!Q560),IFERROR(TIMEVALUE(DaqBook_RAW_Data!A560),""))</f>
        <v/>
      </c>
      <c r="C570" s="167" t="str">
        <v/>
      </c>
      <c r="D570" s="167" t="str">
        <v/>
      </c>
      <c r="E570" s="167" t="str">
        <v/>
      </c>
      <c r="F570" s="167" t="str">
        <v/>
      </c>
      <c r="G570" s="167" t="str">
        <v/>
      </c>
      <c r="H570" s="167" t="str">
        <v/>
      </c>
      <c r="I570" s="167" t="str">
        <v/>
      </c>
      <c r="J570" s="167" t="str">
        <v/>
      </c>
      <c r="K570" s="167" t="str">
        <v/>
      </c>
      <c r="L570" s="167" t="str">
        <v/>
      </c>
      <c r="M570" s="167" t="str">
        <v/>
      </c>
      <c r="N570" s="167" t="str">
        <v/>
      </c>
      <c r="O570" s="167" t="str">
        <v/>
      </c>
      <c r="P570" s="167" t="str">
        <v/>
      </c>
    </row>
    <row r="571" spans="1:16" x14ac:dyDescent="0.2">
      <c r="A571" s="58" t="str">
        <v/>
      </c>
      <c r="B571" s="144" t="str">
        <f>IFERROR(TIMEVALUE(DaqBook_RAW_Data!Q561),IFERROR(TIMEVALUE(DaqBook_RAW_Data!A561),""))</f>
        <v/>
      </c>
      <c r="C571" s="167" t="str">
        <v/>
      </c>
      <c r="D571" s="167" t="str">
        <v/>
      </c>
      <c r="E571" s="167" t="str">
        <v/>
      </c>
      <c r="F571" s="167" t="str">
        <v/>
      </c>
      <c r="G571" s="167" t="str">
        <v/>
      </c>
      <c r="H571" s="167" t="str">
        <v/>
      </c>
      <c r="I571" s="167" t="str">
        <v/>
      </c>
      <c r="J571" s="167" t="str">
        <v/>
      </c>
      <c r="K571" s="167" t="str">
        <v/>
      </c>
      <c r="L571" s="167" t="str">
        <v/>
      </c>
      <c r="M571" s="167" t="str">
        <v/>
      </c>
      <c r="N571" s="167" t="str">
        <v/>
      </c>
      <c r="O571" s="167" t="str">
        <v/>
      </c>
      <c r="P571" s="167" t="str">
        <v/>
      </c>
    </row>
    <row r="572" spans="1:16" x14ac:dyDescent="0.2">
      <c r="A572" s="58" t="str">
        <v/>
      </c>
      <c r="B572" s="144" t="str">
        <f>IFERROR(TIMEVALUE(DaqBook_RAW_Data!Q562),IFERROR(TIMEVALUE(DaqBook_RAW_Data!A562),""))</f>
        <v/>
      </c>
      <c r="C572" s="167" t="str">
        <v/>
      </c>
      <c r="D572" s="167" t="str">
        <v/>
      </c>
      <c r="E572" s="167" t="str">
        <v/>
      </c>
      <c r="F572" s="167" t="str">
        <v/>
      </c>
      <c r="G572" s="167" t="str">
        <v/>
      </c>
      <c r="H572" s="167" t="str">
        <v/>
      </c>
      <c r="I572" s="167" t="str">
        <v/>
      </c>
      <c r="J572" s="167" t="str">
        <v/>
      </c>
      <c r="K572" s="167" t="str">
        <v/>
      </c>
      <c r="L572" s="167" t="str">
        <v/>
      </c>
      <c r="M572" s="167" t="str">
        <v/>
      </c>
      <c r="N572" s="167" t="str">
        <v/>
      </c>
      <c r="O572" s="167" t="str">
        <v/>
      </c>
      <c r="P572" s="167" t="str">
        <v/>
      </c>
    </row>
    <row r="573" spans="1:16" x14ac:dyDescent="0.2">
      <c r="A573" s="58" t="str">
        <v/>
      </c>
      <c r="B573" s="144" t="str">
        <f>IFERROR(TIMEVALUE(DaqBook_RAW_Data!Q563),IFERROR(TIMEVALUE(DaqBook_RAW_Data!A563),""))</f>
        <v/>
      </c>
      <c r="C573" s="167" t="str">
        <v/>
      </c>
      <c r="D573" s="167" t="str">
        <v/>
      </c>
      <c r="E573" s="167" t="str">
        <v/>
      </c>
      <c r="F573" s="167" t="str">
        <v/>
      </c>
      <c r="G573" s="167" t="str">
        <v/>
      </c>
      <c r="H573" s="167" t="str">
        <v/>
      </c>
      <c r="I573" s="167" t="str">
        <v/>
      </c>
      <c r="J573" s="167" t="str">
        <v/>
      </c>
      <c r="K573" s="167" t="str">
        <v/>
      </c>
      <c r="L573" s="167" t="str">
        <v/>
      </c>
      <c r="M573" s="167" t="str">
        <v/>
      </c>
      <c r="N573" s="167" t="str">
        <v/>
      </c>
      <c r="O573" s="167" t="str">
        <v/>
      </c>
      <c r="P573" s="167" t="str">
        <v/>
      </c>
    </row>
    <row r="574" spans="1:16" x14ac:dyDescent="0.2">
      <c r="A574" s="58" t="str">
        <v/>
      </c>
      <c r="B574" s="144" t="str">
        <f>IFERROR(TIMEVALUE(DaqBook_RAW_Data!Q564),IFERROR(TIMEVALUE(DaqBook_RAW_Data!A564),""))</f>
        <v/>
      </c>
      <c r="C574" s="167" t="str">
        <v/>
      </c>
      <c r="D574" s="167" t="str">
        <v/>
      </c>
      <c r="E574" s="167" t="str">
        <v/>
      </c>
      <c r="F574" s="167" t="str">
        <v/>
      </c>
      <c r="G574" s="167" t="str">
        <v/>
      </c>
      <c r="H574" s="167" t="str">
        <v/>
      </c>
      <c r="I574" s="167" t="str">
        <v/>
      </c>
      <c r="J574" s="167" t="str">
        <v/>
      </c>
      <c r="K574" s="167" t="str">
        <v/>
      </c>
      <c r="L574" s="167" t="str">
        <v/>
      </c>
      <c r="M574" s="167" t="str">
        <v/>
      </c>
      <c r="N574" s="167" t="str">
        <v/>
      </c>
      <c r="O574" s="167" t="str">
        <v/>
      </c>
      <c r="P574" s="167" t="str">
        <v/>
      </c>
    </row>
    <row r="575" spans="1:16" x14ac:dyDescent="0.2">
      <c r="A575" s="58" t="str">
        <v/>
      </c>
      <c r="B575" s="144" t="str">
        <f>IFERROR(TIMEVALUE(DaqBook_RAW_Data!Q565),IFERROR(TIMEVALUE(DaqBook_RAW_Data!A565),""))</f>
        <v/>
      </c>
      <c r="C575" s="167" t="str">
        <v/>
      </c>
      <c r="D575" s="167" t="str">
        <v/>
      </c>
      <c r="E575" s="167" t="str">
        <v/>
      </c>
      <c r="F575" s="167" t="str">
        <v/>
      </c>
      <c r="G575" s="167" t="str">
        <v/>
      </c>
      <c r="H575" s="167" t="str">
        <v/>
      </c>
      <c r="I575" s="167" t="str">
        <v/>
      </c>
      <c r="J575" s="167" t="str">
        <v/>
      </c>
      <c r="K575" s="167" t="str">
        <v/>
      </c>
      <c r="L575" s="167" t="str">
        <v/>
      </c>
      <c r="M575" s="167" t="str">
        <v/>
      </c>
      <c r="N575" s="167" t="str">
        <v/>
      </c>
      <c r="O575" s="167" t="str">
        <v/>
      </c>
      <c r="P575" s="167" t="str">
        <v/>
      </c>
    </row>
    <row r="576" spans="1:16" x14ac:dyDescent="0.2">
      <c r="A576" s="58" t="str">
        <v/>
      </c>
      <c r="B576" s="144" t="str">
        <f>IFERROR(TIMEVALUE(DaqBook_RAW_Data!Q566),IFERROR(TIMEVALUE(DaqBook_RAW_Data!A566),""))</f>
        <v/>
      </c>
      <c r="C576" s="167" t="str">
        <v/>
      </c>
      <c r="D576" s="167" t="str">
        <v/>
      </c>
      <c r="E576" s="167" t="str">
        <v/>
      </c>
      <c r="F576" s="167" t="str">
        <v/>
      </c>
      <c r="G576" s="167" t="str">
        <v/>
      </c>
      <c r="H576" s="167" t="str">
        <v/>
      </c>
      <c r="I576" s="167" t="str">
        <v/>
      </c>
      <c r="J576" s="167" t="str">
        <v/>
      </c>
      <c r="K576" s="167" t="str">
        <v/>
      </c>
      <c r="L576" s="167" t="str">
        <v/>
      </c>
      <c r="M576" s="167" t="str">
        <v/>
      </c>
      <c r="N576" s="167" t="str">
        <v/>
      </c>
      <c r="O576" s="167" t="str">
        <v/>
      </c>
      <c r="P576" s="167" t="str">
        <v/>
      </c>
    </row>
    <row r="577" spans="1:16" x14ac:dyDescent="0.2">
      <c r="A577" s="58" t="str">
        <v/>
      </c>
      <c r="B577" s="144" t="str">
        <f>IFERROR(TIMEVALUE(DaqBook_RAW_Data!Q567),IFERROR(TIMEVALUE(DaqBook_RAW_Data!A567),""))</f>
        <v/>
      </c>
      <c r="C577" s="167" t="str">
        <v/>
      </c>
      <c r="D577" s="167" t="str">
        <v/>
      </c>
      <c r="E577" s="167" t="str">
        <v/>
      </c>
      <c r="F577" s="167" t="str">
        <v/>
      </c>
      <c r="G577" s="167" t="str">
        <v/>
      </c>
      <c r="H577" s="167" t="str">
        <v/>
      </c>
      <c r="I577" s="167" t="str">
        <v/>
      </c>
      <c r="J577" s="167" t="str">
        <v/>
      </c>
      <c r="K577" s="167" t="str">
        <v/>
      </c>
      <c r="L577" s="167" t="str">
        <v/>
      </c>
      <c r="M577" s="167" t="str">
        <v/>
      </c>
      <c r="N577" s="167" t="str">
        <v/>
      </c>
      <c r="O577" s="167" t="str">
        <v/>
      </c>
      <c r="P577" s="167" t="str">
        <v/>
      </c>
    </row>
    <row r="578" spans="1:16" x14ac:dyDescent="0.2">
      <c r="A578" s="58" t="str">
        <v/>
      </c>
      <c r="B578" s="144" t="str">
        <f>IFERROR(TIMEVALUE(DaqBook_RAW_Data!Q568),IFERROR(TIMEVALUE(DaqBook_RAW_Data!A568),""))</f>
        <v/>
      </c>
      <c r="C578" s="167" t="str">
        <v/>
      </c>
      <c r="D578" s="167" t="str">
        <v/>
      </c>
      <c r="E578" s="167" t="str">
        <v/>
      </c>
      <c r="F578" s="167" t="str">
        <v/>
      </c>
      <c r="G578" s="167" t="str">
        <v/>
      </c>
      <c r="H578" s="167" t="str">
        <v/>
      </c>
      <c r="I578" s="167" t="str">
        <v/>
      </c>
      <c r="J578" s="167" t="str">
        <v/>
      </c>
      <c r="K578" s="167" t="str">
        <v/>
      </c>
      <c r="L578" s="167" t="str">
        <v/>
      </c>
      <c r="M578" s="167" t="str">
        <v/>
      </c>
      <c r="N578" s="167" t="str">
        <v/>
      </c>
      <c r="O578" s="167" t="str">
        <v/>
      </c>
      <c r="P578" s="167" t="str">
        <v/>
      </c>
    </row>
    <row r="579" spans="1:16" x14ac:dyDescent="0.2">
      <c r="A579" s="58" t="str">
        <v/>
      </c>
      <c r="B579" s="144" t="str">
        <f>IFERROR(TIMEVALUE(DaqBook_RAW_Data!Q569),IFERROR(TIMEVALUE(DaqBook_RAW_Data!A569),""))</f>
        <v/>
      </c>
      <c r="C579" s="167" t="str">
        <v/>
      </c>
      <c r="D579" s="167" t="str">
        <v/>
      </c>
      <c r="E579" s="167" t="str">
        <v/>
      </c>
      <c r="F579" s="167" t="str">
        <v/>
      </c>
      <c r="G579" s="167" t="str">
        <v/>
      </c>
      <c r="H579" s="167" t="str">
        <v/>
      </c>
      <c r="I579" s="167" t="str">
        <v/>
      </c>
      <c r="J579" s="167" t="str">
        <v/>
      </c>
      <c r="K579" s="167" t="str">
        <v/>
      </c>
      <c r="L579" s="167" t="str">
        <v/>
      </c>
      <c r="M579" s="167" t="str">
        <v/>
      </c>
      <c r="N579" s="167" t="str">
        <v/>
      </c>
      <c r="O579" s="167" t="str">
        <v/>
      </c>
      <c r="P579" s="167" t="str">
        <v/>
      </c>
    </row>
    <row r="580" spans="1:16" x14ac:dyDescent="0.2">
      <c r="A580" s="58" t="str">
        <v/>
      </c>
      <c r="B580" s="144" t="str">
        <f>IFERROR(TIMEVALUE(DaqBook_RAW_Data!Q570),IFERROR(TIMEVALUE(DaqBook_RAW_Data!A570),""))</f>
        <v/>
      </c>
      <c r="C580" s="167" t="str">
        <v/>
      </c>
      <c r="D580" s="167" t="str">
        <v/>
      </c>
      <c r="E580" s="167" t="str">
        <v/>
      </c>
      <c r="F580" s="167" t="str">
        <v/>
      </c>
      <c r="G580" s="167" t="str">
        <v/>
      </c>
      <c r="H580" s="167" t="str">
        <v/>
      </c>
      <c r="I580" s="167" t="str">
        <v/>
      </c>
      <c r="J580" s="167" t="str">
        <v/>
      </c>
      <c r="K580" s="167" t="str">
        <v/>
      </c>
      <c r="L580" s="167" t="str">
        <v/>
      </c>
      <c r="M580" s="167" t="str">
        <v/>
      </c>
      <c r="N580" s="167" t="str">
        <v/>
      </c>
      <c r="O580" s="167" t="str">
        <v/>
      </c>
      <c r="P580" s="167" t="str">
        <v/>
      </c>
    </row>
    <row r="581" spans="1:16" x14ac:dyDescent="0.2">
      <c r="A581" s="58" t="str">
        <v/>
      </c>
      <c r="B581" s="144" t="str">
        <f>IFERROR(TIMEVALUE(DaqBook_RAW_Data!Q571),IFERROR(TIMEVALUE(DaqBook_RAW_Data!A571),""))</f>
        <v/>
      </c>
      <c r="C581" s="167" t="str">
        <v/>
      </c>
      <c r="D581" s="167" t="str">
        <v/>
      </c>
      <c r="E581" s="167" t="str">
        <v/>
      </c>
      <c r="F581" s="167" t="str">
        <v/>
      </c>
      <c r="G581" s="167" t="str">
        <v/>
      </c>
      <c r="H581" s="167" t="str">
        <v/>
      </c>
      <c r="I581" s="167" t="str">
        <v/>
      </c>
      <c r="J581" s="167" t="str">
        <v/>
      </c>
      <c r="K581" s="167" t="str">
        <v/>
      </c>
      <c r="L581" s="167" t="str">
        <v/>
      </c>
      <c r="M581" s="167" t="str">
        <v/>
      </c>
      <c r="N581" s="167" t="str">
        <v/>
      </c>
      <c r="O581" s="167" t="str">
        <v/>
      </c>
      <c r="P581" s="167" t="str">
        <v/>
      </c>
    </row>
    <row r="582" spans="1:16" x14ac:dyDescent="0.2">
      <c r="A582" s="58" t="str">
        <v/>
      </c>
      <c r="B582" s="144" t="str">
        <f>IFERROR(TIMEVALUE(DaqBook_RAW_Data!Q572),IFERROR(TIMEVALUE(DaqBook_RAW_Data!A572),""))</f>
        <v/>
      </c>
      <c r="C582" s="167" t="str">
        <v/>
      </c>
      <c r="D582" s="167" t="str">
        <v/>
      </c>
      <c r="E582" s="167" t="str">
        <v/>
      </c>
      <c r="F582" s="167" t="str">
        <v/>
      </c>
      <c r="G582" s="167" t="str">
        <v/>
      </c>
      <c r="H582" s="167" t="str">
        <v/>
      </c>
      <c r="I582" s="167" t="str">
        <v/>
      </c>
      <c r="J582" s="167" t="str">
        <v/>
      </c>
      <c r="K582" s="167" t="str">
        <v/>
      </c>
      <c r="L582" s="167" t="str">
        <v/>
      </c>
      <c r="M582" s="167" t="str">
        <v/>
      </c>
      <c r="N582" s="167" t="str">
        <v/>
      </c>
      <c r="O582" s="167" t="str">
        <v/>
      </c>
      <c r="P582" s="167" t="str">
        <v/>
      </c>
    </row>
    <row r="583" spans="1:16" x14ac:dyDescent="0.2">
      <c r="A583" s="58" t="str">
        <v/>
      </c>
      <c r="B583" s="144" t="str">
        <f>IFERROR(TIMEVALUE(DaqBook_RAW_Data!Q573),IFERROR(TIMEVALUE(DaqBook_RAW_Data!A573),""))</f>
        <v/>
      </c>
      <c r="C583" s="167" t="str">
        <v/>
      </c>
      <c r="D583" s="167" t="str">
        <v/>
      </c>
      <c r="E583" s="167" t="str">
        <v/>
      </c>
      <c r="F583" s="167" t="str">
        <v/>
      </c>
      <c r="G583" s="167" t="str">
        <v/>
      </c>
      <c r="H583" s="167" t="str">
        <v/>
      </c>
      <c r="I583" s="167" t="str">
        <v/>
      </c>
      <c r="J583" s="167" t="str">
        <v/>
      </c>
      <c r="K583" s="167" t="str">
        <v/>
      </c>
      <c r="L583" s="167" t="str">
        <v/>
      </c>
      <c r="M583" s="167" t="str">
        <v/>
      </c>
      <c r="N583" s="167" t="str">
        <v/>
      </c>
      <c r="O583" s="167" t="str">
        <v/>
      </c>
      <c r="P583" s="167" t="str">
        <v/>
      </c>
    </row>
    <row r="584" spans="1:16" x14ac:dyDescent="0.2">
      <c r="A584" s="58" t="str">
        <v/>
      </c>
      <c r="B584" s="144" t="str">
        <f>IFERROR(TIMEVALUE(DaqBook_RAW_Data!Q574),IFERROR(TIMEVALUE(DaqBook_RAW_Data!A574),""))</f>
        <v/>
      </c>
      <c r="C584" s="167" t="str">
        <v/>
      </c>
      <c r="D584" s="167" t="str">
        <v/>
      </c>
      <c r="E584" s="167" t="str">
        <v/>
      </c>
      <c r="F584" s="167" t="str">
        <v/>
      </c>
      <c r="G584" s="167" t="str">
        <v/>
      </c>
      <c r="H584" s="167" t="str">
        <v/>
      </c>
      <c r="I584" s="167" t="str">
        <v/>
      </c>
      <c r="J584" s="167" t="str">
        <v/>
      </c>
      <c r="K584" s="167" t="str">
        <v/>
      </c>
      <c r="L584" s="167" t="str">
        <v/>
      </c>
      <c r="M584" s="167" t="str">
        <v/>
      </c>
      <c r="N584" s="167" t="str">
        <v/>
      </c>
      <c r="O584" s="167" t="str">
        <v/>
      </c>
      <c r="P584" s="167" t="str">
        <v/>
      </c>
    </row>
    <row r="585" spans="1:16" x14ac:dyDescent="0.2">
      <c r="A585" s="58" t="str">
        <v/>
      </c>
      <c r="B585" s="144" t="str">
        <f>IFERROR(TIMEVALUE(DaqBook_RAW_Data!Q575),IFERROR(TIMEVALUE(DaqBook_RAW_Data!A575),""))</f>
        <v/>
      </c>
      <c r="C585" s="167" t="str">
        <v/>
      </c>
      <c r="D585" s="167" t="str">
        <v/>
      </c>
      <c r="E585" s="167" t="str">
        <v/>
      </c>
      <c r="F585" s="167" t="str">
        <v/>
      </c>
      <c r="G585" s="167" t="str">
        <v/>
      </c>
      <c r="H585" s="167" t="str">
        <v/>
      </c>
      <c r="I585" s="167" t="str">
        <v/>
      </c>
      <c r="J585" s="167" t="str">
        <v/>
      </c>
      <c r="K585" s="167" t="str">
        <v/>
      </c>
      <c r="L585" s="167" t="str">
        <v/>
      </c>
      <c r="M585" s="167" t="str">
        <v/>
      </c>
      <c r="N585" s="167" t="str">
        <v/>
      </c>
      <c r="O585" s="167" t="str">
        <v/>
      </c>
      <c r="P585" s="167" t="str">
        <v/>
      </c>
    </row>
    <row r="586" spans="1:16" x14ac:dyDescent="0.2">
      <c r="A586" s="58" t="str">
        <v/>
      </c>
      <c r="B586" s="144" t="str">
        <f>IFERROR(TIMEVALUE(DaqBook_RAW_Data!Q576),IFERROR(TIMEVALUE(DaqBook_RAW_Data!A576),""))</f>
        <v/>
      </c>
      <c r="C586" s="167" t="str">
        <v/>
      </c>
      <c r="D586" s="167" t="str">
        <v/>
      </c>
      <c r="E586" s="167" t="str">
        <v/>
      </c>
      <c r="F586" s="167" t="str">
        <v/>
      </c>
      <c r="G586" s="167" t="str">
        <v/>
      </c>
      <c r="H586" s="167" t="str">
        <v/>
      </c>
      <c r="I586" s="167" t="str">
        <v/>
      </c>
      <c r="J586" s="167" t="str">
        <v/>
      </c>
      <c r="K586" s="167" t="str">
        <v/>
      </c>
      <c r="L586" s="167" t="str">
        <v/>
      </c>
      <c r="M586" s="167" t="str">
        <v/>
      </c>
      <c r="N586" s="167" t="str">
        <v/>
      </c>
      <c r="O586" s="167" t="str">
        <v/>
      </c>
      <c r="P586" s="167" t="str">
        <v/>
      </c>
    </row>
    <row r="587" spans="1:16" x14ac:dyDescent="0.2">
      <c r="A587" s="58" t="str">
        <v/>
      </c>
      <c r="B587" s="144" t="str">
        <f>IFERROR(TIMEVALUE(DaqBook_RAW_Data!Q577),IFERROR(TIMEVALUE(DaqBook_RAW_Data!A577),""))</f>
        <v/>
      </c>
      <c r="C587" s="167" t="str">
        <v/>
      </c>
      <c r="D587" s="167" t="str">
        <v/>
      </c>
      <c r="E587" s="167" t="str">
        <v/>
      </c>
      <c r="F587" s="167" t="str">
        <v/>
      </c>
      <c r="G587" s="167" t="str">
        <v/>
      </c>
      <c r="H587" s="167" t="str">
        <v/>
      </c>
      <c r="I587" s="167" t="str">
        <v/>
      </c>
      <c r="J587" s="167" t="str">
        <v/>
      </c>
      <c r="K587" s="167" t="str">
        <v/>
      </c>
      <c r="L587" s="167" t="str">
        <v/>
      </c>
      <c r="M587" s="167" t="str">
        <v/>
      </c>
      <c r="N587" s="167" t="str">
        <v/>
      </c>
      <c r="O587" s="167" t="str">
        <v/>
      </c>
      <c r="P587" s="167" t="str">
        <v/>
      </c>
    </row>
    <row r="588" spans="1:16" x14ac:dyDescent="0.2">
      <c r="A588" s="58" t="str">
        <v/>
      </c>
      <c r="B588" s="144" t="str">
        <f>IFERROR(TIMEVALUE(DaqBook_RAW_Data!Q578),IFERROR(TIMEVALUE(DaqBook_RAW_Data!A578),""))</f>
        <v/>
      </c>
      <c r="C588" s="167" t="str">
        <v/>
      </c>
      <c r="D588" s="167" t="str">
        <v/>
      </c>
      <c r="E588" s="167" t="str">
        <v/>
      </c>
      <c r="F588" s="167" t="str">
        <v/>
      </c>
      <c r="G588" s="167" t="str">
        <v/>
      </c>
      <c r="H588" s="167" t="str">
        <v/>
      </c>
      <c r="I588" s="167" t="str">
        <v/>
      </c>
      <c r="J588" s="167" t="str">
        <v/>
      </c>
      <c r="K588" s="167" t="str">
        <v/>
      </c>
      <c r="L588" s="167" t="str">
        <v/>
      </c>
      <c r="M588" s="167" t="str">
        <v/>
      </c>
      <c r="N588" s="167" t="str">
        <v/>
      </c>
      <c r="O588" s="167" t="str">
        <v/>
      </c>
      <c r="P588" s="167" t="str">
        <v/>
      </c>
    </row>
    <row r="589" spans="1:16" x14ac:dyDescent="0.2">
      <c r="A589" s="58" t="str">
        <v/>
      </c>
      <c r="B589" s="144" t="str">
        <f>IFERROR(TIMEVALUE(DaqBook_RAW_Data!Q579),IFERROR(TIMEVALUE(DaqBook_RAW_Data!A579),""))</f>
        <v/>
      </c>
      <c r="C589" s="167" t="str">
        <v/>
      </c>
      <c r="D589" s="167" t="str">
        <v/>
      </c>
      <c r="E589" s="167" t="str">
        <v/>
      </c>
      <c r="F589" s="167" t="str">
        <v/>
      </c>
      <c r="G589" s="167" t="str">
        <v/>
      </c>
      <c r="H589" s="167" t="str">
        <v/>
      </c>
      <c r="I589" s="167" t="str">
        <v/>
      </c>
      <c r="J589" s="167" t="str">
        <v/>
      </c>
      <c r="K589" s="167" t="str">
        <v/>
      </c>
      <c r="L589" s="167" t="str">
        <v/>
      </c>
      <c r="M589" s="167" t="str">
        <v/>
      </c>
      <c r="N589" s="167" t="str">
        <v/>
      </c>
      <c r="O589" s="167" t="str">
        <v/>
      </c>
      <c r="P589" s="167" t="str">
        <v/>
      </c>
    </row>
    <row r="590" spans="1:16" x14ac:dyDescent="0.2">
      <c r="A590" s="58" t="str">
        <v/>
      </c>
      <c r="B590" s="144" t="str">
        <f>IFERROR(TIMEVALUE(DaqBook_RAW_Data!Q580),IFERROR(TIMEVALUE(DaqBook_RAW_Data!A580),""))</f>
        <v/>
      </c>
      <c r="C590" s="167" t="str">
        <v/>
      </c>
      <c r="D590" s="167" t="str">
        <v/>
      </c>
      <c r="E590" s="167" t="str">
        <v/>
      </c>
      <c r="F590" s="167" t="str">
        <v/>
      </c>
      <c r="G590" s="167" t="str">
        <v/>
      </c>
      <c r="H590" s="167" t="str">
        <v/>
      </c>
      <c r="I590" s="167" t="str">
        <v/>
      </c>
      <c r="J590" s="167" t="str">
        <v/>
      </c>
      <c r="K590" s="167" t="str">
        <v/>
      </c>
      <c r="L590" s="167" t="str">
        <v/>
      </c>
      <c r="M590" s="167" t="str">
        <v/>
      </c>
      <c r="N590" s="167" t="str">
        <v/>
      </c>
      <c r="O590" s="167" t="str">
        <v/>
      </c>
      <c r="P590" s="167" t="str">
        <v/>
      </c>
    </row>
    <row r="591" spans="1:16" x14ac:dyDescent="0.2">
      <c r="A591" s="58" t="str">
        <v/>
      </c>
      <c r="B591" s="144" t="str">
        <f>IFERROR(TIMEVALUE(DaqBook_RAW_Data!Q581),IFERROR(TIMEVALUE(DaqBook_RAW_Data!A581),""))</f>
        <v/>
      </c>
      <c r="C591" s="167" t="str">
        <v/>
      </c>
      <c r="D591" s="167" t="str">
        <v/>
      </c>
      <c r="E591" s="167" t="str">
        <v/>
      </c>
      <c r="F591" s="167" t="str">
        <v/>
      </c>
      <c r="G591" s="167" t="str">
        <v/>
      </c>
      <c r="H591" s="167" t="str">
        <v/>
      </c>
      <c r="I591" s="167" t="str">
        <v/>
      </c>
      <c r="J591" s="167" t="str">
        <v/>
      </c>
      <c r="K591" s="167" t="str">
        <v/>
      </c>
      <c r="L591" s="167" t="str">
        <v/>
      </c>
      <c r="M591" s="167" t="str">
        <v/>
      </c>
      <c r="N591" s="167" t="str">
        <v/>
      </c>
      <c r="O591" s="167" t="str">
        <v/>
      </c>
      <c r="P591" s="167" t="str">
        <v/>
      </c>
    </row>
    <row r="592" spans="1:16" x14ac:dyDescent="0.2">
      <c r="A592" s="58" t="str">
        <v/>
      </c>
      <c r="B592" s="144" t="str">
        <f>IFERROR(TIMEVALUE(DaqBook_RAW_Data!Q582),IFERROR(TIMEVALUE(DaqBook_RAW_Data!A582),""))</f>
        <v/>
      </c>
      <c r="C592" s="167" t="str">
        <v/>
      </c>
      <c r="D592" s="167" t="str">
        <v/>
      </c>
      <c r="E592" s="167" t="str">
        <v/>
      </c>
      <c r="F592" s="167" t="str">
        <v/>
      </c>
      <c r="G592" s="167" t="str">
        <v/>
      </c>
      <c r="H592" s="167" t="str">
        <v/>
      </c>
      <c r="I592" s="167" t="str">
        <v/>
      </c>
      <c r="J592" s="167" t="str">
        <v/>
      </c>
      <c r="K592" s="167" t="str">
        <v/>
      </c>
      <c r="L592" s="167" t="str">
        <v/>
      </c>
      <c r="M592" s="167" t="str">
        <v/>
      </c>
      <c r="N592" s="167" t="str">
        <v/>
      </c>
      <c r="O592" s="167" t="str">
        <v/>
      </c>
      <c r="P592" s="167" t="str">
        <v/>
      </c>
    </row>
    <row r="593" spans="1:16" x14ac:dyDescent="0.2">
      <c r="A593" s="58" t="str">
        <v/>
      </c>
      <c r="B593" s="144" t="str">
        <f>IFERROR(TIMEVALUE(DaqBook_RAW_Data!Q583),IFERROR(TIMEVALUE(DaqBook_RAW_Data!A583),""))</f>
        <v/>
      </c>
      <c r="C593" s="167" t="str">
        <v/>
      </c>
      <c r="D593" s="167" t="str">
        <v/>
      </c>
      <c r="E593" s="167" t="str">
        <v/>
      </c>
      <c r="F593" s="167" t="str">
        <v/>
      </c>
      <c r="G593" s="167" t="str">
        <v/>
      </c>
      <c r="H593" s="167" t="str">
        <v/>
      </c>
      <c r="I593" s="167" t="str">
        <v/>
      </c>
      <c r="J593" s="167" t="str">
        <v/>
      </c>
      <c r="K593" s="167" t="str">
        <v/>
      </c>
      <c r="L593" s="167" t="str">
        <v/>
      </c>
      <c r="M593" s="167" t="str">
        <v/>
      </c>
      <c r="N593" s="167" t="str">
        <v/>
      </c>
      <c r="O593" s="167" t="str">
        <v/>
      </c>
      <c r="P593" s="167" t="str">
        <v/>
      </c>
    </row>
    <row r="594" spans="1:16" x14ac:dyDescent="0.2">
      <c r="A594" s="58" t="str">
        <v/>
      </c>
      <c r="B594" s="144" t="str">
        <f>IFERROR(TIMEVALUE(DaqBook_RAW_Data!Q584),IFERROR(TIMEVALUE(DaqBook_RAW_Data!A584),""))</f>
        <v/>
      </c>
      <c r="C594" s="167" t="str">
        <v/>
      </c>
      <c r="D594" s="167" t="str">
        <v/>
      </c>
      <c r="E594" s="167" t="str">
        <v/>
      </c>
      <c r="F594" s="167" t="str">
        <v/>
      </c>
      <c r="G594" s="167" t="str">
        <v/>
      </c>
      <c r="H594" s="167" t="str">
        <v/>
      </c>
      <c r="I594" s="167" t="str">
        <v/>
      </c>
      <c r="J594" s="167" t="str">
        <v/>
      </c>
      <c r="K594" s="167" t="str">
        <v/>
      </c>
      <c r="L594" s="167" t="str">
        <v/>
      </c>
      <c r="M594" s="167" t="str">
        <v/>
      </c>
      <c r="N594" s="167" t="str">
        <v/>
      </c>
      <c r="O594" s="167" t="str">
        <v/>
      </c>
      <c r="P594" s="167" t="str">
        <v/>
      </c>
    </row>
    <row r="595" spans="1:16" x14ac:dyDescent="0.2">
      <c r="A595" s="58" t="str">
        <v/>
      </c>
      <c r="B595" s="144" t="str">
        <f>IFERROR(TIMEVALUE(DaqBook_RAW_Data!Q585),IFERROR(TIMEVALUE(DaqBook_RAW_Data!A585),""))</f>
        <v/>
      </c>
      <c r="C595" s="167" t="str">
        <v/>
      </c>
      <c r="D595" s="167" t="str">
        <v/>
      </c>
      <c r="E595" s="167" t="str">
        <v/>
      </c>
      <c r="F595" s="167" t="str">
        <v/>
      </c>
      <c r="G595" s="167" t="str">
        <v/>
      </c>
      <c r="H595" s="167" t="str">
        <v/>
      </c>
      <c r="I595" s="167" t="str">
        <v/>
      </c>
      <c r="J595" s="167" t="str">
        <v/>
      </c>
      <c r="K595" s="167" t="str">
        <v/>
      </c>
      <c r="L595" s="167" t="str">
        <v/>
      </c>
      <c r="M595" s="167" t="str">
        <v/>
      </c>
      <c r="N595" s="167" t="str">
        <v/>
      </c>
      <c r="O595" s="167" t="str">
        <v/>
      </c>
      <c r="P595" s="167" t="str">
        <v/>
      </c>
    </row>
    <row r="596" spans="1:16" x14ac:dyDescent="0.2">
      <c r="A596" s="58" t="str">
        <v/>
      </c>
      <c r="B596" s="144" t="str">
        <f>IFERROR(TIMEVALUE(DaqBook_RAW_Data!Q586),IFERROR(TIMEVALUE(DaqBook_RAW_Data!A586),""))</f>
        <v/>
      </c>
      <c r="C596" s="167" t="str">
        <v/>
      </c>
      <c r="D596" s="167" t="str">
        <v/>
      </c>
      <c r="E596" s="167" t="str">
        <v/>
      </c>
      <c r="F596" s="167" t="str">
        <v/>
      </c>
      <c r="G596" s="167" t="str">
        <v/>
      </c>
      <c r="H596" s="167" t="str">
        <v/>
      </c>
      <c r="I596" s="167" t="str">
        <v/>
      </c>
      <c r="J596" s="167" t="str">
        <v/>
      </c>
      <c r="K596" s="167" t="str">
        <v/>
      </c>
      <c r="L596" s="167" t="str">
        <v/>
      </c>
      <c r="M596" s="167" t="str">
        <v/>
      </c>
      <c r="N596" s="167" t="str">
        <v/>
      </c>
      <c r="O596" s="167" t="str">
        <v/>
      </c>
      <c r="P596" s="167" t="str">
        <v/>
      </c>
    </row>
    <row r="597" spans="1:16" x14ac:dyDescent="0.2">
      <c r="A597" s="58" t="str">
        <v/>
      </c>
      <c r="B597" s="144" t="str">
        <f>IFERROR(TIMEVALUE(DaqBook_RAW_Data!Q587),IFERROR(TIMEVALUE(DaqBook_RAW_Data!A587),""))</f>
        <v/>
      </c>
      <c r="C597" s="167" t="str">
        <v/>
      </c>
      <c r="D597" s="167" t="str">
        <v/>
      </c>
      <c r="E597" s="167" t="str">
        <v/>
      </c>
      <c r="F597" s="167" t="str">
        <v/>
      </c>
      <c r="G597" s="167" t="str">
        <v/>
      </c>
      <c r="H597" s="167" t="str">
        <v/>
      </c>
      <c r="I597" s="167" t="str">
        <v/>
      </c>
      <c r="J597" s="167" t="str">
        <v/>
      </c>
      <c r="K597" s="167" t="str">
        <v/>
      </c>
      <c r="L597" s="167" t="str">
        <v/>
      </c>
      <c r="M597" s="167" t="str">
        <v/>
      </c>
      <c r="N597" s="167" t="str">
        <v/>
      </c>
      <c r="O597" s="167" t="str">
        <v/>
      </c>
      <c r="P597" s="167" t="str">
        <v/>
      </c>
    </row>
    <row r="598" spans="1:16" x14ac:dyDescent="0.2">
      <c r="A598" s="58" t="str">
        <v/>
      </c>
      <c r="B598" s="144" t="str">
        <f>IFERROR(TIMEVALUE(DaqBook_RAW_Data!Q588),IFERROR(TIMEVALUE(DaqBook_RAW_Data!A588),""))</f>
        <v/>
      </c>
      <c r="C598" s="167" t="str">
        <v/>
      </c>
      <c r="D598" s="167" t="str">
        <v/>
      </c>
      <c r="E598" s="167" t="str">
        <v/>
      </c>
      <c r="F598" s="167" t="str">
        <v/>
      </c>
      <c r="G598" s="167" t="str">
        <v/>
      </c>
      <c r="H598" s="167" t="str">
        <v/>
      </c>
      <c r="I598" s="167" t="str">
        <v/>
      </c>
      <c r="J598" s="167" t="str">
        <v/>
      </c>
      <c r="K598" s="167" t="str">
        <v/>
      </c>
      <c r="L598" s="167" t="str">
        <v/>
      </c>
      <c r="M598" s="167" t="str">
        <v/>
      </c>
      <c r="N598" s="167" t="str">
        <v/>
      </c>
      <c r="O598" s="167" t="str">
        <v/>
      </c>
      <c r="P598" s="167" t="str">
        <v/>
      </c>
    </row>
    <row r="599" spans="1:16" x14ac:dyDescent="0.2">
      <c r="A599" s="58" t="str">
        <v/>
      </c>
      <c r="B599" s="144" t="str">
        <f>IFERROR(TIMEVALUE(DaqBook_RAW_Data!Q589),IFERROR(TIMEVALUE(DaqBook_RAW_Data!A589),""))</f>
        <v/>
      </c>
      <c r="C599" s="167" t="str">
        <v/>
      </c>
      <c r="D599" s="167" t="str">
        <v/>
      </c>
      <c r="E599" s="167" t="str">
        <v/>
      </c>
      <c r="F599" s="167" t="str">
        <v/>
      </c>
      <c r="G599" s="167" t="str">
        <v/>
      </c>
      <c r="H599" s="167" t="str">
        <v/>
      </c>
      <c r="I599" s="167" t="str">
        <v/>
      </c>
      <c r="J599" s="167" t="str">
        <v/>
      </c>
      <c r="K599" s="167" t="str">
        <v/>
      </c>
      <c r="L599" s="167" t="str">
        <v/>
      </c>
      <c r="M599" s="167" t="str">
        <v/>
      </c>
      <c r="N599" s="167" t="str">
        <v/>
      </c>
      <c r="O599" s="167" t="str">
        <v/>
      </c>
      <c r="P599" s="167" t="str">
        <v/>
      </c>
    </row>
    <row r="600" spans="1:16" x14ac:dyDescent="0.2">
      <c r="A600" s="58" t="str">
        <v/>
      </c>
      <c r="B600" s="144" t="str">
        <f>IFERROR(TIMEVALUE(DaqBook_RAW_Data!Q590),IFERROR(TIMEVALUE(DaqBook_RAW_Data!A590),""))</f>
        <v/>
      </c>
      <c r="C600" s="167" t="str">
        <v/>
      </c>
      <c r="D600" s="167" t="str">
        <v/>
      </c>
      <c r="E600" s="167" t="str">
        <v/>
      </c>
      <c r="F600" s="167" t="str">
        <v/>
      </c>
      <c r="G600" s="167" t="str">
        <v/>
      </c>
      <c r="H600" s="167" t="str">
        <v/>
      </c>
      <c r="I600" s="167" t="str">
        <v/>
      </c>
      <c r="J600" s="167" t="str">
        <v/>
      </c>
      <c r="K600" s="167" t="str">
        <v/>
      </c>
      <c r="L600" s="167" t="str">
        <v/>
      </c>
      <c r="M600" s="167" t="str">
        <v/>
      </c>
      <c r="N600" s="167" t="str">
        <v/>
      </c>
      <c r="O600" s="167" t="str">
        <v/>
      </c>
      <c r="P600" s="167" t="str">
        <v/>
      </c>
    </row>
    <row r="601" spans="1:16" x14ac:dyDescent="0.2">
      <c r="A601" s="58" t="str">
        <v/>
      </c>
      <c r="B601" s="144" t="str">
        <f>IFERROR(TIMEVALUE(DaqBook_RAW_Data!Q591),IFERROR(TIMEVALUE(DaqBook_RAW_Data!A591),""))</f>
        <v/>
      </c>
      <c r="C601" s="167" t="str">
        <v/>
      </c>
      <c r="D601" s="167" t="str">
        <v/>
      </c>
      <c r="E601" s="167" t="str">
        <v/>
      </c>
      <c r="F601" s="167" t="str">
        <v/>
      </c>
      <c r="G601" s="167" t="str">
        <v/>
      </c>
      <c r="H601" s="167" t="str">
        <v/>
      </c>
      <c r="I601" s="167" t="str">
        <v/>
      </c>
      <c r="J601" s="167" t="str">
        <v/>
      </c>
      <c r="K601" s="167" t="str">
        <v/>
      </c>
      <c r="L601" s="167" t="str">
        <v/>
      </c>
      <c r="M601" s="167" t="str">
        <v/>
      </c>
      <c r="N601" s="167" t="str">
        <v/>
      </c>
      <c r="O601" s="167" t="str">
        <v/>
      </c>
      <c r="P601" s="167" t="str">
        <v/>
      </c>
    </row>
    <row r="602" spans="1:16" x14ac:dyDescent="0.2">
      <c r="A602" s="58" t="str">
        <v/>
      </c>
      <c r="B602" s="144" t="str">
        <f>IFERROR(TIMEVALUE(DaqBook_RAW_Data!Q592),IFERROR(TIMEVALUE(DaqBook_RAW_Data!A592),""))</f>
        <v/>
      </c>
      <c r="C602" s="167" t="str">
        <v/>
      </c>
      <c r="D602" s="167" t="str">
        <v/>
      </c>
      <c r="E602" s="167" t="str">
        <v/>
      </c>
      <c r="F602" s="167" t="str">
        <v/>
      </c>
      <c r="G602" s="167" t="str">
        <v/>
      </c>
      <c r="H602" s="167" t="str">
        <v/>
      </c>
      <c r="I602" s="167" t="str">
        <v/>
      </c>
      <c r="J602" s="167" t="str">
        <v/>
      </c>
      <c r="K602" s="167" t="str">
        <v/>
      </c>
      <c r="L602" s="167" t="str">
        <v/>
      </c>
      <c r="M602" s="167" t="str">
        <v/>
      </c>
      <c r="N602" s="167" t="str">
        <v/>
      </c>
      <c r="O602" s="167" t="str">
        <v/>
      </c>
      <c r="P602" s="167" t="str">
        <v/>
      </c>
    </row>
    <row r="603" spans="1:16" x14ac:dyDescent="0.2">
      <c r="A603" s="58" t="str">
        <v/>
      </c>
      <c r="B603" s="144" t="str">
        <f>IFERROR(TIMEVALUE(DaqBook_RAW_Data!Q593),IFERROR(TIMEVALUE(DaqBook_RAW_Data!A593),""))</f>
        <v/>
      </c>
      <c r="C603" s="167" t="str">
        <v/>
      </c>
      <c r="D603" s="167" t="str">
        <v/>
      </c>
      <c r="E603" s="167" t="str">
        <v/>
      </c>
      <c r="F603" s="167" t="str">
        <v/>
      </c>
      <c r="G603" s="167" t="str">
        <v/>
      </c>
      <c r="H603" s="167" t="str">
        <v/>
      </c>
      <c r="I603" s="167" t="str">
        <v/>
      </c>
      <c r="J603" s="167" t="str">
        <v/>
      </c>
      <c r="K603" s="167" t="str">
        <v/>
      </c>
      <c r="L603" s="167" t="str">
        <v/>
      </c>
      <c r="M603" s="167" t="str">
        <v/>
      </c>
      <c r="N603" s="167" t="str">
        <v/>
      </c>
      <c r="O603" s="167" t="str">
        <v/>
      </c>
      <c r="P603" s="167" t="str">
        <v/>
      </c>
    </row>
    <row r="604" spans="1:16" x14ac:dyDescent="0.2">
      <c r="A604" s="58" t="str">
        <v/>
      </c>
      <c r="B604" s="144" t="str">
        <f>IFERROR(TIMEVALUE(DaqBook_RAW_Data!Q594),IFERROR(TIMEVALUE(DaqBook_RAW_Data!A594),""))</f>
        <v/>
      </c>
      <c r="C604" s="167" t="str">
        <v/>
      </c>
      <c r="D604" s="167" t="str">
        <v/>
      </c>
      <c r="E604" s="167" t="str">
        <v/>
      </c>
      <c r="F604" s="167" t="str">
        <v/>
      </c>
      <c r="G604" s="167" t="str">
        <v/>
      </c>
      <c r="H604" s="167" t="str">
        <v/>
      </c>
      <c r="I604" s="167" t="str">
        <v/>
      </c>
      <c r="J604" s="167" t="str">
        <v/>
      </c>
      <c r="K604" s="167" t="str">
        <v/>
      </c>
      <c r="L604" s="167" t="str">
        <v/>
      </c>
      <c r="M604" s="167" t="str">
        <v/>
      </c>
      <c r="N604" s="167" t="str">
        <v/>
      </c>
      <c r="O604" s="167" t="str">
        <v/>
      </c>
      <c r="P604" s="167" t="str">
        <v/>
      </c>
    </row>
    <row r="605" spans="1:16" x14ac:dyDescent="0.2">
      <c r="A605" s="58" t="str">
        <v/>
      </c>
      <c r="B605" s="144" t="str">
        <f>IFERROR(TIMEVALUE(DaqBook_RAW_Data!Q595),IFERROR(TIMEVALUE(DaqBook_RAW_Data!A595),""))</f>
        <v/>
      </c>
      <c r="C605" s="167" t="str">
        <v/>
      </c>
      <c r="D605" s="167" t="str">
        <v/>
      </c>
      <c r="E605" s="167" t="str">
        <v/>
      </c>
      <c r="F605" s="167" t="str">
        <v/>
      </c>
      <c r="G605" s="167" t="str">
        <v/>
      </c>
      <c r="H605" s="167" t="str">
        <v/>
      </c>
      <c r="I605" s="167" t="str">
        <v/>
      </c>
      <c r="J605" s="167" t="str">
        <v/>
      </c>
      <c r="K605" s="167" t="str">
        <v/>
      </c>
      <c r="L605" s="167" t="str">
        <v/>
      </c>
      <c r="M605" s="167" t="str">
        <v/>
      </c>
      <c r="N605" s="167" t="str">
        <v/>
      </c>
      <c r="O605" s="167" t="str">
        <v/>
      </c>
      <c r="P605" s="167" t="str">
        <v/>
      </c>
    </row>
    <row r="606" spans="1:16" x14ac:dyDescent="0.2">
      <c r="A606" s="58" t="str">
        <v/>
      </c>
      <c r="B606" s="144" t="str">
        <f>IFERROR(TIMEVALUE(DaqBook_RAW_Data!Q596),IFERROR(TIMEVALUE(DaqBook_RAW_Data!A596),""))</f>
        <v/>
      </c>
      <c r="C606" s="167" t="str">
        <v/>
      </c>
      <c r="D606" s="167" t="str">
        <v/>
      </c>
      <c r="E606" s="167" t="str">
        <v/>
      </c>
      <c r="F606" s="167" t="str">
        <v/>
      </c>
      <c r="G606" s="167" t="str">
        <v/>
      </c>
      <c r="H606" s="167" t="str">
        <v/>
      </c>
      <c r="I606" s="167" t="str">
        <v/>
      </c>
      <c r="J606" s="167" t="str">
        <v/>
      </c>
      <c r="K606" s="167" t="str">
        <v/>
      </c>
      <c r="L606" s="167" t="str">
        <v/>
      </c>
      <c r="M606" s="167" t="str">
        <v/>
      </c>
      <c r="N606" s="167" t="str">
        <v/>
      </c>
      <c r="O606" s="167" t="str">
        <v/>
      </c>
      <c r="P606" s="167" t="str">
        <v/>
      </c>
    </row>
    <row r="607" spans="1:16" x14ac:dyDescent="0.2">
      <c r="A607" s="58" t="str">
        <v/>
      </c>
      <c r="B607" s="144" t="str">
        <f>IFERROR(TIMEVALUE(DaqBook_RAW_Data!Q597),IFERROR(TIMEVALUE(DaqBook_RAW_Data!A597),""))</f>
        <v/>
      </c>
      <c r="C607" s="167" t="str">
        <v/>
      </c>
      <c r="D607" s="167" t="str">
        <v/>
      </c>
      <c r="E607" s="167" t="str">
        <v/>
      </c>
      <c r="F607" s="167" t="str">
        <v/>
      </c>
      <c r="G607" s="167" t="str">
        <v/>
      </c>
      <c r="H607" s="167" t="str">
        <v/>
      </c>
      <c r="I607" s="167" t="str">
        <v/>
      </c>
      <c r="J607" s="167" t="str">
        <v/>
      </c>
      <c r="K607" s="167" t="str">
        <v/>
      </c>
      <c r="L607" s="167" t="str">
        <v/>
      </c>
      <c r="M607" s="167" t="str">
        <v/>
      </c>
      <c r="N607" s="167" t="str">
        <v/>
      </c>
      <c r="O607" s="167" t="str">
        <v/>
      </c>
      <c r="P607" s="167" t="str">
        <v/>
      </c>
    </row>
    <row r="608" spans="1:16" x14ac:dyDescent="0.2">
      <c r="A608" s="58" t="str">
        <v/>
      </c>
      <c r="B608" s="144" t="str">
        <f>IFERROR(TIMEVALUE(DaqBook_RAW_Data!Q598),IFERROR(TIMEVALUE(DaqBook_RAW_Data!A598),""))</f>
        <v/>
      </c>
      <c r="C608" s="167" t="str">
        <v/>
      </c>
      <c r="D608" s="167" t="str">
        <v/>
      </c>
      <c r="E608" s="167" t="str">
        <v/>
      </c>
      <c r="F608" s="167" t="str">
        <v/>
      </c>
      <c r="G608" s="167" t="str">
        <v/>
      </c>
      <c r="H608" s="167" t="str">
        <v/>
      </c>
      <c r="I608" s="167" t="str">
        <v/>
      </c>
      <c r="J608" s="167" t="str">
        <v/>
      </c>
      <c r="K608" s="167" t="str">
        <v/>
      </c>
      <c r="L608" s="167" t="str">
        <v/>
      </c>
      <c r="M608" s="167" t="str">
        <v/>
      </c>
      <c r="N608" s="167" t="str">
        <v/>
      </c>
      <c r="O608" s="167" t="str">
        <v/>
      </c>
      <c r="P608" s="167" t="str">
        <v/>
      </c>
    </row>
    <row r="609" spans="1:16" x14ac:dyDescent="0.2">
      <c r="A609" s="58" t="str">
        <v/>
      </c>
      <c r="B609" s="144" t="str">
        <f>IFERROR(TIMEVALUE(DaqBook_RAW_Data!Q599),IFERROR(TIMEVALUE(DaqBook_RAW_Data!A599),""))</f>
        <v/>
      </c>
      <c r="C609" s="167" t="str">
        <v/>
      </c>
      <c r="D609" s="167" t="str">
        <v/>
      </c>
      <c r="E609" s="167" t="str">
        <v/>
      </c>
      <c r="F609" s="167" t="str">
        <v/>
      </c>
      <c r="G609" s="167" t="str">
        <v/>
      </c>
      <c r="H609" s="167" t="str">
        <v/>
      </c>
      <c r="I609" s="167" t="str">
        <v/>
      </c>
      <c r="J609" s="167" t="str">
        <v/>
      </c>
      <c r="K609" s="167" t="str">
        <v/>
      </c>
      <c r="L609" s="167" t="str">
        <v/>
      </c>
      <c r="M609" s="167" t="str">
        <v/>
      </c>
      <c r="N609" s="167" t="str">
        <v/>
      </c>
      <c r="O609" s="167" t="str">
        <v/>
      </c>
      <c r="P609" s="167" t="str">
        <v/>
      </c>
    </row>
    <row r="610" spans="1:16" x14ac:dyDescent="0.2">
      <c r="A610" s="58" t="str">
        <v/>
      </c>
      <c r="B610" s="144" t="str">
        <f>IFERROR(TIMEVALUE(DaqBook_RAW_Data!Q600),IFERROR(TIMEVALUE(DaqBook_RAW_Data!A600),""))</f>
        <v/>
      </c>
      <c r="C610" s="167" t="str">
        <v/>
      </c>
      <c r="D610" s="167" t="str">
        <v/>
      </c>
      <c r="E610" s="167" t="str">
        <v/>
      </c>
      <c r="F610" s="167" t="str">
        <v/>
      </c>
      <c r="G610" s="167" t="str">
        <v/>
      </c>
      <c r="H610" s="167" t="str">
        <v/>
      </c>
      <c r="I610" s="167" t="str">
        <v/>
      </c>
      <c r="J610" s="167" t="str">
        <v/>
      </c>
      <c r="K610" s="167" t="str">
        <v/>
      </c>
      <c r="L610" s="167" t="str">
        <v/>
      </c>
      <c r="M610" s="167" t="str">
        <v/>
      </c>
      <c r="N610" s="167" t="str">
        <v/>
      </c>
      <c r="O610" s="167" t="str">
        <v/>
      </c>
      <c r="P610" s="167" t="str">
        <v/>
      </c>
    </row>
    <row r="611" spans="1:16" x14ac:dyDescent="0.2">
      <c r="A611" s="58" t="str">
        <v/>
      </c>
      <c r="B611" s="144" t="str">
        <f>IFERROR(TIMEVALUE(DaqBook_RAW_Data!Q601),IFERROR(TIMEVALUE(DaqBook_RAW_Data!A601),""))</f>
        <v/>
      </c>
      <c r="C611" s="167" t="str">
        <v/>
      </c>
      <c r="D611" s="167" t="str">
        <v/>
      </c>
      <c r="E611" s="167" t="str">
        <v/>
      </c>
      <c r="F611" s="167" t="str">
        <v/>
      </c>
      <c r="G611" s="167" t="str">
        <v/>
      </c>
      <c r="H611" s="167" t="str">
        <v/>
      </c>
      <c r="I611" s="167" t="str">
        <v/>
      </c>
      <c r="J611" s="167" t="str">
        <v/>
      </c>
      <c r="K611" s="167" t="str">
        <v/>
      </c>
      <c r="L611" s="167" t="str">
        <v/>
      </c>
      <c r="M611" s="167" t="str">
        <v/>
      </c>
      <c r="N611" s="167" t="str">
        <v/>
      </c>
      <c r="O611" s="167" t="str">
        <v/>
      </c>
      <c r="P611" s="167" t="str">
        <v/>
      </c>
    </row>
    <row r="612" spans="1:16" x14ac:dyDescent="0.2">
      <c r="A612" s="58" t="str">
        <v/>
      </c>
      <c r="B612" s="144" t="str">
        <f>IFERROR(TIMEVALUE(DaqBook_RAW_Data!Q602),IFERROR(TIMEVALUE(DaqBook_RAW_Data!A602),""))</f>
        <v/>
      </c>
      <c r="C612" s="167" t="str">
        <v/>
      </c>
      <c r="D612" s="167" t="str">
        <v/>
      </c>
      <c r="E612" s="167" t="str">
        <v/>
      </c>
      <c r="F612" s="167" t="str">
        <v/>
      </c>
      <c r="G612" s="167" t="str">
        <v/>
      </c>
      <c r="H612" s="167" t="str">
        <v/>
      </c>
      <c r="I612" s="167" t="str">
        <v/>
      </c>
      <c r="J612" s="167" t="str">
        <v/>
      </c>
      <c r="K612" s="167" t="str">
        <v/>
      </c>
      <c r="L612" s="167" t="str">
        <v/>
      </c>
      <c r="M612" s="167" t="str">
        <v/>
      </c>
      <c r="N612" s="167" t="str">
        <v/>
      </c>
      <c r="O612" s="167" t="str">
        <v/>
      </c>
      <c r="P612" s="167" t="str">
        <v/>
      </c>
    </row>
    <row r="613" spans="1:16" x14ac:dyDescent="0.2">
      <c r="A613" s="58" t="str">
        <v/>
      </c>
      <c r="B613" s="144" t="str">
        <f>IFERROR(TIMEVALUE(DaqBook_RAW_Data!Q603),IFERROR(TIMEVALUE(DaqBook_RAW_Data!A603),""))</f>
        <v/>
      </c>
      <c r="C613" s="167" t="str">
        <v/>
      </c>
      <c r="D613" s="167" t="str">
        <v/>
      </c>
      <c r="E613" s="167" t="str">
        <v/>
      </c>
      <c r="F613" s="167" t="str">
        <v/>
      </c>
      <c r="G613" s="167" t="str">
        <v/>
      </c>
      <c r="H613" s="167" t="str">
        <v/>
      </c>
      <c r="I613" s="167" t="str">
        <v/>
      </c>
      <c r="J613" s="167" t="str">
        <v/>
      </c>
      <c r="K613" s="167" t="str">
        <v/>
      </c>
      <c r="L613" s="167" t="str">
        <v/>
      </c>
      <c r="M613" s="167" t="str">
        <v/>
      </c>
      <c r="N613" s="167" t="str">
        <v/>
      </c>
      <c r="O613" s="167" t="str">
        <v/>
      </c>
      <c r="P613" s="167" t="str">
        <v/>
      </c>
    </row>
    <row r="614" spans="1:16" x14ac:dyDescent="0.2">
      <c r="A614" s="58" t="str">
        <v/>
      </c>
      <c r="B614" s="144" t="str">
        <f>IFERROR(TIMEVALUE(DaqBook_RAW_Data!Q604),IFERROR(TIMEVALUE(DaqBook_RAW_Data!A604),""))</f>
        <v/>
      </c>
      <c r="C614" s="167" t="str">
        <v/>
      </c>
      <c r="D614" s="167" t="str">
        <v/>
      </c>
      <c r="E614" s="167" t="str">
        <v/>
      </c>
      <c r="F614" s="167" t="str">
        <v/>
      </c>
      <c r="G614" s="167" t="str">
        <v/>
      </c>
      <c r="H614" s="167" t="str">
        <v/>
      </c>
      <c r="I614" s="167" t="str">
        <v/>
      </c>
      <c r="J614" s="167" t="str">
        <v/>
      </c>
      <c r="K614" s="167" t="str">
        <v/>
      </c>
      <c r="L614" s="167" t="str">
        <v/>
      </c>
      <c r="M614" s="167" t="str">
        <v/>
      </c>
      <c r="N614" s="167" t="str">
        <v/>
      </c>
      <c r="O614" s="167" t="str">
        <v/>
      </c>
      <c r="P614" s="167" t="str">
        <v/>
      </c>
    </row>
    <row r="615" spans="1:16" x14ac:dyDescent="0.2">
      <c r="A615" s="58" t="str">
        <v/>
      </c>
      <c r="B615" s="144" t="str">
        <f>IFERROR(TIMEVALUE(DaqBook_RAW_Data!Q605),IFERROR(TIMEVALUE(DaqBook_RAW_Data!A605),""))</f>
        <v/>
      </c>
      <c r="C615" s="167" t="str">
        <v/>
      </c>
      <c r="D615" s="167" t="str">
        <v/>
      </c>
      <c r="E615" s="167" t="str">
        <v/>
      </c>
      <c r="F615" s="167" t="str">
        <v/>
      </c>
      <c r="G615" s="167" t="str">
        <v/>
      </c>
      <c r="H615" s="167" t="str">
        <v/>
      </c>
      <c r="I615" s="167" t="str">
        <v/>
      </c>
      <c r="J615" s="167" t="str">
        <v/>
      </c>
      <c r="K615" s="167" t="str">
        <v/>
      </c>
      <c r="L615" s="167" t="str">
        <v/>
      </c>
      <c r="M615" s="167" t="str">
        <v/>
      </c>
      <c r="N615" s="167" t="str">
        <v/>
      </c>
      <c r="O615" s="167" t="str">
        <v/>
      </c>
      <c r="P615" s="167" t="str">
        <v/>
      </c>
    </row>
    <row r="616" spans="1:16" x14ac:dyDescent="0.2">
      <c r="A616" s="58" t="str">
        <v/>
      </c>
      <c r="B616" s="144" t="str">
        <f>IFERROR(TIMEVALUE(DaqBook_RAW_Data!Q606),IFERROR(TIMEVALUE(DaqBook_RAW_Data!A606),""))</f>
        <v/>
      </c>
      <c r="C616" s="167" t="str">
        <v/>
      </c>
      <c r="D616" s="167" t="str">
        <v/>
      </c>
      <c r="E616" s="167" t="str">
        <v/>
      </c>
      <c r="F616" s="167" t="str">
        <v/>
      </c>
      <c r="G616" s="167" t="str">
        <v/>
      </c>
      <c r="H616" s="167" t="str">
        <v/>
      </c>
      <c r="I616" s="167" t="str">
        <v/>
      </c>
      <c r="J616" s="167" t="str">
        <v/>
      </c>
      <c r="K616" s="167" t="str">
        <v/>
      </c>
      <c r="L616" s="167" t="str">
        <v/>
      </c>
      <c r="M616" s="167" t="str">
        <v/>
      </c>
      <c r="N616" s="167" t="str">
        <v/>
      </c>
      <c r="O616" s="167" t="str">
        <v/>
      </c>
      <c r="P616" s="167" t="str">
        <v/>
      </c>
    </row>
    <row r="617" spans="1:16" x14ac:dyDescent="0.2">
      <c r="A617" s="58" t="str">
        <v/>
      </c>
      <c r="B617" s="144" t="str">
        <f>IFERROR(TIMEVALUE(DaqBook_RAW_Data!Q607),IFERROR(TIMEVALUE(DaqBook_RAW_Data!A607),""))</f>
        <v/>
      </c>
      <c r="C617" s="167" t="str">
        <v/>
      </c>
      <c r="D617" s="167" t="str">
        <v/>
      </c>
      <c r="E617" s="167" t="str">
        <v/>
      </c>
      <c r="F617" s="167" t="str">
        <v/>
      </c>
      <c r="G617" s="167" t="str">
        <v/>
      </c>
      <c r="H617" s="167" t="str">
        <v/>
      </c>
      <c r="I617" s="167" t="str">
        <v/>
      </c>
      <c r="J617" s="167" t="str">
        <v/>
      </c>
      <c r="K617" s="167" t="str">
        <v/>
      </c>
      <c r="L617" s="167" t="str">
        <v/>
      </c>
      <c r="M617" s="167" t="str">
        <v/>
      </c>
      <c r="N617" s="167" t="str">
        <v/>
      </c>
      <c r="O617" s="167" t="str">
        <v/>
      </c>
      <c r="P617" s="167" t="str">
        <v/>
      </c>
    </row>
    <row r="618" spans="1:16" x14ac:dyDescent="0.2">
      <c r="A618" s="58" t="str">
        <v/>
      </c>
      <c r="B618" s="144" t="str">
        <f>IFERROR(TIMEVALUE(DaqBook_RAW_Data!Q608),IFERROR(TIMEVALUE(DaqBook_RAW_Data!A608),""))</f>
        <v/>
      </c>
      <c r="C618" s="167" t="str">
        <v/>
      </c>
      <c r="D618" s="167" t="str">
        <v/>
      </c>
      <c r="E618" s="167" t="str">
        <v/>
      </c>
      <c r="F618" s="167" t="str">
        <v/>
      </c>
      <c r="G618" s="167" t="str">
        <v/>
      </c>
      <c r="H618" s="167" t="str">
        <v/>
      </c>
      <c r="I618" s="167" t="str">
        <v/>
      </c>
      <c r="J618" s="167" t="str">
        <v/>
      </c>
      <c r="K618" s="167" t="str">
        <v/>
      </c>
      <c r="L618" s="167" t="str">
        <v/>
      </c>
      <c r="M618" s="167" t="str">
        <v/>
      </c>
      <c r="N618" s="167" t="str">
        <v/>
      </c>
      <c r="O618" s="167" t="str">
        <v/>
      </c>
      <c r="P618" s="167" t="str">
        <v/>
      </c>
    </row>
    <row r="619" spans="1:16" x14ac:dyDescent="0.2">
      <c r="A619" s="58" t="str">
        <v/>
      </c>
      <c r="B619" s="144" t="str">
        <f>IFERROR(TIMEVALUE(DaqBook_RAW_Data!Q609),IFERROR(TIMEVALUE(DaqBook_RAW_Data!A609),""))</f>
        <v/>
      </c>
      <c r="C619" s="167" t="str">
        <v/>
      </c>
      <c r="D619" s="167" t="str">
        <v/>
      </c>
      <c r="E619" s="167" t="str">
        <v/>
      </c>
      <c r="F619" s="167" t="str">
        <v/>
      </c>
      <c r="G619" s="167" t="str">
        <v/>
      </c>
      <c r="H619" s="167" t="str">
        <v/>
      </c>
      <c r="I619" s="167" t="str">
        <v/>
      </c>
      <c r="J619" s="167" t="str">
        <v/>
      </c>
      <c r="K619" s="167" t="str">
        <v/>
      </c>
      <c r="L619" s="167" t="str">
        <v/>
      </c>
      <c r="M619" s="167" t="str">
        <v/>
      </c>
      <c r="N619" s="167" t="str">
        <v/>
      </c>
      <c r="O619" s="167" t="str">
        <v/>
      </c>
      <c r="P619" s="167" t="str">
        <v/>
      </c>
    </row>
    <row r="620" spans="1:16" x14ac:dyDescent="0.2">
      <c r="A620" s="58" t="str">
        <v/>
      </c>
      <c r="B620" s="144" t="str">
        <f>IFERROR(TIMEVALUE(DaqBook_RAW_Data!Q610),IFERROR(TIMEVALUE(DaqBook_RAW_Data!A610),""))</f>
        <v/>
      </c>
      <c r="C620" s="167" t="str">
        <v/>
      </c>
      <c r="D620" s="167" t="str">
        <v/>
      </c>
      <c r="E620" s="167" t="str">
        <v/>
      </c>
      <c r="F620" s="167" t="str">
        <v/>
      </c>
      <c r="G620" s="167" t="str">
        <v/>
      </c>
      <c r="H620" s="167" t="str">
        <v/>
      </c>
      <c r="I620" s="167" t="str">
        <v/>
      </c>
      <c r="J620" s="167" t="str">
        <v/>
      </c>
      <c r="K620" s="167" t="str">
        <v/>
      </c>
      <c r="L620" s="167" t="str">
        <v/>
      </c>
      <c r="M620" s="167" t="str">
        <v/>
      </c>
      <c r="N620" s="167" t="str">
        <v/>
      </c>
      <c r="O620" s="167" t="str">
        <v/>
      </c>
      <c r="P620" s="167" t="str">
        <v/>
      </c>
    </row>
    <row r="621" spans="1:16" x14ac:dyDescent="0.2">
      <c r="A621" s="58" t="str">
        <v/>
      </c>
      <c r="B621" s="144" t="str">
        <f>IFERROR(TIMEVALUE(DaqBook_RAW_Data!Q611),IFERROR(TIMEVALUE(DaqBook_RAW_Data!A611),""))</f>
        <v/>
      </c>
      <c r="C621" s="167" t="str">
        <v/>
      </c>
      <c r="D621" s="167" t="str">
        <v/>
      </c>
      <c r="E621" s="167" t="str">
        <v/>
      </c>
      <c r="F621" s="167" t="str">
        <v/>
      </c>
      <c r="G621" s="167" t="str">
        <v/>
      </c>
      <c r="H621" s="167" t="str">
        <v/>
      </c>
      <c r="I621" s="167" t="str">
        <v/>
      </c>
      <c r="J621" s="167" t="str">
        <v/>
      </c>
      <c r="K621" s="167" t="str">
        <v/>
      </c>
      <c r="L621" s="167" t="str">
        <v/>
      </c>
      <c r="M621" s="167" t="str">
        <v/>
      </c>
      <c r="N621" s="167" t="str">
        <v/>
      </c>
      <c r="O621" s="167" t="str">
        <v/>
      </c>
      <c r="P621" s="167" t="str">
        <v/>
      </c>
    </row>
    <row r="622" spans="1:16" x14ac:dyDescent="0.2">
      <c r="A622" s="58" t="str">
        <v/>
      </c>
      <c r="B622" s="144" t="str">
        <f>IFERROR(TIMEVALUE(DaqBook_RAW_Data!Q612),IFERROR(TIMEVALUE(DaqBook_RAW_Data!A612),""))</f>
        <v/>
      </c>
      <c r="C622" s="167" t="str">
        <v/>
      </c>
      <c r="D622" s="167" t="str">
        <v/>
      </c>
      <c r="E622" s="167" t="str">
        <v/>
      </c>
      <c r="F622" s="167" t="str">
        <v/>
      </c>
      <c r="G622" s="167" t="str">
        <v/>
      </c>
      <c r="H622" s="167" t="str">
        <v/>
      </c>
      <c r="I622" s="167" t="str">
        <v/>
      </c>
      <c r="J622" s="167" t="str">
        <v/>
      </c>
      <c r="K622" s="167" t="str">
        <v/>
      </c>
      <c r="L622" s="167" t="str">
        <v/>
      </c>
      <c r="M622" s="167" t="str">
        <v/>
      </c>
      <c r="N622" s="167" t="str">
        <v/>
      </c>
      <c r="O622" s="167" t="str">
        <v/>
      </c>
      <c r="P622" s="167" t="str">
        <v/>
      </c>
    </row>
    <row r="623" spans="1:16" x14ac:dyDescent="0.2">
      <c r="A623" s="58" t="str">
        <v/>
      </c>
      <c r="B623" s="144" t="str">
        <f>IFERROR(TIMEVALUE(DaqBook_RAW_Data!Q613),IFERROR(TIMEVALUE(DaqBook_RAW_Data!A613),""))</f>
        <v/>
      </c>
      <c r="C623" s="167" t="str">
        <v/>
      </c>
      <c r="D623" s="167" t="str">
        <v/>
      </c>
      <c r="E623" s="167" t="str">
        <v/>
      </c>
      <c r="F623" s="167" t="str">
        <v/>
      </c>
      <c r="G623" s="167" t="str">
        <v/>
      </c>
      <c r="H623" s="167" t="str">
        <v/>
      </c>
      <c r="I623" s="167" t="str">
        <v/>
      </c>
      <c r="J623" s="167" t="str">
        <v/>
      </c>
      <c r="K623" s="167" t="str">
        <v/>
      </c>
      <c r="L623" s="167" t="str">
        <v/>
      </c>
      <c r="M623" s="167" t="str">
        <v/>
      </c>
      <c r="N623" s="167" t="str">
        <v/>
      </c>
      <c r="O623" s="167" t="str">
        <v/>
      </c>
      <c r="P623" s="167" t="str">
        <v/>
      </c>
    </row>
    <row r="624" spans="1:16" x14ac:dyDescent="0.2">
      <c r="A624" s="58" t="str">
        <v/>
      </c>
      <c r="B624" s="144" t="str">
        <f>IFERROR(TIMEVALUE(DaqBook_RAW_Data!Q614),IFERROR(TIMEVALUE(DaqBook_RAW_Data!A614),""))</f>
        <v/>
      </c>
      <c r="C624" s="167" t="str">
        <v/>
      </c>
      <c r="D624" s="167" t="str">
        <v/>
      </c>
      <c r="E624" s="167" t="str">
        <v/>
      </c>
      <c r="F624" s="167" t="str">
        <v/>
      </c>
      <c r="G624" s="167" t="str">
        <v/>
      </c>
      <c r="H624" s="167" t="str">
        <v/>
      </c>
      <c r="I624" s="167" t="str">
        <v/>
      </c>
      <c r="J624" s="167" t="str">
        <v/>
      </c>
      <c r="K624" s="167" t="str">
        <v/>
      </c>
      <c r="L624" s="167" t="str">
        <v/>
      </c>
      <c r="M624" s="167" t="str">
        <v/>
      </c>
      <c r="N624" s="167" t="str">
        <v/>
      </c>
      <c r="O624" s="167" t="str">
        <v/>
      </c>
      <c r="P624" s="167" t="str">
        <v/>
      </c>
    </row>
    <row r="625" spans="1:16" x14ac:dyDescent="0.2">
      <c r="A625" s="58" t="str">
        <v/>
      </c>
      <c r="B625" s="144" t="str">
        <f>IFERROR(TIMEVALUE(DaqBook_RAW_Data!Q615),IFERROR(TIMEVALUE(DaqBook_RAW_Data!A615),""))</f>
        <v/>
      </c>
      <c r="C625" s="167" t="str">
        <v/>
      </c>
      <c r="D625" s="167" t="str">
        <v/>
      </c>
      <c r="E625" s="167" t="str">
        <v/>
      </c>
      <c r="F625" s="167" t="str">
        <v/>
      </c>
      <c r="G625" s="167" t="str">
        <v/>
      </c>
      <c r="H625" s="167" t="str">
        <v/>
      </c>
      <c r="I625" s="167" t="str">
        <v/>
      </c>
      <c r="J625" s="167" t="str">
        <v/>
      </c>
      <c r="K625" s="167" t="str">
        <v/>
      </c>
      <c r="L625" s="167" t="str">
        <v/>
      </c>
      <c r="M625" s="167" t="str">
        <v/>
      </c>
      <c r="N625" s="167" t="str">
        <v/>
      </c>
      <c r="O625" s="167" t="str">
        <v/>
      </c>
      <c r="P625" s="167" t="str">
        <v/>
      </c>
    </row>
    <row r="626" spans="1:16" x14ac:dyDescent="0.2">
      <c r="A626" s="58" t="str">
        <v/>
      </c>
      <c r="B626" s="144" t="str">
        <f>IFERROR(TIMEVALUE(DaqBook_RAW_Data!Q616),IFERROR(TIMEVALUE(DaqBook_RAW_Data!A616),""))</f>
        <v/>
      </c>
      <c r="C626" s="167" t="str">
        <v/>
      </c>
      <c r="D626" s="167" t="str">
        <v/>
      </c>
      <c r="E626" s="167" t="str">
        <v/>
      </c>
      <c r="F626" s="167" t="str">
        <v/>
      </c>
      <c r="G626" s="167" t="str">
        <v/>
      </c>
      <c r="H626" s="167" t="str">
        <v/>
      </c>
      <c r="I626" s="167" t="str">
        <v/>
      </c>
      <c r="J626" s="167" t="str">
        <v/>
      </c>
      <c r="K626" s="167" t="str">
        <v/>
      </c>
      <c r="L626" s="167" t="str">
        <v/>
      </c>
      <c r="M626" s="167" t="str">
        <v/>
      </c>
      <c r="N626" s="167" t="str">
        <v/>
      </c>
      <c r="O626" s="167" t="str">
        <v/>
      </c>
      <c r="P626" s="167" t="str">
        <v/>
      </c>
    </row>
    <row r="627" spans="1:16" x14ac:dyDescent="0.2">
      <c r="A627" s="58" t="str">
        <v/>
      </c>
      <c r="B627" s="144" t="str">
        <f>IFERROR(TIMEVALUE(DaqBook_RAW_Data!Q617),IFERROR(TIMEVALUE(DaqBook_RAW_Data!A617),""))</f>
        <v/>
      </c>
      <c r="C627" s="167" t="str">
        <v/>
      </c>
      <c r="D627" s="167" t="str">
        <v/>
      </c>
      <c r="E627" s="167" t="str">
        <v/>
      </c>
      <c r="F627" s="167" t="str">
        <v/>
      </c>
      <c r="G627" s="167" t="str">
        <v/>
      </c>
      <c r="H627" s="167" t="str">
        <v/>
      </c>
      <c r="I627" s="167" t="str">
        <v/>
      </c>
      <c r="J627" s="167" t="str">
        <v/>
      </c>
      <c r="K627" s="167" t="str">
        <v/>
      </c>
      <c r="L627" s="167" t="str">
        <v/>
      </c>
      <c r="M627" s="167" t="str">
        <v/>
      </c>
      <c r="N627" s="167" t="str">
        <v/>
      </c>
      <c r="O627" s="167" t="str">
        <v/>
      </c>
      <c r="P627" s="167" t="str">
        <v/>
      </c>
    </row>
    <row r="628" spans="1:16" x14ac:dyDescent="0.2">
      <c r="A628" s="58" t="str">
        <v/>
      </c>
      <c r="B628" s="144" t="str">
        <f>IFERROR(TIMEVALUE(DaqBook_RAW_Data!Q618),IFERROR(TIMEVALUE(DaqBook_RAW_Data!A618),""))</f>
        <v/>
      </c>
      <c r="C628" s="167" t="str">
        <v/>
      </c>
      <c r="D628" s="167" t="str">
        <v/>
      </c>
      <c r="E628" s="167" t="str">
        <v/>
      </c>
      <c r="F628" s="167" t="str">
        <v/>
      </c>
      <c r="G628" s="167" t="str">
        <v/>
      </c>
      <c r="H628" s="167" t="str">
        <v/>
      </c>
      <c r="I628" s="167" t="str">
        <v/>
      </c>
      <c r="J628" s="167" t="str">
        <v/>
      </c>
      <c r="K628" s="167" t="str">
        <v/>
      </c>
      <c r="L628" s="167" t="str">
        <v/>
      </c>
      <c r="M628" s="167" t="str">
        <v/>
      </c>
      <c r="N628" s="167" t="str">
        <v/>
      </c>
      <c r="O628" s="167" t="str">
        <v/>
      </c>
      <c r="P628" s="167" t="str">
        <v/>
      </c>
    </row>
    <row r="629" spans="1:16" x14ac:dyDescent="0.2">
      <c r="A629" s="58" t="str">
        <v/>
      </c>
      <c r="B629" s="144" t="str">
        <f>IFERROR(TIMEVALUE(DaqBook_RAW_Data!Q619),IFERROR(TIMEVALUE(DaqBook_RAW_Data!A619),""))</f>
        <v/>
      </c>
      <c r="C629" s="167" t="str">
        <v/>
      </c>
      <c r="D629" s="167" t="str">
        <v/>
      </c>
      <c r="E629" s="167" t="str">
        <v/>
      </c>
      <c r="F629" s="167" t="str">
        <v/>
      </c>
      <c r="G629" s="167" t="str">
        <v/>
      </c>
      <c r="H629" s="167" t="str">
        <v/>
      </c>
      <c r="I629" s="167" t="str">
        <v/>
      </c>
      <c r="J629" s="167" t="str">
        <v/>
      </c>
      <c r="K629" s="167" t="str">
        <v/>
      </c>
      <c r="L629" s="167" t="str">
        <v/>
      </c>
      <c r="M629" s="167" t="str">
        <v/>
      </c>
      <c r="N629" s="167" t="str">
        <v/>
      </c>
      <c r="O629" s="167" t="str">
        <v/>
      </c>
      <c r="P629" s="167" t="str">
        <v/>
      </c>
    </row>
    <row r="630" spans="1:16" x14ac:dyDescent="0.2">
      <c r="A630" s="58" t="str">
        <v/>
      </c>
      <c r="B630" s="144" t="str">
        <f>IFERROR(TIMEVALUE(DaqBook_RAW_Data!Q620),IFERROR(TIMEVALUE(DaqBook_RAW_Data!A620),""))</f>
        <v/>
      </c>
      <c r="C630" s="167" t="str">
        <v/>
      </c>
      <c r="D630" s="167" t="str">
        <v/>
      </c>
      <c r="E630" s="167" t="str">
        <v/>
      </c>
      <c r="F630" s="167" t="str">
        <v/>
      </c>
      <c r="G630" s="167" t="str">
        <v/>
      </c>
      <c r="H630" s="167" t="str">
        <v/>
      </c>
      <c r="I630" s="167" t="str">
        <v/>
      </c>
      <c r="J630" s="167" t="str">
        <v/>
      </c>
      <c r="K630" s="167" t="str">
        <v/>
      </c>
      <c r="L630" s="167" t="str">
        <v/>
      </c>
      <c r="M630" s="167" t="str">
        <v/>
      </c>
      <c r="N630" s="167" t="str">
        <v/>
      </c>
      <c r="O630" s="167" t="str">
        <v/>
      </c>
      <c r="P630" s="167" t="str">
        <v/>
      </c>
    </row>
    <row r="631" spans="1:16" x14ac:dyDescent="0.2">
      <c r="A631" s="58" t="str">
        <v/>
      </c>
      <c r="B631" s="144" t="str">
        <f>IFERROR(TIMEVALUE(DaqBook_RAW_Data!Q621),IFERROR(TIMEVALUE(DaqBook_RAW_Data!A621),""))</f>
        <v/>
      </c>
      <c r="C631" s="167" t="str">
        <v/>
      </c>
      <c r="D631" s="167" t="str">
        <v/>
      </c>
      <c r="E631" s="167" t="str">
        <v/>
      </c>
      <c r="F631" s="167" t="str">
        <v/>
      </c>
      <c r="G631" s="167" t="str">
        <v/>
      </c>
      <c r="H631" s="167" t="str">
        <v/>
      </c>
      <c r="I631" s="167" t="str">
        <v/>
      </c>
      <c r="J631" s="167" t="str">
        <v/>
      </c>
      <c r="K631" s="167" t="str">
        <v/>
      </c>
      <c r="L631" s="167" t="str">
        <v/>
      </c>
      <c r="M631" s="167" t="str">
        <v/>
      </c>
      <c r="N631" s="167" t="str">
        <v/>
      </c>
      <c r="O631" s="167" t="str">
        <v/>
      </c>
      <c r="P631" s="167" t="str">
        <v/>
      </c>
    </row>
    <row r="632" spans="1:16" x14ac:dyDescent="0.2">
      <c r="A632" s="58" t="str">
        <v/>
      </c>
      <c r="B632" s="144" t="str">
        <f>IFERROR(TIMEVALUE(DaqBook_RAW_Data!Q622),IFERROR(TIMEVALUE(DaqBook_RAW_Data!A622),""))</f>
        <v/>
      </c>
      <c r="C632" s="167" t="str">
        <v/>
      </c>
      <c r="D632" s="167" t="str">
        <v/>
      </c>
      <c r="E632" s="167" t="str">
        <v/>
      </c>
      <c r="F632" s="167" t="str">
        <v/>
      </c>
      <c r="G632" s="167" t="str">
        <v/>
      </c>
      <c r="H632" s="167" t="str">
        <v/>
      </c>
      <c r="I632" s="167" t="str">
        <v/>
      </c>
      <c r="J632" s="167" t="str">
        <v/>
      </c>
      <c r="K632" s="167" t="str">
        <v/>
      </c>
      <c r="L632" s="167" t="str">
        <v/>
      </c>
      <c r="M632" s="167" t="str">
        <v/>
      </c>
      <c r="N632" s="167" t="str">
        <v/>
      </c>
      <c r="O632" s="167" t="str">
        <v/>
      </c>
      <c r="P632" s="167" t="str">
        <v/>
      </c>
    </row>
    <row r="633" spans="1:16" x14ac:dyDescent="0.2">
      <c r="A633" s="58" t="str">
        <v/>
      </c>
      <c r="B633" s="144" t="str">
        <f>IFERROR(TIMEVALUE(DaqBook_RAW_Data!Q623),IFERROR(TIMEVALUE(DaqBook_RAW_Data!A623),""))</f>
        <v/>
      </c>
      <c r="C633" s="167" t="str">
        <v/>
      </c>
      <c r="D633" s="167" t="str">
        <v/>
      </c>
      <c r="E633" s="167" t="str">
        <v/>
      </c>
      <c r="F633" s="167" t="str">
        <v/>
      </c>
      <c r="G633" s="167" t="str">
        <v/>
      </c>
      <c r="H633" s="167" t="str">
        <v/>
      </c>
      <c r="I633" s="167" t="str">
        <v/>
      </c>
      <c r="J633" s="167" t="str">
        <v/>
      </c>
      <c r="K633" s="167" t="str">
        <v/>
      </c>
      <c r="L633" s="167" t="str">
        <v/>
      </c>
      <c r="M633" s="167" t="str">
        <v/>
      </c>
      <c r="N633" s="167" t="str">
        <v/>
      </c>
      <c r="O633" s="167" t="str">
        <v/>
      </c>
      <c r="P633" s="167" t="str">
        <v/>
      </c>
    </row>
    <row r="634" spans="1:16" x14ac:dyDescent="0.2">
      <c r="A634" s="58" t="str">
        <v/>
      </c>
      <c r="B634" s="144" t="str">
        <f>IFERROR(TIMEVALUE(DaqBook_RAW_Data!Q624),IFERROR(TIMEVALUE(DaqBook_RAW_Data!A624),""))</f>
        <v/>
      </c>
      <c r="C634" s="167" t="str">
        <v/>
      </c>
      <c r="D634" s="167" t="str">
        <v/>
      </c>
      <c r="E634" s="167" t="str">
        <v/>
      </c>
      <c r="F634" s="167" t="str">
        <v/>
      </c>
      <c r="G634" s="167" t="str">
        <v/>
      </c>
      <c r="H634" s="167" t="str">
        <v/>
      </c>
      <c r="I634" s="167" t="str">
        <v/>
      </c>
      <c r="J634" s="167" t="str">
        <v/>
      </c>
      <c r="K634" s="167" t="str">
        <v/>
      </c>
      <c r="L634" s="167" t="str">
        <v/>
      </c>
      <c r="M634" s="167" t="str">
        <v/>
      </c>
      <c r="N634" s="167" t="str">
        <v/>
      </c>
      <c r="O634" s="167" t="str">
        <v/>
      </c>
      <c r="P634" s="167" t="str">
        <v/>
      </c>
    </row>
    <row r="635" spans="1:16" x14ac:dyDescent="0.2">
      <c r="A635" s="58" t="str">
        <v/>
      </c>
      <c r="B635" s="144" t="str">
        <f>IFERROR(TIMEVALUE(DaqBook_RAW_Data!Q625),IFERROR(TIMEVALUE(DaqBook_RAW_Data!A625),""))</f>
        <v/>
      </c>
      <c r="C635" s="167" t="str">
        <v/>
      </c>
      <c r="D635" s="167" t="str">
        <v/>
      </c>
      <c r="E635" s="167" t="str">
        <v/>
      </c>
      <c r="F635" s="167" t="str">
        <v/>
      </c>
      <c r="G635" s="167" t="str">
        <v/>
      </c>
      <c r="H635" s="167" t="str">
        <v/>
      </c>
      <c r="I635" s="167" t="str">
        <v/>
      </c>
      <c r="J635" s="167" t="str">
        <v/>
      </c>
      <c r="K635" s="167" t="str">
        <v/>
      </c>
      <c r="L635" s="167" t="str">
        <v/>
      </c>
      <c r="M635" s="167" t="str">
        <v/>
      </c>
      <c r="N635" s="167" t="str">
        <v/>
      </c>
      <c r="O635" s="167" t="str">
        <v/>
      </c>
      <c r="P635" s="167" t="str">
        <v/>
      </c>
    </row>
    <row r="636" spans="1:16" x14ac:dyDescent="0.2">
      <c r="A636" s="58" t="str">
        <v/>
      </c>
      <c r="B636" s="144" t="str">
        <f>IFERROR(TIMEVALUE(DaqBook_RAW_Data!Q626),IFERROR(TIMEVALUE(DaqBook_RAW_Data!A626),""))</f>
        <v/>
      </c>
      <c r="C636" s="167" t="str">
        <v/>
      </c>
      <c r="D636" s="167" t="str">
        <v/>
      </c>
      <c r="E636" s="167" t="str">
        <v/>
      </c>
      <c r="F636" s="167" t="str">
        <v/>
      </c>
      <c r="G636" s="167" t="str">
        <v/>
      </c>
      <c r="H636" s="167" t="str">
        <v/>
      </c>
      <c r="I636" s="167" t="str">
        <v/>
      </c>
      <c r="J636" s="167" t="str">
        <v/>
      </c>
      <c r="K636" s="167" t="str">
        <v/>
      </c>
      <c r="L636" s="167" t="str">
        <v/>
      </c>
      <c r="M636" s="167" t="str">
        <v/>
      </c>
      <c r="N636" s="167" t="str">
        <v/>
      </c>
      <c r="O636" s="167" t="str">
        <v/>
      </c>
      <c r="P636" s="167" t="str">
        <v/>
      </c>
    </row>
    <row r="637" spans="1:16" x14ac:dyDescent="0.2">
      <c r="A637" s="58" t="str">
        <v/>
      </c>
      <c r="B637" s="144" t="str">
        <f>IFERROR(TIMEVALUE(DaqBook_RAW_Data!Q627),IFERROR(TIMEVALUE(DaqBook_RAW_Data!A627),""))</f>
        <v/>
      </c>
      <c r="C637" s="167" t="str">
        <v/>
      </c>
      <c r="D637" s="167" t="str">
        <v/>
      </c>
      <c r="E637" s="167" t="str">
        <v/>
      </c>
      <c r="F637" s="167" t="str">
        <v/>
      </c>
      <c r="G637" s="167" t="str">
        <v/>
      </c>
      <c r="H637" s="167" t="str">
        <v/>
      </c>
      <c r="I637" s="167" t="str">
        <v/>
      </c>
      <c r="J637" s="167" t="str">
        <v/>
      </c>
      <c r="K637" s="167" t="str">
        <v/>
      </c>
      <c r="L637" s="167" t="str">
        <v/>
      </c>
      <c r="M637" s="167" t="str">
        <v/>
      </c>
      <c r="N637" s="167" t="str">
        <v/>
      </c>
      <c r="O637" s="167" t="str">
        <v/>
      </c>
      <c r="P637" s="167" t="str">
        <v/>
      </c>
    </row>
    <row r="638" spans="1:16" x14ac:dyDescent="0.2">
      <c r="A638" s="58" t="str">
        <v/>
      </c>
      <c r="B638" s="144" t="str">
        <f>IFERROR(TIMEVALUE(DaqBook_RAW_Data!Q628),IFERROR(TIMEVALUE(DaqBook_RAW_Data!A628),""))</f>
        <v/>
      </c>
      <c r="C638" s="167" t="str">
        <v/>
      </c>
      <c r="D638" s="167" t="str">
        <v/>
      </c>
      <c r="E638" s="167" t="str">
        <v/>
      </c>
      <c r="F638" s="167" t="str">
        <v/>
      </c>
      <c r="G638" s="167" t="str">
        <v/>
      </c>
      <c r="H638" s="167" t="str">
        <v/>
      </c>
      <c r="I638" s="167" t="str">
        <v/>
      </c>
      <c r="J638" s="167" t="str">
        <v/>
      </c>
      <c r="K638" s="167" t="str">
        <v/>
      </c>
      <c r="L638" s="167" t="str">
        <v/>
      </c>
      <c r="M638" s="167" t="str">
        <v/>
      </c>
      <c r="N638" s="167" t="str">
        <v/>
      </c>
      <c r="O638" s="167" t="str">
        <v/>
      </c>
      <c r="P638" s="167" t="str">
        <v/>
      </c>
    </row>
    <row r="639" spans="1:16" x14ac:dyDescent="0.2">
      <c r="A639" s="58" t="str">
        <v/>
      </c>
      <c r="B639" s="144" t="str">
        <f>IFERROR(TIMEVALUE(DaqBook_RAW_Data!Q629),IFERROR(TIMEVALUE(DaqBook_RAW_Data!A629),""))</f>
        <v/>
      </c>
      <c r="C639" s="167" t="str">
        <v/>
      </c>
      <c r="D639" s="167" t="str">
        <v/>
      </c>
      <c r="E639" s="167" t="str">
        <v/>
      </c>
      <c r="F639" s="167" t="str">
        <v/>
      </c>
      <c r="G639" s="167" t="str">
        <v/>
      </c>
      <c r="H639" s="167" t="str">
        <v/>
      </c>
      <c r="I639" s="167" t="str">
        <v/>
      </c>
      <c r="J639" s="167" t="str">
        <v/>
      </c>
      <c r="K639" s="167" t="str">
        <v/>
      </c>
      <c r="L639" s="167" t="str">
        <v/>
      </c>
      <c r="M639" s="167" t="str">
        <v/>
      </c>
      <c r="N639" s="167" t="str">
        <v/>
      </c>
      <c r="O639" s="167" t="str">
        <v/>
      </c>
      <c r="P639" s="167" t="str">
        <v/>
      </c>
    </row>
    <row r="640" spans="1:16" x14ac:dyDescent="0.2">
      <c r="A640" s="58" t="str">
        <v/>
      </c>
      <c r="B640" s="144" t="str">
        <f>IFERROR(TIMEVALUE(DaqBook_RAW_Data!Q630),IFERROR(TIMEVALUE(DaqBook_RAW_Data!A630),""))</f>
        <v/>
      </c>
      <c r="C640" s="167" t="str">
        <v/>
      </c>
      <c r="D640" s="167" t="str">
        <v/>
      </c>
      <c r="E640" s="167" t="str">
        <v/>
      </c>
      <c r="F640" s="167" t="str">
        <v/>
      </c>
      <c r="G640" s="167" t="str">
        <v/>
      </c>
      <c r="H640" s="167" t="str">
        <v/>
      </c>
      <c r="I640" s="167" t="str">
        <v/>
      </c>
      <c r="J640" s="167" t="str">
        <v/>
      </c>
      <c r="K640" s="167" t="str">
        <v/>
      </c>
      <c r="L640" s="167" t="str">
        <v/>
      </c>
      <c r="M640" s="167" t="str">
        <v/>
      </c>
      <c r="N640" s="167" t="str">
        <v/>
      </c>
      <c r="O640" s="167" t="str">
        <v/>
      </c>
      <c r="P640" s="167" t="str">
        <v/>
      </c>
    </row>
    <row r="641" spans="1:16" x14ac:dyDescent="0.2">
      <c r="A641" s="58" t="str">
        <v/>
      </c>
      <c r="B641" s="144" t="str">
        <f>IFERROR(TIMEVALUE(DaqBook_RAW_Data!Q631),IFERROR(TIMEVALUE(DaqBook_RAW_Data!A631),""))</f>
        <v/>
      </c>
      <c r="C641" s="167" t="str">
        <v/>
      </c>
      <c r="D641" s="167" t="str">
        <v/>
      </c>
      <c r="E641" s="167" t="str">
        <v/>
      </c>
      <c r="F641" s="167" t="str">
        <v/>
      </c>
      <c r="G641" s="167" t="str">
        <v/>
      </c>
      <c r="H641" s="167" t="str">
        <v/>
      </c>
      <c r="I641" s="167" t="str">
        <v/>
      </c>
      <c r="J641" s="167" t="str">
        <v/>
      </c>
      <c r="K641" s="167" t="str">
        <v/>
      </c>
      <c r="L641" s="167" t="str">
        <v/>
      </c>
      <c r="M641" s="167" t="str">
        <v/>
      </c>
      <c r="N641" s="167" t="str">
        <v/>
      </c>
      <c r="O641" s="167" t="str">
        <v/>
      </c>
      <c r="P641" s="167" t="str">
        <v/>
      </c>
    </row>
    <row r="642" spans="1:16" x14ac:dyDescent="0.2">
      <c r="A642" s="58" t="str">
        <v/>
      </c>
      <c r="B642" s="144" t="str">
        <f>IFERROR(TIMEVALUE(DaqBook_RAW_Data!Q632),IFERROR(TIMEVALUE(DaqBook_RAW_Data!A632),""))</f>
        <v/>
      </c>
      <c r="C642" s="167" t="str">
        <v/>
      </c>
      <c r="D642" s="167" t="str">
        <v/>
      </c>
      <c r="E642" s="167" t="str">
        <v/>
      </c>
      <c r="F642" s="167" t="str">
        <v/>
      </c>
      <c r="G642" s="167" t="str">
        <v/>
      </c>
      <c r="H642" s="167" t="str">
        <v/>
      </c>
      <c r="I642" s="167" t="str">
        <v/>
      </c>
      <c r="J642" s="167" t="str">
        <v/>
      </c>
      <c r="K642" s="167" t="str">
        <v/>
      </c>
      <c r="L642" s="167" t="str">
        <v/>
      </c>
      <c r="M642" s="167" t="str">
        <v/>
      </c>
      <c r="N642" s="167" t="str">
        <v/>
      </c>
      <c r="O642" s="167" t="str">
        <v/>
      </c>
      <c r="P642" s="167" t="str">
        <v/>
      </c>
    </row>
    <row r="643" spans="1:16" x14ac:dyDescent="0.2">
      <c r="A643" s="58" t="str">
        <v/>
      </c>
      <c r="B643" s="144" t="str">
        <f>IFERROR(TIMEVALUE(DaqBook_RAW_Data!Q633),IFERROR(TIMEVALUE(DaqBook_RAW_Data!A633),""))</f>
        <v/>
      </c>
      <c r="C643" s="167" t="str">
        <v/>
      </c>
      <c r="D643" s="167" t="str">
        <v/>
      </c>
      <c r="E643" s="167" t="str">
        <v/>
      </c>
      <c r="F643" s="167" t="str">
        <v/>
      </c>
      <c r="G643" s="167" t="str">
        <v/>
      </c>
      <c r="H643" s="167" t="str">
        <v/>
      </c>
      <c r="I643" s="167" t="str">
        <v/>
      </c>
      <c r="J643" s="167" t="str">
        <v/>
      </c>
      <c r="K643" s="167" t="str">
        <v/>
      </c>
      <c r="L643" s="167" t="str">
        <v/>
      </c>
      <c r="M643" s="167" t="str">
        <v/>
      </c>
      <c r="N643" s="167" t="str">
        <v/>
      </c>
      <c r="O643" s="167" t="str">
        <v/>
      </c>
      <c r="P643" s="167" t="str">
        <v/>
      </c>
    </row>
    <row r="644" spans="1:16" x14ac:dyDescent="0.2">
      <c r="A644" s="58" t="str">
        <v/>
      </c>
      <c r="B644" s="144" t="str">
        <f>IFERROR(TIMEVALUE(DaqBook_RAW_Data!Q634),IFERROR(TIMEVALUE(DaqBook_RAW_Data!A634),""))</f>
        <v/>
      </c>
      <c r="C644" s="167" t="str">
        <v/>
      </c>
      <c r="D644" s="167" t="str">
        <v/>
      </c>
      <c r="E644" s="167" t="str">
        <v/>
      </c>
      <c r="F644" s="167" t="str">
        <v/>
      </c>
      <c r="G644" s="167" t="str">
        <v/>
      </c>
      <c r="H644" s="167" t="str">
        <v/>
      </c>
      <c r="I644" s="167" t="str">
        <v/>
      </c>
      <c r="J644" s="167" t="str">
        <v/>
      </c>
      <c r="K644" s="167" t="str">
        <v/>
      </c>
      <c r="L644" s="167" t="str">
        <v/>
      </c>
      <c r="M644" s="167" t="str">
        <v/>
      </c>
      <c r="N644" s="167" t="str">
        <v/>
      </c>
      <c r="O644" s="167" t="str">
        <v/>
      </c>
      <c r="P644" s="167" t="str">
        <v/>
      </c>
    </row>
    <row r="645" spans="1:16" x14ac:dyDescent="0.2">
      <c r="A645" s="58" t="str">
        <v/>
      </c>
      <c r="B645" s="144" t="str">
        <f>IFERROR(TIMEVALUE(DaqBook_RAW_Data!Q635),IFERROR(TIMEVALUE(DaqBook_RAW_Data!A635),""))</f>
        <v/>
      </c>
      <c r="C645" s="167" t="str">
        <v/>
      </c>
      <c r="D645" s="167" t="str">
        <v/>
      </c>
      <c r="E645" s="167" t="str">
        <v/>
      </c>
      <c r="F645" s="167" t="str">
        <v/>
      </c>
      <c r="G645" s="167" t="str">
        <v/>
      </c>
      <c r="H645" s="167" t="str">
        <v/>
      </c>
      <c r="I645" s="167" t="str">
        <v/>
      </c>
      <c r="J645" s="167" t="str">
        <v/>
      </c>
      <c r="K645" s="167" t="str">
        <v/>
      </c>
      <c r="L645" s="167" t="str">
        <v/>
      </c>
      <c r="M645" s="167" t="str">
        <v/>
      </c>
      <c r="N645" s="167" t="str">
        <v/>
      </c>
      <c r="O645" s="167" t="str">
        <v/>
      </c>
      <c r="P645" s="167" t="str">
        <v/>
      </c>
    </row>
    <row r="646" spans="1:16" x14ac:dyDescent="0.2">
      <c r="A646" s="58" t="str">
        <v/>
      </c>
      <c r="B646" s="144" t="str">
        <f>IFERROR(TIMEVALUE(DaqBook_RAW_Data!Q636),IFERROR(TIMEVALUE(DaqBook_RAW_Data!A636),""))</f>
        <v/>
      </c>
      <c r="C646" s="167" t="str">
        <v/>
      </c>
      <c r="D646" s="167" t="str">
        <v/>
      </c>
      <c r="E646" s="167" t="str">
        <v/>
      </c>
      <c r="F646" s="167" t="str">
        <v/>
      </c>
      <c r="G646" s="167" t="str">
        <v/>
      </c>
      <c r="H646" s="167" t="str">
        <v/>
      </c>
      <c r="I646" s="167" t="str">
        <v/>
      </c>
      <c r="J646" s="167" t="str">
        <v/>
      </c>
      <c r="K646" s="167" t="str">
        <v/>
      </c>
      <c r="L646" s="167" t="str">
        <v/>
      </c>
      <c r="M646" s="167" t="str">
        <v/>
      </c>
      <c r="N646" s="167" t="str">
        <v/>
      </c>
      <c r="O646" s="167" t="str">
        <v/>
      </c>
      <c r="P646" s="167" t="str">
        <v/>
      </c>
    </row>
    <row r="647" spans="1:16" x14ac:dyDescent="0.2">
      <c r="A647" s="58" t="str">
        <v/>
      </c>
      <c r="B647" s="144" t="str">
        <f>IFERROR(TIMEVALUE(DaqBook_RAW_Data!Q637),IFERROR(TIMEVALUE(DaqBook_RAW_Data!A637),""))</f>
        <v/>
      </c>
      <c r="C647" s="167" t="str">
        <v/>
      </c>
      <c r="D647" s="167" t="str">
        <v/>
      </c>
      <c r="E647" s="167" t="str">
        <v/>
      </c>
      <c r="F647" s="167" t="str">
        <v/>
      </c>
      <c r="G647" s="167" t="str">
        <v/>
      </c>
      <c r="H647" s="167" t="str">
        <v/>
      </c>
      <c r="I647" s="167" t="str">
        <v/>
      </c>
      <c r="J647" s="167" t="str">
        <v/>
      </c>
      <c r="K647" s="167" t="str">
        <v/>
      </c>
      <c r="L647" s="167" t="str">
        <v/>
      </c>
      <c r="M647" s="167" t="str">
        <v/>
      </c>
      <c r="N647" s="167" t="str">
        <v/>
      </c>
      <c r="O647" s="167" t="str">
        <v/>
      </c>
      <c r="P647" s="167" t="str">
        <v/>
      </c>
    </row>
    <row r="648" spans="1:16" x14ac:dyDescent="0.2">
      <c r="A648" s="58" t="str">
        <v/>
      </c>
      <c r="B648" s="144" t="str">
        <f>IFERROR(TIMEVALUE(DaqBook_RAW_Data!Q638),IFERROR(TIMEVALUE(DaqBook_RAW_Data!A638),""))</f>
        <v/>
      </c>
      <c r="C648" s="167" t="str">
        <v/>
      </c>
      <c r="D648" s="167" t="str">
        <v/>
      </c>
      <c r="E648" s="167" t="str">
        <v/>
      </c>
      <c r="F648" s="167" t="str">
        <v/>
      </c>
      <c r="G648" s="167" t="str">
        <v/>
      </c>
      <c r="H648" s="167" t="str">
        <v/>
      </c>
      <c r="I648" s="167" t="str">
        <v/>
      </c>
      <c r="J648" s="167" t="str">
        <v/>
      </c>
      <c r="K648" s="167" t="str">
        <v/>
      </c>
      <c r="L648" s="167" t="str">
        <v/>
      </c>
      <c r="M648" s="167" t="str">
        <v/>
      </c>
      <c r="N648" s="167" t="str">
        <v/>
      </c>
      <c r="O648" s="167" t="str">
        <v/>
      </c>
      <c r="P648" s="167" t="str">
        <v/>
      </c>
    </row>
    <row r="649" spans="1:16" x14ac:dyDescent="0.2">
      <c r="A649" s="58" t="str">
        <v/>
      </c>
      <c r="B649" s="144" t="str">
        <f>IFERROR(TIMEVALUE(DaqBook_RAW_Data!Q639),IFERROR(TIMEVALUE(DaqBook_RAW_Data!A639),""))</f>
        <v/>
      </c>
      <c r="C649" s="167" t="str">
        <v/>
      </c>
      <c r="D649" s="167" t="str">
        <v/>
      </c>
      <c r="E649" s="167" t="str">
        <v/>
      </c>
      <c r="F649" s="167" t="str">
        <v/>
      </c>
      <c r="G649" s="167" t="str">
        <v/>
      </c>
      <c r="H649" s="167" t="str">
        <v/>
      </c>
      <c r="I649" s="167" t="str">
        <v/>
      </c>
      <c r="J649" s="167" t="str">
        <v/>
      </c>
      <c r="K649" s="167" t="str">
        <v/>
      </c>
      <c r="L649" s="167" t="str">
        <v/>
      </c>
      <c r="M649" s="167" t="str">
        <v/>
      </c>
      <c r="N649" s="167" t="str">
        <v/>
      </c>
      <c r="O649" s="167" t="str">
        <v/>
      </c>
      <c r="P649" s="167" t="str">
        <v/>
      </c>
    </row>
    <row r="650" spans="1:16" x14ac:dyDescent="0.2">
      <c r="A650" s="58" t="str">
        <v/>
      </c>
      <c r="B650" s="144" t="str">
        <f>IFERROR(TIMEVALUE(DaqBook_RAW_Data!Q640),IFERROR(TIMEVALUE(DaqBook_RAW_Data!A640),""))</f>
        <v/>
      </c>
      <c r="C650" s="167" t="str">
        <v/>
      </c>
      <c r="D650" s="167" t="str">
        <v/>
      </c>
      <c r="E650" s="167" t="str">
        <v/>
      </c>
      <c r="F650" s="167" t="str">
        <v/>
      </c>
      <c r="G650" s="167" t="str">
        <v/>
      </c>
      <c r="H650" s="167" t="str">
        <v/>
      </c>
      <c r="I650" s="167" t="str">
        <v/>
      </c>
      <c r="J650" s="167" t="str">
        <v/>
      </c>
      <c r="K650" s="167" t="str">
        <v/>
      </c>
      <c r="L650" s="167" t="str">
        <v/>
      </c>
      <c r="M650" s="167" t="str">
        <v/>
      </c>
      <c r="N650" s="167" t="str">
        <v/>
      </c>
      <c r="O650" s="167" t="str">
        <v/>
      </c>
      <c r="P650" s="167" t="str">
        <v/>
      </c>
    </row>
    <row r="651" spans="1:16" x14ac:dyDescent="0.2">
      <c r="A651" s="58" t="str">
        <v/>
      </c>
      <c r="B651" s="144" t="str">
        <f>IFERROR(TIMEVALUE(DaqBook_RAW_Data!Q641),IFERROR(TIMEVALUE(DaqBook_RAW_Data!A641),""))</f>
        <v/>
      </c>
      <c r="C651" s="167" t="str">
        <v/>
      </c>
      <c r="D651" s="167" t="str">
        <v/>
      </c>
      <c r="E651" s="167" t="str">
        <v/>
      </c>
      <c r="F651" s="167" t="str">
        <v/>
      </c>
      <c r="G651" s="167" t="str">
        <v/>
      </c>
      <c r="H651" s="167" t="str">
        <v/>
      </c>
      <c r="I651" s="167" t="str">
        <v/>
      </c>
      <c r="J651" s="167" t="str">
        <v/>
      </c>
      <c r="K651" s="167" t="str">
        <v/>
      </c>
      <c r="L651" s="167" t="str">
        <v/>
      </c>
      <c r="M651" s="167" t="str">
        <v/>
      </c>
      <c r="N651" s="167" t="str">
        <v/>
      </c>
      <c r="O651" s="167" t="str">
        <v/>
      </c>
      <c r="P651" s="167" t="str">
        <v/>
      </c>
    </row>
    <row r="652" spans="1:16" x14ac:dyDescent="0.2">
      <c r="A652" s="58" t="str">
        <v/>
      </c>
      <c r="B652" s="144" t="str">
        <f>IFERROR(TIMEVALUE(DaqBook_RAW_Data!Q642),IFERROR(TIMEVALUE(DaqBook_RAW_Data!A642),""))</f>
        <v/>
      </c>
      <c r="C652" s="167" t="str">
        <v/>
      </c>
      <c r="D652" s="167" t="str">
        <v/>
      </c>
      <c r="E652" s="167" t="str">
        <v/>
      </c>
      <c r="F652" s="167" t="str">
        <v/>
      </c>
      <c r="G652" s="167" t="str">
        <v/>
      </c>
      <c r="H652" s="167" t="str">
        <v/>
      </c>
      <c r="I652" s="167" t="str">
        <v/>
      </c>
      <c r="J652" s="167" t="str">
        <v/>
      </c>
      <c r="K652" s="167" t="str">
        <v/>
      </c>
      <c r="L652" s="167" t="str">
        <v/>
      </c>
      <c r="M652" s="167" t="str">
        <v/>
      </c>
      <c r="N652" s="167" t="str">
        <v/>
      </c>
      <c r="O652" s="167" t="str">
        <v/>
      </c>
      <c r="P652" s="167" t="str">
        <v/>
      </c>
    </row>
    <row r="653" spans="1:16" x14ac:dyDescent="0.2">
      <c r="A653" s="58" t="str">
        <v/>
      </c>
      <c r="B653" s="144" t="str">
        <f>IFERROR(TIMEVALUE(DaqBook_RAW_Data!Q643),IFERROR(TIMEVALUE(DaqBook_RAW_Data!A643),""))</f>
        <v/>
      </c>
      <c r="C653" s="167" t="str">
        <v/>
      </c>
      <c r="D653" s="167" t="str">
        <v/>
      </c>
      <c r="E653" s="167" t="str">
        <v/>
      </c>
      <c r="F653" s="167" t="str">
        <v/>
      </c>
      <c r="G653" s="167" t="str">
        <v/>
      </c>
      <c r="H653" s="167" t="str">
        <v/>
      </c>
      <c r="I653" s="167" t="str">
        <v/>
      </c>
      <c r="J653" s="167" t="str">
        <v/>
      </c>
      <c r="K653" s="167" t="str">
        <v/>
      </c>
      <c r="L653" s="167" t="str">
        <v/>
      </c>
      <c r="M653" s="167" t="str">
        <v/>
      </c>
      <c r="N653" s="167" t="str">
        <v/>
      </c>
      <c r="O653" s="167" t="str">
        <v/>
      </c>
      <c r="P653" s="167" t="str">
        <v/>
      </c>
    </row>
    <row r="654" spans="1:16" x14ac:dyDescent="0.2">
      <c r="A654" s="58" t="str">
        <v/>
      </c>
      <c r="B654" s="144" t="str">
        <f>IFERROR(TIMEVALUE(DaqBook_RAW_Data!Q644),IFERROR(TIMEVALUE(DaqBook_RAW_Data!A644),""))</f>
        <v/>
      </c>
      <c r="C654" s="167" t="str">
        <v/>
      </c>
      <c r="D654" s="167" t="str">
        <v/>
      </c>
      <c r="E654" s="167" t="str">
        <v/>
      </c>
      <c r="F654" s="167" t="str">
        <v/>
      </c>
      <c r="G654" s="167" t="str">
        <v/>
      </c>
      <c r="H654" s="167" t="str">
        <v/>
      </c>
      <c r="I654" s="167" t="str">
        <v/>
      </c>
      <c r="J654" s="167" t="str">
        <v/>
      </c>
      <c r="K654" s="167" t="str">
        <v/>
      </c>
      <c r="L654" s="167" t="str">
        <v/>
      </c>
      <c r="M654" s="167" t="str">
        <v/>
      </c>
      <c r="N654" s="167" t="str">
        <v/>
      </c>
      <c r="O654" s="167" t="str">
        <v/>
      </c>
      <c r="P654" s="167" t="str">
        <v/>
      </c>
    </row>
    <row r="655" spans="1:16" x14ac:dyDescent="0.2">
      <c r="A655" s="58" t="str">
        <v/>
      </c>
      <c r="B655" s="144" t="str">
        <f>IFERROR(TIMEVALUE(DaqBook_RAW_Data!Q645),IFERROR(TIMEVALUE(DaqBook_RAW_Data!A645),""))</f>
        <v/>
      </c>
      <c r="C655" s="167" t="str">
        <v/>
      </c>
      <c r="D655" s="167" t="str">
        <v/>
      </c>
      <c r="E655" s="167" t="str">
        <v/>
      </c>
      <c r="F655" s="167" t="str">
        <v/>
      </c>
      <c r="G655" s="167" t="str">
        <v/>
      </c>
      <c r="H655" s="167" t="str">
        <v/>
      </c>
      <c r="I655" s="167" t="str">
        <v/>
      </c>
      <c r="J655" s="167" t="str">
        <v/>
      </c>
      <c r="K655" s="167" t="str">
        <v/>
      </c>
      <c r="L655" s="167" t="str">
        <v/>
      </c>
      <c r="M655" s="167" t="str">
        <v/>
      </c>
      <c r="N655" s="167" t="str">
        <v/>
      </c>
      <c r="O655" s="167" t="str">
        <v/>
      </c>
      <c r="P655" s="167" t="str">
        <v/>
      </c>
    </row>
    <row r="656" spans="1:16" x14ac:dyDescent="0.2">
      <c r="A656" s="58" t="str">
        <v/>
      </c>
      <c r="B656" s="144" t="str">
        <f>IFERROR(TIMEVALUE(DaqBook_RAW_Data!Q646),IFERROR(TIMEVALUE(DaqBook_RAW_Data!A646),""))</f>
        <v/>
      </c>
      <c r="C656" s="167" t="str">
        <v/>
      </c>
      <c r="D656" s="167" t="str">
        <v/>
      </c>
      <c r="E656" s="167" t="str">
        <v/>
      </c>
      <c r="F656" s="167" t="str">
        <v/>
      </c>
      <c r="G656" s="167" t="str">
        <v/>
      </c>
      <c r="H656" s="167" t="str">
        <v/>
      </c>
      <c r="I656" s="167" t="str">
        <v/>
      </c>
      <c r="J656" s="167" t="str">
        <v/>
      </c>
      <c r="K656" s="167" t="str">
        <v/>
      </c>
      <c r="L656" s="167" t="str">
        <v/>
      </c>
      <c r="M656" s="167" t="str">
        <v/>
      </c>
      <c r="N656" s="167" t="str">
        <v/>
      </c>
      <c r="O656" s="167" t="str">
        <v/>
      </c>
      <c r="P656" s="167" t="str">
        <v/>
      </c>
    </row>
    <row r="657" spans="1:16" x14ac:dyDescent="0.2">
      <c r="A657" s="58" t="str">
        <v/>
      </c>
      <c r="B657" s="144" t="str">
        <f>IFERROR(TIMEVALUE(DaqBook_RAW_Data!Q647),IFERROR(TIMEVALUE(DaqBook_RAW_Data!A647),""))</f>
        <v/>
      </c>
      <c r="C657" s="167" t="str">
        <v/>
      </c>
      <c r="D657" s="167" t="str">
        <v/>
      </c>
      <c r="E657" s="167" t="str">
        <v/>
      </c>
      <c r="F657" s="167" t="str">
        <v/>
      </c>
      <c r="G657" s="167" t="str">
        <v/>
      </c>
      <c r="H657" s="167" t="str">
        <v/>
      </c>
      <c r="I657" s="167" t="str">
        <v/>
      </c>
      <c r="J657" s="167" t="str">
        <v/>
      </c>
      <c r="K657" s="167" t="str">
        <v/>
      </c>
      <c r="L657" s="167" t="str">
        <v/>
      </c>
      <c r="M657" s="167" t="str">
        <v/>
      </c>
      <c r="N657" s="167" t="str">
        <v/>
      </c>
      <c r="O657" s="167" t="str">
        <v/>
      </c>
      <c r="P657" s="167" t="str">
        <v/>
      </c>
    </row>
    <row r="658" spans="1:16" x14ac:dyDescent="0.2">
      <c r="A658" s="58" t="str">
        <v/>
      </c>
      <c r="B658" s="144" t="str">
        <f>IFERROR(TIMEVALUE(DaqBook_RAW_Data!Q648),IFERROR(TIMEVALUE(DaqBook_RAW_Data!A648),""))</f>
        <v/>
      </c>
      <c r="C658" s="167" t="str">
        <v/>
      </c>
      <c r="D658" s="167" t="str">
        <v/>
      </c>
      <c r="E658" s="167" t="str">
        <v/>
      </c>
      <c r="F658" s="167" t="str">
        <v/>
      </c>
      <c r="G658" s="167" t="str">
        <v/>
      </c>
      <c r="H658" s="167" t="str">
        <v/>
      </c>
      <c r="I658" s="167" t="str">
        <v/>
      </c>
      <c r="J658" s="167" t="str">
        <v/>
      </c>
      <c r="K658" s="167" t="str">
        <v/>
      </c>
      <c r="L658" s="167" t="str">
        <v/>
      </c>
      <c r="M658" s="167" t="str">
        <v/>
      </c>
      <c r="N658" s="167" t="str">
        <v/>
      </c>
      <c r="O658" s="167" t="str">
        <v/>
      </c>
      <c r="P658" s="167" t="str">
        <v/>
      </c>
    </row>
    <row r="659" spans="1:16" x14ac:dyDescent="0.2">
      <c r="A659" s="58" t="str">
        <v/>
      </c>
      <c r="B659" s="144" t="str">
        <f>IFERROR(TIMEVALUE(DaqBook_RAW_Data!Q649),IFERROR(TIMEVALUE(DaqBook_RAW_Data!A649),""))</f>
        <v/>
      </c>
      <c r="C659" s="167" t="str">
        <v/>
      </c>
      <c r="D659" s="167" t="str">
        <v/>
      </c>
      <c r="E659" s="167" t="str">
        <v/>
      </c>
      <c r="F659" s="167" t="str">
        <v/>
      </c>
      <c r="G659" s="167" t="str">
        <v/>
      </c>
      <c r="H659" s="167" t="str">
        <v/>
      </c>
      <c r="I659" s="167" t="str">
        <v/>
      </c>
      <c r="J659" s="167" t="str">
        <v/>
      </c>
      <c r="K659" s="167" t="str">
        <v/>
      </c>
      <c r="L659" s="167" t="str">
        <v/>
      </c>
      <c r="M659" s="167" t="str">
        <v/>
      </c>
      <c r="N659" s="167" t="str">
        <v/>
      </c>
      <c r="O659" s="167" t="str">
        <v/>
      </c>
      <c r="P659" s="167" t="str">
        <v/>
      </c>
    </row>
    <row r="660" spans="1:16" x14ac:dyDescent="0.2">
      <c r="A660" s="58" t="str">
        <v/>
      </c>
      <c r="B660" s="144" t="str">
        <f>IFERROR(TIMEVALUE(DaqBook_RAW_Data!Q650),IFERROR(TIMEVALUE(DaqBook_RAW_Data!A650),""))</f>
        <v/>
      </c>
      <c r="C660" s="167" t="str">
        <v/>
      </c>
      <c r="D660" s="167" t="str">
        <v/>
      </c>
      <c r="E660" s="167" t="str">
        <v/>
      </c>
      <c r="F660" s="167" t="str">
        <v/>
      </c>
      <c r="G660" s="167" t="str">
        <v/>
      </c>
      <c r="H660" s="167" t="str">
        <v/>
      </c>
      <c r="I660" s="167" t="str">
        <v/>
      </c>
      <c r="J660" s="167" t="str">
        <v/>
      </c>
      <c r="K660" s="167" t="str">
        <v/>
      </c>
      <c r="L660" s="167" t="str">
        <v/>
      </c>
      <c r="M660" s="167" t="str">
        <v/>
      </c>
      <c r="N660" s="167" t="str">
        <v/>
      </c>
      <c r="O660" s="167" t="str">
        <v/>
      </c>
      <c r="P660" s="167" t="str">
        <v/>
      </c>
    </row>
    <row r="661" spans="1:16" x14ac:dyDescent="0.2">
      <c r="A661" s="58" t="str">
        <v/>
      </c>
      <c r="B661" s="144" t="str">
        <f>IFERROR(TIMEVALUE(DaqBook_RAW_Data!Q651),IFERROR(TIMEVALUE(DaqBook_RAW_Data!A651),""))</f>
        <v/>
      </c>
      <c r="C661" s="167" t="str">
        <v/>
      </c>
      <c r="D661" s="167" t="str">
        <v/>
      </c>
      <c r="E661" s="167" t="str">
        <v/>
      </c>
      <c r="F661" s="167" t="str">
        <v/>
      </c>
      <c r="G661" s="167" t="str">
        <v/>
      </c>
      <c r="H661" s="167" t="str">
        <v/>
      </c>
      <c r="I661" s="167" t="str">
        <v/>
      </c>
      <c r="J661" s="167" t="str">
        <v/>
      </c>
      <c r="K661" s="167" t="str">
        <v/>
      </c>
      <c r="L661" s="167" t="str">
        <v/>
      </c>
      <c r="M661" s="167" t="str">
        <v/>
      </c>
      <c r="N661" s="167" t="str">
        <v/>
      </c>
      <c r="O661" s="167" t="str">
        <v/>
      </c>
      <c r="P661" s="167" t="str">
        <v/>
      </c>
    </row>
    <row r="662" spans="1:16" x14ac:dyDescent="0.2">
      <c r="A662" s="58" t="str">
        <v/>
      </c>
      <c r="B662" s="144" t="str">
        <f>IFERROR(TIMEVALUE(DaqBook_RAW_Data!Q652),IFERROR(TIMEVALUE(DaqBook_RAW_Data!A652),""))</f>
        <v/>
      </c>
      <c r="C662" s="167" t="str">
        <v/>
      </c>
      <c r="D662" s="167" t="str">
        <v/>
      </c>
      <c r="E662" s="167" t="str">
        <v/>
      </c>
      <c r="F662" s="167" t="str">
        <v/>
      </c>
      <c r="G662" s="167" t="str">
        <v/>
      </c>
      <c r="H662" s="167" t="str">
        <v/>
      </c>
      <c r="I662" s="167" t="str">
        <v/>
      </c>
      <c r="J662" s="167" t="str">
        <v/>
      </c>
      <c r="K662" s="167" t="str">
        <v/>
      </c>
      <c r="L662" s="167" t="str">
        <v/>
      </c>
      <c r="M662" s="167" t="str">
        <v/>
      </c>
      <c r="N662" s="167" t="str">
        <v/>
      </c>
      <c r="O662" s="167" t="str">
        <v/>
      </c>
      <c r="P662" s="167" t="str">
        <v/>
      </c>
    </row>
    <row r="663" spans="1:16" x14ac:dyDescent="0.2">
      <c r="A663" s="58" t="str">
        <v/>
      </c>
      <c r="B663" s="144" t="str">
        <f>IFERROR(TIMEVALUE(DaqBook_RAW_Data!Q653),IFERROR(TIMEVALUE(DaqBook_RAW_Data!A653),""))</f>
        <v/>
      </c>
      <c r="C663" s="167" t="str">
        <v/>
      </c>
      <c r="D663" s="167" t="str">
        <v/>
      </c>
      <c r="E663" s="167" t="str">
        <v/>
      </c>
      <c r="F663" s="167" t="str">
        <v/>
      </c>
      <c r="G663" s="167" t="str">
        <v/>
      </c>
      <c r="H663" s="167" t="str">
        <v/>
      </c>
      <c r="I663" s="167" t="str">
        <v/>
      </c>
      <c r="J663" s="167" t="str">
        <v/>
      </c>
      <c r="K663" s="167" t="str">
        <v/>
      </c>
      <c r="L663" s="167" t="str">
        <v/>
      </c>
      <c r="M663" s="167" t="str">
        <v/>
      </c>
      <c r="N663" s="167" t="str">
        <v/>
      </c>
      <c r="O663" s="167" t="str">
        <v/>
      </c>
      <c r="P663" s="167" t="str">
        <v/>
      </c>
    </row>
    <row r="664" spans="1:16" x14ac:dyDescent="0.2">
      <c r="A664" s="58" t="str">
        <v/>
      </c>
      <c r="B664" s="144" t="str">
        <f>IFERROR(TIMEVALUE(DaqBook_RAW_Data!Q654),IFERROR(TIMEVALUE(DaqBook_RAW_Data!A654),""))</f>
        <v/>
      </c>
      <c r="C664" s="167" t="str">
        <v/>
      </c>
      <c r="D664" s="167" t="str">
        <v/>
      </c>
      <c r="E664" s="167" t="str">
        <v/>
      </c>
      <c r="F664" s="167" t="str">
        <v/>
      </c>
      <c r="G664" s="167" t="str">
        <v/>
      </c>
      <c r="H664" s="167" t="str">
        <v/>
      </c>
      <c r="I664" s="167" t="str">
        <v/>
      </c>
      <c r="J664" s="167" t="str">
        <v/>
      </c>
      <c r="K664" s="167" t="str">
        <v/>
      </c>
      <c r="L664" s="167" t="str">
        <v/>
      </c>
      <c r="M664" s="167" t="str">
        <v/>
      </c>
      <c r="N664" s="167" t="str">
        <v/>
      </c>
      <c r="O664" s="167" t="str">
        <v/>
      </c>
      <c r="P664" s="167" t="str">
        <v/>
      </c>
    </row>
    <row r="665" spans="1:16" x14ac:dyDescent="0.2">
      <c r="A665" s="58" t="str">
        <v/>
      </c>
      <c r="B665" s="144" t="str">
        <f>IFERROR(TIMEVALUE(DaqBook_RAW_Data!Q655),IFERROR(TIMEVALUE(DaqBook_RAW_Data!A655),""))</f>
        <v/>
      </c>
      <c r="C665" s="167" t="str">
        <v/>
      </c>
      <c r="D665" s="167" t="str">
        <v/>
      </c>
      <c r="E665" s="167" t="str">
        <v/>
      </c>
      <c r="F665" s="167" t="str">
        <v/>
      </c>
      <c r="G665" s="167" t="str">
        <v/>
      </c>
      <c r="H665" s="167" t="str">
        <v/>
      </c>
      <c r="I665" s="167" t="str">
        <v/>
      </c>
      <c r="J665" s="167" t="str">
        <v/>
      </c>
      <c r="K665" s="167" t="str">
        <v/>
      </c>
      <c r="L665" s="167" t="str">
        <v/>
      </c>
      <c r="M665" s="167" t="str">
        <v/>
      </c>
      <c r="N665" s="167" t="str">
        <v/>
      </c>
      <c r="O665" s="167" t="str">
        <v/>
      </c>
      <c r="P665" s="167" t="str">
        <v/>
      </c>
    </row>
    <row r="666" spans="1:16" x14ac:dyDescent="0.2">
      <c r="A666" s="58" t="str">
        <v/>
      </c>
      <c r="B666" s="144" t="str">
        <f>IFERROR(TIMEVALUE(DaqBook_RAW_Data!Q656),IFERROR(TIMEVALUE(DaqBook_RAW_Data!A656),""))</f>
        <v/>
      </c>
      <c r="C666" s="167" t="str">
        <v/>
      </c>
      <c r="D666" s="167" t="str">
        <v/>
      </c>
      <c r="E666" s="167" t="str">
        <v/>
      </c>
      <c r="F666" s="167" t="str">
        <v/>
      </c>
      <c r="G666" s="167" t="str">
        <v/>
      </c>
      <c r="H666" s="167" t="str">
        <v/>
      </c>
      <c r="I666" s="167" t="str">
        <v/>
      </c>
      <c r="J666" s="167" t="str">
        <v/>
      </c>
      <c r="K666" s="167" t="str">
        <v/>
      </c>
      <c r="L666" s="167" t="str">
        <v/>
      </c>
      <c r="M666" s="167" t="str">
        <v/>
      </c>
      <c r="N666" s="167" t="str">
        <v/>
      </c>
      <c r="O666" s="167" t="str">
        <v/>
      </c>
      <c r="P666" s="167" t="str">
        <v/>
      </c>
    </row>
    <row r="667" spans="1:16" x14ac:dyDescent="0.2">
      <c r="A667" s="58" t="str">
        <v/>
      </c>
      <c r="B667" s="144" t="str">
        <f>IFERROR(TIMEVALUE(DaqBook_RAW_Data!Q657),IFERROR(TIMEVALUE(DaqBook_RAW_Data!A657),""))</f>
        <v/>
      </c>
      <c r="C667" s="167" t="str">
        <v/>
      </c>
      <c r="D667" s="167" t="str">
        <v/>
      </c>
      <c r="E667" s="167" t="str">
        <v/>
      </c>
      <c r="F667" s="167" t="str">
        <v/>
      </c>
      <c r="G667" s="167" t="str">
        <v/>
      </c>
      <c r="H667" s="167" t="str">
        <v/>
      </c>
      <c r="I667" s="167" t="str">
        <v/>
      </c>
      <c r="J667" s="167" t="str">
        <v/>
      </c>
      <c r="K667" s="167" t="str">
        <v/>
      </c>
      <c r="L667" s="167" t="str">
        <v/>
      </c>
      <c r="M667" s="167" t="str">
        <v/>
      </c>
      <c r="N667" s="167" t="str">
        <v/>
      </c>
      <c r="O667" s="167" t="str">
        <v/>
      </c>
      <c r="P667" s="167" t="str">
        <v/>
      </c>
    </row>
    <row r="668" spans="1:16" x14ac:dyDescent="0.2">
      <c r="A668" s="58" t="str">
        <v/>
      </c>
      <c r="B668" s="144" t="str">
        <f>IFERROR(TIMEVALUE(DaqBook_RAW_Data!Q658),IFERROR(TIMEVALUE(DaqBook_RAW_Data!A658),""))</f>
        <v/>
      </c>
      <c r="C668" s="167" t="str">
        <v/>
      </c>
      <c r="D668" s="167" t="str">
        <v/>
      </c>
      <c r="E668" s="167" t="str">
        <v/>
      </c>
      <c r="F668" s="167" t="str">
        <v/>
      </c>
      <c r="G668" s="167" t="str">
        <v/>
      </c>
      <c r="H668" s="167" t="str">
        <v/>
      </c>
      <c r="I668" s="167" t="str">
        <v/>
      </c>
      <c r="J668" s="167" t="str">
        <v/>
      </c>
      <c r="K668" s="167" t="str">
        <v/>
      </c>
      <c r="L668" s="167" t="str">
        <v/>
      </c>
      <c r="M668" s="167" t="str">
        <v/>
      </c>
      <c r="N668" s="167" t="str">
        <v/>
      </c>
      <c r="O668" s="167" t="str">
        <v/>
      </c>
      <c r="P668" s="167" t="str">
        <v/>
      </c>
    </row>
    <row r="669" spans="1:16" x14ac:dyDescent="0.2">
      <c r="A669" s="58" t="str">
        <v/>
      </c>
      <c r="B669" s="144" t="str">
        <f>IFERROR(TIMEVALUE(DaqBook_RAW_Data!Q659),IFERROR(TIMEVALUE(DaqBook_RAW_Data!A659),""))</f>
        <v/>
      </c>
      <c r="C669" s="167" t="str">
        <v/>
      </c>
      <c r="D669" s="167" t="str">
        <v/>
      </c>
      <c r="E669" s="167" t="str">
        <v/>
      </c>
      <c r="F669" s="167" t="str">
        <v/>
      </c>
      <c r="G669" s="167" t="str">
        <v/>
      </c>
      <c r="H669" s="167" t="str">
        <v/>
      </c>
      <c r="I669" s="167" t="str">
        <v/>
      </c>
      <c r="J669" s="167" t="str">
        <v/>
      </c>
      <c r="K669" s="167" t="str">
        <v/>
      </c>
      <c r="L669" s="167" t="str">
        <v/>
      </c>
      <c r="M669" s="167" t="str">
        <v/>
      </c>
      <c r="N669" s="167" t="str">
        <v/>
      </c>
      <c r="O669" s="167" t="str">
        <v/>
      </c>
      <c r="P669" s="167" t="str">
        <v/>
      </c>
    </row>
    <row r="670" spans="1:16" x14ac:dyDescent="0.2">
      <c r="A670" s="58" t="str">
        <v/>
      </c>
      <c r="B670" s="144" t="str">
        <f>IFERROR(TIMEVALUE(DaqBook_RAW_Data!Q660),IFERROR(TIMEVALUE(DaqBook_RAW_Data!A660),""))</f>
        <v/>
      </c>
      <c r="C670" s="167" t="str">
        <v/>
      </c>
      <c r="D670" s="167" t="str">
        <v/>
      </c>
      <c r="E670" s="167" t="str">
        <v/>
      </c>
      <c r="F670" s="167" t="str">
        <v/>
      </c>
      <c r="G670" s="167" t="str">
        <v/>
      </c>
      <c r="H670" s="167" t="str">
        <v/>
      </c>
      <c r="I670" s="167" t="str">
        <v/>
      </c>
      <c r="J670" s="167" t="str">
        <v/>
      </c>
      <c r="K670" s="167" t="str">
        <v/>
      </c>
      <c r="L670" s="167" t="str">
        <v/>
      </c>
      <c r="M670" s="167" t="str">
        <v/>
      </c>
      <c r="N670" s="167" t="str">
        <v/>
      </c>
      <c r="O670" s="167" t="str">
        <v/>
      </c>
      <c r="P670" s="167" t="str">
        <v/>
      </c>
    </row>
    <row r="671" spans="1:16" x14ac:dyDescent="0.2">
      <c r="A671" s="58" t="str">
        <v/>
      </c>
      <c r="B671" s="144" t="str">
        <f>IFERROR(TIMEVALUE(DaqBook_RAW_Data!Q661),IFERROR(TIMEVALUE(DaqBook_RAW_Data!A661),""))</f>
        <v/>
      </c>
      <c r="C671" s="167" t="str">
        <v/>
      </c>
      <c r="D671" s="167" t="str">
        <v/>
      </c>
      <c r="E671" s="167" t="str">
        <v/>
      </c>
      <c r="F671" s="167" t="str">
        <v/>
      </c>
      <c r="G671" s="167" t="str">
        <v/>
      </c>
      <c r="H671" s="167" t="str">
        <v/>
      </c>
      <c r="I671" s="167" t="str">
        <v/>
      </c>
      <c r="J671" s="167" t="str">
        <v/>
      </c>
      <c r="K671" s="167" t="str">
        <v/>
      </c>
      <c r="L671" s="167" t="str">
        <v/>
      </c>
      <c r="M671" s="167" t="str">
        <v/>
      </c>
      <c r="N671" s="167" t="str">
        <v/>
      </c>
      <c r="O671" s="167" t="str">
        <v/>
      </c>
      <c r="P671" s="167" t="str">
        <v/>
      </c>
    </row>
    <row r="672" spans="1:16" x14ac:dyDescent="0.2">
      <c r="A672" s="58" t="str">
        <v/>
      </c>
      <c r="B672" s="144" t="str">
        <f>IFERROR(TIMEVALUE(DaqBook_RAW_Data!Q662),IFERROR(TIMEVALUE(DaqBook_RAW_Data!A662),""))</f>
        <v/>
      </c>
      <c r="C672" s="167" t="str">
        <v/>
      </c>
      <c r="D672" s="167" t="str">
        <v/>
      </c>
      <c r="E672" s="167" t="str">
        <v/>
      </c>
      <c r="F672" s="167" t="str">
        <v/>
      </c>
      <c r="G672" s="167" t="str">
        <v/>
      </c>
      <c r="H672" s="167" t="str">
        <v/>
      </c>
      <c r="I672" s="167" t="str">
        <v/>
      </c>
      <c r="J672" s="167" t="str">
        <v/>
      </c>
      <c r="K672" s="167" t="str">
        <v/>
      </c>
      <c r="L672" s="167" t="str">
        <v/>
      </c>
      <c r="M672" s="167" t="str">
        <v/>
      </c>
      <c r="N672" s="167" t="str">
        <v/>
      </c>
      <c r="O672" s="167" t="str">
        <v/>
      </c>
      <c r="P672" s="167" t="str">
        <v/>
      </c>
    </row>
    <row r="673" spans="1:16" x14ac:dyDescent="0.2">
      <c r="A673" s="58" t="str">
        <v/>
      </c>
      <c r="B673" s="144" t="str">
        <f>IFERROR(TIMEVALUE(DaqBook_RAW_Data!Q663),IFERROR(TIMEVALUE(DaqBook_RAW_Data!A663),""))</f>
        <v/>
      </c>
      <c r="C673" s="167" t="str">
        <v/>
      </c>
      <c r="D673" s="167" t="str">
        <v/>
      </c>
      <c r="E673" s="167" t="str">
        <v/>
      </c>
      <c r="F673" s="167" t="str">
        <v/>
      </c>
      <c r="G673" s="167" t="str">
        <v/>
      </c>
      <c r="H673" s="167" t="str">
        <v/>
      </c>
      <c r="I673" s="167" t="str">
        <v/>
      </c>
      <c r="J673" s="167" t="str">
        <v/>
      </c>
      <c r="K673" s="167" t="str">
        <v/>
      </c>
      <c r="L673" s="167" t="str">
        <v/>
      </c>
      <c r="M673" s="167" t="str">
        <v/>
      </c>
      <c r="N673" s="167" t="str">
        <v/>
      </c>
      <c r="O673" s="167" t="str">
        <v/>
      </c>
      <c r="P673" s="167" t="str">
        <v/>
      </c>
    </row>
    <row r="674" spans="1:16" x14ac:dyDescent="0.2">
      <c r="A674" s="58" t="str">
        <v/>
      </c>
      <c r="B674" s="144" t="str">
        <f>IFERROR(TIMEVALUE(DaqBook_RAW_Data!Q664),IFERROR(TIMEVALUE(DaqBook_RAW_Data!A664),""))</f>
        <v/>
      </c>
      <c r="C674" s="167" t="str">
        <v/>
      </c>
      <c r="D674" s="167" t="str">
        <v/>
      </c>
      <c r="E674" s="167" t="str">
        <v/>
      </c>
      <c r="F674" s="167" t="str">
        <v/>
      </c>
      <c r="G674" s="167" t="str">
        <v/>
      </c>
      <c r="H674" s="167" t="str">
        <v/>
      </c>
      <c r="I674" s="167" t="str">
        <v/>
      </c>
      <c r="J674" s="167" t="str">
        <v/>
      </c>
      <c r="K674" s="167" t="str">
        <v/>
      </c>
      <c r="L674" s="167" t="str">
        <v/>
      </c>
      <c r="M674" s="167" t="str">
        <v/>
      </c>
      <c r="N674" s="167" t="str">
        <v/>
      </c>
      <c r="O674" s="167" t="str">
        <v/>
      </c>
      <c r="P674" s="167" t="str">
        <v/>
      </c>
    </row>
    <row r="675" spans="1:16" x14ac:dyDescent="0.2">
      <c r="A675" s="58" t="str">
        <v/>
      </c>
      <c r="B675" s="144" t="str">
        <f>IFERROR(TIMEVALUE(DaqBook_RAW_Data!Q665),IFERROR(TIMEVALUE(DaqBook_RAW_Data!A665),""))</f>
        <v/>
      </c>
      <c r="C675" s="167" t="str">
        <v/>
      </c>
      <c r="D675" s="167" t="str">
        <v/>
      </c>
      <c r="E675" s="167" t="str">
        <v/>
      </c>
      <c r="F675" s="167" t="str">
        <v/>
      </c>
      <c r="G675" s="167" t="str">
        <v/>
      </c>
      <c r="H675" s="167" t="str">
        <v/>
      </c>
      <c r="I675" s="167" t="str">
        <v/>
      </c>
      <c r="J675" s="167" t="str">
        <v/>
      </c>
      <c r="K675" s="167" t="str">
        <v/>
      </c>
      <c r="L675" s="167" t="str">
        <v/>
      </c>
      <c r="M675" s="167" t="str">
        <v/>
      </c>
      <c r="N675" s="167" t="str">
        <v/>
      </c>
      <c r="O675" s="167" t="str">
        <v/>
      </c>
      <c r="P675" s="167" t="str">
        <v/>
      </c>
    </row>
    <row r="676" spans="1:16" x14ac:dyDescent="0.2">
      <c r="A676" s="58" t="str">
        <v/>
      </c>
      <c r="B676" s="144" t="str">
        <f>IFERROR(TIMEVALUE(DaqBook_RAW_Data!Q666),IFERROR(TIMEVALUE(DaqBook_RAW_Data!A666),""))</f>
        <v/>
      </c>
      <c r="C676" s="167" t="str">
        <v/>
      </c>
      <c r="D676" s="167" t="str">
        <v/>
      </c>
      <c r="E676" s="167" t="str">
        <v/>
      </c>
      <c r="F676" s="167" t="str">
        <v/>
      </c>
      <c r="G676" s="167" t="str">
        <v/>
      </c>
      <c r="H676" s="167" t="str">
        <v/>
      </c>
      <c r="I676" s="167" t="str">
        <v/>
      </c>
      <c r="J676" s="167" t="str">
        <v/>
      </c>
      <c r="K676" s="167" t="str">
        <v/>
      </c>
      <c r="L676" s="167" t="str">
        <v/>
      </c>
      <c r="M676" s="167" t="str">
        <v/>
      </c>
      <c r="N676" s="167" t="str">
        <v/>
      </c>
      <c r="O676" s="167" t="str">
        <v/>
      </c>
      <c r="P676" s="167" t="str">
        <v/>
      </c>
    </row>
    <row r="677" spans="1:16" x14ac:dyDescent="0.2">
      <c r="A677" s="58" t="str">
        <v/>
      </c>
      <c r="B677" s="144" t="str">
        <f>IFERROR(TIMEVALUE(DaqBook_RAW_Data!Q667),IFERROR(TIMEVALUE(DaqBook_RAW_Data!A667),""))</f>
        <v/>
      </c>
      <c r="C677" s="167" t="str">
        <v/>
      </c>
      <c r="D677" s="167" t="str">
        <v/>
      </c>
      <c r="E677" s="167" t="str">
        <v/>
      </c>
      <c r="F677" s="167" t="str">
        <v/>
      </c>
      <c r="G677" s="167" t="str">
        <v/>
      </c>
      <c r="H677" s="167" t="str">
        <v/>
      </c>
      <c r="I677" s="167" t="str">
        <v/>
      </c>
      <c r="J677" s="167" t="str">
        <v/>
      </c>
      <c r="K677" s="167" t="str">
        <v/>
      </c>
      <c r="L677" s="167" t="str">
        <v/>
      </c>
      <c r="M677" s="167" t="str">
        <v/>
      </c>
      <c r="N677" s="167" t="str">
        <v/>
      </c>
      <c r="O677" s="167" t="str">
        <v/>
      </c>
      <c r="P677" s="167" t="str">
        <v/>
      </c>
    </row>
    <row r="678" spans="1:16" x14ac:dyDescent="0.2">
      <c r="A678" s="58" t="str">
        <v/>
      </c>
      <c r="B678" s="144" t="str">
        <f>IFERROR(TIMEVALUE(DaqBook_RAW_Data!Q668),IFERROR(TIMEVALUE(DaqBook_RAW_Data!A668),""))</f>
        <v/>
      </c>
      <c r="C678" s="167" t="str">
        <v/>
      </c>
      <c r="D678" s="167" t="str">
        <v/>
      </c>
      <c r="E678" s="167" t="str">
        <v/>
      </c>
      <c r="F678" s="167" t="str">
        <v/>
      </c>
      <c r="G678" s="167" t="str">
        <v/>
      </c>
      <c r="H678" s="167" t="str">
        <v/>
      </c>
      <c r="I678" s="167" t="str">
        <v/>
      </c>
      <c r="J678" s="167" t="str">
        <v/>
      </c>
      <c r="K678" s="167" t="str">
        <v/>
      </c>
      <c r="L678" s="167" t="str">
        <v/>
      </c>
      <c r="M678" s="167" t="str">
        <v/>
      </c>
      <c r="N678" s="167" t="str">
        <v/>
      </c>
      <c r="O678" s="167" t="str">
        <v/>
      </c>
      <c r="P678" s="167" t="str">
        <v/>
      </c>
    </row>
    <row r="679" spans="1:16" x14ac:dyDescent="0.2">
      <c r="A679" s="58" t="str">
        <v/>
      </c>
      <c r="B679" s="144" t="str">
        <f>IFERROR(TIMEVALUE(DaqBook_RAW_Data!Q669),IFERROR(TIMEVALUE(DaqBook_RAW_Data!A669),""))</f>
        <v/>
      </c>
      <c r="C679" s="167" t="str">
        <v/>
      </c>
      <c r="D679" s="167" t="str">
        <v/>
      </c>
      <c r="E679" s="167" t="str">
        <v/>
      </c>
      <c r="F679" s="167" t="str">
        <v/>
      </c>
      <c r="G679" s="167" t="str">
        <v/>
      </c>
      <c r="H679" s="167" t="str">
        <v/>
      </c>
      <c r="I679" s="167" t="str">
        <v/>
      </c>
      <c r="J679" s="167" t="str">
        <v/>
      </c>
      <c r="K679" s="167" t="str">
        <v/>
      </c>
      <c r="L679" s="167" t="str">
        <v/>
      </c>
      <c r="M679" s="167" t="str">
        <v/>
      </c>
      <c r="N679" s="167" t="str">
        <v/>
      </c>
      <c r="O679" s="167" t="str">
        <v/>
      </c>
      <c r="P679" s="167" t="str">
        <v/>
      </c>
    </row>
    <row r="680" spans="1:16" x14ac:dyDescent="0.2">
      <c r="A680" s="58" t="str">
        <v/>
      </c>
      <c r="B680" s="144" t="str">
        <f>IFERROR(TIMEVALUE(DaqBook_RAW_Data!Q670),IFERROR(TIMEVALUE(DaqBook_RAW_Data!A670),""))</f>
        <v/>
      </c>
      <c r="C680" s="167" t="str">
        <v/>
      </c>
      <c r="D680" s="167" t="str">
        <v/>
      </c>
      <c r="E680" s="167" t="str">
        <v/>
      </c>
      <c r="F680" s="167" t="str">
        <v/>
      </c>
      <c r="G680" s="167" t="str">
        <v/>
      </c>
      <c r="H680" s="167" t="str">
        <v/>
      </c>
      <c r="I680" s="167" t="str">
        <v/>
      </c>
      <c r="J680" s="167" t="str">
        <v/>
      </c>
      <c r="K680" s="167" t="str">
        <v/>
      </c>
      <c r="L680" s="167" t="str">
        <v/>
      </c>
      <c r="M680" s="167" t="str">
        <v/>
      </c>
      <c r="N680" s="167" t="str">
        <v/>
      </c>
      <c r="O680" s="167" t="str">
        <v/>
      </c>
      <c r="P680" s="167" t="str">
        <v/>
      </c>
    </row>
    <row r="681" spans="1:16" x14ac:dyDescent="0.2">
      <c r="A681" s="58" t="str">
        <v/>
      </c>
      <c r="B681" s="144" t="str">
        <f>IFERROR(TIMEVALUE(DaqBook_RAW_Data!Q671),IFERROR(TIMEVALUE(DaqBook_RAW_Data!A671),""))</f>
        <v/>
      </c>
      <c r="C681" s="167" t="str">
        <v/>
      </c>
      <c r="D681" s="167" t="str">
        <v/>
      </c>
      <c r="E681" s="167" t="str">
        <v/>
      </c>
      <c r="F681" s="167" t="str">
        <v/>
      </c>
      <c r="G681" s="167" t="str">
        <v/>
      </c>
      <c r="H681" s="167" t="str">
        <v/>
      </c>
      <c r="I681" s="167" t="str">
        <v/>
      </c>
      <c r="J681" s="167" t="str">
        <v/>
      </c>
      <c r="K681" s="167" t="str">
        <v/>
      </c>
      <c r="L681" s="167" t="str">
        <v/>
      </c>
      <c r="M681" s="167" t="str">
        <v/>
      </c>
      <c r="N681" s="167" t="str">
        <v/>
      </c>
      <c r="O681" s="167" t="str">
        <v/>
      </c>
      <c r="P681" s="167" t="str">
        <v/>
      </c>
    </row>
    <row r="682" spans="1:16" x14ac:dyDescent="0.2">
      <c r="A682" s="58" t="str">
        <v/>
      </c>
      <c r="B682" s="144" t="str">
        <f>IFERROR(TIMEVALUE(DaqBook_RAW_Data!Q672),IFERROR(TIMEVALUE(DaqBook_RAW_Data!A672),""))</f>
        <v/>
      </c>
      <c r="C682" s="167" t="str">
        <v/>
      </c>
      <c r="D682" s="167" t="str">
        <v/>
      </c>
      <c r="E682" s="167" t="str">
        <v/>
      </c>
      <c r="F682" s="167" t="str">
        <v/>
      </c>
      <c r="G682" s="167" t="str">
        <v/>
      </c>
      <c r="H682" s="167" t="str">
        <v/>
      </c>
      <c r="I682" s="167" t="str">
        <v/>
      </c>
      <c r="J682" s="167" t="str">
        <v/>
      </c>
      <c r="K682" s="167" t="str">
        <v/>
      </c>
      <c r="L682" s="167" t="str">
        <v/>
      </c>
      <c r="M682" s="167" t="str">
        <v/>
      </c>
      <c r="N682" s="167" t="str">
        <v/>
      </c>
      <c r="O682" s="167" t="str">
        <v/>
      </c>
      <c r="P682" s="167" t="str">
        <v/>
      </c>
    </row>
    <row r="683" spans="1:16" x14ac:dyDescent="0.2">
      <c r="A683" s="58" t="str">
        <v/>
      </c>
      <c r="B683" s="144" t="str">
        <f>IFERROR(TIMEVALUE(DaqBook_RAW_Data!Q673),IFERROR(TIMEVALUE(DaqBook_RAW_Data!A673),""))</f>
        <v/>
      </c>
      <c r="C683" s="167" t="str">
        <v/>
      </c>
      <c r="D683" s="167" t="str">
        <v/>
      </c>
      <c r="E683" s="167" t="str">
        <v/>
      </c>
      <c r="F683" s="167" t="str">
        <v/>
      </c>
      <c r="G683" s="167" t="str">
        <v/>
      </c>
      <c r="H683" s="167" t="str">
        <v/>
      </c>
      <c r="I683" s="167" t="str">
        <v/>
      </c>
      <c r="J683" s="167" t="str">
        <v/>
      </c>
      <c r="K683" s="167" t="str">
        <v/>
      </c>
      <c r="L683" s="167" t="str">
        <v/>
      </c>
      <c r="M683" s="167" t="str">
        <v/>
      </c>
      <c r="N683" s="167" t="str">
        <v/>
      </c>
      <c r="O683" s="167" t="str">
        <v/>
      </c>
      <c r="P683" s="167" t="str">
        <v/>
      </c>
    </row>
    <row r="684" spans="1:16" x14ac:dyDescent="0.2">
      <c r="A684" s="58" t="str">
        <v/>
      </c>
      <c r="B684" s="144" t="str">
        <f>IFERROR(TIMEVALUE(DaqBook_RAW_Data!Q674),IFERROR(TIMEVALUE(DaqBook_RAW_Data!A674),""))</f>
        <v/>
      </c>
      <c r="C684" s="167" t="str">
        <v/>
      </c>
      <c r="D684" s="167" t="str">
        <v/>
      </c>
      <c r="E684" s="167" t="str">
        <v/>
      </c>
      <c r="F684" s="167" t="str">
        <v/>
      </c>
      <c r="G684" s="167" t="str">
        <v/>
      </c>
      <c r="H684" s="167" t="str">
        <v/>
      </c>
      <c r="I684" s="167" t="str">
        <v/>
      </c>
      <c r="J684" s="167" t="str">
        <v/>
      </c>
      <c r="K684" s="167" t="str">
        <v/>
      </c>
      <c r="L684" s="167" t="str">
        <v/>
      </c>
      <c r="M684" s="167" t="str">
        <v/>
      </c>
      <c r="N684" s="167" t="str">
        <v/>
      </c>
      <c r="O684" s="167" t="str">
        <v/>
      </c>
      <c r="P684" s="167" t="str">
        <v/>
      </c>
    </row>
    <row r="685" spans="1:16" x14ac:dyDescent="0.2">
      <c r="A685" s="58" t="str">
        <v/>
      </c>
      <c r="B685" s="144" t="str">
        <f>IFERROR(TIMEVALUE(DaqBook_RAW_Data!Q675),IFERROR(TIMEVALUE(DaqBook_RAW_Data!A675),""))</f>
        <v/>
      </c>
      <c r="C685" s="167" t="str">
        <v/>
      </c>
      <c r="D685" s="167" t="str">
        <v/>
      </c>
      <c r="E685" s="167" t="str">
        <v/>
      </c>
      <c r="F685" s="167" t="str">
        <v/>
      </c>
      <c r="G685" s="167" t="str">
        <v/>
      </c>
      <c r="H685" s="167" t="str">
        <v/>
      </c>
      <c r="I685" s="167" t="str">
        <v/>
      </c>
      <c r="J685" s="167" t="str">
        <v/>
      </c>
      <c r="K685" s="167" t="str">
        <v/>
      </c>
      <c r="L685" s="167" t="str">
        <v/>
      </c>
      <c r="M685" s="167" t="str">
        <v/>
      </c>
      <c r="N685" s="167" t="str">
        <v/>
      </c>
      <c r="O685" s="167" t="str">
        <v/>
      </c>
      <c r="P685" s="167" t="str">
        <v/>
      </c>
    </row>
    <row r="686" spans="1:16" x14ac:dyDescent="0.2">
      <c r="A686" s="58" t="str">
        <v/>
      </c>
      <c r="B686" s="144" t="str">
        <f>IFERROR(TIMEVALUE(DaqBook_RAW_Data!Q676),IFERROR(TIMEVALUE(DaqBook_RAW_Data!A676),""))</f>
        <v/>
      </c>
      <c r="C686" s="167" t="str">
        <v/>
      </c>
      <c r="D686" s="167" t="str">
        <v/>
      </c>
      <c r="E686" s="167" t="str">
        <v/>
      </c>
      <c r="F686" s="167" t="str">
        <v/>
      </c>
      <c r="G686" s="167" t="str">
        <v/>
      </c>
      <c r="H686" s="167" t="str">
        <v/>
      </c>
      <c r="I686" s="167" t="str">
        <v/>
      </c>
      <c r="J686" s="167" t="str">
        <v/>
      </c>
      <c r="K686" s="167" t="str">
        <v/>
      </c>
      <c r="L686" s="167" t="str">
        <v/>
      </c>
      <c r="M686" s="167" t="str">
        <v/>
      </c>
      <c r="N686" s="167" t="str">
        <v/>
      </c>
      <c r="O686" s="167" t="str">
        <v/>
      </c>
      <c r="P686" s="167" t="str">
        <v/>
      </c>
    </row>
    <row r="687" spans="1:16" x14ac:dyDescent="0.2">
      <c r="A687" s="58" t="str">
        <v/>
      </c>
      <c r="B687" s="144" t="str">
        <f>IFERROR(TIMEVALUE(DaqBook_RAW_Data!Q677),IFERROR(TIMEVALUE(DaqBook_RAW_Data!A677),""))</f>
        <v/>
      </c>
      <c r="C687" s="167" t="str">
        <v/>
      </c>
      <c r="D687" s="167" t="str">
        <v/>
      </c>
      <c r="E687" s="167" t="str">
        <v/>
      </c>
      <c r="F687" s="167" t="str">
        <v/>
      </c>
      <c r="G687" s="167" t="str">
        <v/>
      </c>
      <c r="H687" s="167" t="str">
        <v/>
      </c>
      <c r="I687" s="167" t="str">
        <v/>
      </c>
      <c r="J687" s="167" t="str">
        <v/>
      </c>
      <c r="K687" s="167" t="str">
        <v/>
      </c>
      <c r="L687" s="167" t="str">
        <v/>
      </c>
      <c r="M687" s="167" t="str">
        <v/>
      </c>
      <c r="N687" s="167" t="str">
        <v/>
      </c>
      <c r="O687" s="167" t="str">
        <v/>
      </c>
      <c r="P687" s="167" t="str">
        <v/>
      </c>
    </row>
    <row r="688" spans="1:16" x14ac:dyDescent="0.2">
      <c r="A688" s="58" t="str">
        <v/>
      </c>
      <c r="B688" s="144" t="str">
        <f>IFERROR(TIMEVALUE(DaqBook_RAW_Data!Q678),IFERROR(TIMEVALUE(DaqBook_RAW_Data!A678),""))</f>
        <v/>
      </c>
      <c r="C688" s="167" t="str">
        <v/>
      </c>
      <c r="D688" s="167" t="str">
        <v/>
      </c>
      <c r="E688" s="167" t="str">
        <v/>
      </c>
      <c r="F688" s="167" t="str">
        <v/>
      </c>
      <c r="G688" s="167" t="str">
        <v/>
      </c>
      <c r="H688" s="167" t="str">
        <v/>
      </c>
      <c r="I688" s="167" t="str">
        <v/>
      </c>
      <c r="J688" s="167" t="str">
        <v/>
      </c>
      <c r="K688" s="167" t="str">
        <v/>
      </c>
      <c r="L688" s="167" t="str">
        <v/>
      </c>
      <c r="M688" s="167" t="str">
        <v/>
      </c>
      <c r="N688" s="167" t="str">
        <v/>
      </c>
      <c r="O688" s="167" t="str">
        <v/>
      </c>
      <c r="P688" s="167" t="str">
        <v/>
      </c>
    </row>
    <row r="689" spans="1:16" x14ac:dyDescent="0.2">
      <c r="A689" s="58" t="str">
        <v/>
      </c>
      <c r="B689" s="144" t="str">
        <f>IFERROR(TIMEVALUE(DaqBook_RAW_Data!Q679),IFERROR(TIMEVALUE(DaqBook_RAW_Data!A679),""))</f>
        <v/>
      </c>
      <c r="C689" s="167" t="str">
        <v/>
      </c>
      <c r="D689" s="167" t="str">
        <v/>
      </c>
      <c r="E689" s="167" t="str">
        <v/>
      </c>
      <c r="F689" s="167" t="str">
        <v/>
      </c>
      <c r="G689" s="167" t="str">
        <v/>
      </c>
      <c r="H689" s="167" t="str">
        <v/>
      </c>
      <c r="I689" s="167" t="str">
        <v/>
      </c>
      <c r="J689" s="167" t="str">
        <v/>
      </c>
      <c r="K689" s="167" t="str">
        <v/>
      </c>
      <c r="L689" s="167" t="str">
        <v/>
      </c>
      <c r="M689" s="167" t="str">
        <v/>
      </c>
      <c r="N689" s="167" t="str">
        <v/>
      </c>
      <c r="O689" s="167" t="str">
        <v/>
      </c>
      <c r="P689" s="167" t="str">
        <v/>
      </c>
    </row>
    <row r="690" spans="1:16" x14ac:dyDescent="0.2">
      <c r="A690" s="58" t="str">
        <v/>
      </c>
      <c r="B690" s="144" t="str">
        <f>IFERROR(TIMEVALUE(DaqBook_RAW_Data!Q680),IFERROR(TIMEVALUE(DaqBook_RAW_Data!A680),""))</f>
        <v/>
      </c>
      <c r="C690" s="167" t="str">
        <v/>
      </c>
      <c r="D690" s="167" t="str">
        <v/>
      </c>
      <c r="E690" s="167" t="str">
        <v/>
      </c>
      <c r="F690" s="167" t="str">
        <v/>
      </c>
      <c r="G690" s="167" t="str">
        <v/>
      </c>
      <c r="H690" s="167" t="str">
        <v/>
      </c>
      <c r="I690" s="167" t="str">
        <v/>
      </c>
      <c r="J690" s="167" t="str">
        <v/>
      </c>
      <c r="K690" s="167" t="str">
        <v/>
      </c>
      <c r="L690" s="167" t="str">
        <v/>
      </c>
      <c r="M690" s="167" t="str">
        <v/>
      </c>
      <c r="N690" s="167" t="str">
        <v/>
      </c>
      <c r="O690" s="167" t="str">
        <v/>
      </c>
      <c r="P690" s="167" t="str">
        <v/>
      </c>
    </row>
    <row r="691" spans="1:16" x14ac:dyDescent="0.2">
      <c r="A691" s="58" t="str">
        <v/>
      </c>
      <c r="B691" s="144" t="str">
        <f>IFERROR(TIMEVALUE(DaqBook_RAW_Data!Q681),IFERROR(TIMEVALUE(DaqBook_RAW_Data!A681),""))</f>
        <v/>
      </c>
      <c r="C691" s="167" t="str">
        <v/>
      </c>
      <c r="D691" s="167" t="str">
        <v/>
      </c>
      <c r="E691" s="167" t="str">
        <v/>
      </c>
      <c r="F691" s="167" t="str">
        <v/>
      </c>
      <c r="G691" s="167" t="str">
        <v/>
      </c>
      <c r="H691" s="167" t="str">
        <v/>
      </c>
      <c r="I691" s="167" t="str">
        <v/>
      </c>
      <c r="J691" s="167" t="str">
        <v/>
      </c>
      <c r="K691" s="167" t="str">
        <v/>
      </c>
      <c r="L691" s="167" t="str">
        <v/>
      </c>
      <c r="M691" s="167" t="str">
        <v/>
      </c>
      <c r="N691" s="167" t="str">
        <v/>
      </c>
      <c r="O691" s="167" t="str">
        <v/>
      </c>
      <c r="P691" s="167" t="str">
        <v/>
      </c>
    </row>
    <row r="692" spans="1:16" x14ac:dyDescent="0.2">
      <c r="A692" s="58" t="str">
        <v/>
      </c>
      <c r="B692" s="144" t="str">
        <f>IFERROR(TIMEVALUE(DaqBook_RAW_Data!Q682),IFERROR(TIMEVALUE(DaqBook_RAW_Data!A682),""))</f>
        <v/>
      </c>
      <c r="C692" s="167" t="str">
        <v/>
      </c>
      <c r="D692" s="167" t="str">
        <v/>
      </c>
      <c r="E692" s="167" t="str">
        <v/>
      </c>
      <c r="F692" s="167" t="str">
        <v/>
      </c>
      <c r="G692" s="167" t="str">
        <v/>
      </c>
      <c r="H692" s="167" t="str">
        <v/>
      </c>
      <c r="I692" s="167" t="str">
        <v/>
      </c>
      <c r="J692" s="167" t="str">
        <v/>
      </c>
      <c r="K692" s="167" t="str">
        <v/>
      </c>
      <c r="L692" s="167" t="str">
        <v/>
      </c>
      <c r="M692" s="167" t="str">
        <v/>
      </c>
      <c r="N692" s="167" t="str">
        <v/>
      </c>
      <c r="O692" s="167" t="str">
        <v/>
      </c>
      <c r="P692" s="167" t="str">
        <v/>
      </c>
    </row>
    <row r="693" spans="1:16" x14ac:dyDescent="0.2">
      <c r="A693" s="58" t="str">
        <v/>
      </c>
      <c r="B693" s="144" t="str">
        <f>IFERROR(TIMEVALUE(DaqBook_RAW_Data!Q683),IFERROR(TIMEVALUE(DaqBook_RAW_Data!A683),""))</f>
        <v/>
      </c>
      <c r="C693" s="167" t="str">
        <v/>
      </c>
      <c r="D693" s="167" t="str">
        <v/>
      </c>
      <c r="E693" s="167" t="str">
        <v/>
      </c>
      <c r="F693" s="167" t="str">
        <v/>
      </c>
      <c r="G693" s="167" t="str">
        <v/>
      </c>
      <c r="H693" s="167" t="str">
        <v/>
      </c>
      <c r="I693" s="167" t="str">
        <v/>
      </c>
      <c r="J693" s="167" t="str">
        <v/>
      </c>
      <c r="K693" s="167" t="str">
        <v/>
      </c>
      <c r="L693" s="167" t="str">
        <v/>
      </c>
      <c r="M693" s="167" t="str">
        <v/>
      </c>
      <c r="N693" s="167" t="str">
        <v/>
      </c>
      <c r="O693" s="167" t="str">
        <v/>
      </c>
      <c r="P693" s="167" t="str">
        <v/>
      </c>
    </row>
    <row r="694" spans="1:16" x14ac:dyDescent="0.2">
      <c r="A694" s="58" t="str">
        <v/>
      </c>
      <c r="B694" s="144" t="str">
        <f>IFERROR(TIMEVALUE(DaqBook_RAW_Data!Q684),IFERROR(TIMEVALUE(DaqBook_RAW_Data!A684),""))</f>
        <v/>
      </c>
      <c r="C694" s="167" t="str">
        <v/>
      </c>
      <c r="D694" s="167" t="str">
        <v/>
      </c>
      <c r="E694" s="167" t="str">
        <v/>
      </c>
      <c r="F694" s="167" t="str">
        <v/>
      </c>
      <c r="G694" s="167" t="str">
        <v/>
      </c>
      <c r="H694" s="167" t="str">
        <v/>
      </c>
      <c r="I694" s="167" t="str">
        <v/>
      </c>
      <c r="J694" s="167" t="str">
        <v/>
      </c>
      <c r="K694" s="167" t="str">
        <v/>
      </c>
      <c r="L694" s="167" t="str">
        <v/>
      </c>
      <c r="M694" s="167" t="str">
        <v/>
      </c>
      <c r="N694" s="167" t="str">
        <v/>
      </c>
      <c r="O694" s="167" t="str">
        <v/>
      </c>
      <c r="P694" s="167" t="str">
        <v/>
      </c>
    </row>
    <row r="695" spans="1:16" x14ac:dyDescent="0.2">
      <c r="A695" s="58" t="str">
        <v/>
      </c>
      <c r="B695" s="144" t="str">
        <f>IFERROR(TIMEVALUE(DaqBook_RAW_Data!Q685),IFERROR(TIMEVALUE(DaqBook_RAW_Data!A685),""))</f>
        <v/>
      </c>
      <c r="C695" s="167" t="str">
        <v/>
      </c>
      <c r="D695" s="167" t="str">
        <v/>
      </c>
      <c r="E695" s="167" t="str">
        <v/>
      </c>
      <c r="F695" s="167" t="str">
        <v/>
      </c>
      <c r="G695" s="167" t="str">
        <v/>
      </c>
      <c r="H695" s="167" t="str">
        <v/>
      </c>
      <c r="I695" s="167" t="str">
        <v/>
      </c>
      <c r="J695" s="167" t="str">
        <v/>
      </c>
      <c r="K695" s="167" t="str">
        <v/>
      </c>
      <c r="L695" s="167" t="str">
        <v/>
      </c>
      <c r="M695" s="167" t="str">
        <v/>
      </c>
      <c r="N695" s="167" t="str">
        <v/>
      </c>
      <c r="O695" s="167" t="str">
        <v/>
      </c>
      <c r="P695" s="167" t="str">
        <v/>
      </c>
    </row>
    <row r="696" spans="1:16" x14ac:dyDescent="0.2">
      <c r="A696" s="58" t="str">
        <v/>
      </c>
      <c r="B696" s="144" t="str">
        <f>IFERROR(TIMEVALUE(DaqBook_RAW_Data!Q686),IFERROR(TIMEVALUE(DaqBook_RAW_Data!A686),""))</f>
        <v/>
      </c>
      <c r="C696" s="167" t="str">
        <v/>
      </c>
      <c r="D696" s="167" t="str">
        <v/>
      </c>
      <c r="E696" s="167" t="str">
        <v/>
      </c>
      <c r="F696" s="167" t="str">
        <v/>
      </c>
      <c r="G696" s="167" t="str">
        <v/>
      </c>
      <c r="H696" s="167" t="str">
        <v/>
      </c>
      <c r="I696" s="167" t="str">
        <v/>
      </c>
      <c r="J696" s="167" t="str">
        <v/>
      </c>
      <c r="K696" s="167" t="str">
        <v/>
      </c>
      <c r="L696" s="167" t="str">
        <v/>
      </c>
      <c r="M696" s="167" t="str">
        <v/>
      </c>
      <c r="N696" s="167" t="str">
        <v/>
      </c>
      <c r="O696" s="167" t="str">
        <v/>
      </c>
      <c r="P696" s="167" t="str">
        <v/>
      </c>
    </row>
    <row r="697" spans="1:16" x14ac:dyDescent="0.2">
      <c r="A697" s="58" t="str">
        <v/>
      </c>
      <c r="B697" s="144" t="str">
        <f>IFERROR(TIMEVALUE(DaqBook_RAW_Data!Q687),IFERROR(TIMEVALUE(DaqBook_RAW_Data!A687),""))</f>
        <v/>
      </c>
      <c r="C697" s="167" t="str">
        <v/>
      </c>
      <c r="D697" s="167" t="str">
        <v/>
      </c>
      <c r="E697" s="167" t="str">
        <v/>
      </c>
      <c r="F697" s="167" t="str">
        <v/>
      </c>
      <c r="G697" s="167" t="str">
        <v/>
      </c>
      <c r="H697" s="167" t="str">
        <v/>
      </c>
      <c r="I697" s="167" t="str">
        <v/>
      </c>
      <c r="J697" s="167" t="str">
        <v/>
      </c>
      <c r="K697" s="167" t="str">
        <v/>
      </c>
      <c r="L697" s="167" t="str">
        <v/>
      </c>
      <c r="M697" s="167" t="str">
        <v/>
      </c>
      <c r="N697" s="167" t="str">
        <v/>
      </c>
      <c r="O697" s="167" t="str">
        <v/>
      </c>
      <c r="P697" s="167" t="str">
        <v/>
      </c>
    </row>
    <row r="698" spans="1:16" x14ac:dyDescent="0.2">
      <c r="A698" s="58" t="str">
        <v/>
      </c>
      <c r="B698" s="144" t="str">
        <f>IFERROR(TIMEVALUE(DaqBook_RAW_Data!Q688),IFERROR(TIMEVALUE(DaqBook_RAW_Data!A688),""))</f>
        <v/>
      </c>
      <c r="C698" s="167" t="str">
        <v/>
      </c>
      <c r="D698" s="167" t="str">
        <v/>
      </c>
      <c r="E698" s="167" t="str">
        <v/>
      </c>
      <c r="F698" s="167" t="str">
        <v/>
      </c>
      <c r="G698" s="167" t="str">
        <v/>
      </c>
      <c r="H698" s="167" t="str">
        <v/>
      </c>
      <c r="I698" s="167" t="str">
        <v/>
      </c>
      <c r="J698" s="167" t="str">
        <v/>
      </c>
      <c r="K698" s="167" t="str">
        <v/>
      </c>
      <c r="L698" s="167" t="str">
        <v/>
      </c>
      <c r="M698" s="167" t="str">
        <v/>
      </c>
      <c r="N698" s="167" t="str">
        <v/>
      </c>
      <c r="O698" s="167" t="str">
        <v/>
      </c>
      <c r="P698" s="167" t="str">
        <v/>
      </c>
    </row>
    <row r="699" spans="1:16" x14ac:dyDescent="0.2">
      <c r="A699" s="58" t="str">
        <v/>
      </c>
      <c r="B699" s="144" t="str">
        <f>IFERROR(TIMEVALUE(DaqBook_RAW_Data!Q689),IFERROR(TIMEVALUE(DaqBook_RAW_Data!A689),""))</f>
        <v/>
      </c>
      <c r="C699" s="167" t="str">
        <v/>
      </c>
      <c r="D699" s="167" t="str">
        <v/>
      </c>
      <c r="E699" s="167" t="str">
        <v/>
      </c>
      <c r="F699" s="167" t="str">
        <v/>
      </c>
      <c r="G699" s="167" t="str">
        <v/>
      </c>
      <c r="H699" s="167" t="str">
        <v/>
      </c>
      <c r="I699" s="167" t="str">
        <v/>
      </c>
      <c r="J699" s="167" t="str">
        <v/>
      </c>
      <c r="K699" s="167" t="str">
        <v/>
      </c>
      <c r="L699" s="167" t="str">
        <v/>
      </c>
      <c r="M699" s="167" t="str">
        <v/>
      </c>
      <c r="N699" s="167" t="str">
        <v/>
      </c>
      <c r="O699" s="167" t="str">
        <v/>
      </c>
      <c r="P699" s="167" t="str">
        <v/>
      </c>
    </row>
    <row r="700" spans="1:16" x14ac:dyDescent="0.2">
      <c r="A700" s="58" t="str">
        <v/>
      </c>
      <c r="B700" s="144" t="str">
        <f>IFERROR(TIMEVALUE(DaqBook_RAW_Data!Q690),IFERROR(TIMEVALUE(DaqBook_RAW_Data!A690),""))</f>
        <v/>
      </c>
      <c r="C700" s="167" t="str">
        <v/>
      </c>
      <c r="D700" s="167" t="str">
        <v/>
      </c>
      <c r="E700" s="167" t="str">
        <v/>
      </c>
      <c r="F700" s="167" t="str">
        <v/>
      </c>
      <c r="G700" s="167" t="str">
        <v/>
      </c>
      <c r="H700" s="167" t="str">
        <v/>
      </c>
      <c r="I700" s="167" t="str">
        <v/>
      </c>
      <c r="J700" s="167" t="str">
        <v/>
      </c>
      <c r="K700" s="167" t="str">
        <v/>
      </c>
      <c r="L700" s="167" t="str">
        <v/>
      </c>
      <c r="M700" s="167" t="str">
        <v/>
      </c>
      <c r="N700" s="167" t="str">
        <v/>
      </c>
      <c r="O700" s="167" t="str">
        <v/>
      </c>
      <c r="P700" s="167" t="str">
        <v/>
      </c>
    </row>
    <row r="701" spans="1:16" x14ac:dyDescent="0.2">
      <c r="A701" s="58" t="str">
        <v/>
      </c>
      <c r="B701" s="144" t="str">
        <f>IFERROR(TIMEVALUE(DaqBook_RAW_Data!Q691),IFERROR(TIMEVALUE(DaqBook_RAW_Data!A691),""))</f>
        <v/>
      </c>
      <c r="C701" s="167" t="str">
        <v/>
      </c>
      <c r="D701" s="167" t="str">
        <v/>
      </c>
      <c r="E701" s="167" t="str">
        <v/>
      </c>
      <c r="F701" s="167" t="str">
        <v/>
      </c>
      <c r="G701" s="167" t="str">
        <v/>
      </c>
      <c r="H701" s="167" t="str">
        <v/>
      </c>
      <c r="I701" s="167" t="str">
        <v/>
      </c>
      <c r="J701" s="167" t="str">
        <v/>
      </c>
      <c r="K701" s="167" t="str">
        <v/>
      </c>
      <c r="L701" s="167" t="str">
        <v/>
      </c>
      <c r="M701" s="167" t="str">
        <v/>
      </c>
      <c r="N701" s="167" t="str">
        <v/>
      </c>
      <c r="O701" s="167" t="str">
        <v/>
      </c>
      <c r="P701" s="167" t="str">
        <v/>
      </c>
    </row>
    <row r="702" spans="1:16" x14ac:dyDescent="0.2">
      <c r="A702" s="58" t="str">
        <v/>
      </c>
      <c r="B702" s="144" t="str">
        <f>IFERROR(TIMEVALUE(DaqBook_RAW_Data!Q692),IFERROR(TIMEVALUE(DaqBook_RAW_Data!A692),""))</f>
        <v/>
      </c>
      <c r="C702" s="167" t="str">
        <v/>
      </c>
      <c r="D702" s="167" t="str">
        <v/>
      </c>
      <c r="E702" s="167" t="str">
        <v/>
      </c>
      <c r="F702" s="167" t="str">
        <v/>
      </c>
      <c r="G702" s="167" t="str">
        <v/>
      </c>
      <c r="H702" s="167" t="str">
        <v/>
      </c>
      <c r="I702" s="167" t="str">
        <v/>
      </c>
      <c r="J702" s="167" t="str">
        <v/>
      </c>
      <c r="K702" s="167" t="str">
        <v/>
      </c>
      <c r="L702" s="167" t="str">
        <v/>
      </c>
      <c r="M702" s="167" t="str">
        <v/>
      </c>
      <c r="N702" s="167" t="str">
        <v/>
      </c>
      <c r="O702" s="167" t="str">
        <v/>
      </c>
      <c r="P702" s="167" t="str">
        <v/>
      </c>
    </row>
    <row r="703" spans="1:16" x14ac:dyDescent="0.2">
      <c r="A703" s="58" t="str">
        <v/>
      </c>
      <c r="B703" s="144" t="str">
        <f>IFERROR(TIMEVALUE(DaqBook_RAW_Data!Q693),IFERROR(TIMEVALUE(DaqBook_RAW_Data!A693),""))</f>
        <v/>
      </c>
      <c r="C703" s="167" t="str">
        <v/>
      </c>
      <c r="D703" s="167" t="str">
        <v/>
      </c>
      <c r="E703" s="167" t="str">
        <v/>
      </c>
      <c r="F703" s="167" t="str">
        <v/>
      </c>
      <c r="G703" s="167" t="str">
        <v/>
      </c>
      <c r="H703" s="167" t="str">
        <v/>
      </c>
      <c r="I703" s="167" t="str">
        <v/>
      </c>
      <c r="J703" s="167" t="str">
        <v/>
      </c>
      <c r="K703" s="167" t="str">
        <v/>
      </c>
      <c r="L703" s="167" t="str">
        <v/>
      </c>
      <c r="M703" s="167" t="str">
        <v/>
      </c>
      <c r="N703" s="167" t="str">
        <v/>
      </c>
      <c r="O703" s="167" t="str">
        <v/>
      </c>
      <c r="P703" s="167" t="str">
        <v/>
      </c>
    </row>
    <row r="704" spans="1:16" x14ac:dyDescent="0.2">
      <c r="A704" s="58" t="str">
        <v/>
      </c>
      <c r="B704" s="144" t="str">
        <f>IFERROR(TIMEVALUE(DaqBook_RAW_Data!Q694),IFERROR(TIMEVALUE(DaqBook_RAW_Data!A694),""))</f>
        <v/>
      </c>
      <c r="C704" s="167" t="str">
        <v/>
      </c>
      <c r="D704" s="167" t="str">
        <v/>
      </c>
      <c r="E704" s="167" t="str">
        <v/>
      </c>
      <c r="F704" s="167" t="str">
        <v/>
      </c>
      <c r="G704" s="167" t="str">
        <v/>
      </c>
      <c r="H704" s="167" t="str">
        <v/>
      </c>
      <c r="I704" s="167" t="str">
        <v/>
      </c>
      <c r="J704" s="167" t="str">
        <v/>
      </c>
      <c r="K704" s="167" t="str">
        <v/>
      </c>
      <c r="L704" s="167" t="str">
        <v/>
      </c>
      <c r="M704" s="167" t="str">
        <v/>
      </c>
      <c r="N704" s="167" t="str">
        <v/>
      </c>
      <c r="O704" s="167" t="str">
        <v/>
      </c>
      <c r="P704" s="167" t="str">
        <v/>
      </c>
    </row>
    <row r="705" spans="1:16" x14ac:dyDescent="0.2">
      <c r="A705" s="58" t="str">
        <v/>
      </c>
      <c r="B705" s="144" t="str">
        <f>IFERROR(TIMEVALUE(DaqBook_RAW_Data!Q695),IFERROR(TIMEVALUE(DaqBook_RAW_Data!A695),""))</f>
        <v/>
      </c>
      <c r="C705" s="167" t="str">
        <v/>
      </c>
      <c r="D705" s="167" t="str">
        <v/>
      </c>
      <c r="E705" s="167" t="str">
        <v/>
      </c>
      <c r="F705" s="167" t="str">
        <v/>
      </c>
      <c r="G705" s="167" t="str">
        <v/>
      </c>
      <c r="H705" s="167" t="str">
        <v/>
      </c>
      <c r="I705" s="167" t="str">
        <v/>
      </c>
      <c r="J705" s="167" t="str">
        <v/>
      </c>
      <c r="K705" s="167" t="str">
        <v/>
      </c>
      <c r="L705" s="167" t="str">
        <v/>
      </c>
      <c r="M705" s="167" t="str">
        <v/>
      </c>
      <c r="N705" s="167" t="str">
        <v/>
      </c>
      <c r="O705" s="167" t="str">
        <v/>
      </c>
      <c r="P705" s="167" t="str">
        <v/>
      </c>
    </row>
    <row r="706" spans="1:16" x14ac:dyDescent="0.2">
      <c r="A706" s="58" t="str">
        <v/>
      </c>
      <c r="B706" s="144" t="str">
        <f>IFERROR(TIMEVALUE(DaqBook_RAW_Data!Q696),IFERROR(TIMEVALUE(DaqBook_RAW_Data!A696),""))</f>
        <v/>
      </c>
      <c r="C706" s="167" t="str">
        <v/>
      </c>
      <c r="D706" s="167" t="str">
        <v/>
      </c>
      <c r="E706" s="167" t="str">
        <v/>
      </c>
      <c r="F706" s="167" t="str">
        <v/>
      </c>
      <c r="G706" s="167" t="str">
        <v/>
      </c>
      <c r="H706" s="167" t="str">
        <v/>
      </c>
      <c r="I706" s="167" t="str">
        <v/>
      </c>
      <c r="J706" s="167" t="str">
        <v/>
      </c>
      <c r="K706" s="167" t="str">
        <v/>
      </c>
      <c r="L706" s="167" t="str">
        <v/>
      </c>
      <c r="M706" s="167" t="str">
        <v/>
      </c>
      <c r="N706" s="167" t="str">
        <v/>
      </c>
      <c r="O706" s="167" t="str">
        <v/>
      </c>
      <c r="P706" s="167" t="str">
        <v/>
      </c>
    </row>
    <row r="707" spans="1:16" x14ac:dyDescent="0.2">
      <c r="A707" s="58" t="str">
        <v/>
      </c>
      <c r="B707" s="144" t="str">
        <f>IFERROR(TIMEVALUE(DaqBook_RAW_Data!Q697),IFERROR(TIMEVALUE(DaqBook_RAW_Data!A697),""))</f>
        <v/>
      </c>
      <c r="C707" s="167" t="str">
        <v/>
      </c>
      <c r="D707" s="167" t="str">
        <v/>
      </c>
      <c r="E707" s="167" t="str">
        <v/>
      </c>
      <c r="F707" s="167" t="str">
        <v/>
      </c>
      <c r="G707" s="167" t="str">
        <v/>
      </c>
      <c r="H707" s="167" t="str">
        <v/>
      </c>
      <c r="I707" s="167" t="str">
        <v/>
      </c>
      <c r="J707" s="167" t="str">
        <v/>
      </c>
      <c r="K707" s="167" t="str">
        <v/>
      </c>
      <c r="L707" s="167" t="str">
        <v/>
      </c>
      <c r="M707" s="167" t="str">
        <v/>
      </c>
      <c r="N707" s="167" t="str">
        <v/>
      </c>
      <c r="O707" s="167" t="str">
        <v/>
      </c>
      <c r="P707" s="167" t="str">
        <v/>
      </c>
    </row>
    <row r="708" spans="1:16" x14ac:dyDescent="0.2">
      <c r="A708" s="58" t="str">
        <v/>
      </c>
      <c r="B708" s="144" t="str">
        <f>IFERROR(TIMEVALUE(DaqBook_RAW_Data!Q698),IFERROR(TIMEVALUE(DaqBook_RAW_Data!A698),""))</f>
        <v/>
      </c>
      <c r="C708" s="167" t="str">
        <v/>
      </c>
      <c r="D708" s="167" t="str">
        <v/>
      </c>
      <c r="E708" s="167" t="str">
        <v/>
      </c>
      <c r="F708" s="167" t="str">
        <v/>
      </c>
      <c r="G708" s="167" t="str">
        <v/>
      </c>
      <c r="H708" s="167" t="str">
        <v/>
      </c>
      <c r="I708" s="167" t="str">
        <v/>
      </c>
      <c r="J708" s="167" t="str">
        <v/>
      </c>
      <c r="K708" s="167" t="str">
        <v/>
      </c>
      <c r="L708" s="167" t="str">
        <v/>
      </c>
      <c r="M708" s="167" t="str">
        <v/>
      </c>
      <c r="N708" s="167" t="str">
        <v/>
      </c>
      <c r="O708" s="167" t="str">
        <v/>
      </c>
      <c r="P708" s="167" t="str">
        <v/>
      </c>
    </row>
    <row r="709" spans="1:16" x14ac:dyDescent="0.2">
      <c r="A709" s="58" t="str">
        <v/>
      </c>
      <c r="B709" s="144" t="str">
        <f>IFERROR(TIMEVALUE(DaqBook_RAW_Data!Q699),IFERROR(TIMEVALUE(DaqBook_RAW_Data!A699),""))</f>
        <v/>
      </c>
      <c r="C709" s="167" t="str">
        <v/>
      </c>
      <c r="D709" s="167" t="str">
        <v/>
      </c>
      <c r="E709" s="167" t="str">
        <v/>
      </c>
      <c r="F709" s="167" t="str">
        <v/>
      </c>
      <c r="G709" s="167" t="str">
        <v/>
      </c>
      <c r="H709" s="167" t="str">
        <v/>
      </c>
      <c r="I709" s="167" t="str">
        <v/>
      </c>
      <c r="J709" s="167" t="str">
        <v/>
      </c>
      <c r="K709" s="167" t="str">
        <v/>
      </c>
      <c r="L709" s="167" t="str">
        <v/>
      </c>
      <c r="M709" s="167" t="str">
        <v/>
      </c>
      <c r="N709" s="167" t="str">
        <v/>
      </c>
      <c r="O709" s="167" t="str">
        <v/>
      </c>
      <c r="P709" s="167" t="str">
        <v/>
      </c>
    </row>
    <row r="710" spans="1:16" x14ac:dyDescent="0.2">
      <c r="A710" s="58" t="str">
        <v/>
      </c>
      <c r="B710" s="144" t="str">
        <f>IFERROR(TIMEVALUE(DaqBook_RAW_Data!Q700),IFERROR(TIMEVALUE(DaqBook_RAW_Data!A700),""))</f>
        <v/>
      </c>
      <c r="C710" s="167" t="str">
        <v/>
      </c>
      <c r="D710" s="167" t="str">
        <v/>
      </c>
      <c r="E710" s="167" t="str">
        <v/>
      </c>
      <c r="F710" s="167" t="str">
        <v/>
      </c>
      <c r="G710" s="167" t="str">
        <v/>
      </c>
      <c r="H710" s="167" t="str">
        <v/>
      </c>
      <c r="I710" s="167" t="str">
        <v/>
      </c>
      <c r="J710" s="167" t="str">
        <v/>
      </c>
      <c r="K710" s="167" t="str">
        <v/>
      </c>
      <c r="L710" s="167" t="str">
        <v/>
      </c>
      <c r="M710" s="167" t="str">
        <v/>
      </c>
      <c r="N710" s="167" t="str">
        <v/>
      </c>
      <c r="O710" s="167" t="str">
        <v/>
      </c>
      <c r="P710" s="167" t="str">
        <v/>
      </c>
    </row>
    <row r="711" spans="1:16" x14ac:dyDescent="0.2">
      <c r="A711" s="58" t="str">
        <v/>
      </c>
      <c r="B711" s="144" t="str">
        <f>IFERROR(TIMEVALUE(DaqBook_RAW_Data!Q701),IFERROR(TIMEVALUE(DaqBook_RAW_Data!A701),""))</f>
        <v/>
      </c>
      <c r="C711" s="167" t="str">
        <v/>
      </c>
      <c r="D711" s="167" t="str">
        <v/>
      </c>
      <c r="E711" s="167" t="str">
        <v/>
      </c>
      <c r="F711" s="167" t="str">
        <v/>
      </c>
      <c r="G711" s="167" t="str">
        <v/>
      </c>
      <c r="H711" s="167" t="str">
        <v/>
      </c>
      <c r="I711" s="167" t="str">
        <v/>
      </c>
      <c r="J711" s="167" t="str">
        <v/>
      </c>
      <c r="K711" s="167" t="str">
        <v/>
      </c>
      <c r="L711" s="167" t="str">
        <v/>
      </c>
      <c r="M711" s="167" t="str">
        <v/>
      </c>
      <c r="N711" s="167" t="str">
        <v/>
      </c>
      <c r="O711" s="167" t="str">
        <v/>
      </c>
      <c r="P711" s="167" t="str">
        <v/>
      </c>
    </row>
    <row r="712" spans="1:16" x14ac:dyDescent="0.2">
      <c r="A712" s="58" t="str">
        <v/>
      </c>
      <c r="B712" s="144" t="str">
        <f>IFERROR(TIMEVALUE(DaqBook_RAW_Data!Q702),IFERROR(TIMEVALUE(DaqBook_RAW_Data!A702),""))</f>
        <v/>
      </c>
      <c r="C712" s="167" t="str">
        <v/>
      </c>
      <c r="D712" s="167" t="str">
        <v/>
      </c>
      <c r="E712" s="167" t="str">
        <v/>
      </c>
      <c r="F712" s="167" t="str">
        <v/>
      </c>
      <c r="G712" s="167" t="str">
        <v/>
      </c>
      <c r="H712" s="167" t="str">
        <v/>
      </c>
      <c r="I712" s="167" t="str">
        <v/>
      </c>
      <c r="J712" s="167" t="str">
        <v/>
      </c>
      <c r="K712" s="167" t="str">
        <v/>
      </c>
      <c r="L712" s="167" t="str">
        <v/>
      </c>
      <c r="M712" s="167" t="str">
        <v/>
      </c>
      <c r="N712" s="167" t="str">
        <v/>
      </c>
      <c r="O712" s="167" t="str">
        <v/>
      </c>
      <c r="P712" s="167" t="str">
        <v/>
      </c>
    </row>
    <row r="713" spans="1:16" x14ac:dyDescent="0.2">
      <c r="A713" s="58" t="str">
        <v/>
      </c>
      <c r="B713" s="144" t="str">
        <f>IFERROR(TIMEVALUE(DaqBook_RAW_Data!Q703),IFERROR(TIMEVALUE(DaqBook_RAW_Data!A703),""))</f>
        <v/>
      </c>
      <c r="C713" s="167" t="str">
        <v/>
      </c>
      <c r="D713" s="167" t="str">
        <v/>
      </c>
      <c r="E713" s="167" t="str">
        <v/>
      </c>
      <c r="F713" s="167" t="str">
        <v/>
      </c>
      <c r="G713" s="167" t="str">
        <v/>
      </c>
      <c r="H713" s="167" t="str">
        <v/>
      </c>
      <c r="I713" s="167" t="str">
        <v/>
      </c>
      <c r="J713" s="167" t="str">
        <v/>
      </c>
      <c r="K713" s="167" t="str">
        <v/>
      </c>
      <c r="L713" s="167" t="str">
        <v/>
      </c>
      <c r="M713" s="167" t="str">
        <v/>
      </c>
      <c r="N713" s="167" t="str">
        <v/>
      </c>
      <c r="O713" s="167" t="str">
        <v/>
      </c>
      <c r="P713" s="167" t="str">
        <v/>
      </c>
    </row>
    <row r="714" spans="1:16" x14ac:dyDescent="0.2">
      <c r="A714" s="58" t="str">
        <v/>
      </c>
      <c r="B714" s="144" t="str">
        <f>IFERROR(TIMEVALUE(DaqBook_RAW_Data!Q704),IFERROR(TIMEVALUE(DaqBook_RAW_Data!A704),""))</f>
        <v/>
      </c>
      <c r="C714" s="167" t="str">
        <v/>
      </c>
      <c r="D714" s="167" t="str">
        <v/>
      </c>
      <c r="E714" s="167" t="str">
        <v/>
      </c>
      <c r="F714" s="167" t="str">
        <v/>
      </c>
      <c r="G714" s="167" t="str">
        <v/>
      </c>
      <c r="H714" s="167" t="str">
        <v/>
      </c>
      <c r="I714" s="167" t="str">
        <v/>
      </c>
      <c r="J714" s="167" t="str">
        <v/>
      </c>
      <c r="K714" s="167" t="str">
        <v/>
      </c>
      <c r="L714" s="167" t="str">
        <v/>
      </c>
      <c r="M714" s="167" t="str">
        <v/>
      </c>
      <c r="N714" s="167" t="str">
        <v/>
      </c>
      <c r="O714" s="167" t="str">
        <v/>
      </c>
      <c r="P714" s="167" t="str">
        <v/>
      </c>
    </row>
    <row r="715" spans="1:16" x14ac:dyDescent="0.2">
      <c r="A715" s="58" t="str">
        <v/>
      </c>
      <c r="B715" s="144" t="str">
        <f>IFERROR(TIMEVALUE(DaqBook_RAW_Data!Q705),IFERROR(TIMEVALUE(DaqBook_RAW_Data!A705),""))</f>
        <v/>
      </c>
      <c r="C715" s="167" t="str">
        <v/>
      </c>
      <c r="D715" s="167" t="str">
        <v/>
      </c>
      <c r="E715" s="167" t="str">
        <v/>
      </c>
      <c r="F715" s="167" t="str">
        <v/>
      </c>
      <c r="G715" s="167" t="str">
        <v/>
      </c>
      <c r="H715" s="167" t="str">
        <v/>
      </c>
      <c r="I715" s="167" t="str">
        <v/>
      </c>
      <c r="J715" s="167" t="str">
        <v/>
      </c>
      <c r="K715" s="167" t="str">
        <v/>
      </c>
      <c r="L715" s="167" t="str">
        <v/>
      </c>
      <c r="M715" s="167" t="str">
        <v/>
      </c>
      <c r="N715" s="167" t="str">
        <v/>
      </c>
      <c r="O715" s="167" t="str">
        <v/>
      </c>
      <c r="P715" s="167" t="str">
        <v/>
      </c>
    </row>
    <row r="716" spans="1:16" x14ac:dyDescent="0.2">
      <c r="A716" s="58" t="str">
        <v/>
      </c>
      <c r="B716" s="144" t="str">
        <f>IFERROR(TIMEVALUE(DaqBook_RAW_Data!Q706),IFERROR(TIMEVALUE(DaqBook_RAW_Data!A706),""))</f>
        <v/>
      </c>
      <c r="C716" s="167" t="str">
        <v/>
      </c>
      <c r="D716" s="167" t="str">
        <v/>
      </c>
      <c r="E716" s="167" t="str">
        <v/>
      </c>
      <c r="F716" s="167" t="str">
        <v/>
      </c>
      <c r="G716" s="167" t="str">
        <v/>
      </c>
      <c r="H716" s="167" t="str">
        <v/>
      </c>
      <c r="I716" s="167" t="str">
        <v/>
      </c>
      <c r="J716" s="167" t="str">
        <v/>
      </c>
      <c r="K716" s="167" t="str">
        <v/>
      </c>
      <c r="L716" s="167" t="str">
        <v/>
      </c>
      <c r="M716" s="167" t="str">
        <v/>
      </c>
      <c r="N716" s="167" t="str">
        <v/>
      </c>
      <c r="O716" s="167" t="str">
        <v/>
      </c>
      <c r="P716" s="167" t="str">
        <v/>
      </c>
    </row>
    <row r="717" spans="1:16" x14ac:dyDescent="0.2">
      <c r="A717" s="58" t="str">
        <v/>
      </c>
      <c r="B717" s="144" t="str">
        <f>IFERROR(TIMEVALUE(DaqBook_RAW_Data!Q707),IFERROR(TIMEVALUE(DaqBook_RAW_Data!A707),""))</f>
        <v/>
      </c>
      <c r="C717" s="167" t="str">
        <v/>
      </c>
      <c r="D717" s="167" t="str">
        <v/>
      </c>
      <c r="E717" s="167" t="str">
        <v/>
      </c>
      <c r="F717" s="167" t="str">
        <v/>
      </c>
      <c r="G717" s="167" t="str">
        <v/>
      </c>
      <c r="H717" s="167" t="str">
        <v/>
      </c>
      <c r="I717" s="167" t="str">
        <v/>
      </c>
      <c r="J717" s="167" t="str">
        <v/>
      </c>
      <c r="K717" s="167" t="str">
        <v/>
      </c>
      <c r="L717" s="167" t="str">
        <v/>
      </c>
      <c r="M717" s="167" t="str">
        <v/>
      </c>
      <c r="N717" s="167" t="str">
        <v/>
      </c>
      <c r="O717" s="167" t="str">
        <v/>
      </c>
      <c r="P717" s="167" t="str">
        <v/>
      </c>
    </row>
    <row r="718" spans="1:16" x14ac:dyDescent="0.2">
      <c r="A718" s="58" t="str">
        <v/>
      </c>
      <c r="B718" s="144" t="str">
        <f>IFERROR(TIMEVALUE(DaqBook_RAW_Data!Q708),IFERROR(TIMEVALUE(DaqBook_RAW_Data!A708),""))</f>
        <v/>
      </c>
      <c r="C718" s="167" t="str">
        <v/>
      </c>
      <c r="D718" s="167" t="str">
        <v/>
      </c>
      <c r="E718" s="167" t="str">
        <v/>
      </c>
      <c r="F718" s="167" t="str">
        <v/>
      </c>
      <c r="G718" s="167" t="str">
        <v/>
      </c>
      <c r="H718" s="167" t="str">
        <v/>
      </c>
      <c r="I718" s="167" t="str">
        <v/>
      </c>
      <c r="J718" s="167" t="str">
        <v/>
      </c>
      <c r="K718" s="167" t="str">
        <v/>
      </c>
      <c r="L718" s="167" t="str">
        <v/>
      </c>
      <c r="M718" s="167" t="str">
        <v/>
      </c>
      <c r="N718" s="167" t="str">
        <v/>
      </c>
      <c r="O718" s="167" t="str">
        <v/>
      </c>
      <c r="P718" s="167" t="str">
        <v/>
      </c>
    </row>
    <row r="719" spans="1:16" x14ac:dyDescent="0.2">
      <c r="A719" s="58" t="str">
        <v/>
      </c>
      <c r="B719" s="144" t="str">
        <f>IFERROR(TIMEVALUE(DaqBook_RAW_Data!Q709),IFERROR(TIMEVALUE(DaqBook_RAW_Data!A709),""))</f>
        <v/>
      </c>
      <c r="C719" s="167" t="str">
        <v/>
      </c>
      <c r="D719" s="167" t="str">
        <v/>
      </c>
      <c r="E719" s="167" t="str">
        <v/>
      </c>
      <c r="F719" s="167" t="str">
        <v/>
      </c>
      <c r="G719" s="167" t="str">
        <v/>
      </c>
      <c r="H719" s="167" t="str">
        <v/>
      </c>
      <c r="I719" s="167" t="str">
        <v/>
      </c>
      <c r="J719" s="167" t="str">
        <v/>
      </c>
      <c r="K719" s="167" t="str">
        <v/>
      </c>
      <c r="L719" s="167" t="str">
        <v/>
      </c>
      <c r="M719" s="167" t="str">
        <v/>
      </c>
      <c r="N719" s="167" t="str">
        <v/>
      </c>
      <c r="O719" s="167" t="str">
        <v/>
      </c>
      <c r="P719" s="167" t="str">
        <v/>
      </c>
    </row>
    <row r="720" spans="1:16" x14ac:dyDescent="0.2">
      <c r="A720" s="58" t="str">
        <v/>
      </c>
      <c r="B720" s="144" t="str">
        <f>IFERROR(TIMEVALUE(DaqBook_RAW_Data!Q710),IFERROR(TIMEVALUE(DaqBook_RAW_Data!A710),""))</f>
        <v/>
      </c>
      <c r="C720" s="167" t="str">
        <v/>
      </c>
      <c r="D720" s="167" t="str">
        <v/>
      </c>
      <c r="E720" s="167" t="str">
        <v/>
      </c>
      <c r="F720" s="167" t="str">
        <v/>
      </c>
      <c r="G720" s="167" t="str">
        <v/>
      </c>
      <c r="H720" s="167" t="str">
        <v/>
      </c>
      <c r="I720" s="167" t="str">
        <v/>
      </c>
      <c r="J720" s="167" t="str">
        <v/>
      </c>
      <c r="K720" s="167" t="str">
        <v/>
      </c>
      <c r="L720" s="167" t="str">
        <v/>
      </c>
      <c r="M720" s="167" t="str">
        <v/>
      </c>
      <c r="N720" s="167" t="str">
        <v/>
      </c>
      <c r="O720" s="167" t="str">
        <v/>
      </c>
      <c r="P720" s="167" t="str">
        <v/>
      </c>
    </row>
    <row r="721" spans="1:16" x14ac:dyDescent="0.2">
      <c r="A721" s="58" t="str">
        <v/>
      </c>
      <c r="B721" s="144" t="str">
        <f>IFERROR(TIMEVALUE(DaqBook_RAW_Data!Q711),IFERROR(TIMEVALUE(DaqBook_RAW_Data!A711),""))</f>
        <v/>
      </c>
      <c r="C721" s="167" t="str">
        <v/>
      </c>
      <c r="D721" s="167" t="str">
        <v/>
      </c>
      <c r="E721" s="167" t="str">
        <v/>
      </c>
      <c r="F721" s="167" t="str">
        <v/>
      </c>
      <c r="G721" s="167" t="str">
        <v/>
      </c>
      <c r="H721" s="167" t="str">
        <v/>
      </c>
      <c r="I721" s="167" t="str">
        <v/>
      </c>
      <c r="J721" s="167" t="str">
        <v/>
      </c>
      <c r="K721" s="167" t="str">
        <v/>
      </c>
      <c r="L721" s="167" t="str">
        <v/>
      </c>
      <c r="M721" s="167" t="str">
        <v/>
      </c>
      <c r="N721" s="167" t="str">
        <v/>
      </c>
      <c r="O721" s="167" t="str">
        <v/>
      </c>
      <c r="P721" s="167" t="str">
        <v/>
      </c>
    </row>
    <row r="722" spans="1:16" x14ac:dyDescent="0.2">
      <c r="A722" s="58" t="str">
        <v/>
      </c>
      <c r="B722" s="144" t="str">
        <f>IFERROR(TIMEVALUE(DaqBook_RAW_Data!Q712),IFERROR(TIMEVALUE(DaqBook_RAW_Data!A712),""))</f>
        <v/>
      </c>
      <c r="C722" s="167" t="str">
        <v/>
      </c>
      <c r="D722" s="167" t="str">
        <v/>
      </c>
      <c r="E722" s="167" t="str">
        <v/>
      </c>
      <c r="F722" s="167" t="str">
        <v/>
      </c>
      <c r="G722" s="167" t="str">
        <v/>
      </c>
      <c r="H722" s="167" t="str">
        <v/>
      </c>
      <c r="I722" s="167" t="str">
        <v/>
      </c>
      <c r="J722" s="167" t="str">
        <v/>
      </c>
      <c r="K722" s="167" t="str">
        <v/>
      </c>
      <c r="L722" s="167" t="str">
        <v/>
      </c>
      <c r="M722" s="167" t="str">
        <v/>
      </c>
      <c r="N722" s="167" t="str">
        <v/>
      </c>
      <c r="O722" s="167" t="str">
        <v/>
      </c>
      <c r="P722" s="167" t="str">
        <v/>
      </c>
    </row>
    <row r="723" spans="1:16" x14ac:dyDescent="0.2">
      <c r="A723" s="58" t="str">
        <v/>
      </c>
      <c r="B723" s="144" t="str">
        <f>IFERROR(TIMEVALUE(DaqBook_RAW_Data!Q713),IFERROR(TIMEVALUE(DaqBook_RAW_Data!A713),""))</f>
        <v/>
      </c>
      <c r="C723" s="167" t="str">
        <v/>
      </c>
      <c r="D723" s="167" t="str">
        <v/>
      </c>
      <c r="E723" s="167" t="str">
        <v/>
      </c>
      <c r="F723" s="167" t="str">
        <v/>
      </c>
      <c r="G723" s="167" t="str">
        <v/>
      </c>
      <c r="H723" s="167" t="str">
        <v/>
      </c>
      <c r="I723" s="167" t="str">
        <v/>
      </c>
      <c r="J723" s="167" t="str">
        <v/>
      </c>
      <c r="K723" s="167" t="str">
        <v/>
      </c>
      <c r="L723" s="167" t="str">
        <v/>
      </c>
      <c r="M723" s="167" t="str">
        <v/>
      </c>
      <c r="N723" s="167" t="str">
        <v/>
      </c>
      <c r="O723" s="167" t="str">
        <v/>
      </c>
      <c r="P723" s="167" t="str">
        <v/>
      </c>
    </row>
    <row r="724" spans="1:16" x14ac:dyDescent="0.2">
      <c r="A724" s="58" t="str">
        <v/>
      </c>
      <c r="B724" s="144" t="str">
        <f>IFERROR(TIMEVALUE(DaqBook_RAW_Data!Q714),IFERROR(TIMEVALUE(DaqBook_RAW_Data!A714),""))</f>
        <v/>
      </c>
      <c r="C724" s="167" t="str">
        <v/>
      </c>
      <c r="D724" s="167" t="str">
        <v/>
      </c>
      <c r="E724" s="167" t="str">
        <v/>
      </c>
      <c r="F724" s="167" t="str">
        <v/>
      </c>
      <c r="G724" s="167" t="str">
        <v/>
      </c>
      <c r="H724" s="167" t="str">
        <v/>
      </c>
      <c r="I724" s="167" t="str">
        <v/>
      </c>
      <c r="J724" s="167" t="str">
        <v/>
      </c>
      <c r="K724" s="167" t="str">
        <v/>
      </c>
      <c r="L724" s="167" t="str">
        <v/>
      </c>
      <c r="M724" s="167" t="str">
        <v/>
      </c>
      <c r="N724" s="167" t="str">
        <v/>
      </c>
      <c r="O724" s="167" t="str">
        <v/>
      </c>
      <c r="P724" s="167" t="str">
        <v/>
      </c>
    </row>
    <row r="725" spans="1:16" x14ac:dyDescent="0.2">
      <c r="A725" s="58" t="str">
        <v/>
      </c>
      <c r="B725" s="144" t="str">
        <f>IFERROR(TIMEVALUE(DaqBook_RAW_Data!Q715),IFERROR(TIMEVALUE(DaqBook_RAW_Data!A715),""))</f>
        <v/>
      </c>
      <c r="C725" s="167" t="str">
        <v/>
      </c>
      <c r="D725" s="167" t="str">
        <v/>
      </c>
      <c r="E725" s="167" t="str">
        <v/>
      </c>
      <c r="F725" s="167" t="str">
        <v/>
      </c>
      <c r="G725" s="167" t="str">
        <v/>
      </c>
      <c r="H725" s="167" t="str">
        <v/>
      </c>
      <c r="I725" s="167" t="str">
        <v/>
      </c>
      <c r="J725" s="167" t="str">
        <v/>
      </c>
      <c r="K725" s="167" t="str">
        <v/>
      </c>
      <c r="L725" s="167" t="str">
        <v/>
      </c>
      <c r="M725" s="167" t="str">
        <v/>
      </c>
      <c r="N725" s="167" t="str">
        <v/>
      </c>
      <c r="O725" s="167" t="str">
        <v/>
      </c>
      <c r="P725" s="167" t="str">
        <v/>
      </c>
    </row>
    <row r="726" spans="1:16" x14ac:dyDescent="0.2">
      <c r="A726" s="58" t="str">
        <v/>
      </c>
      <c r="B726" s="144" t="str">
        <f>IFERROR(TIMEVALUE(DaqBook_RAW_Data!Q716),IFERROR(TIMEVALUE(DaqBook_RAW_Data!A716),""))</f>
        <v/>
      </c>
      <c r="C726" s="167" t="str">
        <v/>
      </c>
      <c r="D726" s="167" t="str">
        <v/>
      </c>
      <c r="E726" s="167" t="str">
        <v/>
      </c>
      <c r="F726" s="167" t="str">
        <v/>
      </c>
      <c r="G726" s="167" t="str">
        <v/>
      </c>
      <c r="H726" s="167" t="str">
        <v/>
      </c>
      <c r="I726" s="167" t="str">
        <v/>
      </c>
      <c r="J726" s="167" t="str">
        <v/>
      </c>
      <c r="K726" s="167" t="str">
        <v/>
      </c>
      <c r="L726" s="167" t="str">
        <v/>
      </c>
      <c r="M726" s="167" t="str">
        <v/>
      </c>
      <c r="N726" s="167" t="str">
        <v/>
      </c>
      <c r="O726" s="167" t="str">
        <v/>
      </c>
      <c r="P726" s="167" t="str">
        <v/>
      </c>
    </row>
    <row r="727" spans="1:16" x14ac:dyDescent="0.2">
      <c r="A727" s="58" t="str">
        <v/>
      </c>
      <c r="B727" s="144" t="str">
        <f>IFERROR(TIMEVALUE(DaqBook_RAW_Data!Q717),IFERROR(TIMEVALUE(DaqBook_RAW_Data!A717),""))</f>
        <v/>
      </c>
      <c r="C727" s="167" t="str">
        <v/>
      </c>
      <c r="D727" s="167" t="str">
        <v/>
      </c>
      <c r="E727" s="167" t="str">
        <v/>
      </c>
      <c r="F727" s="167" t="str">
        <v/>
      </c>
      <c r="G727" s="167" t="str">
        <v/>
      </c>
      <c r="H727" s="167" t="str">
        <v/>
      </c>
      <c r="I727" s="167" t="str">
        <v/>
      </c>
      <c r="J727" s="167" t="str">
        <v/>
      </c>
      <c r="K727" s="167" t="str">
        <v/>
      </c>
      <c r="L727" s="167" t="str">
        <v/>
      </c>
      <c r="M727" s="167" t="str">
        <v/>
      </c>
      <c r="N727" s="167" t="str">
        <v/>
      </c>
      <c r="O727" s="167" t="str">
        <v/>
      </c>
      <c r="P727" s="167" t="str">
        <v/>
      </c>
    </row>
    <row r="728" spans="1:16" x14ac:dyDescent="0.2">
      <c r="A728" s="58" t="str">
        <v/>
      </c>
      <c r="B728" s="144" t="str">
        <f>IFERROR(TIMEVALUE(DaqBook_RAW_Data!Q718),IFERROR(TIMEVALUE(DaqBook_RAW_Data!A718),""))</f>
        <v/>
      </c>
      <c r="C728" s="167" t="str">
        <v/>
      </c>
      <c r="D728" s="167" t="str">
        <v/>
      </c>
      <c r="E728" s="167" t="str">
        <v/>
      </c>
      <c r="F728" s="167" t="str">
        <v/>
      </c>
      <c r="G728" s="167" t="str">
        <v/>
      </c>
      <c r="H728" s="167" t="str">
        <v/>
      </c>
      <c r="I728" s="167" t="str">
        <v/>
      </c>
      <c r="J728" s="167" t="str">
        <v/>
      </c>
      <c r="K728" s="167" t="str">
        <v/>
      </c>
      <c r="L728" s="167" t="str">
        <v/>
      </c>
      <c r="M728" s="167" t="str">
        <v/>
      </c>
      <c r="N728" s="167" t="str">
        <v/>
      </c>
      <c r="O728" s="167" t="str">
        <v/>
      </c>
      <c r="P728" s="167" t="str">
        <v/>
      </c>
    </row>
    <row r="729" spans="1:16" x14ac:dyDescent="0.2">
      <c r="A729" s="58" t="str">
        <v/>
      </c>
      <c r="B729" s="144" t="str">
        <f>IFERROR(TIMEVALUE(DaqBook_RAW_Data!Q719),IFERROR(TIMEVALUE(DaqBook_RAW_Data!A719),""))</f>
        <v/>
      </c>
      <c r="C729" s="167" t="str">
        <v/>
      </c>
      <c r="D729" s="167" t="str">
        <v/>
      </c>
      <c r="E729" s="167" t="str">
        <v/>
      </c>
      <c r="F729" s="167" t="str">
        <v/>
      </c>
      <c r="G729" s="167" t="str">
        <v/>
      </c>
      <c r="H729" s="167" t="str">
        <v/>
      </c>
      <c r="I729" s="167" t="str">
        <v/>
      </c>
      <c r="J729" s="167" t="str">
        <v/>
      </c>
      <c r="K729" s="167" t="str">
        <v/>
      </c>
      <c r="L729" s="167" t="str">
        <v/>
      </c>
      <c r="M729" s="167" t="str">
        <v/>
      </c>
      <c r="N729" s="167" t="str">
        <v/>
      </c>
      <c r="O729" s="167" t="str">
        <v/>
      </c>
      <c r="P729" s="167" t="str">
        <v/>
      </c>
    </row>
    <row r="730" spans="1:16" x14ac:dyDescent="0.2">
      <c r="A730" s="58" t="str">
        <v/>
      </c>
      <c r="B730" s="144" t="str">
        <f>IFERROR(TIMEVALUE(DaqBook_RAW_Data!Q720),IFERROR(TIMEVALUE(DaqBook_RAW_Data!A720),""))</f>
        <v/>
      </c>
      <c r="C730" s="167" t="str">
        <v/>
      </c>
      <c r="D730" s="167" t="str">
        <v/>
      </c>
      <c r="E730" s="167" t="str">
        <v/>
      </c>
      <c r="F730" s="167" t="str">
        <v/>
      </c>
      <c r="G730" s="167" t="str">
        <v/>
      </c>
      <c r="H730" s="167" t="str">
        <v/>
      </c>
      <c r="I730" s="167" t="str">
        <v/>
      </c>
      <c r="J730" s="167" t="str">
        <v/>
      </c>
      <c r="K730" s="167" t="str">
        <v/>
      </c>
      <c r="L730" s="167" t="str">
        <v/>
      </c>
      <c r="M730" s="167" t="str">
        <v/>
      </c>
      <c r="N730" s="167" t="str">
        <v/>
      </c>
      <c r="O730" s="167" t="str">
        <v/>
      </c>
      <c r="P730" s="167" t="str">
        <v/>
      </c>
    </row>
    <row r="731" spans="1:16" x14ac:dyDescent="0.2">
      <c r="A731" s="58" t="str">
        <v/>
      </c>
      <c r="B731" s="144" t="str">
        <f>IFERROR(TIMEVALUE(DaqBook_RAW_Data!Q721),IFERROR(TIMEVALUE(DaqBook_RAW_Data!A721),""))</f>
        <v/>
      </c>
      <c r="C731" s="167" t="str">
        <v/>
      </c>
      <c r="D731" s="167" t="str">
        <v/>
      </c>
      <c r="E731" s="167" t="str">
        <v/>
      </c>
      <c r="F731" s="167" t="str">
        <v/>
      </c>
      <c r="G731" s="167" t="str">
        <v/>
      </c>
      <c r="H731" s="167" t="str">
        <v/>
      </c>
      <c r="I731" s="167" t="str">
        <v/>
      </c>
      <c r="J731" s="167" t="str">
        <v/>
      </c>
      <c r="K731" s="167" t="str">
        <v/>
      </c>
      <c r="L731" s="167" t="str">
        <v/>
      </c>
      <c r="M731" s="167" t="str">
        <v/>
      </c>
      <c r="N731" s="167" t="str">
        <v/>
      </c>
      <c r="O731" s="167" t="str">
        <v/>
      </c>
      <c r="P731" s="167" t="str">
        <v/>
      </c>
    </row>
    <row r="732" spans="1:16" x14ac:dyDescent="0.2">
      <c r="A732" s="58" t="str">
        <v/>
      </c>
      <c r="B732" s="144" t="str">
        <f>IFERROR(TIMEVALUE(DaqBook_RAW_Data!Q722),IFERROR(TIMEVALUE(DaqBook_RAW_Data!A722),""))</f>
        <v/>
      </c>
      <c r="C732" s="167" t="str">
        <v/>
      </c>
      <c r="D732" s="167" t="str">
        <v/>
      </c>
      <c r="E732" s="167" t="str">
        <v/>
      </c>
      <c r="F732" s="167" t="str">
        <v/>
      </c>
      <c r="G732" s="167" t="str">
        <v/>
      </c>
      <c r="H732" s="167" t="str">
        <v/>
      </c>
      <c r="I732" s="167" t="str">
        <v/>
      </c>
      <c r="J732" s="167" t="str">
        <v/>
      </c>
      <c r="K732" s="167" t="str">
        <v/>
      </c>
      <c r="L732" s="167" t="str">
        <v/>
      </c>
      <c r="M732" s="167" t="str">
        <v/>
      </c>
      <c r="N732" s="167" t="str">
        <v/>
      </c>
      <c r="O732" s="167" t="str">
        <v/>
      </c>
      <c r="P732" s="167" t="str">
        <v/>
      </c>
    </row>
    <row r="733" spans="1:16" x14ac:dyDescent="0.2">
      <c r="A733" s="58" t="str">
        <v/>
      </c>
      <c r="B733" s="144" t="str">
        <f>IFERROR(TIMEVALUE(DaqBook_RAW_Data!Q723),IFERROR(TIMEVALUE(DaqBook_RAW_Data!A723),""))</f>
        <v/>
      </c>
      <c r="C733" s="167" t="str">
        <v/>
      </c>
      <c r="D733" s="167" t="str">
        <v/>
      </c>
      <c r="E733" s="167" t="str">
        <v/>
      </c>
      <c r="F733" s="167" t="str">
        <v/>
      </c>
      <c r="G733" s="167" t="str">
        <v/>
      </c>
      <c r="H733" s="167" t="str">
        <v/>
      </c>
      <c r="I733" s="167" t="str">
        <v/>
      </c>
      <c r="J733" s="167" t="str">
        <v/>
      </c>
      <c r="K733" s="167" t="str">
        <v/>
      </c>
      <c r="L733" s="167" t="str">
        <v/>
      </c>
      <c r="M733" s="167" t="str">
        <v/>
      </c>
      <c r="N733" s="167" t="str">
        <v/>
      </c>
      <c r="O733" s="167" t="str">
        <v/>
      </c>
      <c r="P733" s="167" t="str">
        <v/>
      </c>
    </row>
    <row r="734" spans="1:16" x14ac:dyDescent="0.2">
      <c r="A734" s="58" t="str">
        <v/>
      </c>
      <c r="B734" s="144" t="str">
        <f>IFERROR(TIMEVALUE(DaqBook_RAW_Data!Q724),IFERROR(TIMEVALUE(DaqBook_RAW_Data!A724),""))</f>
        <v/>
      </c>
      <c r="C734" s="167" t="str">
        <v/>
      </c>
      <c r="D734" s="167" t="str">
        <v/>
      </c>
      <c r="E734" s="167" t="str">
        <v/>
      </c>
      <c r="F734" s="167" t="str">
        <v/>
      </c>
      <c r="G734" s="167" t="str">
        <v/>
      </c>
      <c r="H734" s="167" t="str">
        <v/>
      </c>
      <c r="I734" s="167" t="str">
        <v/>
      </c>
      <c r="J734" s="167" t="str">
        <v/>
      </c>
      <c r="K734" s="167" t="str">
        <v/>
      </c>
      <c r="L734" s="167" t="str">
        <v/>
      </c>
      <c r="M734" s="167" t="str">
        <v/>
      </c>
      <c r="N734" s="167" t="str">
        <v/>
      </c>
      <c r="O734" s="167" t="str">
        <v/>
      </c>
      <c r="P734" s="167" t="str">
        <v/>
      </c>
    </row>
    <row r="735" spans="1:16" x14ac:dyDescent="0.2">
      <c r="A735" s="58" t="str">
        <v/>
      </c>
      <c r="B735" s="144" t="str">
        <f>IFERROR(TIMEVALUE(DaqBook_RAW_Data!Q725),IFERROR(TIMEVALUE(DaqBook_RAW_Data!A725),""))</f>
        <v/>
      </c>
      <c r="C735" s="167" t="str">
        <v/>
      </c>
      <c r="D735" s="167" t="str">
        <v/>
      </c>
      <c r="E735" s="167" t="str">
        <v/>
      </c>
      <c r="F735" s="167" t="str">
        <v/>
      </c>
      <c r="G735" s="167" t="str">
        <v/>
      </c>
      <c r="H735" s="167" t="str">
        <v/>
      </c>
      <c r="I735" s="167" t="str">
        <v/>
      </c>
      <c r="J735" s="167" t="str">
        <v/>
      </c>
      <c r="K735" s="167" t="str">
        <v/>
      </c>
      <c r="L735" s="167" t="str">
        <v/>
      </c>
      <c r="M735" s="167" t="str">
        <v/>
      </c>
      <c r="N735" s="167" t="str">
        <v/>
      </c>
      <c r="O735" s="167" t="str">
        <v/>
      </c>
      <c r="P735" s="167" t="str">
        <v/>
      </c>
    </row>
    <row r="736" spans="1:16" x14ac:dyDescent="0.2">
      <c r="A736" s="58" t="str">
        <v/>
      </c>
      <c r="B736" s="144" t="str">
        <f>IFERROR(TIMEVALUE(DaqBook_RAW_Data!Q726),IFERROR(TIMEVALUE(DaqBook_RAW_Data!A726),""))</f>
        <v/>
      </c>
      <c r="C736" s="167" t="str">
        <v/>
      </c>
      <c r="D736" s="167" t="str">
        <v/>
      </c>
      <c r="E736" s="167" t="str">
        <v/>
      </c>
      <c r="F736" s="167" t="str">
        <v/>
      </c>
      <c r="G736" s="167" t="str">
        <v/>
      </c>
      <c r="H736" s="167" t="str">
        <v/>
      </c>
      <c r="I736" s="167" t="str">
        <v/>
      </c>
      <c r="J736" s="167" t="str">
        <v/>
      </c>
      <c r="K736" s="167" t="str">
        <v/>
      </c>
      <c r="L736" s="167" t="str">
        <v/>
      </c>
      <c r="M736" s="167" t="str">
        <v/>
      </c>
      <c r="N736" s="167" t="str">
        <v/>
      </c>
      <c r="O736" s="167" t="str">
        <v/>
      </c>
      <c r="P736" s="167" t="str">
        <v/>
      </c>
    </row>
    <row r="737" spans="1:16" x14ac:dyDescent="0.2">
      <c r="A737" s="58" t="str">
        <v/>
      </c>
      <c r="B737" s="144" t="str">
        <f>IFERROR(TIMEVALUE(DaqBook_RAW_Data!Q727),IFERROR(TIMEVALUE(DaqBook_RAW_Data!A727),""))</f>
        <v/>
      </c>
      <c r="C737" s="167" t="str">
        <v/>
      </c>
      <c r="D737" s="167" t="str">
        <v/>
      </c>
      <c r="E737" s="167" t="str">
        <v/>
      </c>
      <c r="F737" s="167" t="str">
        <v/>
      </c>
      <c r="G737" s="167" t="str">
        <v/>
      </c>
      <c r="H737" s="167" t="str">
        <v/>
      </c>
      <c r="I737" s="167" t="str">
        <v/>
      </c>
      <c r="J737" s="167" t="str">
        <v/>
      </c>
      <c r="K737" s="167" t="str">
        <v/>
      </c>
      <c r="L737" s="167" t="str">
        <v/>
      </c>
      <c r="M737" s="167" t="str">
        <v/>
      </c>
      <c r="N737" s="167" t="str">
        <v/>
      </c>
      <c r="O737" s="167" t="str">
        <v/>
      </c>
      <c r="P737" s="167" t="str">
        <v/>
      </c>
    </row>
    <row r="738" spans="1:16" x14ac:dyDescent="0.2">
      <c r="A738" s="58" t="str">
        <v/>
      </c>
      <c r="B738" s="144" t="str">
        <f>IFERROR(TIMEVALUE(DaqBook_RAW_Data!Q728),IFERROR(TIMEVALUE(DaqBook_RAW_Data!A728),""))</f>
        <v/>
      </c>
      <c r="C738" s="167" t="str">
        <v/>
      </c>
      <c r="D738" s="167" t="str">
        <v/>
      </c>
      <c r="E738" s="167" t="str">
        <v/>
      </c>
      <c r="F738" s="167" t="str">
        <v/>
      </c>
      <c r="G738" s="167" t="str">
        <v/>
      </c>
      <c r="H738" s="167" t="str">
        <v/>
      </c>
      <c r="I738" s="167" t="str">
        <v/>
      </c>
      <c r="J738" s="167" t="str">
        <v/>
      </c>
      <c r="K738" s="167" t="str">
        <v/>
      </c>
      <c r="L738" s="167" t="str">
        <v/>
      </c>
      <c r="M738" s="167" t="str">
        <v/>
      </c>
      <c r="N738" s="167" t="str">
        <v/>
      </c>
      <c r="O738" s="167" t="str">
        <v/>
      </c>
      <c r="P738" s="167" t="str">
        <v/>
      </c>
    </row>
    <row r="739" spans="1:16" x14ac:dyDescent="0.2">
      <c r="A739" s="58" t="str">
        <v/>
      </c>
      <c r="B739" s="144" t="str">
        <f>IFERROR(TIMEVALUE(DaqBook_RAW_Data!Q729),IFERROR(TIMEVALUE(DaqBook_RAW_Data!A729),""))</f>
        <v/>
      </c>
      <c r="C739" s="167" t="str">
        <v/>
      </c>
      <c r="D739" s="167" t="str">
        <v/>
      </c>
      <c r="E739" s="167" t="str">
        <v/>
      </c>
      <c r="F739" s="167" t="str">
        <v/>
      </c>
      <c r="G739" s="167" t="str">
        <v/>
      </c>
      <c r="H739" s="167" t="str">
        <v/>
      </c>
      <c r="I739" s="167" t="str">
        <v/>
      </c>
      <c r="J739" s="167" t="str">
        <v/>
      </c>
      <c r="K739" s="167" t="str">
        <v/>
      </c>
      <c r="L739" s="167" t="str">
        <v/>
      </c>
      <c r="M739" s="167" t="str">
        <v/>
      </c>
      <c r="N739" s="167" t="str">
        <v/>
      </c>
      <c r="O739" s="167" t="str">
        <v/>
      </c>
      <c r="P739" s="167" t="str">
        <v/>
      </c>
    </row>
    <row r="740" spans="1:16" x14ac:dyDescent="0.2">
      <c r="A740" s="58" t="str">
        <v/>
      </c>
      <c r="B740" s="144" t="str">
        <f>IFERROR(TIMEVALUE(DaqBook_RAW_Data!Q730),IFERROR(TIMEVALUE(DaqBook_RAW_Data!A730),""))</f>
        <v/>
      </c>
      <c r="C740" s="167" t="str">
        <v/>
      </c>
      <c r="D740" s="167" t="str">
        <v/>
      </c>
      <c r="E740" s="167" t="str">
        <v/>
      </c>
      <c r="F740" s="167" t="str">
        <v/>
      </c>
      <c r="G740" s="167" t="str">
        <v/>
      </c>
      <c r="H740" s="167" t="str">
        <v/>
      </c>
      <c r="I740" s="167" t="str">
        <v/>
      </c>
      <c r="J740" s="167" t="str">
        <v/>
      </c>
      <c r="K740" s="167" t="str">
        <v/>
      </c>
      <c r="L740" s="167" t="str">
        <v/>
      </c>
      <c r="M740" s="167" t="str">
        <v/>
      </c>
      <c r="N740" s="167" t="str">
        <v/>
      </c>
      <c r="O740" s="167" t="str">
        <v/>
      </c>
      <c r="P740" s="167" t="str">
        <v/>
      </c>
    </row>
    <row r="741" spans="1:16" x14ac:dyDescent="0.2">
      <c r="A741" s="58" t="str">
        <v/>
      </c>
      <c r="B741" s="144" t="str">
        <f>IFERROR(TIMEVALUE(DaqBook_RAW_Data!Q731),IFERROR(TIMEVALUE(DaqBook_RAW_Data!A731),""))</f>
        <v/>
      </c>
      <c r="C741" s="167" t="str">
        <v/>
      </c>
      <c r="D741" s="167" t="str">
        <v/>
      </c>
      <c r="E741" s="167" t="str">
        <v/>
      </c>
      <c r="F741" s="167" t="str">
        <v/>
      </c>
      <c r="G741" s="167" t="str">
        <v/>
      </c>
      <c r="H741" s="167" t="str">
        <v/>
      </c>
      <c r="I741" s="167" t="str">
        <v/>
      </c>
      <c r="J741" s="167" t="str">
        <v/>
      </c>
      <c r="K741" s="167" t="str">
        <v/>
      </c>
      <c r="L741" s="167" t="str">
        <v/>
      </c>
      <c r="M741" s="167" t="str">
        <v/>
      </c>
      <c r="N741" s="167" t="str">
        <v/>
      </c>
      <c r="O741" s="167" t="str">
        <v/>
      </c>
      <c r="P741" s="167" t="str">
        <v/>
      </c>
    </row>
    <row r="742" spans="1:16" x14ac:dyDescent="0.2">
      <c r="A742" s="58" t="str">
        <v/>
      </c>
      <c r="B742" s="144" t="str">
        <f>IFERROR(TIMEVALUE(DaqBook_RAW_Data!Q732),IFERROR(TIMEVALUE(DaqBook_RAW_Data!A732),""))</f>
        <v/>
      </c>
      <c r="C742" s="167" t="str">
        <v/>
      </c>
      <c r="D742" s="167" t="str">
        <v/>
      </c>
      <c r="E742" s="167" t="str">
        <v/>
      </c>
      <c r="F742" s="167" t="str">
        <v/>
      </c>
      <c r="G742" s="167" t="str">
        <v/>
      </c>
      <c r="H742" s="167" t="str">
        <v/>
      </c>
      <c r="I742" s="167" t="str">
        <v/>
      </c>
      <c r="J742" s="167" t="str">
        <v/>
      </c>
      <c r="K742" s="167" t="str">
        <v/>
      </c>
      <c r="L742" s="167" t="str">
        <v/>
      </c>
      <c r="M742" s="167" t="str">
        <v/>
      </c>
      <c r="N742" s="167" t="str">
        <v/>
      </c>
      <c r="O742" s="167" t="str">
        <v/>
      </c>
      <c r="P742" s="167" t="str">
        <v/>
      </c>
    </row>
    <row r="743" spans="1:16" x14ac:dyDescent="0.2">
      <c r="A743" s="58" t="str">
        <v/>
      </c>
      <c r="B743" s="144" t="str">
        <f>IFERROR(TIMEVALUE(DaqBook_RAW_Data!Q733),IFERROR(TIMEVALUE(DaqBook_RAW_Data!A733),""))</f>
        <v/>
      </c>
      <c r="C743" s="167" t="str">
        <v/>
      </c>
      <c r="D743" s="167" t="str">
        <v/>
      </c>
      <c r="E743" s="167" t="str">
        <v/>
      </c>
      <c r="F743" s="167" t="str">
        <v/>
      </c>
      <c r="G743" s="167" t="str">
        <v/>
      </c>
      <c r="H743" s="167" t="str">
        <v/>
      </c>
      <c r="I743" s="167" t="str">
        <v/>
      </c>
      <c r="J743" s="167" t="str">
        <v/>
      </c>
      <c r="K743" s="167" t="str">
        <v/>
      </c>
      <c r="L743" s="167" t="str">
        <v/>
      </c>
      <c r="M743" s="167" t="str">
        <v/>
      </c>
      <c r="N743" s="167" t="str">
        <v/>
      </c>
      <c r="O743" s="167" t="str">
        <v/>
      </c>
      <c r="P743" s="167" t="str">
        <v/>
      </c>
    </row>
    <row r="744" spans="1:16" x14ac:dyDescent="0.2">
      <c r="A744" s="58" t="str">
        <v/>
      </c>
      <c r="B744" s="144" t="str">
        <f>IFERROR(TIMEVALUE(DaqBook_RAW_Data!Q734),IFERROR(TIMEVALUE(DaqBook_RAW_Data!A734),""))</f>
        <v/>
      </c>
      <c r="C744" s="167" t="str">
        <v/>
      </c>
      <c r="D744" s="167" t="str">
        <v/>
      </c>
      <c r="E744" s="167" t="str">
        <v/>
      </c>
      <c r="F744" s="167" t="str">
        <v/>
      </c>
      <c r="G744" s="167" t="str">
        <v/>
      </c>
      <c r="H744" s="167" t="str">
        <v/>
      </c>
      <c r="I744" s="167" t="str">
        <v/>
      </c>
      <c r="J744" s="167" t="str">
        <v/>
      </c>
      <c r="K744" s="167" t="str">
        <v/>
      </c>
      <c r="L744" s="167" t="str">
        <v/>
      </c>
      <c r="M744" s="167" t="str">
        <v/>
      </c>
      <c r="N744" s="167" t="str">
        <v/>
      </c>
      <c r="O744" s="167" t="str">
        <v/>
      </c>
      <c r="P744" s="167" t="str">
        <v/>
      </c>
    </row>
    <row r="745" spans="1:16" x14ac:dyDescent="0.2">
      <c r="A745" s="58" t="str">
        <v/>
      </c>
      <c r="B745" s="144" t="str">
        <f>IFERROR(TIMEVALUE(DaqBook_RAW_Data!Q735),IFERROR(TIMEVALUE(DaqBook_RAW_Data!A735),""))</f>
        <v/>
      </c>
      <c r="C745" s="167" t="str">
        <v/>
      </c>
      <c r="D745" s="167" t="str">
        <v/>
      </c>
      <c r="E745" s="167" t="str">
        <v/>
      </c>
      <c r="F745" s="167" t="str">
        <v/>
      </c>
      <c r="G745" s="167" t="str">
        <v/>
      </c>
      <c r="H745" s="167" t="str">
        <v/>
      </c>
      <c r="I745" s="167" t="str">
        <v/>
      </c>
      <c r="J745" s="167" t="str">
        <v/>
      </c>
      <c r="K745" s="167" t="str">
        <v/>
      </c>
      <c r="L745" s="167" t="str">
        <v/>
      </c>
      <c r="M745" s="167" t="str">
        <v/>
      </c>
      <c r="N745" s="167" t="str">
        <v/>
      </c>
      <c r="O745" s="167" t="str">
        <v/>
      </c>
      <c r="P745" s="167" t="str">
        <v/>
      </c>
    </row>
    <row r="746" spans="1:16" x14ac:dyDescent="0.2">
      <c r="A746" s="58" t="str">
        <v/>
      </c>
      <c r="B746" s="144" t="str">
        <f>IFERROR(TIMEVALUE(DaqBook_RAW_Data!Q736),IFERROR(TIMEVALUE(DaqBook_RAW_Data!A736),""))</f>
        <v/>
      </c>
      <c r="C746" s="167" t="str">
        <v/>
      </c>
      <c r="D746" s="167" t="str">
        <v/>
      </c>
      <c r="E746" s="167" t="str">
        <v/>
      </c>
      <c r="F746" s="167" t="str">
        <v/>
      </c>
      <c r="G746" s="167" t="str">
        <v/>
      </c>
      <c r="H746" s="167" t="str">
        <v/>
      </c>
      <c r="I746" s="167" t="str">
        <v/>
      </c>
      <c r="J746" s="167" t="str">
        <v/>
      </c>
      <c r="K746" s="167" t="str">
        <v/>
      </c>
      <c r="L746" s="167" t="str">
        <v/>
      </c>
      <c r="M746" s="167" t="str">
        <v/>
      </c>
      <c r="N746" s="167" t="str">
        <v/>
      </c>
      <c r="O746" s="167" t="str">
        <v/>
      </c>
      <c r="P746" s="167" t="str">
        <v/>
      </c>
    </row>
    <row r="747" spans="1:16" x14ac:dyDescent="0.2">
      <c r="A747" s="58" t="str">
        <v/>
      </c>
      <c r="B747" s="144" t="str">
        <f>IFERROR(TIMEVALUE(DaqBook_RAW_Data!Q737),IFERROR(TIMEVALUE(DaqBook_RAW_Data!A737),""))</f>
        <v/>
      </c>
      <c r="C747" s="167" t="str">
        <v/>
      </c>
      <c r="D747" s="167" t="str">
        <v/>
      </c>
      <c r="E747" s="167" t="str">
        <v/>
      </c>
      <c r="F747" s="167" t="str">
        <v/>
      </c>
      <c r="G747" s="167" t="str">
        <v/>
      </c>
      <c r="H747" s="167" t="str">
        <v/>
      </c>
      <c r="I747" s="167" t="str">
        <v/>
      </c>
      <c r="J747" s="167" t="str">
        <v/>
      </c>
      <c r="K747" s="167" t="str">
        <v/>
      </c>
      <c r="L747" s="167" t="str">
        <v/>
      </c>
      <c r="M747" s="167" t="str">
        <v/>
      </c>
      <c r="N747" s="167" t="str">
        <v/>
      </c>
      <c r="O747" s="167" t="str">
        <v/>
      </c>
      <c r="P747" s="167" t="str">
        <v/>
      </c>
    </row>
    <row r="748" spans="1:16" x14ac:dyDescent="0.2">
      <c r="A748" s="58" t="str">
        <v/>
      </c>
      <c r="B748" s="144" t="str">
        <f>IFERROR(TIMEVALUE(DaqBook_RAW_Data!Q738),IFERROR(TIMEVALUE(DaqBook_RAW_Data!A738),""))</f>
        <v/>
      </c>
      <c r="C748" s="167" t="str">
        <v/>
      </c>
      <c r="D748" s="167" t="str">
        <v/>
      </c>
      <c r="E748" s="167" t="str">
        <v/>
      </c>
      <c r="F748" s="167" t="str">
        <v/>
      </c>
      <c r="G748" s="167" t="str">
        <v/>
      </c>
      <c r="H748" s="167" t="str">
        <v/>
      </c>
      <c r="I748" s="167" t="str">
        <v/>
      </c>
      <c r="J748" s="167" t="str">
        <v/>
      </c>
      <c r="K748" s="167" t="str">
        <v/>
      </c>
      <c r="L748" s="167" t="str">
        <v/>
      </c>
      <c r="M748" s="167" t="str">
        <v/>
      </c>
      <c r="N748" s="167" t="str">
        <v/>
      </c>
      <c r="O748" s="167" t="str">
        <v/>
      </c>
      <c r="P748" s="167" t="str">
        <v/>
      </c>
    </row>
    <row r="749" spans="1:16" x14ac:dyDescent="0.2">
      <c r="A749" s="58" t="str">
        <v/>
      </c>
      <c r="B749" s="144" t="str">
        <f>IFERROR(TIMEVALUE(DaqBook_RAW_Data!Q739),IFERROR(TIMEVALUE(DaqBook_RAW_Data!A739),""))</f>
        <v/>
      </c>
      <c r="C749" s="167" t="str">
        <v/>
      </c>
      <c r="D749" s="167" t="str">
        <v/>
      </c>
      <c r="E749" s="167" t="str">
        <v/>
      </c>
      <c r="F749" s="167" t="str">
        <v/>
      </c>
      <c r="G749" s="167" t="str">
        <v/>
      </c>
      <c r="H749" s="167" t="str">
        <v/>
      </c>
      <c r="I749" s="167" t="str">
        <v/>
      </c>
      <c r="J749" s="167" t="str">
        <v/>
      </c>
      <c r="K749" s="167" t="str">
        <v/>
      </c>
      <c r="L749" s="167" t="str">
        <v/>
      </c>
      <c r="M749" s="167" t="str">
        <v/>
      </c>
      <c r="N749" s="167" t="str">
        <v/>
      </c>
      <c r="O749" s="167" t="str">
        <v/>
      </c>
      <c r="P749" s="167" t="str">
        <v/>
      </c>
    </row>
    <row r="750" spans="1:16" x14ac:dyDescent="0.2">
      <c r="A750" s="58" t="str">
        <v/>
      </c>
      <c r="B750" s="144" t="str">
        <f>IFERROR(TIMEVALUE(DaqBook_RAW_Data!Q740),IFERROR(TIMEVALUE(DaqBook_RAW_Data!A740),""))</f>
        <v/>
      </c>
      <c r="C750" s="167" t="str">
        <v/>
      </c>
      <c r="D750" s="167" t="str">
        <v/>
      </c>
      <c r="E750" s="167" t="str">
        <v/>
      </c>
      <c r="F750" s="167" t="str">
        <v/>
      </c>
      <c r="G750" s="167" t="str">
        <v/>
      </c>
      <c r="H750" s="167" t="str">
        <v/>
      </c>
      <c r="I750" s="167" t="str">
        <v/>
      </c>
      <c r="J750" s="167" t="str">
        <v/>
      </c>
      <c r="K750" s="167" t="str">
        <v/>
      </c>
      <c r="L750" s="167" t="str">
        <v/>
      </c>
      <c r="M750" s="167" t="str">
        <v/>
      </c>
      <c r="N750" s="167" t="str">
        <v/>
      </c>
      <c r="O750" s="167" t="str">
        <v/>
      </c>
      <c r="P750" s="167" t="str">
        <v/>
      </c>
    </row>
    <row r="751" spans="1:16" x14ac:dyDescent="0.2">
      <c r="A751" s="58" t="str">
        <v/>
      </c>
      <c r="B751" s="144" t="str">
        <f>IFERROR(TIMEVALUE(DaqBook_RAW_Data!Q741),IFERROR(TIMEVALUE(DaqBook_RAW_Data!A741),""))</f>
        <v/>
      </c>
      <c r="C751" s="167" t="str">
        <v/>
      </c>
      <c r="D751" s="167" t="str">
        <v/>
      </c>
      <c r="E751" s="167" t="str">
        <v/>
      </c>
      <c r="F751" s="167" t="str">
        <v/>
      </c>
      <c r="G751" s="167" t="str">
        <v/>
      </c>
      <c r="H751" s="167" t="str">
        <v/>
      </c>
      <c r="I751" s="167" t="str">
        <v/>
      </c>
      <c r="J751" s="167" t="str">
        <v/>
      </c>
      <c r="K751" s="167" t="str">
        <v/>
      </c>
      <c r="L751" s="167" t="str">
        <v/>
      </c>
      <c r="M751" s="167" t="str">
        <v/>
      </c>
      <c r="N751" s="167" t="str">
        <v/>
      </c>
      <c r="O751" s="167" t="str">
        <v/>
      </c>
      <c r="P751" s="167" t="str">
        <v/>
      </c>
    </row>
    <row r="752" spans="1:16" x14ac:dyDescent="0.2">
      <c r="A752" s="58" t="str">
        <v/>
      </c>
      <c r="B752" s="144" t="str">
        <f>IFERROR(TIMEVALUE(DaqBook_RAW_Data!Q742),IFERROR(TIMEVALUE(DaqBook_RAW_Data!A742),""))</f>
        <v/>
      </c>
      <c r="C752" s="167" t="str">
        <v/>
      </c>
      <c r="D752" s="167" t="str">
        <v/>
      </c>
      <c r="E752" s="167" t="str">
        <v/>
      </c>
      <c r="F752" s="167" t="str">
        <v/>
      </c>
      <c r="G752" s="167" t="str">
        <v/>
      </c>
      <c r="H752" s="167" t="str">
        <v/>
      </c>
      <c r="I752" s="167" t="str">
        <v/>
      </c>
      <c r="J752" s="167" t="str">
        <v/>
      </c>
      <c r="K752" s="167" t="str">
        <v/>
      </c>
      <c r="L752" s="167" t="str">
        <v/>
      </c>
      <c r="M752" s="167" t="str">
        <v/>
      </c>
      <c r="N752" s="167" t="str">
        <v/>
      </c>
      <c r="O752" s="167" t="str">
        <v/>
      </c>
      <c r="P752" s="167" t="str">
        <v/>
      </c>
    </row>
    <row r="753" spans="1:16" x14ac:dyDescent="0.2">
      <c r="A753" s="58" t="str">
        <v/>
      </c>
      <c r="B753" s="144" t="str">
        <f>IFERROR(TIMEVALUE(DaqBook_RAW_Data!Q743),IFERROR(TIMEVALUE(DaqBook_RAW_Data!A743),""))</f>
        <v/>
      </c>
      <c r="C753" s="167" t="str">
        <v/>
      </c>
      <c r="D753" s="167" t="str">
        <v/>
      </c>
      <c r="E753" s="167" t="str">
        <v/>
      </c>
      <c r="F753" s="167" t="str">
        <v/>
      </c>
      <c r="G753" s="167" t="str">
        <v/>
      </c>
      <c r="H753" s="167" t="str">
        <v/>
      </c>
      <c r="I753" s="167" t="str">
        <v/>
      </c>
      <c r="J753" s="167" t="str">
        <v/>
      </c>
      <c r="K753" s="167" t="str">
        <v/>
      </c>
      <c r="L753" s="167" t="str">
        <v/>
      </c>
      <c r="M753" s="167" t="str">
        <v/>
      </c>
      <c r="N753" s="167" t="str">
        <v/>
      </c>
      <c r="O753" s="167" t="str">
        <v/>
      </c>
      <c r="P753" s="167" t="str">
        <v/>
      </c>
    </row>
    <row r="754" spans="1:16" x14ac:dyDescent="0.2">
      <c r="A754" s="58" t="str">
        <v/>
      </c>
      <c r="B754" s="144" t="str">
        <f>IFERROR(TIMEVALUE(DaqBook_RAW_Data!Q744),IFERROR(TIMEVALUE(DaqBook_RAW_Data!A744),""))</f>
        <v/>
      </c>
      <c r="C754" s="167" t="str">
        <v/>
      </c>
      <c r="D754" s="167" t="str">
        <v/>
      </c>
      <c r="E754" s="167" t="str">
        <v/>
      </c>
      <c r="F754" s="167" t="str">
        <v/>
      </c>
      <c r="G754" s="167" t="str">
        <v/>
      </c>
      <c r="H754" s="167" t="str">
        <v/>
      </c>
      <c r="I754" s="167" t="str">
        <v/>
      </c>
      <c r="J754" s="167" t="str">
        <v/>
      </c>
      <c r="K754" s="167" t="str">
        <v/>
      </c>
      <c r="L754" s="167" t="str">
        <v/>
      </c>
      <c r="M754" s="167" t="str">
        <v/>
      </c>
      <c r="N754" s="167" t="str">
        <v/>
      </c>
      <c r="O754" s="167" t="str">
        <v/>
      </c>
      <c r="P754" s="167" t="str">
        <v/>
      </c>
    </row>
    <row r="755" spans="1:16" x14ac:dyDescent="0.2">
      <c r="A755" s="58" t="str">
        <v/>
      </c>
      <c r="B755" s="144" t="str">
        <f>IFERROR(TIMEVALUE(DaqBook_RAW_Data!Q745),IFERROR(TIMEVALUE(DaqBook_RAW_Data!A745),""))</f>
        <v/>
      </c>
      <c r="C755" s="167" t="str">
        <v/>
      </c>
      <c r="D755" s="167" t="str">
        <v/>
      </c>
      <c r="E755" s="167" t="str">
        <v/>
      </c>
      <c r="F755" s="167" t="str">
        <v/>
      </c>
      <c r="G755" s="167" t="str">
        <v/>
      </c>
      <c r="H755" s="167" t="str">
        <v/>
      </c>
      <c r="I755" s="167" t="str">
        <v/>
      </c>
      <c r="J755" s="167" t="str">
        <v/>
      </c>
      <c r="K755" s="167" t="str">
        <v/>
      </c>
      <c r="L755" s="167" t="str">
        <v/>
      </c>
      <c r="M755" s="167" t="str">
        <v/>
      </c>
      <c r="N755" s="167" t="str">
        <v/>
      </c>
      <c r="O755" s="167" t="str">
        <v/>
      </c>
      <c r="P755" s="167" t="str">
        <v/>
      </c>
    </row>
    <row r="756" spans="1:16" x14ac:dyDescent="0.2">
      <c r="A756" s="58" t="str">
        <v/>
      </c>
      <c r="B756" s="144" t="str">
        <f>IFERROR(TIMEVALUE(DaqBook_RAW_Data!Q746),IFERROR(TIMEVALUE(DaqBook_RAW_Data!A746),""))</f>
        <v/>
      </c>
      <c r="C756" s="167" t="str">
        <v/>
      </c>
      <c r="D756" s="167" t="str">
        <v/>
      </c>
      <c r="E756" s="167" t="str">
        <v/>
      </c>
      <c r="F756" s="167" t="str">
        <v/>
      </c>
      <c r="G756" s="167" t="str">
        <v/>
      </c>
      <c r="H756" s="167" t="str">
        <v/>
      </c>
      <c r="I756" s="167" t="str">
        <v/>
      </c>
      <c r="J756" s="167" t="str">
        <v/>
      </c>
      <c r="K756" s="167" t="str">
        <v/>
      </c>
      <c r="L756" s="167" t="str">
        <v/>
      </c>
      <c r="M756" s="167" t="str">
        <v/>
      </c>
      <c r="N756" s="167" t="str">
        <v/>
      </c>
      <c r="O756" s="167" t="str">
        <v/>
      </c>
      <c r="P756" s="167" t="str">
        <v/>
      </c>
    </row>
    <row r="757" spans="1:16" x14ac:dyDescent="0.2">
      <c r="A757" s="58" t="str">
        <v/>
      </c>
      <c r="B757" s="144" t="str">
        <f>IFERROR(TIMEVALUE(DaqBook_RAW_Data!Q747),IFERROR(TIMEVALUE(DaqBook_RAW_Data!A747),""))</f>
        <v/>
      </c>
      <c r="C757" s="167" t="str">
        <v/>
      </c>
      <c r="D757" s="167" t="str">
        <v/>
      </c>
      <c r="E757" s="167" t="str">
        <v/>
      </c>
      <c r="F757" s="167" t="str">
        <v/>
      </c>
      <c r="G757" s="167" t="str">
        <v/>
      </c>
      <c r="H757" s="167" t="str">
        <v/>
      </c>
      <c r="I757" s="167" t="str">
        <v/>
      </c>
      <c r="J757" s="167" t="str">
        <v/>
      </c>
      <c r="K757" s="167" t="str">
        <v/>
      </c>
      <c r="L757" s="167" t="str">
        <v/>
      </c>
      <c r="M757" s="167" t="str">
        <v/>
      </c>
      <c r="N757" s="167" t="str">
        <v/>
      </c>
      <c r="O757" s="167" t="str">
        <v/>
      </c>
      <c r="P757" s="167" t="str">
        <v/>
      </c>
    </row>
    <row r="758" spans="1:16" x14ac:dyDescent="0.2">
      <c r="A758" s="58" t="str">
        <v/>
      </c>
      <c r="B758" s="144" t="str">
        <f>IFERROR(TIMEVALUE(DaqBook_RAW_Data!Q748),IFERROR(TIMEVALUE(DaqBook_RAW_Data!A748),""))</f>
        <v/>
      </c>
      <c r="C758" s="167" t="str">
        <v/>
      </c>
      <c r="D758" s="167" t="str">
        <v/>
      </c>
      <c r="E758" s="167" t="str">
        <v/>
      </c>
      <c r="F758" s="167" t="str">
        <v/>
      </c>
      <c r="G758" s="167" t="str">
        <v/>
      </c>
      <c r="H758" s="167" t="str">
        <v/>
      </c>
      <c r="I758" s="167" t="str">
        <v/>
      </c>
      <c r="J758" s="167" t="str">
        <v/>
      </c>
      <c r="K758" s="167" t="str">
        <v/>
      </c>
      <c r="L758" s="167" t="str">
        <v/>
      </c>
      <c r="M758" s="167" t="str">
        <v/>
      </c>
      <c r="N758" s="167" t="str">
        <v/>
      </c>
      <c r="O758" s="167" t="str">
        <v/>
      </c>
      <c r="P758" s="167" t="str">
        <v/>
      </c>
    </row>
    <row r="759" spans="1:16" x14ac:dyDescent="0.2">
      <c r="A759" s="58" t="str">
        <v/>
      </c>
      <c r="B759" s="144" t="str">
        <f>IFERROR(TIMEVALUE(DaqBook_RAW_Data!Q749),IFERROR(TIMEVALUE(DaqBook_RAW_Data!A749),""))</f>
        <v/>
      </c>
      <c r="C759" s="167" t="str">
        <v/>
      </c>
      <c r="D759" s="167" t="str">
        <v/>
      </c>
      <c r="E759" s="167" t="str">
        <v/>
      </c>
      <c r="F759" s="167" t="str">
        <v/>
      </c>
      <c r="G759" s="167" t="str">
        <v/>
      </c>
      <c r="H759" s="167" t="str">
        <v/>
      </c>
      <c r="I759" s="167" t="str">
        <v/>
      </c>
      <c r="J759" s="167" t="str">
        <v/>
      </c>
      <c r="K759" s="167" t="str">
        <v/>
      </c>
      <c r="L759" s="167" t="str">
        <v/>
      </c>
      <c r="M759" s="167" t="str">
        <v/>
      </c>
      <c r="N759" s="167" t="str">
        <v/>
      </c>
      <c r="O759" s="167" t="str">
        <v/>
      </c>
      <c r="P759" s="167" t="str">
        <v/>
      </c>
    </row>
    <row r="760" spans="1:16" x14ac:dyDescent="0.2">
      <c r="A760" s="58" t="str">
        <v/>
      </c>
      <c r="B760" s="144" t="str">
        <f>IFERROR(TIMEVALUE(DaqBook_RAW_Data!Q750),IFERROR(TIMEVALUE(DaqBook_RAW_Data!A750),""))</f>
        <v/>
      </c>
      <c r="C760" s="167" t="str">
        <v/>
      </c>
      <c r="D760" s="167" t="str">
        <v/>
      </c>
      <c r="E760" s="167" t="str">
        <v/>
      </c>
      <c r="F760" s="167" t="str">
        <v/>
      </c>
      <c r="G760" s="167" t="str">
        <v/>
      </c>
      <c r="H760" s="167" t="str">
        <v/>
      </c>
      <c r="I760" s="167" t="str">
        <v/>
      </c>
      <c r="J760" s="167" t="str">
        <v/>
      </c>
      <c r="K760" s="167" t="str">
        <v/>
      </c>
      <c r="L760" s="167" t="str">
        <v/>
      </c>
      <c r="M760" s="167" t="str">
        <v/>
      </c>
      <c r="N760" s="167" t="str">
        <v/>
      </c>
      <c r="O760" s="167" t="str">
        <v/>
      </c>
      <c r="P760" s="167" t="str">
        <v/>
      </c>
    </row>
    <row r="761" spans="1:16" x14ac:dyDescent="0.2">
      <c r="A761" s="58" t="str">
        <v/>
      </c>
      <c r="B761" s="144" t="str">
        <f>IFERROR(TIMEVALUE(DaqBook_RAW_Data!Q751),IFERROR(TIMEVALUE(DaqBook_RAW_Data!A751),""))</f>
        <v/>
      </c>
      <c r="C761" s="167" t="str">
        <v/>
      </c>
      <c r="D761" s="167" t="str">
        <v/>
      </c>
      <c r="E761" s="167" t="str">
        <v/>
      </c>
      <c r="F761" s="167" t="str">
        <v/>
      </c>
      <c r="G761" s="167" t="str">
        <v/>
      </c>
      <c r="H761" s="167" t="str">
        <v/>
      </c>
      <c r="I761" s="167" t="str">
        <v/>
      </c>
      <c r="J761" s="167" t="str">
        <v/>
      </c>
      <c r="K761" s="167" t="str">
        <v/>
      </c>
      <c r="L761" s="167" t="str">
        <v/>
      </c>
      <c r="M761" s="167" t="str">
        <v/>
      </c>
      <c r="N761" s="167" t="str">
        <v/>
      </c>
      <c r="O761" s="167" t="str">
        <v/>
      </c>
      <c r="P761" s="167" t="str">
        <v/>
      </c>
    </row>
    <row r="762" spans="1:16" x14ac:dyDescent="0.2">
      <c r="A762" s="58" t="str">
        <v/>
      </c>
      <c r="B762" s="144" t="str">
        <f>IFERROR(TIMEVALUE(DaqBook_RAW_Data!Q752),IFERROR(TIMEVALUE(DaqBook_RAW_Data!A752),""))</f>
        <v/>
      </c>
      <c r="C762" s="167" t="str">
        <v/>
      </c>
      <c r="D762" s="167" t="str">
        <v/>
      </c>
      <c r="E762" s="167" t="str">
        <v/>
      </c>
      <c r="F762" s="167" t="str">
        <v/>
      </c>
      <c r="G762" s="167" t="str">
        <v/>
      </c>
      <c r="H762" s="167" t="str">
        <v/>
      </c>
      <c r="I762" s="167" t="str">
        <v/>
      </c>
      <c r="J762" s="167" t="str">
        <v/>
      </c>
      <c r="K762" s="167" t="str">
        <v/>
      </c>
      <c r="L762" s="167" t="str">
        <v/>
      </c>
      <c r="M762" s="167" t="str">
        <v/>
      </c>
      <c r="N762" s="167" t="str">
        <v/>
      </c>
      <c r="O762" s="167" t="str">
        <v/>
      </c>
      <c r="P762" s="167" t="str">
        <v/>
      </c>
    </row>
    <row r="763" spans="1:16" x14ac:dyDescent="0.2">
      <c r="A763" s="58" t="str">
        <v/>
      </c>
      <c r="B763" s="144" t="str">
        <f>IFERROR(TIMEVALUE(DaqBook_RAW_Data!Q753),IFERROR(TIMEVALUE(DaqBook_RAW_Data!A753),""))</f>
        <v/>
      </c>
      <c r="C763" s="167" t="str">
        <v/>
      </c>
      <c r="D763" s="167" t="str">
        <v/>
      </c>
      <c r="E763" s="167" t="str">
        <v/>
      </c>
      <c r="F763" s="167" t="str">
        <v/>
      </c>
      <c r="G763" s="167" t="str">
        <v/>
      </c>
      <c r="H763" s="167" t="str">
        <v/>
      </c>
      <c r="I763" s="167" t="str">
        <v/>
      </c>
      <c r="J763" s="167" t="str">
        <v/>
      </c>
      <c r="K763" s="167" t="str">
        <v/>
      </c>
      <c r="L763" s="167" t="str">
        <v/>
      </c>
      <c r="M763" s="167" t="str">
        <v/>
      </c>
      <c r="N763" s="167" t="str">
        <v/>
      </c>
      <c r="O763" s="167" t="str">
        <v/>
      </c>
      <c r="P763" s="167" t="str">
        <v/>
      </c>
    </row>
    <row r="764" spans="1:16" x14ac:dyDescent="0.2">
      <c r="A764" s="58" t="str">
        <v/>
      </c>
      <c r="B764" s="144" t="str">
        <f>IFERROR(TIMEVALUE(DaqBook_RAW_Data!Q754),IFERROR(TIMEVALUE(DaqBook_RAW_Data!A754),""))</f>
        <v/>
      </c>
      <c r="C764" s="167" t="str">
        <v/>
      </c>
      <c r="D764" s="167" t="str">
        <v/>
      </c>
      <c r="E764" s="167" t="str">
        <v/>
      </c>
      <c r="F764" s="167" t="str">
        <v/>
      </c>
      <c r="G764" s="167" t="str">
        <v/>
      </c>
      <c r="H764" s="167" t="str">
        <v/>
      </c>
      <c r="I764" s="167" t="str">
        <v/>
      </c>
      <c r="J764" s="167" t="str">
        <v/>
      </c>
      <c r="K764" s="167" t="str">
        <v/>
      </c>
      <c r="L764" s="167" t="str">
        <v/>
      </c>
      <c r="M764" s="167" t="str">
        <v/>
      </c>
      <c r="N764" s="167" t="str">
        <v/>
      </c>
      <c r="O764" s="167" t="str">
        <v/>
      </c>
      <c r="P764" s="167" t="str">
        <v/>
      </c>
    </row>
    <row r="765" spans="1:16" x14ac:dyDescent="0.2">
      <c r="A765" s="58" t="str">
        <v/>
      </c>
      <c r="B765" s="144" t="str">
        <f>IFERROR(TIMEVALUE(DaqBook_RAW_Data!Q755),IFERROR(TIMEVALUE(DaqBook_RAW_Data!A755),""))</f>
        <v/>
      </c>
      <c r="C765" s="167" t="str">
        <v/>
      </c>
      <c r="D765" s="167" t="str">
        <v/>
      </c>
      <c r="E765" s="167" t="str">
        <v/>
      </c>
      <c r="F765" s="167" t="str">
        <v/>
      </c>
      <c r="G765" s="167" t="str">
        <v/>
      </c>
      <c r="H765" s="167" t="str">
        <v/>
      </c>
      <c r="I765" s="167" t="str">
        <v/>
      </c>
      <c r="J765" s="167" t="str">
        <v/>
      </c>
      <c r="K765" s="167" t="str">
        <v/>
      </c>
      <c r="L765" s="167" t="str">
        <v/>
      </c>
      <c r="M765" s="167" t="str">
        <v/>
      </c>
      <c r="N765" s="167" t="str">
        <v/>
      </c>
      <c r="O765" s="167" t="str">
        <v/>
      </c>
      <c r="P765" s="167" t="str">
        <v/>
      </c>
    </row>
    <row r="766" spans="1:16" x14ac:dyDescent="0.2">
      <c r="A766" s="58" t="str">
        <v/>
      </c>
      <c r="B766" s="144" t="str">
        <f>IFERROR(TIMEVALUE(DaqBook_RAW_Data!Q756),IFERROR(TIMEVALUE(DaqBook_RAW_Data!A756),""))</f>
        <v/>
      </c>
      <c r="C766" s="167" t="str">
        <v/>
      </c>
      <c r="D766" s="167" t="str">
        <v/>
      </c>
      <c r="E766" s="167" t="str">
        <v/>
      </c>
      <c r="F766" s="167" t="str">
        <v/>
      </c>
      <c r="G766" s="167" t="str">
        <v/>
      </c>
      <c r="H766" s="167" t="str">
        <v/>
      </c>
      <c r="I766" s="167" t="str">
        <v/>
      </c>
      <c r="J766" s="167" t="str">
        <v/>
      </c>
      <c r="K766" s="167" t="str">
        <v/>
      </c>
      <c r="L766" s="167" t="str">
        <v/>
      </c>
      <c r="M766" s="167" t="str">
        <v/>
      </c>
      <c r="N766" s="167" t="str">
        <v/>
      </c>
      <c r="O766" s="167" t="str">
        <v/>
      </c>
      <c r="P766" s="167" t="str">
        <v/>
      </c>
    </row>
    <row r="767" spans="1:16" x14ac:dyDescent="0.2">
      <c r="A767" s="58" t="str">
        <v/>
      </c>
      <c r="B767" s="144" t="str">
        <f>IFERROR(TIMEVALUE(DaqBook_RAW_Data!Q757),IFERROR(TIMEVALUE(DaqBook_RAW_Data!A757),""))</f>
        <v/>
      </c>
      <c r="C767" s="167" t="str">
        <v/>
      </c>
      <c r="D767" s="167" t="str">
        <v/>
      </c>
      <c r="E767" s="167" t="str">
        <v/>
      </c>
      <c r="F767" s="167" t="str">
        <v/>
      </c>
      <c r="G767" s="167" t="str">
        <v/>
      </c>
      <c r="H767" s="167" t="str">
        <v/>
      </c>
      <c r="I767" s="167" t="str">
        <v/>
      </c>
      <c r="J767" s="167" t="str">
        <v/>
      </c>
      <c r="K767" s="167" t="str">
        <v/>
      </c>
      <c r="L767" s="167" t="str">
        <v/>
      </c>
      <c r="M767" s="167" t="str">
        <v/>
      </c>
      <c r="N767" s="167" t="str">
        <v/>
      </c>
      <c r="O767" s="167" t="str">
        <v/>
      </c>
      <c r="P767" s="167" t="str">
        <v/>
      </c>
    </row>
    <row r="768" spans="1:16" x14ac:dyDescent="0.2">
      <c r="A768" s="58" t="str">
        <v/>
      </c>
      <c r="B768" s="144" t="str">
        <f>IFERROR(TIMEVALUE(DaqBook_RAW_Data!Q758),IFERROR(TIMEVALUE(DaqBook_RAW_Data!A758),""))</f>
        <v/>
      </c>
      <c r="C768" s="167" t="str">
        <v/>
      </c>
      <c r="D768" s="167" t="str">
        <v/>
      </c>
      <c r="E768" s="167" t="str">
        <v/>
      </c>
      <c r="F768" s="167" t="str">
        <v/>
      </c>
      <c r="G768" s="167" t="str">
        <v/>
      </c>
      <c r="H768" s="167" t="str">
        <v/>
      </c>
      <c r="I768" s="167" t="str">
        <v/>
      </c>
      <c r="J768" s="167" t="str">
        <v/>
      </c>
      <c r="K768" s="167" t="str">
        <v/>
      </c>
      <c r="L768" s="167" t="str">
        <v/>
      </c>
      <c r="M768" s="167" t="str">
        <v/>
      </c>
      <c r="N768" s="167" t="str">
        <v/>
      </c>
      <c r="O768" s="167" t="str">
        <v/>
      </c>
      <c r="P768" s="167" t="str">
        <v/>
      </c>
    </row>
    <row r="769" spans="1:16" x14ac:dyDescent="0.2">
      <c r="A769" s="58" t="str">
        <v/>
      </c>
      <c r="B769" s="144" t="str">
        <f>IFERROR(TIMEVALUE(DaqBook_RAW_Data!Q759),IFERROR(TIMEVALUE(DaqBook_RAW_Data!A759),""))</f>
        <v/>
      </c>
      <c r="C769" s="167" t="str">
        <v/>
      </c>
      <c r="D769" s="167" t="str">
        <v/>
      </c>
      <c r="E769" s="167" t="str">
        <v/>
      </c>
      <c r="F769" s="167" t="str">
        <v/>
      </c>
      <c r="G769" s="167" t="str">
        <v/>
      </c>
      <c r="H769" s="167" t="str">
        <v/>
      </c>
      <c r="I769" s="167" t="str">
        <v/>
      </c>
      <c r="J769" s="167" t="str">
        <v/>
      </c>
      <c r="K769" s="167" t="str">
        <v/>
      </c>
      <c r="L769" s="167" t="str">
        <v/>
      </c>
      <c r="M769" s="167" t="str">
        <v/>
      </c>
      <c r="N769" s="167" t="str">
        <v/>
      </c>
      <c r="O769" s="167" t="str">
        <v/>
      </c>
      <c r="P769" s="167" t="str">
        <v/>
      </c>
    </row>
    <row r="770" spans="1:16" x14ac:dyDescent="0.2">
      <c r="A770" s="58" t="str">
        <v/>
      </c>
      <c r="B770" s="144" t="str">
        <f>IFERROR(TIMEVALUE(DaqBook_RAW_Data!Q760),IFERROR(TIMEVALUE(DaqBook_RAW_Data!A760),""))</f>
        <v/>
      </c>
      <c r="C770" s="167" t="str">
        <v/>
      </c>
      <c r="D770" s="167" t="str">
        <v/>
      </c>
      <c r="E770" s="167" t="str">
        <v/>
      </c>
      <c r="F770" s="167" t="str">
        <v/>
      </c>
      <c r="G770" s="167" t="str">
        <v/>
      </c>
      <c r="H770" s="167" t="str">
        <v/>
      </c>
      <c r="I770" s="167" t="str">
        <v/>
      </c>
      <c r="J770" s="167" t="str">
        <v/>
      </c>
      <c r="K770" s="167" t="str">
        <v/>
      </c>
      <c r="L770" s="167" t="str">
        <v/>
      </c>
      <c r="M770" s="167" t="str">
        <v/>
      </c>
      <c r="N770" s="167" t="str">
        <v/>
      </c>
      <c r="O770" s="167" t="str">
        <v/>
      </c>
      <c r="P770" s="167" t="str">
        <v/>
      </c>
    </row>
    <row r="771" spans="1:16" x14ac:dyDescent="0.2">
      <c r="A771" s="58" t="str">
        <v/>
      </c>
      <c r="B771" s="144" t="str">
        <f>IFERROR(TIMEVALUE(DaqBook_RAW_Data!Q761),IFERROR(TIMEVALUE(DaqBook_RAW_Data!A761),""))</f>
        <v/>
      </c>
      <c r="C771" s="167" t="str">
        <v/>
      </c>
      <c r="D771" s="167" t="str">
        <v/>
      </c>
      <c r="E771" s="167" t="str">
        <v/>
      </c>
      <c r="F771" s="167" t="str">
        <v/>
      </c>
      <c r="G771" s="167" t="str">
        <v/>
      </c>
      <c r="H771" s="167" t="str">
        <v/>
      </c>
      <c r="I771" s="167" t="str">
        <v/>
      </c>
      <c r="J771" s="167" t="str">
        <v/>
      </c>
      <c r="K771" s="167" t="str">
        <v/>
      </c>
      <c r="L771" s="167" t="str">
        <v/>
      </c>
      <c r="M771" s="167" t="str">
        <v/>
      </c>
      <c r="N771" s="167" t="str">
        <v/>
      </c>
      <c r="O771" s="167" t="str">
        <v/>
      </c>
      <c r="P771" s="167" t="str">
        <v/>
      </c>
    </row>
    <row r="772" spans="1:16" x14ac:dyDescent="0.2">
      <c r="A772" s="58" t="str">
        <v/>
      </c>
      <c r="B772" s="144" t="str">
        <f>IFERROR(TIMEVALUE(DaqBook_RAW_Data!Q762),IFERROR(TIMEVALUE(DaqBook_RAW_Data!A762),""))</f>
        <v/>
      </c>
      <c r="C772" s="167" t="str">
        <v/>
      </c>
      <c r="D772" s="167" t="str">
        <v/>
      </c>
      <c r="E772" s="167" t="str">
        <v/>
      </c>
      <c r="F772" s="167" t="str">
        <v/>
      </c>
      <c r="G772" s="167" t="str">
        <v/>
      </c>
      <c r="H772" s="167" t="str">
        <v/>
      </c>
      <c r="I772" s="167" t="str">
        <v/>
      </c>
      <c r="J772" s="167" t="str">
        <v/>
      </c>
      <c r="K772" s="167" t="str">
        <v/>
      </c>
      <c r="L772" s="167" t="str">
        <v/>
      </c>
      <c r="M772" s="167" t="str">
        <v/>
      </c>
      <c r="N772" s="167" t="str">
        <v/>
      </c>
      <c r="O772" s="167" t="str">
        <v/>
      </c>
      <c r="P772" s="167" t="str">
        <v/>
      </c>
    </row>
    <row r="773" spans="1:16" x14ac:dyDescent="0.2">
      <c r="A773" s="58" t="str">
        <v/>
      </c>
      <c r="B773" s="144" t="str">
        <f>IFERROR(TIMEVALUE(DaqBook_RAW_Data!Q763),IFERROR(TIMEVALUE(DaqBook_RAW_Data!A763),""))</f>
        <v/>
      </c>
      <c r="C773" s="167" t="str">
        <v/>
      </c>
      <c r="D773" s="167" t="str">
        <v/>
      </c>
      <c r="E773" s="167" t="str">
        <v/>
      </c>
      <c r="F773" s="167" t="str">
        <v/>
      </c>
      <c r="G773" s="167" t="str">
        <v/>
      </c>
      <c r="H773" s="167" t="str">
        <v/>
      </c>
      <c r="I773" s="167" t="str">
        <v/>
      </c>
      <c r="J773" s="167" t="str">
        <v/>
      </c>
      <c r="K773" s="167" t="str">
        <v/>
      </c>
      <c r="L773" s="167" t="str">
        <v/>
      </c>
      <c r="M773" s="167" t="str">
        <v/>
      </c>
      <c r="N773" s="167" t="str">
        <v/>
      </c>
      <c r="O773" s="167" t="str">
        <v/>
      </c>
      <c r="P773" s="167" t="str">
        <v/>
      </c>
    </row>
    <row r="774" spans="1:16" x14ac:dyDescent="0.2">
      <c r="A774" s="58" t="str">
        <v/>
      </c>
      <c r="B774" s="144" t="str">
        <f>IFERROR(TIMEVALUE(DaqBook_RAW_Data!Q764),IFERROR(TIMEVALUE(DaqBook_RAW_Data!A764),""))</f>
        <v/>
      </c>
      <c r="C774" s="167" t="str">
        <v/>
      </c>
      <c r="D774" s="167" t="str">
        <v/>
      </c>
      <c r="E774" s="167" t="str">
        <v/>
      </c>
      <c r="F774" s="167" t="str">
        <v/>
      </c>
      <c r="G774" s="167" t="str">
        <v/>
      </c>
      <c r="H774" s="167" t="str">
        <v/>
      </c>
      <c r="I774" s="167" t="str">
        <v/>
      </c>
      <c r="J774" s="167" t="str">
        <v/>
      </c>
      <c r="K774" s="167" t="str">
        <v/>
      </c>
      <c r="L774" s="167" t="str">
        <v/>
      </c>
      <c r="M774" s="167" t="str">
        <v/>
      </c>
      <c r="N774" s="167" t="str">
        <v/>
      </c>
      <c r="O774" s="167" t="str">
        <v/>
      </c>
      <c r="P774" s="167" t="str">
        <v/>
      </c>
    </row>
    <row r="775" spans="1:16" x14ac:dyDescent="0.2">
      <c r="A775" s="58" t="str">
        <v/>
      </c>
      <c r="B775" s="144" t="str">
        <f>IFERROR(TIMEVALUE(DaqBook_RAW_Data!Q765),IFERROR(TIMEVALUE(DaqBook_RAW_Data!A765),""))</f>
        <v/>
      </c>
      <c r="C775" s="167" t="str">
        <v/>
      </c>
      <c r="D775" s="167" t="str">
        <v/>
      </c>
      <c r="E775" s="167" t="str">
        <v/>
      </c>
      <c r="F775" s="167" t="str">
        <v/>
      </c>
      <c r="G775" s="167" t="str">
        <v/>
      </c>
      <c r="H775" s="167" t="str">
        <v/>
      </c>
      <c r="I775" s="167" t="str">
        <v/>
      </c>
      <c r="J775" s="167" t="str">
        <v/>
      </c>
      <c r="K775" s="167" t="str">
        <v/>
      </c>
      <c r="L775" s="167" t="str">
        <v/>
      </c>
      <c r="M775" s="167" t="str">
        <v/>
      </c>
      <c r="N775" s="167" t="str">
        <v/>
      </c>
      <c r="O775" s="167" t="str">
        <v/>
      </c>
      <c r="P775" s="167" t="str">
        <v/>
      </c>
    </row>
    <row r="776" spans="1:16" x14ac:dyDescent="0.2">
      <c r="A776" s="58" t="str">
        <v/>
      </c>
      <c r="B776" s="144" t="str">
        <f>IFERROR(TIMEVALUE(DaqBook_RAW_Data!Q766),IFERROR(TIMEVALUE(DaqBook_RAW_Data!A766),""))</f>
        <v/>
      </c>
      <c r="C776" s="167" t="str">
        <v/>
      </c>
      <c r="D776" s="167" t="str">
        <v/>
      </c>
      <c r="E776" s="167" t="str">
        <v/>
      </c>
      <c r="F776" s="167" t="str">
        <v/>
      </c>
      <c r="G776" s="167" t="str">
        <v/>
      </c>
      <c r="H776" s="167" t="str">
        <v/>
      </c>
      <c r="I776" s="167" t="str">
        <v/>
      </c>
      <c r="J776" s="167" t="str">
        <v/>
      </c>
      <c r="K776" s="167" t="str">
        <v/>
      </c>
      <c r="L776" s="167" t="str">
        <v/>
      </c>
      <c r="M776" s="167" t="str">
        <v/>
      </c>
      <c r="N776" s="167" t="str">
        <v/>
      </c>
      <c r="O776" s="167" t="str">
        <v/>
      </c>
      <c r="P776" s="167" t="str">
        <v/>
      </c>
    </row>
    <row r="777" spans="1:16" x14ac:dyDescent="0.2">
      <c r="A777" s="58" t="str">
        <v/>
      </c>
      <c r="B777" s="144" t="str">
        <f>IFERROR(TIMEVALUE(DaqBook_RAW_Data!Q767),IFERROR(TIMEVALUE(DaqBook_RAW_Data!A767),""))</f>
        <v/>
      </c>
      <c r="C777" s="167" t="str">
        <v/>
      </c>
      <c r="D777" s="167" t="str">
        <v/>
      </c>
      <c r="E777" s="167" t="str">
        <v/>
      </c>
      <c r="F777" s="167" t="str">
        <v/>
      </c>
      <c r="G777" s="167" t="str">
        <v/>
      </c>
      <c r="H777" s="167" t="str">
        <v/>
      </c>
      <c r="I777" s="167" t="str">
        <v/>
      </c>
      <c r="J777" s="167" t="str">
        <v/>
      </c>
      <c r="K777" s="167" t="str">
        <v/>
      </c>
      <c r="L777" s="167" t="str">
        <v/>
      </c>
      <c r="M777" s="167" t="str">
        <v/>
      </c>
      <c r="N777" s="167" t="str">
        <v/>
      </c>
      <c r="O777" s="167" t="str">
        <v/>
      </c>
      <c r="P777" s="167" t="str">
        <v/>
      </c>
    </row>
    <row r="778" spans="1:16" x14ac:dyDescent="0.2">
      <c r="A778" s="58" t="str">
        <v/>
      </c>
      <c r="B778" s="144" t="str">
        <f>IFERROR(TIMEVALUE(DaqBook_RAW_Data!Q768),IFERROR(TIMEVALUE(DaqBook_RAW_Data!A768),""))</f>
        <v/>
      </c>
      <c r="C778" s="167" t="str">
        <v/>
      </c>
      <c r="D778" s="167" t="str">
        <v/>
      </c>
      <c r="E778" s="167" t="str">
        <v/>
      </c>
      <c r="F778" s="167" t="str">
        <v/>
      </c>
      <c r="G778" s="167" t="str">
        <v/>
      </c>
      <c r="H778" s="167" t="str">
        <v/>
      </c>
      <c r="I778" s="167" t="str">
        <v/>
      </c>
      <c r="J778" s="167" t="str">
        <v/>
      </c>
      <c r="K778" s="167" t="str">
        <v/>
      </c>
      <c r="L778" s="167" t="str">
        <v/>
      </c>
      <c r="M778" s="167" t="str">
        <v/>
      </c>
      <c r="N778" s="167" t="str">
        <v/>
      </c>
      <c r="O778" s="167" t="str">
        <v/>
      </c>
      <c r="P778" s="167" t="str">
        <v/>
      </c>
    </row>
    <row r="779" spans="1:16" x14ac:dyDescent="0.2">
      <c r="A779" s="58" t="str">
        <v/>
      </c>
      <c r="B779" s="144" t="str">
        <f>IFERROR(TIMEVALUE(DaqBook_RAW_Data!Q769),IFERROR(TIMEVALUE(DaqBook_RAW_Data!A769),""))</f>
        <v/>
      </c>
      <c r="C779" s="167" t="str">
        <v/>
      </c>
      <c r="D779" s="167" t="str">
        <v/>
      </c>
      <c r="E779" s="167" t="str">
        <v/>
      </c>
      <c r="F779" s="167" t="str">
        <v/>
      </c>
      <c r="G779" s="167" t="str">
        <v/>
      </c>
      <c r="H779" s="167" t="str">
        <v/>
      </c>
      <c r="I779" s="167" t="str">
        <v/>
      </c>
      <c r="J779" s="167" t="str">
        <v/>
      </c>
      <c r="K779" s="167" t="str">
        <v/>
      </c>
      <c r="L779" s="167" t="str">
        <v/>
      </c>
      <c r="M779" s="167" t="str">
        <v/>
      </c>
      <c r="N779" s="167" t="str">
        <v/>
      </c>
      <c r="O779" s="167" t="str">
        <v/>
      </c>
      <c r="P779" s="167" t="str">
        <v/>
      </c>
    </row>
    <row r="780" spans="1:16" x14ac:dyDescent="0.2">
      <c r="A780" s="58" t="str">
        <v/>
      </c>
      <c r="B780" s="144" t="str">
        <f>IFERROR(TIMEVALUE(DaqBook_RAW_Data!Q770),IFERROR(TIMEVALUE(DaqBook_RAW_Data!A770),""))</f>
        <v/>
      </c>
      <c r="C780" s="167" t="str">
        <v/>
      </c>
      <c r="D780" s="167" t="str">
        <v/>
      </c>
      <c r="E780" s="167" t="str">
        <v/>
      </c>
      <c r="F780" s="167" t="str">
        <v/>
      </c>
      <c r="G780" s="167" t="str">
        <v/>
      </c>
      <c r="H780" s="167" t="str">
        <v/>
      </c>
      <c r="I780" s="167" t="str">
        <v/>
      </c>
      <c r="J780" s="167" t="str">
        <v/>
      </c>
      <c r="K780" s="167" t="str">
        <v/>
      </c>
      <c r="L780" s="167" t="str">
        <v/>
      </c>
      <c r="M780" s="167" t="str">
        <v/>
      </c>
      <c r="N780" s="167" t="str">
        <v/>
      </c>
      <c r="O780" s="167" t="str">
        <v/>
      </c>
      <c r="P780" s="167" t="str">
        <v/>
      </c>
    </row>
    <row r="781" spans="1:16" x14ac:dyDescent="0.2">
      <c r="A781" s="58" t="str">
        <v/>
      </c>
      <c r="B781" s="144" t="str">
        <f>IFERROR(TIMEVALUE(DaqBook_RAW_Data!Q771),IFERROR(TIMEVALUE(DaqBook_RAW_Data!A771),""))</f>
        <v/>
      </c>
      <c r="C781" s="167" t="str">
        <v/>
      </c>
      <c r="D781" s="167" t="str">
        <v/>
      </c>
      <c r="E781" s="167" t="str">
        <v/>
      </c>
      <c r="F781" s="167" t="str">
        <v/>
      </c>
      <c r="G781" s="167" t="str">
        <v/>
      </c>
      <c r="H781" s="167" t="str">
        <v/>
      </c>
      <c r="I781" s="167" t="str">
        <v/>
      </c>
      <c r="J781" s="167" t="str">
        <v/>
      </c>
      <c r="K781" s="167" t="str">
        <v/>
      </c>
      <c r="L781" s="167" t="str">
        <v/>
      </c>
      <c r="M781" s="167" t="str">
        <v/>
      </c>
      <c r="N781" s="167" t="str">
        <v/>
      </c>
      <c r="O781" s="167" t="str">
        <v/>
      </c>
      <c r="P781" s="167" t="str">
        <v/>
      </c>
    </row>
    <row r="782" spans="1:16" x14ac:dyDescent="0.2">
      <c r="A782" s="58" t="str">
        <v/>
      </c>
      <c r="B782" s="144" t="str">
        <f>IFERROR(TIMEVALUE(DaqBook_RAW_Data!Q772),IFERROR(TIMEVALUE(DaqBook_RAW_Data!A772),""))</f>
        <v/>
      </c>
      <c r="C782" s="167" t="str">
        <v/>
      </c>
      <c r="D782" s="167" t="str">
        <v/>
      </c>
      <c r="E782" s="167" t="str">
        <v/>
      </c>
      <c r="F782" s="167" t="str">
        <v/>
      </c>
      <c r="G782" s="167" t="str">
        <v/>
      </c>
      <c r="H782" s="167" t="str">
        <v/>
      </c>
      <c r="I782" s="167" t="str">
        <v/>
      </c>
      <c r="J782" s="167" t="str">
        <v/>
      </c>
      <c r="K782" s="167" t="str">
        <v/>
      </c>
      <c r="L782" s="167" t="str">
        <v/>
      </c>
      <c r="M782" s="167" t="str">
        <v/>
      </c>
      <c r="N782" s="167" t="str">
        <v/>
      </c>
      <c r="O782" s="167" t="str">
        <v/>
      </c>
      <c r="P782" s="167" t="str">
        <v/>
      </c>
    </row>
    <row r="783" spans="1:16" x14ac:dyDescent="0.2">
      <c r="A783" s="58" t="str">
        <v/>
      </c>
      <c r="B783" s="144" t="str">
        <f>IFERROR(TIMEVALUE(DaqBook_RAW_Data!Q773),IFERROR(TIMEVALUE(DaqBook_RAW_Data!A773),""))</f>
        <v/>
      </c>
      <c r="C783" s="167" t="str">
        <v/>
      </c>
      <c r="D783" s="167" t="str">
        <v/>
      </c>
      <c r="E783" s="167" t="str">
        <v/>
      </c>
      <c r="F783" s="167" t="str">
        <v/>
      </c>
      <c r="G783" s="167" t="str">
        <v/>
      </c>
      <c r="H783" s="167" t="str">
        <v/>
      </c>
      <c r="I783" s="167" t="str">
        <v/>
      </c>
      <c r="J783" s="167" t="str">
        <v/>
      </c>
      <c r="K783" s="167" t="str">
        <v/>
      </c>
      <c r="L783" s="167" t="str">
        <v/>
      </c>
      <c r="M783" s="167" t="str">
        <v/>
      </c>
      <c r="N783" s="167" t="str">
        <v/>
      </c>
      <c r="O783" s="167" t="str">
        <v/>
      </c>
      <c r="P783" s="167" t="str">
        <v/>
      </c>
    </row>
    <row r="784" spans="1:16" x14ac:dyDescent="0.2">
      <c r="A784" s="58" t="str">
        <v/>
      </c>
      <c r="B784" s="144" t="str">
        <f>IFERROR(TIMEVALUE(DaqBook_RAW_Data!Q774),IFERROR(TIMEVALUE(DaqBook_RAW_Data!A774),""))</f>
        <v/>
      </c>
      <c r="C784" s="167" t="str">
        <v/>
      </c>
      <c r="D784" s="167" t="str">
        <v/>
      </c>
      <c r="E784" s="167" t="str">
        <v/>
      </c>
      <c r="F784" s="167" t="str">
        <v/>
      </c>
      <c r="G784" s="167" t="str">
        <v/>
      </c>
      <c r="H784" s="167" t="str">
        <v/>
      </c>
      <c r="I784" s="167" t="str">
        <v/>
      </c>
      <c r="J784" s="167" t="str">
        <v/>
      </c>
      <c r="K784" s="167" t="str">
        <v/>
      </c>
      <c r="L784" s="167" t="str">
        <v/>
      </c>
      <c r="M784" s="167" t="str">
        <v/>
      </c>
      <c r="N784" s="167" t="str">
        <v/>
      </c>
      <c r="O784" s="167" t="str">
        <v/>
      </c>
      <c r="P784" s="167" t="str">
        <v/>
      </c>
    </row>
    <row r="785" spans="1:16" x14ac:dyDescent="0.2">
      <c r="A785" s="58" t="str">
        <v/>
      </c>
      <c r="B785" s="144" t="str">
        <f>IFERROR(TIMEVALUE(DaqBook_RAW_Data!Q775),IFERROR(TIMEVALUE(DaqBook_RAW_Data!A775),""))</f>
        <v/>
      </c>
      <c r="C785" s="167" t="str">
        <v/>
      </c>
      <c r="D785" s="167" t="str">
        <v/>
      </c>
      <c r="E785" s="167" t="str">
        <v/>
      </c>
      <c r="F785" s="167" t="str">
        <v/>
      </c>
      <c r="G785" s="167" t="str">
        <v/>
      </c>
      <c r="H785" s="167" t="str">
        <v/>
      </c>
      <c r="I785" s="167" t="str">
        <v/>
      </c>
      <c r="J785" s="167" t="str">
        <v/>
      </c>
      <c r="K785" s="167" t="str">
        <v/>
      </c>
      <c r="L785" s="167" t="str">
        <v/>
      </c>
      <c r="M785" s="167" t="str">
        <v/>
      </c>
      <c r="N785" s="167" t="str">
        <v/>
      </c>
      <c r="O785" s="167" t="str">
        <v/>
      </c>
      <c r="P785" s="167" t="str">
        <v/>
      </c>
    </row>
    <row r="786" spans="1:16" x14ac:dyDescent="0.2">
      <c r="A786" s="58" t="str">
        <v/>
      </c>
      <c r="B786" s="144" t="str">
        <f>IFERROR(TIMEVALUE(DaqBook_RAW_Data!Q776),IFERROR(TIMEVALUE(DaqBook_RAW_Data!A776),""))</f>
        <v/>
      </c>
      <c r="C786" s="167" t="str">
        <v/>
      </c>
      <c r="D786" s="167" t="str">
        <v/>
      </c>
      <c r="E786" s="167" t="str">
        <v/>
      </c>
      <c r="F786" s="167" t="str">
        <v/>
      </c>
      <c r="G786" s="167" t="str">
        <v/>
      </c>
      <c r="H786" s="167" t="str">
        <v/>
      </c>
      <c r="I786" s="167" t="str">
        <v/>
      </c>
      <c r="J786" s="167" t="str">
        <v/>
      </c>
      <c r="K786" s="167" t="str">
        <v/>
      </c>
      <c r="L786" s="167" t="str">
        <v/>
      </c>
      <c r="M786" s="167" t="str">
        <v/>
      </c>
      <c r="N786" s="167" t="str">
        <v/>
      </c>
      <c r="O786" s="167" t="str">
        <v/>
      </c>
      <c r="P786" s="167" t="str">
        <v/>
      </c>
    </row>
    <row r="787" spans="1:16" x14ac:dyDescent="0.2">
      <c r="A787" s="58" t="str">
        <v/>
      </c>
      <c r="B787" s="144" t="str">
        <f>IFERROR(TIMEVALUE(DaqBook_RAW_Data!Q777),IFERROR(TIMEVALUE(DaqBook_RAW_Data!A777),""))</f>
        <v/>
      </c>
      <c r="C787" s="167" t="str">
        <v/>
      </c>
      <c r="D787" s="167" t="str">
        <v/>
      </c>
      <c r="E787" s="167" t="str">
        <v/>
      </c>
      <c r="F787" s="167" t="str">
        <v/>
      </c>
      <c r="G787" s="167" t="str">
        <v/>
      </c>
      <c r="H787" s="167" t="str">
        <v/>
      </c>
      <c r="I787" s="167" t="str">
        <v/>
      </c>
      <c r="J787" s="167" t="str">
        <v/>
      </c>
      <c r="K787" s="167" t="str">
        <v/>
      </c>
      <c r="L787" s="167" t="str">
        <v/>
      </c>
      <c r="M787" s="167" t="str">
        <v/>
      </c>
      <c r="N787" s="167" t="str">
        <v/>
      </c>
      <c r="O787" s="167" t="str">
        <v/>
      </c>
      <c r="P787" s="167" t="str">
        <v/>
      </c>
    </row>
    <row r="788" spans="1:16" x14ac:dyDescent="0.2">
      <c r="A788" s="58" t="str">
        <v/>
      </c>
      <c r="B788" s="144" t="str">
        <f>IFERROR(TIMEVALUE(DaqBook_RAW_Data!Q778),IFERROR(TIMEVALUE(DaqBook_RAW_Data!A778),""))</f>
        <v/>
      </c>
      <c r="C788" s="167" t="str">
        <v/>
      </c>
      <c r="D788" s="167" t="str">
        <v/>
      </c>
      <c r="E788" s="167" t="str">
        <v/>
      </c>
      <c r="F788" s="167" t="str">
        <v/>
      </c>
      <c r="G788" s="167" t="str">
        <v/>
      </c>
      <c r="H788" s="167" t="str">
        <v/>
      </c>
      <c r="I788" s="167" t="str">
        <v/>
      </c>
      <c r="J788" s="167" t="str">
        <v/>
      </c>
      <c r="K788" s="167" t="str">
        <v/>
      </c>
      <c r="L788" s="167" t="str">
        <v/>
      </c>
      <c r="M788" s="167" t="str">
        <v/>
      </c>
      <c r="N788" s="167" t="str">
        <v/>
      </c>
      <c r="O788" s="167" t="str">
        <v/>
      </c>
      <c r="P788" s="167" t="str">
        <v/>
      </c>
    </row>
    <row r="789" spans="1:16" x14ac:dyDescent="0.2">
      <c r="A789" s="58" t="str">
        <v/>
      </c>
      <c r="B789" s="144" t="str">
        <f>IFERROR(TIMEVALUE(DaqBook_RAW_Data!Q779),IFERROR(TIMEVALUE(DaqBook_RAW_Data!A779),""))</f>
        <v/>
      </c>
      <c r="C789" s="167" t="str">
        <v/>
      </c>
      <c r="D789" s="167" t="str">
        <v/>
      </c>
      <c r="E789" s="167" t="str">
        <v/>
      </c>
      <c r="F789" s="167" t="str">
        <v/>
      </c>
      <c r="G789" s="167" t="str">
        <v/>
      </c>
      <c r="H789" s="167" t="str">
        <v/>
      </c>
      <c r="I789" s="167" t="str">
        <v/>
      </c>
      <c r="J789" s="167" t="str">
        <v/>
      </c>
      <c r="K789" s="167" t="str">
        <v/>
      </c>
      <c r="L789" s="167" t="str">
        <v/>
      </c>
      <c r="M789" s="167" t="str">
        <v/>
      </c>
      <c r="N789" s="167" t="str">
        <v/>
      </c>
      <c r="O789" s="167" t="str">
        <v/>
      </c>
      <c r="P789" s="167" t="str">
        <v/>
      </c>
    </row>
    <row r="790" spans="1:16" x14ac:dyDescent="0.2">
      <c r="A790" s="58" t="str">
        <v/>
      </c>
      <c r="B790" s="144" t="str">
        <f>IFERROR(TIMEVALUE(DaqBook_RAW_Data!Q780),IFERROR(TIMEVALUE(DaqBook_RAW_Data!A780),""))</f>
        <v/>
      </c>
      <c r="C790" s="167" t="str">
        <v/>
      </c>
      <c r="D790" s="167" t="str">
        <v/>
      </c>
      <c r="E790" s="167" t="str">
        <v/>
      </c>
      <c r="F790" s="167" t="str">
        <v/>
      </c>
      <c r="G790" s="167" t="str">
        <v/>
      </c>
      <c r="H790" s="167" t="str">
        <v/>
      </c>
      <c r="I790" s="167" t="str">
        <v/>
      </c>
      <c r="J790" s="167" t="str">
        <v/>
      </c>
      <c r="K790" s="167" t="str">
        <v/>
      </c>
      <c r="L790" s="167" t="str">
        <v/>
      </c>
      <c r="M790" s="167" t="str">
        <v/>
      </c>
      <c r="N790" s="167" t="str">
        <v/>
      </c>
      <c r="O790" s="167" t="str">
        <v/>
      </c>
      <c r="P790" s="167" t="str">
        <v/>
      </c>
    </row>
    <row r="791" spans="1:16" x14ac:dyDescent="0.2">
      <c r="A791" s="58" t="str">
        <v/>
      </c>
      <c r="B791" s="144" t="str">
        <f>IFERROR(TIMEVALUE(DaqBook_RAW_Data!Q781),IFERROR(TIMEVALUE(DaqBook_RAW_Data!A781),""))</f>
        <v/>
      </c>
      <c r="C791" s="167" t="str">
        <v/>
      </c>
      <c r="D791" s="167" t="str">
        <v/>
      </c>
      <c r="E791" s="167" t="str">
        <v/>
      </c>
      <c r="F791" s="167" t="str">
        <v/>
      </c>
      <c r="G791" s="167" t="str">
        <v/>
      </c>
      <c r="H791" s="167" t="str">
        <v/>
      </c>
      <c r="I791" s="167" t="str">
        <v/>
      </c>
      <c r="J791" s="167" t="str">
        <v/>
      </c>
      <c r="K791" s="167" t="str">
        <v/>
      </c>
      <c r="L791" s="167" t="str">
        <v/>
      </c>
      <c r="M791" s="167" t="str">
        <v/>
      </c>
      <c r="N791" s="167" t="str">
        <v/>
      </c>
      <c r="O791" s="167" t="str">
        <v/>
      </c>
      <c r="P791" s="167" t="str">
        <v/>
      </c>
    </row>
    <row r="792" spans="1:16" x14ac:dyDescent="0.2">
      <c r="A792" s="58" t="str">
        <v/>
      </c>
      <c r="B792" s="144" t="str">
        <f>IFERROR(TIMEVALUE(DaqBook_RAW_Data!Q782),IFERROR(TIMEVALUE(DaqBook_RAW_Data!A782),""))</f>
        <v/>
      </c>
      <c r="C792" s="167" t="str">
        <v/>
      </c>
      <c r="D792" s="167" t="str">
        <v/>
      </c>
      <c r="E792" s="167" t="str">
        <v/>
      </c>
      <c r="F792" s="167" t="str">
        <v/>
      </c>
      <c r="G792" s="167" t="str">
        <v/>
      </c>
      <c r="H792" s="167" t="str">
        <v/>
      </c>
      <c r="I792" s="167" t="str">
        <v/>
      </c>
      <c r="J792" s="167" t="str">
        <v/>
      </c>
      <c r="K792" s="167" t="str">
        <v/>
      </c>
      <c r="L792" s="167" t="str">
        <v/>
      </c>
      <c r="M792" s="167" t="str">
        <v/>
      </c>
      <c r="N792" s="167" t="str">
        <v/>
      </c>
      <c r="O792" s="167" t="str">
        <v/>
      </c>
      <c r="P792" s="167" t="str">
        <v/>
      </c>
    </row>
    <row r="793" spans="1:16" x14ac:dyDescent="0.2">
      <c r="A793" s="58" t="str">
        <v/>
      </c>
      <c r="B793" s="144" t="str">
        <f>IFERROR(TIMEVALUE(DaqBook_RAW_Data!Q783),IFERROR(TIMEVALUE(DaqBook_RAW_Data!A783),""))</f>
        <v/>
      </c>
      <c r="C793" s="167" t="str">
        <v/>
      </c>
      <c r="D793" s="167" t="str">
        <v/>
      </c>
      <c r="E793" s="167" t="str">
        <v/>
      </c>
      <c r="F793" s="167" t="str">
        <v/>
      </c>
      <c r="G793" s="167" t="str">
        <v/>
      </c>
      <c r="H793" s="167" t="str">
        <v/>
      </c>
      <c r="I793" s="167" t="str">
        <v/>
      </c>
      <c r="J793" s="167" t="str">
        <v/>
      </c>
      <c r="K793" s="167" t="str">
        <v/>
      </c>
      <c r="L793" s="167" t="str">
        <v/>
      </c>
      <c r="M793" s="167" t="str">
        <v/>
      </c>
      <c r="N793" s="167" t="str">
        <v/>
      </c>
      <c r="O793" s="167" t="str">
        <v/>
      </c>
      <c r="P793" s="167" t="str">
        <v/>
      </c>
    </row>
    <row r="794" spans="1:16" x14ac:dyDescent="0.2">
      <c r="A794" s="58" t="str">
        <v/>
      </c>
      <c r="B794" s="144" t="str">
        <f>IFERROR(TIMEVALUE(DaqBook_RAW_Data!Q784),IFERROR(TIMEVALUE(DaqBook_RAW_Data!A784),""))</f>
        <v/>
      </c>
      <c r="C794" s="167" t="str">
        <v/>
      </c>
      <c r="D794" s="167" t="str">
        <v/>
      </c>
      <c r="E794" s="167" t="str">
        <v/>
      </c>
      <c r="F794" s="167" t="str">
        <v/>
      </c>
      <c r="G794" s="167" t="str">
        <v/>
      </c>
      <c r="H794" s="167" t="str">
        <v/>
      </c>
      <c r="I794" s="167" t="str">
        <v/>
      </c>
      <c r="J794" s="167" t="str">
        <v/>
      </c>
      <c r="K794" s="167" t="str">
        <v/>
      </c>
      <c r="L794" s="167" t="str">
        <v/>
      </c>
      <c r="M794" s="167" t="str">
        <v/>
      </c>
      <c r="N794" s="167" t="str">
        <v/>
      </c>
      <c r="O794" s="167" t="str">
        <v/>
      </c>
      <c r="P794" s="167" t="str">
        <v/>
      </c>
    </row>
    <row r="795" spans="1:16" x14ac:dyDescent="0.2">
      <c r="A795" s="58" t="str">
        <v/>
      </c>
      <c r="B795" s="144" t="str">
        <f>IFERROR(TIMEVALUE(DaqBook_RAW_Data!Q785),IFERROR(TIMEVALUE(DaqBook_RAW_Data!A785),""))</f>
        <v/>
      </c>
      <c r="C795" s="167" t="str">
        <v/>
      </c>
      <c r="D795" s="167" t="str">
        <v/>
      </c>
      <c r="E795" s="167" t="str">
        <v/>
      </c>
      <c r="F795" s="167" t="str">
        <v/>
      </c>
      <c r="G795" s="167" t="str">
        <v/>
      </c>
      <c r="H795" s="167" t="str">
        <v/>
      </c>
      <c r="I795" s="167" t="str">
        <v/>
      </c>
      <c r="J795" s="167" t="str">
        <v/>
      </c>
      <c r="K795" s="167" t="str">
        <v/>
      </c>
      <c r="L795" s="167" t="str">
        <v/>
      </c>
      <c r="M795" s="167" t="str">
        <v/>
      </c>
      <c r="N795" s="167" t="str">
        <v/>
      </c>
      <c r="O795" s="167" t="str">
        <v/>
      </c>
      <c r="P795" s="167" t="str">
        <v/>
      </c>
    </row>
    <row r="796" spans="1:16" x14ac:dyDescent="0.2">
      <c r="A796" s="58" t="str">
        <v/>
      </c>
      <c r="B796" s="144" t="str">
        <f>IFERROR(TIMEVALUE(DaqBook_RAW_Data!Q786),IFERROR(TIMEVALUE(DaqBook_RAW_Data!A786),""))</f>
        <v/>
      </c>
      <c r="C796" s="167" t="str">
        <v/>
      </c>
      <c r="D796" s="167" t="str">
        <v/>
      </c>
      <c r="E796" s="167" t="str">
        <v/>
      </c>
      <c r="F796" s="167" t="str">
        <v/>
      </c>
      <c r="G796" s="167" t="str">
        <v/>
      </c>
      <c r="H796" s="167" t="str">
        <v/>
      </c>
      <c r="I796" s="167" t="str">
        <v/>
      </c>
      <c r="J796" s="167" t="str">
        <v/>
      </c>
      <c r="K796" s="167" t="str">
        <v/>
      </c>
      <c r="L796" s="167" t="str">
        <v/>
      </c>
      <c r="M796" s="167" t="str">
        <v/>
      </c>
      <c r="N796" s="167" t="str">
        <v/>
      </c>
      <c r="O796" s="167" t="str">
        <v/>
      </c>
      <c r="P796" s="167" t="str">
        <v/>
      </c>
    </row>
    <row r="797" spans="1:16" x14ac:dyDescent="0.2">
      <c r="A797" s="58" t="str">
        <v/>
      </c>
      <c r="B797" s="144" t="str">
        <f>IFERROR(TIMEVALUE(DaqBook_RAW_Data!Q787),IFERROR(TIMEVALUE(DaqBook_RAW_Data!A787),""))</f>
        <v/>
      </c>
      <c r="C797" s="167" t="str">
        <v/>
      </c>
      <c r="D797" s="167" t="str">
        <v/>
      </c>
      <c r="E797" s="167" t="str">
        <v/>
      </c>
      <c r="F797" s="167" t="str">
        <v/>
      </c>
      <c r="G797" s="167" t="str">
        <v/>
      </c>
      <c r="H797" s="167" t="str">
        <v/>
      </c>
      <c r="I797" s="167" t="str">
        <v/>
      </c>
      <c r="J797" s="167" t="str">
        <v/>
      </c>
      <c r="K797" s="167" t="str">
        <v/>
      </c>
      <c r="L797" s="167" t="str">
        <v/>
      </c>
      <c r="M797" s="167" t="str">
        <v/>
      </c>
      <c r="N797" s="167" t="str">
        <v/>
      </c>
      <c r="O797" s="167" t="str">
        <v/>
      </c>
      <c r="P797" s="167" t="str">
        <v/>
      </c>
    </row>
    <row r="798" spans="1:16" x14ac:dyDescent="0.2">
      <c r="A798" s="58" t="str">
        <v/>
      </c>
      <c r="B798" s="144" t="str">
        <f>IFERROR(TIMEVALUE(DaqBook_RAW_Data!Q788),IFERROR(TIMEVALUE(DaqBook_RAW_Data!A788),""))</f>
        <v/>
      </c>
      <c r="C798" s="167" t="str">
        <v/>
      </c>
      <c r="D798" s="167" t="str">
        <v/>
      </c>
      <c r="E798" s="167" t="str">
        <v/>
      </c>
      <c r="F798" s="167" t="str">
        <v/>
      </c>
      <c r="G798" s="167" t="str">
        <v/>
      </c>
      <c r="H798" s="167" t="str">
        <v/>
      </c>
      <c r="I798" s="167" t="str">
        <v/>
      </c>
      <c r="J798" s="167" t="str">
        <v/>
      </c>
      <c r="K798" s="167" t="str">
        <v/>
      </c>
      <c r="L798" s="167" t="str">
        <v/>
      </c>
      <c r="M798" s="167" t="str">
        <v/>
      </c>
      <c r="N798" s="167" t="str">
        <v/>
      </c>
      <c r="O798" s="167" t="str">
        <v/>
      </c>
      <c r="P798" s="167" t="str">
        <v/>
      </c>
    </row>
    <row r="799" spans="1:16" x14ac:dyDescent="0.2">
      <c r="A799" s="58" t="str">
        <v/>
      </c>
      <c r="B799" s="144" t="str">
        <f>IFERROR(TIMEVALUE(DaqBook_RAW_Data!Q789),IFERROR(TIMEVALUE(DaqBook_RAW_Data!A789),""))</f>
        <v/>
      </c>
      <c r="C799" s="167" t="str">
        <v/>
      </c>
      <c r="D799" s="167" t="str">
        <v/>
      </c>
      <c r="E799" s="167" t="str">
        <v/>
      </c>
      <c r="F799" s="167" t="str">
        <v/>
      </c>
      <c r="G799" s="167" t="str">
        <v/>
      </c>
      <c r="H799" s="167" t="str">
        <v/>
      </c>
      <c r="I799" s="167" t="str">
        <v/>
      </c>
      <c r="J799" s="167" t="str">
        <v/>
      </c>
      <c r="K799" s="167" t="str">
        <v/>
      </c>
      <c r="L799" s="167" t="str">
        <v/>
      </c>
      <c r="M799" s="167" t="str">
        <v/>
      </c>
      <c r="N799" s="167" t="str">
        <v/>
      </c>
      <c r="O799" s="167" t="str">
        <v/>
      </c>
      <c r="P799" s="167" t="str">
        <v/>
      </c>
    </row>
    <row r="800" spans="1:16" x14ac:dyDescent="0.2">
      <c r="A800" s="58" t="str">
        <v/>
      </c>
      <c r="B800" s="144" t="str">
        <f>IFERROR(TIMEVALUE(DaqBook_RAW_Data!Q790),IFERROR(TIMEVALUE(DaqBook_RAW_Data!A790),""))</f>
        <v/>
      </c>
      <c r="C800" s="167" t="str">
        <v/>
      </c>
      <c r="D800" s="167" t="str">
        <v/>
      </c>
      <c r="E800" s="167" t="str">
        <v/>
      </c>
      <c r="F800" s="167" t="str">
        <v/>
      </c>
      <c r="G800" s="167" t="str">
        <v/>
      </c>
      <c r="H800" s="167" t="str">
        <v/>
      </c>
      <c r="I800" s="167" t="str">
        <v/>
      </c>
      <c r="J800" s="167" t="str">
        <v/>
      </c>
      <c r="K800" s="167" t="str">
        <v/>
      </c>
      <c r="L800" s="167" t="str">
        <v/>
      </c>
      <c r="M800" s="167" t="str">
        <v/>
      </c>
      <c r="N800" s="167" t="str">
        <v/>
      </c>
      <c r="O800" s="167" t="str">
        <v/>
      </c>
      <c r="P800" s="167" t="str">
        <v/>
      </c>
    </row>
    <row r="801" spans="1:16" x14ac:dyDescent="0.2">
      <c r="A801" s="58" t="str">
        <v/>
      </c>
      <c r="B801" s="144" t="str">
        <f>IFERROR(TIMEVALUE(DaqBook_RAW_Data!Q791),IFERROR(TIMEVALUE(DaqBook_RAW_Data!A791),""))</f>
        <v/>
      </c>
      <c r="C801" s="167" t="str">
        <v/>
      </c>
      <c r="D801" s="167" t="str">
        <v/>
      </c>
      <c r="E801" s="167" t="str">
        <v/>
      </c>
      <c r="F801" s="167" t="str">
        <v/>
      </c>
      <c r="G801" s="167" t="str">
        <v/>
      </c>
      <c r="H801" s="167" t="str">
        <v/>
      </c>
      <c r="I801" s="167" t="str">
        <v/>
      </c>
      <c r="J801" s="167" t="str">
        <v/>
      </c>
      <c r="K801" s="167" t="str">
        <v/>
      </c>
      <c r="L801" s="167" t="str">
        <v/>
      </c>
      <c r="M801" s="167" t="str">
        <v/>
      </c>
      <c r="N801" s="167" t="str">
        <v/>
      </c>
      <c r="O801" s="167" t="str">
        <v/>
      </c>
      <c r="P801" s="167" t="str">
        <v/>
      </c>
    </row>
    <row r="802" spans="1:16" x14ac:dyDescent="0.2">
      <c r="A802" s="58" t="str">
        <v/>
      </c>
      <c r="B802" s="144" t="str">
        <f>IFERROR(TIMEVALUE(DaqBook_RAW_Data!Q792),IFERROR(TIMEVALUE(DaqBook_RAW_Data!A792),""))</f>
        <v/>
      </c>
      <c r="C802" s="167" t="str">
        <v/>
      </c>
      <c r="D802" s="167" t="str">
        <v/>
      </c>
      <c r="E802" s="167" t="str">
        <v/>
      </c>
      <c r="F802" s="167" t="str">
        <v/>
      </c>
      <c r="G802" s="167" t="str">
        <v/>
      </c>
      <c r="H802" s="167" t="str">
        <v/>
      </c>
      <c r="I802" s="167" t="str">
        <v/>
      </c>
      <c r="J802" s="167" t="str">
        <v/>
      </c>
      <c r="K802" s="167" t="str">
        <v/>
      </c>
      <c r="L802" s="167" t="str">
        <v/>
      </c>
      <c r="M802" s="167" t="str">
        <v/>
      </c>
      <c r="N802" s="167" t="str">
        <v/>
      </c>
      <c r="O802" s="167" t="str">
        <v/>
      </c>
      <c r="P802" s="167" t="str">
        <v/>
      </c>
    </row>
    <row r="803" spans="1:16" x14ac:dyDescent="0.2">
      <c r="A803" s="58" t="str">
        <v/>
      </c>
      <c r="B803" s="144" t="str">
        <f>IFERROR(TIMEVALUE(DaqBook_RAW_Data!Q793),IFERROR(TIMEVALUE(DaqBook_RAW_Data!A793),""))</f>
        <v/>
      </c>
      <c r="C803" s="167" t="str">
        <v/>
      </c>
      <c r="D803" s="167" t="str">
        <v/>
      </c>
      <c r="E803" s="167" t="str">
        <v/>
      </c>
      <c r="F803" s="167" t="str">
        <v/>
      </c>
      <c r="G803" s="167" t="str">
        <v/>
      </c>
      <c r="H803" s="167" t="str">
        <v/>
      </c>
      <c r="I803" s="167" t="str">
        <v/>
      </c>
      <c r="J803" s="167" t="str">
        <v/>
      </c>
      <c r="K803" s="167" t="str">
        <v/>
      </c>
      <c r="L803" s="167" t="str">
        <v/>
      </c>
      <c r="M803" s="167" t="str">
        <v/>
      </c>
      <c r="N803" s="167" t="str">
        <v/>
      </c>
      <c r="O803" s="167" t="str">
        <v/>
      </c>
      <c r="P803" s="167" t="str">
        <v/>
      </c>
    </row>
    <row r="804" spans="1:16" x14ac:dyDescent="0.2">
      <c r="A804" s="58" t="str">
        <v/>
      </c>
      <c r="B804" s="144" t="str">
        <f>IFERROR(TIMEVALUE(DaqBook_RAW_Data!Q794),IFERROR(TIMEVALUE(DaqBook_RAW_Data!A794),""))</f>
        <v/>
      </c>
      <c r="C804" s="167" t="str">
        <v/>
      </c>
      <c r="D804" s="167" t="str">
        <v/>
      </c>
      <c r="E804" s="167" t="str">
        <v/>
      </c>
      <c r="F804" s="167" t="str">
        <v/>
      </c>
      <c r="G804" s="167" t="str">
        <v/>
      </c>
      <c r="H804" s="167" t="str">
        <v/>
      </c>
      <c r="I804" s="167" t="str">
        <v/>
      </c>
      <c r="J804" s="167" t="str">
        <v/>
      </c>
      <c r="K804" s="167" t="str">
        <v/>
      </c>
      <c r="L804" s="167" t="str">
        <v/>
      </c>
      <c r="M804" s="167" t="str">
        <v/>
      </c>
      <c r="N804" s="167" t="str">
        <v/>
      </c>
      <c r="O804" s="167" t="str">
        <v/>
      </c>
      <c r="P804" s="167" t="str">
        <v/>
      </c>
    </row>
    <row r="805" spans="1:16" x14ac:dyDescent="0.2">
      <c r="A805" s="58" t="str">
        <v/>
      </c>
      <c r="B805" s="144" t="str">
        <f>IFERROR(TIMEVALUE(DaqBook_RAW_Data!Q795),IFERROR(TIMEVALUE(DaqBook_RAW_Data!A795),""))</f>
        <v/>
      </c>
      <c r="C805" s="167" t="str">
        <v/>
      </c>
      <c r="D805" s="167" t="str">
        <v/>
      </c>
      <c r="E805" s="167" t="str">
        <v/>
      </c>
      <c r="F805" s="167" t="str">
        <v/>
      </c>
      <c r="G805" s="167" t="str">
        <v/>
      </c>
      <c r="H805" s="167" t="str">
        <v/>
      </c>
      <c r="I805" s="167" t="str">
        <v/>
      </c>
      <c r="J805" s="167" t="str">
        <v/>
      </c>
      <c r="K805" s="167" t="str">
        <v/>
      </c>
      <c r="L805" s="167" t="str">
        <v/>
      </c>
      <c r="M805" s="167" t="str">
        <v/>
      </c>
      <c r="N805" s="167" t="str">
        <v/>
      </c>
      <c r="O805" s="167" t="str">
        <v/>
      </c>
      <c r="P805" s="167" t="str">
        <v/>
      </c>
    </row>
    <row r="806" spans="1:16" x14ac:dyDescent="0.2">
      <c r="A806" s="58" t="str">
        <v/>
      </c>
      <c r="B806" s="144" t="str">
        <f>IFERROR(TIMEVALUE(DaqBook_RAW_Data!Q796),IFERROR(TIMEVALUE(DaqBook_RAW_Data!A796),""))</f>
        <v/>
      </c>
      <c r="C806" s="167" t="str">
        <v/>
      </c>
      <c r="D806" s="167" t="str">
        <v/>
      </c>
      <c r="E806" s="167" t="str">
        <v/>
      </c>
      <c r="F806" s="167" t="str">
        <v/>
      </c>
      <c r="G806" s="167" t="str">
        <v/>
      </c>
      <c r="H806" s="167" t="str">
        <v/>
      </c>
      <c r="I806" s="167" t="str">
        <v/>
      </c>
      <c r="J806" s="167" t="str">
        <v/>
      </c>
      <c r="K806" s="167" t="str">
        <v/>
      </c>
      <c r="L806" s="167" t="str">
        <v/>
      </c>
      <c r="M806" s="167" t="str">
        <v/>
      </c>
      <c r="N806" s="167" t="str">
        <v/>
      </c>
      <c r="O806" s="167" t="str">
        <v/>
      </c>
      <c r="P806" s="167" t="str">
        <v/>
      </c>
    </row>
    <row r="807" spans="1:16" x14ac:dyDescent="0.2">
      <c r="A807" s="58" t="str">
        <v/>
      </c>
      <c r="B807" s="144" t="str">
        <f>IFERROR(TIMEVALUE(DaqBook_RAW_Data!Q797),IFERROR(TIMEVALUE(DaqBook_RAW_Data!A797),""))</f>
        <v/>
      </c>
      <c r="C807" s="167" t="str">
        <v/>
      </c>
      <c r="D807" s="167" t="str">
        <v/>
      </c>
      <c r="E807" s="167" t="str">
        <v/>
      </c>
      <c r="F807" s="167" t="str">
        <v/>
      </c>
      <c r="G807" s="167" t="str">
        <v/>
      </c>
      <c r="H807" s="167" t="str">
        <v/>
      </c>
      <c r="I807" s="167" t="str">
        <v/>
      </c>
      <c r="J807" s="167" t="str">
        <v/>
      </c>
      <c r="K807" s="167" t="str">
        <v/>
      </c>
      <c r="L807" s="167" t="str">
        <v/>
      </c>
      <c r="M807" s="167" t="str">
        <v/>
      </c>
      <c r="N807" s="167" t="str">
        <v/>
      </c>
      <c r="O807" s="167" t="str">
        <v/>
      </c>
      <c r="P807" s="167" t="str">
        <v/>
      </c>
    </row>
    <row r="808" spans="1:16" x14ac:dyDescent="0.2">
      <c r="A808" s="58" t="str">
        <v/>
      </c>
      <c r="B808" s="144" t="str">
        <f>IFERROR(TIMEVALUE(DaqBook_RAW_Data!Q798),IFERROR(TIMEVALUE(DaqBook_RAW_Data!A798),""))</f>
        <v/>
      </c>
      <c r="C808" s="167" t="str">
        <v/>
      </c>
      <c r="D808" s="167" t="str">
        <v/>
      </c>
      <c r="E808" s="167" t="str">
        <v/>
      </c>
      <c r="F808" s="167" t="str">
        <v/>
      </c>
      <c r="G808" s="167" t="str">
        <v/>
      </c>
      <c r="H808" s="167" t="str">
        <v/>
      </c>
      <c r="I808" s="167" t="str">
        <v/>
      </c>
      <c r="J808" s="167" t="str">
        <v/>
      </c>
      <c r="K808" s="167" t="str">
        <v/>
      </c>
      <c r="L808" s="167" t="str">
        <v/>
      </c>
      <c r="M808" s="167" t="str">
        <v/>
      </c>
      <c r="N808" s="167" t="str">
        <v/>
      </c>
      <c r="O808" s="167" t="str">
        <v/>
      </c>
      <c r="P808" s="167" t="str">
        <v/>
      </c>
    </row>
    <row r="809" spans="1:16" x14ac:dyDescent="0.2">
      <c r="A809" s="58" t="str">
        <v/>
      </c>
      <c r="B809" s="144" t="str">
        <f>IFERROR(TIMEVALUE(DaqBook_RAW_Data!Q799),IFERROR(TIMEVALUE(DaqBook_RAW_Data!A799),""))</f>
        <v/>
      </c>
      <c r="C809" s="167" t="str">
        <v/>
      </c>
      <c r="D809" s="167" t="str">
        <v/>
      </c>
      <c r="E809" s="167" t="str">
        <v/>
      </c>
      <c r="F809" s="167" t="str">
        <v/>
      </c>
      <c r="G809" s="167" t="str">
        <v/>
      </c>
      <c r="H809" s="167" t="str">
        <v/>
      </c>
      <c r="I809" s="167" t="str">
        <v/>
      </c>
      <c r="J809" s="167" t="str">
        <v/>
      </c>
      <c r="K809" s="167" t="str">
        <v/>
      </c>
      <c r="L809" s="167" t="str">
        <v/>
      </c>
      <c r="M809" s="167" t="str">
        <v/>
      </c>
      <c r="N809" s="167" t="str">
        <v/>
      </c>
      <c r="O809" s="167" t="str">
        <v/>
      </c>
      <c r="P809" s="167" t="str">
        <v/>
      </c>
    </row>
    <row r="810" spans="1:16" x14ac:dyDescent="0.2">
      <c r="A810" s="58" t="str">
        <v/>
      </c>
      <c r="B810" s="144" t="str">
        <f>IFERROR(TIMEVALUE(DaqBook_RAW_Data!Q800),IFERROR(TIMEVALUE(DaqBook_RAW_Data!A800),""))</f>
        <v/>
      </c>
      <c r="C810" s="167" t="str">
        <v/>
      </c>
      <c r="D810" s="167" t="str">
        <v/>
      </c>
      <c r="E810" s="167" t="str">
        <v/>
      </c>
      <c r="F810" s="167" t="str">
        <v/>
      </c>
      <c r="G810" s="167" t="str">
        <v/>
      </c>
      <c r="H810" s="167" t="str">
        <v/>
      </c>
      <c r="I810" s="167" t="str">
        <v/>
      </c>
      <c r="J810" s="167" t="str">
        <v/>
      </c>
      <c r="K810" s="167" t="str">
        <v/>
      </c>
      <c r="L810" s="167" t="str">
        <v/>
      </c>
      <c r="M810" s="167" t="str">
        <v/>
      </c>
      <c r="N810" s="167" t="str">
        <v/>
      </c>
      <c r="O810" s="167" t="str">
        <v/>
      </c>
      <c r="P810" s="167" t="str">
        <v/>
      </c>
    </row>
    <row r="811" spans="1:16" x14ac:dyDescent="0.2">
      <c r="A811" s="58" t="str">
        <v/>
      </c>
      <c r="B811" s="144" t="str">
        <f>IFERROR(TIMEVALUE(DaqBook_RAW_Data!Q801),IFERROR(TIMEVALUE(DaqBook_RAW_Data!A801),""))</f>
        <v/>
      </c>
      <c r="C811" s="167" t="str">
        <v/>
      </c>
      <c r="D811" s="167" t="str">
        <v/>
      </c>
      <c r="E811" s="167" t="str">
        <v/>
      </c>
      <c r="F811" s="167" t="str">
        <v/>
      </c>
      <c r="G811" s="167" t="str">
        <v/>
      </c>
      <c r="H811" s="167" t="str">
        <v/>
      </c>
      <c r="I811" s="167" t="str">
        <v/>
      </c>
      <c r="J811" s="167" t="str">
        <v/>
      </c>
      <c r="K811" s="167" t="str">
        <v/>
      </c>
      <c r="L811" s="167" t="str">
        <v/>
      </c>
      <c r="M811" s="167" t="str">
        <v/>
      </c>
      <c r="N811" s="167" t="str">
        <v/>
      </c>
      <c r="O811" s="167" t="str">
        <v/>
      </c>
      <c r="P811" s="167" t="str">
        <v/>
      </c>
    </row>
    <row r="812" spans="1:16" x14ac:dyDescent="0.2">
      <c r="A812" s="58" t="str">
        <v/>
      </c>
      <c r="B812" s="144" t="str">
        <f>IFERROR(TIMEVALUE(DaqBook_RAW_Data!Q802),IFERROR(TIMEVALUE(DaqBook_RAW_Data!A802),""))</f>
        <v/>
      </c>
      <c r="C812" s="167" t="str">
        <v/>
      </c>
      <c r="D812" s="167" t="str">
        <v/>
      </c>
      <c r="E812" s="167" t="str">
        <v/>
      </c>
      <c r="F812" s="167" t="str">
        <v/>
      </c>
      <c r="G812" s="167" t="str">
        <v/>
      </c>
      <c r="H812" s="167" t="str">
        <v/>
      </c>
      <c r="I812" s="167" t="str">
        <v/>
      </c>
      <c r="J812" s="167" t="str">
        <v/>
      </c>
      <c r="K812" s="167" t="str">
        <v/>
      </c>
      <c r="L812" s="167" t="str">
        <v/>
      </c>
      <c r="M812" s="167" t="str">
        <v/>
      </c>
      <c r="N812" s="167" t="str">
        <v/>
      </c>
      <c r="O812" s="167" t="str">
        <v/>
      </c>
      <c r="P812" s="167" t="str">
        <v/>
      </c>
    </row>
    <row r="813" spans="1:16" x14ac:dyDescent="0.2">
      <c r="A813" s="58" t="str">
        <v/>
      </c>
      <c r="B813" s="144" t="str">
        <f>IFERROR(TIMEVALUE(DaqBook_RAW_Data!Q803),IFERROR(TIMEVALUE(DaqBook_RAW_Data!A803),""))</f>
        <v/>
      </c>
      <c r="C813" s="167" t="str">
        <v/>
      </c>
      <c r="D813" s="167" t="str">
        <v/>
      </c>
      <c r="E813" s="167" t="str">
        <v/>
      </c>
      <c r="F813" s="167" t="str">
        <v/>
      </c>
      <c r="G813" s="167" t="str">
        <v/>
      </c>
      <c r="H813" s="167" t="str">
        <v/>
      </c>
      <c r="I813" s="167" t="str">
        <v/>
      </c>
      <c r="J813" s="167" t="str">
        <v/>
      </c>
      <c r="K813" s="167" t="str">
        <v/>
      </c>
      <c r="L813" s="167" t="str">
        <v/>
      </c>
      <c r="M813" s="167" t="str">
        <v/>
      </c>
      <c r="N813" s="167" t="str">
        <v/>
      </c>
      <c r="O813" s="167" t="str">
        <v/>
      </c>
      <c r="P813" s="167" t="str">
        <v/>
      </c>
    </row>
    <row r="814" spans="1:16" x14ac:dyDescent="0.2">
      <c r="A814" s="58" t="str">
        <v/>
      </c>
      <c r="B814" s="144" t="str">
        <f>IFERROR(TIMEVALUE(DaqBook_RAW_Data!Q804),IFERROR(TIMEVALUE(DaqBook_RAW_Data!A804),""))</f>
        <v/>
      </c>
      <c r="C814" s="167" t="str">
        <v/>
      </c>
      <c r="D814" s="167" t="str">
        <v/>
      </c>
      <c r="E814" s="167" t="str">
        <v/>
      </c>
      <c r="F814" s="167" t="str">
        <v/>
      </c>
      <c r="G814" s="167" t="str">
        <v/>
      </c>
      <c r="H814" s="167" t="str">
        <v/>
      </c>
      <c r="I814" s="167" t="str">
        <v/>
      </c>
      <c r="J814" s="167" t="str">
        <v/>
      </c>
      <c r="K814" s="167" t="str">
        <v/>
      </c>
      <c r="L814" s="167" t="str">
        <v/>
      </c>
      <c r="M814" s="167" t="str">
        <v/>
      </c>
      <c r="N814" s="167" t="str">
        <v/>
      </c>
      <c r="O814" s="167" t="str">
        <v/>
      </c>
      <c r="P814" s="167" t="str">
        <v/>
      </c>
    </row>
    <row r="815" spans="1:16" x14ac:dyDescent="0.2">
      <c r="A815" s="58" t="str">
        <v/>
      </c>
      <c r="B815" s="144" t="str">
        <f>IFERROR(TIMEVALUE(DaqBook_RAW_Data!Q805),IFERROR(TIMEVALUE(DaqBook_RAW_Data!A805),""))</f>
        <v/>
      </c>
      <c r="C815" s="167" t="str">
        <v/>
      </c>
      <c r="D815" s="167" t="str">
        <v/>
      </c>
      <c r="E815" s="167" t="str">
        <v/>
      </c>
      <c r="F815" s="167" t="str">
        <v/>
      </c>
      <c r="G815" s="167" t="str">
        <v/>
      </c>
      <c r="H815" s="167" t="str">
        <v/>
      </c>
      <c r="I815" s="167" t="str">
        <v/>
      </c>
      <c r="J815" s="167" t="str">
        <v/>
      </c>
      <c r="K815" s="167" t="str">
        <v/>
      </c>
      <c r="L815" s="167" t="str">
        <v/>
      </c>
      <c r="M815" s="167" t="str">
        <v/>
      </c>
      <c r="N815" s="167" t="str">
        <v/>
      </c>
      <c r="O815" s="167" t="str">
        <v/>
      </c>
      <c r="P815" s="167" t="str">
        <v/>
      </c>
    </row>
    <row r="816" spans="1:16" x14ac:dyDescent="0.2">
      <c r="A816" s="58" t="str">
        <v/>
      </c>
      <c r="B816" s="144" t="str">
        <f>IFERROR(TIMEVALUE(DaqBook_RAW_Data!Q806),IFERROR(TIMEVALUE(DaqBook_RAW_Data!A806),""))</f>
        <v/>
      </c>
      <c r="C816" s="167" t="str">
        <v/>
      </c>
      <c r="D816" s="167" t="str">
        <v/>
      </c>
      <c r="E816" s="167" t="str">
        <v/>
      </c>
      <c r="F816" s="167" t="str">
        <v/>
      </c>
      <c r="G816" s="167" t="str">
        <v/>
      </c>
      <c r="H816" s="167" t="str">
        <v/>
      </c>
      <c r="I816" s="167" t="str">
        <v/>
      </c>
      <c r="J816" s="167" t="str">
        <v/>
      </c>
      <c r="K816" s="167" t="str">
        <v/>
      </c>
      <c r="L816" s="167" t="str">
        <v/>
      </c>
      <c r="M816" s="167" t="str">
        <v/>
      </c>
      <c r="N816" s="167" t="str">
        <v/>
      </c>
      <c r="O816" s="167" t="str">
        <v/>
      </c>
      <c r="P816" s="167" t="str">
        <v/>
      </c>
    </row>
    <row r="817" spans="1:16" x14ac:dyDescent="0.2">
      <c r="A817" s="58" t="str">
        <v/>
      </c>
      <c r="B817" s="144" t="str">
        <f>IFERROR(TIMEVALUE(DaqBook_RAW_Data!Q807),IFERROR(TIMEVALUE(DaqBook_RAW_Data!A807),""))</f>
        <v/>
      </c>
      <c r="C817" s="167" t="str">
        <v/>
      </c>
      <c r="D817" s="167" t="str">
        <v/>
      </c>
      <c r="E817" s="167" t="str">
        <v/>
      </c>
      <c r="F817" s="167" t="str">
        <v/>
      </c>
      <c r="G817" s="167" t="str">
        <v/>
      </c>
      <c r="H817" s="167" t="str">
        <v/>
      </c>
      <c r="I817" s="167" t="str">
        <v/>
      </c>
      <c r="J817" s="167" t="str">
        <v/>
      </c>
      <c r="K817" s="167" t="str">
        <v/>
      </c>
      <c r="L817" s="167" t="str">
        <v/>
      </c>
      <c r="M817" s="167" t="str">
        <v/>
      </c>
      <c r="N817" s="167" t="str">
        <v/>
      </c>
      <c r="O817" s="167" t="str">
        <v/>
      </c>
      <c r="P817" s="167" t="str">
        <v/>
      </c>
    </row>
    <row r="818" spans="1:16" x14ac:dyDescent="0.2">
      <c r="A818" s="58" t="str">
        <v/>
      </c>
      <c r="B818" s="144" t="str">
        <f>IFERROR(TIMEVALUE(DaqBook_RAW_Data!Q808),IFERROR(TIMEVALUE(DaqBook_RAW_Data!A808),""))</f>
        <v/>
      </c>
      <c r="C818" s="167" t="str">
        <v/>
      </c>
      <c r="D818" s="167" t="str">
        <v/>
      </c>
      <c r="E818" s="167" t="str">
        <v/>
      </c>
      <c r="F818" s="167" t="str">
        <v/>
      </c>
      <c r="G818" s="167" t="str">
        <v/>
      </c>
      <c r="H818" s="167" t="str">
        <v/>
      </c>
      <c r="I818" s="167" t="str">
        <v/>
      </c>
      <c r="J818" s="167" t="str">
        <v/>
      </c>
      <c r="K818" s="167" t="str">
        <v/>
      </c>
      <c r="L818" s="167" t="str">
        <v/>
      </c>
      <c r="M818" s="167" t="str">
        <v/>
      </c>
      <c r="N818" s="167" t="str">
        <v/>
      </c>
      <c r="O818" s="167" t="str">
        <v/>
      </c>
      <c r="P818" s="167" t="str">
        <v/>
      </c>
    </row>
    <row r="819" spans="1:16" x14ac:dyDescent="0.2">
      <c r="A819" s="58" t="str">
        <v/>
      </c>
      <c r="B819" s="144" t="str">
        <f>IFERROR(TIMEVALUE(DaqBook_RAW_Data!Q809),IFERROR(TIMEVALUE(DaqBook_RAW_Data!A809),""))</f>
        <v/>
      </c>
      <c r="C819" s="167" t="str">
        <v/>
      </c>
      <c r="D819" s="167" t="str">
        <v/>
      </c>
      <c r="E819" s="167" t="str">
        <v/>
      </c>
      <c r="F819" s="167" t="str">
        <v/>
      </c>
      <c r="G819" s="167" t="str">
        <v/>
      </c>
      <c r="H819" s="167" t="str">
        <v/>
      </c>
      <c r="I819" s="167" t="str">
        <v/>
      </c>
      <c r="J819" s="167" t="str">
        <v/>
      </c>
      <c r="K819" s="167" t="str">
        <v/>
      </c>
      <c r="L819" s="167" t="str">
        <v/>
      </c>
      <c r="M819" s="167" t="str">
        <v/>
      </c>
      <c r="N819" s="167" t="str">
        <v/>
      </c>
      <c r="O819" s="167" t="str">
        <v/>
      </c>
      <c r="P819" s="167" t="str">
        <v/>
      </c>
    </row>
    <row r="820" spans="1:16" x14ac:dyDescent="0.2">
      <c r="A820" s="58" t="str">
        <v/>
      </c>
      <c r="B820" s="144" t="str">
        <f>IFERROR(TIMEVALUE(DaqBook_RAW_Data!Q810),IFERROR(TIMEVALUE(DaqBook_RAW_Data!A810),""))</f>
        <v/>
      </c>
      <c r="C820" s="167" t="str">
        <v/>
      </c>
      <c r="D820" s="167" t="str">
        <v/>
      </c>
      <c r="E820" s="167" t="str">
        <v/>
      </c>
      <c r="F820" s="167" t="str">
        <v/>
      </c>
      <c r="G820" s="167" t="str">
        <v/>
      </c>
      <c r="H820" s="167" t="str">
        <v/>
      </c>
      <c r="I820" s="167" t="str">
        <v/>
      </c>
      <c r="J820" s="167" t="str">
        <v/>
      </c>
      <c r="K820" s="167" t="str">
        <v/>
      </c>
      <c r="L820" s="167" t="str">
        <v/>
      </c>
      <c r="M820" s="167" t="str">
        <v/>
      </c>
      <c r="N820" s="167" t="str">
        <v/>
      </c>
      <c r="O820" s="167" t="str">
        <v/>
      </c>
      <c r="P820" s="167" t="str">
        <v/>
      </c>
    </row>
    <row r="821" spans="1:16" x14ac:dyDescent="0.2">
      <c r="A821" s="58" t="str">
        <v/>
      </c>
      <c r="B821" s="144" t="str">
        <f>IFERROR(TIMEVALUE(DaqBook_RAW_Data!Q811),IFERROR(TIMEVALUE(DaqBook_RAW_Data!A811),""))</f>
        <v/>
      </c>
      <c r="C821" s="167" t="str">
        <v/>
      </c>
      <c r="D821" s="167" t="str">
        <v/>
      </c>
      <c r="E821" s="167" t="str">
        <v/>
      </c>
      <c r="F821" s="167" t="str">
        <v/>
      </c>
      <c r="G821" s="167" t="str">
        <v/>
      </c>
      <c r="H821" s="167" t="str">
        <v/>
      </c>
      <c r="I821" s="167" t="str">
        <v/>
      </c>
      <c r="J821" s="167" t="str">
        <v/>
      </c>
      <c r="K821" s="167" t="str">
        <v/>
      </c>
      <c r="L821" s="167" t="str">
        <v/>
      </c>
      <c r="M821" s="167" t="str">
        <v/>
      </c>
      <c r="N821" s="167" t="str">
        <v/>
      </c>
      <c r="O821" s="167" t="str">
        <v/>
      </c>
      <c r="P821" s="167" t="str">
        <v/>
      </c>
    </row>
    <row r="822" spans="1:16" x14ac:dyDescent="0.2">
      <c r="A822" s="58" t="str">
        <v/>
      </c>
      <c r="B822" s="144" t="str">
        <f>IFERROR(TIMEVALUE(DaqBook_RAW_Data!Q812),IFERROR(TIMEVALUE(DaqBook_RAW_Data!A812),""))</f>
        <v/>
      </c>
      <c r="C822" s="167" t="str">
        <v/>
      </c>
      <c r="D822" s="167" t="str">
        <v/>
      </c>
      <c r="E822" s="167" t="str">
        <v/>
      </c>
      <c r="F822" s="167" t="str">
        <v/>
      </c>
      <c r="G822" s="167" t="str">
        <v/>
      </c>
      <c r="H822" s="167" t="str">
        <v/>
      </c>
      <c r="I822" s="167" t="str">
        <v/>
      </c>
      <c r="J822" s="167" t="str">
        <v/>
      </c>
      <c r="K822" s="167" t="str">
        <v/>
      </c>
      <c r="L822" s="167" t="str">
        <v/>
      </c>
      <c r="M822" s="167" t="str">
        <v/>
      </c>
      <c r="N822" s="167" t="str">
        <v/>
      </c>
      <c r="O822" s="167" t="str">
        <v/>
      </c>
      <c r="P822" s="167" t="str">
        <v/>
      </c>
    </row>
    <row r="823" spans="1:16" x14ac:dyDescent="0.2">
      <c r="A823" s="58" t="str">
        <v/>
      </c>
      <c r="B823" s="144" t="str">
        <f>IFERROR(TIMEVALUE(DaqBook_RAW_Data!Q813),IFERROR(TIMEVALUE(DaqBook_RAW_Data!A813),""))</f>
        <v/>
      </c>
      <c r="C823" s="167" t="str">
        <v/>
      </c>
      <c r="D823" s="167" t="str">
        <v/>
      </c>
      <c r="E823" s="167" t="str">
        <v/>
      </c>
      <c r="F823" s="167" t="str">
        <v/>
      </c>
      <c r="G823" s="167" t="str">
        <v/>
      </c>
      <c r="H823" s="167" t="str">
        <v/>
      </c>
      <c r="I823" s="167" t="str">
        <v/>
      </c>
      <c r="J823" s="167" t="str">
        <v/>
      </c>
      <c r="K823" s="167" t="str">
        <v/>
      </c>
      <c r="L823" s="167" t="str">
        <v/>
      </c>
      <c r="M823" s="167" t="str">
        <v/>
      </c>
      <c r="N823" s="167" t="str">
        <v/>
      </c>
      <c r="O823" s="167" t="str">
        <v/>
      </c>
      <c r="P823" s="167" t="str">
        <v/>
      </c>
    </row>
    <row r="824" spans="1:16" x14ac:dyDescent="0.2">
      <c r="A824" s="58" t="str">
        <v/>
      </c>
      <c r="B824" s="144" t="str">
        <f>IFERROR(TIMEVALUE(DaqBook_RAW_Data!Q814),IFERROR(TIMEVALUE(DaqBook_RAW_Data!A814),""))</f>
        <v/>
      </c>
      <c r="C824" s="167" t="str">
        <v/>
      </c>
      <c r="D824" s="167" t="str">
        <v/>
      </c>
      <c r="E824" s="167" t="str">
        <v/>
      </c>
      <c r="F824" s="167" t="str">
        <v/>
      </c>
      <c r="G824" s="167" t="str">
        <v/>
      </c>
      <c r="H824" s="167" t="str">
        <v/>
      </c>
      <c r="I824" s="167" t="str">
        <v/>
      </c>
      <c r="J824" s="167" t="str">
        <v/>
      </c>
      <c r="K824" s="167" t="str">
        <v/>
      </c>
      <c r="L824" s="167" t="str">
        <v/>
      </c>
      <c r="M824" s="167" t="str">
        <v/>
      </c>
      <c r="N824" s="167" t="str">
        <v/>
      </c>
      <c r="O824" s="167" t="str">
        <v/>
      </c>
      <c r="P824" s="167" t="str">
        <v/>
      </c>
    </row>
    <row r="825" spans="1:16" x14ac:dyDescent="0.2">
      <c r="A825" s="58" t="str">
        <v/>
      </c>
      <c r="B825" s="144" t="str">
        <f>IFERROR(TIMEVALUE(DaqBook_RAW_Data!Q815),IFERROR(TIMEVALUE(DaqBook_RAW_Data!A815),""))</f>
        <v/>
      </c>
      <c r="C825" s="167" t="str">
        <v/>
      </c>
      <c r="D825" s="167" t="str">
        <v/>
      </c>
      <c r="E825" s="167" t="str">
        <v/>
      </c>
      <c r="F825" s="167" t="str">
        <v/>
      </c>
      <c r="G825" s="167" t="str">
        <v/>
      </c>
      <c r="H825" s="167" t="str">
        <v/>
      </c>
      <c r="I825" s="167" t="str">
        <v/>
      </c>
      <c r="J825" s="167" t="str">
        <v/>
      </c>
      <c r="K825" s="167" t="str">
        <v/>
      </c>
      <c r="L825" s="167" t="str">
        <v/>
      </c>
      <c r="M825" s="167" t="str">
        <v/>
      </c>
      <c r="N825" s="167" t="str">
        <v/>
      </c>
      <c r="O825" s="167" t="str">
        <v/>
      </c>
      <c r="P825" s="167" t="str">
        <v/>
      </c>
    </row>
    <row r="826" spans="1:16" x14ac:dyDescent="0.2">
      <c r="A826" s="58" t="str">
        <v/>
      </c>
      <c r="B826" s="144" t="str">
        <f>IFERROR(TIMEVALUE(DaqBook_RAW_Data!Q816),IFERROR(TIMEVALUE(DaqBook_RAW_Data!A816),""))</f>
        <v/>
      </c>
      <c r="C826" s="167" t="str">
        <v/>
      </c>
      <c r="D826" s="167" t="str">
        <v/>
      </c>
      <c r="E826" s="167" t="str">
        <v/>
      </c>
      <c r="F826" s="167" t="str">
        <v/>
      </c>
      <c r="G826" s="167" t="str">
        <v/>
      </c>
      <c r="H826" s="167" t="str">
        <v/>
      </c>
      <c r="I826" s="167" t="str">
        <v/>
      </c>
      <c r="J826" s="167" t="str">
        <v/>
      </c>
      <c r="K826" s="167" t="str">
        <v/>
      </c>
      <c r="L826" s="167" t="str">
        <v/>
      </c>
      <c r="M826" s="167" t="str">
        <v/>
      </c>
      <c r="N826" s="167" t="str">
        <v/>
      </c>
      <c r="O826" s="167" t="str">
        <v/>
      </c>
      <c r="P826" s="167" t="str">
        <v/>
      </c>
    </row>
    <row r="827" spans="1:16" x14ac:dyDescent="0.2">
      <c r="A827" s="58" t="str">
        <v/>
      </c>
      <c r="B827" s="144" t="str">
        <f>IFERROR(TIMEVALUE(DaqBook_RAW_Data!Q817),IFERROR(TIMEVALUE(DaqBook_RAW_Data!A817),""))</f>
        <v/>
      </c>
      <c r="C827" s="167" t="str">
        <v/>
      </c>
      <c r="D827" s="167" t="str">
        <v/>
      </c>
      <c r="E827" s="167" t="str">
        <v/>
      </c>
      <c r="F827" s="167" t="str">
        <v/>
      </c>
      <c r="G827" s="167" t="str">
        <v/>
      </c>
      <c r="H827" s="167" t="str">
        <v/>
      </c>
      <c r="I827" s="167" t="str">
        <v/>
      </c>
      <c r="J827" s="167" t="str">
        <v/>
      </c>
      <c r="K827" s="167" t="str">
        <v/>
      </c>
      <c r="L827" s="167" t="str">
        <v/>
      </c>
      <c r="M827" s="167" t="str">
        <v/>
      </c>
      <c r="N827" s="167" t="str">
        <v/>
      </c>
      <c r="O827" s="167" t="str">
        <v/>
      </c>
      <c r="P827" s="167" t="str">
        <v/>
      </c>
    </row>
    <row r="828" spans="1:16" x14ac:dyDescent="0.2">
      <c r="A828" s="58" t="str">
        <v/>
      </c>
      <c r="B828" s="144" t="str">
        <f>IFERROR(TIMEVALUE(DaqBook_RAW_Data!Q818),IFERROR(TIMEVALUE(DaqBook_RAW_Data!A818),""))</f>
        <v/>
      </c>
      <c r="C828" s="167" t="str">
        <v/>
      </c>
      <c r="D828" s="167" t="str">
        <v/>
      </c>
      <c r="E828" s="167" t="str">
        <v/>
      </c>
      <c r="F828" s="167" t="str">
        <v/>
      </c>
      <c r="G828" s="167" t="str">
        <v/>
      </c>
      <c r="H828" s="167" t="str">
        <v/>
      </c>
      <c r="I828" s="167" t="str">
        <v/>
      </c>
      <c r="J828" s="167" t="str">
        <v/>
      </c>
      <c r="K828" s="167" t="str">
        <v/>
      </c>
      <c r="L828" s="167" t="str">
        <v/>
      </c>
      <c r="M828" s="167" t="str">
        <v/>
      </c>
      <c r="N828" s="167" t="str">
        <v/>
      </c>
      <c r="O828" s="167" t="str">
        <v/>
      </c>
      <c r="P828" s="167" t="str">
        <v/>
      </c>
    </row>
    <row r="829" spans="1:16" x14ac:dyDescent="0.2">
      <c r="A829" s="58" t="str">
        <v/>
      </c>
      <c r="B829" s="144" t="str">
        <f>IFERROR(TIMEVALUE(DaqBook_RAW_Data!Q819),IFERROR(TIMEVALUE(DaqBook_RAW_Data!A819),""))</f>
        <v/>
      </c>
      <c r="C829" s="167" t="str">
        <v/>
      </c>
      <c r="D829" s="167" t="str">
        <v/>
      </c>
      <c r="E829" s="167" t="str">
        <v/>
      </c>
      <c r="F829" s="167" t="str">
        <v/>
      </c>
      <c r="G829" s="167" t="str">
        <v/>
      </c>
      <c r="H829" s="167" t="str">
        <v/>
      </c>
      <c r="I829" s="167" t="str">
        <v/>
      </c>
      <c r="J829" s="167" t="str">
        <v/>
      </c>
      <c r="K829" s="167" t="str">
        <v/>
      </c>
      <c r="L829" s="167" t="str">
        <v/>
      </c>
      <c r="M829" s="167" t="str">
        <v/>
      </c>
      <c r="N829" s="167" t="str">
        <v/>
      </c>
      <c r="O829" s="167" t="str">
        <v/>
      </c>
      <c r="P829" s="167" t="str">
        <v/>
      </c>
    </row>
    <row r="830" spans="1:16" x14ac:dyDescent="0.2">
      <c r="A830" s="58" t="str">
        <v/>
      </c>
      <c r="B830" s="144" t="str">
        <f>IFERROR(TIMEVALUE(DaqBook_RAW_Data!Q820),IFERROR(TIMEVALUE(DaqBook_RAW_Data!A820),""))</f>
        <v/>
      </c>
      <c r="C830" s="167" t="str">
        <v/>
      </c>
      <c r="D830" s="167" t="str">
        <v/>
      </c>
      <c r="E830" s="167" t="str">
        <v/>
      </c>
      <c r="F830" s="167" t="str">
        <v/>
      </c>
      <c r="G830" s="167" t="str">
        <v/>
      </c>
      <c r="H830" s="167" t="str">
        <v/>
      </c>
      <c r="I830" s="167" t="str">
        <v/>
      </c>
      <c r="J830" s="167" t="str">
        <v/>
      </c>
      <c r="K830" s="167" t="str">
        <v/>
      </c>
      <c r="L830" s="167" t="str">
        <v/>
      </c>
      <c r="M830" s="167" t="str">
        <v/>
      </c>
      <c r="N830" s="167" t="str">
        <v/>
      </c>
      <c r="O830" s="167" t="str">
        <v/>
      </c>
      <c r="P830" s="167" t="str">
        <v/>
      </c>
    </row>
    <row r="831" spans="1:16" x14ac:dyDescent="0.2">
      <c r="A831" s="58" t="str">
        <v/>
      </c>
      <c r="B831" s="144" t="str">
        <f>IFERROR(TIMEVALUE(DaqBook_RAW_Data!Q821),IFERROR(TIMEVALUE(DaqBook_RAW_Data!A821),""))</f>
        <v/>
      </c>
      <c r="C831" s="167" t="str">
        <v/>
      </c>
      <c r="D831" s="167" t="str">
        <v/>
      </c>
      <c r="E831" s="167" t="str">
        <v/>
      </c>
      <c r="F831" s="167" t="str">
        <v/>
      </c>
      <c r="G831" s="167" t="str">
        <v/>
      </c>
      <c r="H831" s="167" t="str">
        <v/>
      </c>
      <c r="I831" s="167" t="str">
        <v/>
      </c>
      <c r="J831" s="167" t="str">
        <v/>
      </c>
      <c r="K831" s="167" t="str">
        <v/>
      </c>
      <c r="L831" s="167" t="str">
        <v/>
      </c>
      <c r="M831" s="167" t="str">
        <v/>
      </c>
      <c r="N831" s="167" t="str">
        <v/>
      </c>
      <c r="O831" s="167" t="str">
        <v/>
      </c>
      <c r="P831" s="167" t="str">
        <v/>
      </c>
    </row>
    <row r="832" spans="1:16" x14ac:dyDescent="0.2">
      <c r="A832" s="58" t="str">
        <v/>
      </c>
      <c r="B832" s="144" t="str">
        <f>IFERROR(TIMEVALUE(DaqBook_RAW_Data!Q822),IFERROR(TIMEVALUE(DaqBook_RAW_Data!A822),""))</f>
        <v/>
      </c>
      <c r="C832" s="167" t="str">
        <v/>
      </c>
      <c r="D832" s="167" t="str">
        <v/>
      </c>
      <c r="E832" s="167" t="str">
        <v/>
      </c>
      <c r="F832" s="167" t="str">
        <v/>
      </c>
      <c r="G832" s="167" t="str">
        <v/>
      </c>
      <c r="H832" s="167" t="str">
        <v/>
      </c>
      <c r="I832" s="167" t="str">
        <v/>
      </c>
      <c r="J832" s="167" t="str">
        <v/>
      </c>
      <c r="K832" s="167" t="str">
        <v/>
      </c>
      <c r="L832" s="167" t="str">
        <v/>
      </c>
      <c r="M832" s="167" t="str">
        <v/>
      </c>
      <c r="N832" s="167" t="str">
        <v/>
      </c>
      <c r="O832" s="167" t="str">
        <v/>
      </c>
      <c r="P832" s="167" t="str">
        <v/>
      </c>
    </row>
    <row r="833" spans="1:16" x14ac:dyDescent="0.2">
      <c r="A833" s="58" t="str">
        <v/>
      </c>
      <c r="B833" s="144" t="str">
        <f>IFERROR(TIMEVALUE(DaqBook_RAW_Data!Q823),IFERROR(TIMEVALUE(DaqBook_RAW_Data!A823),""))</f>
        <v/>
      </c>
      <c r="C833" s="167" t="str">
        <v/>
      </c>
      <c r="D833" s="167" t="str">
        <v/>
      </c>
      <c r="E833" s="167" t="str">
        <v/>
      </c>
      <c r="F833" s="167" t="str">
        <v/>
      </c>
      <c r="G833" s="167" t="str">
        <v/>
      </c>
      <c r="H833" s="167" t="str">
        <v/>
      </c>
      <c r="I833" s="167" t="str">
        <v/>
      </c>
      <c r="J833" s="167" t="str">
        <v/>
      </c>
      <c r="K833" s="167" t="str">
        <v/>
      </c>
      <c r="L833" s="167" t="str">
        <v/>
      </c>
      <c r="M833" s="167" t="str">
        <v/>
      </c>
      <c r="N833" s="167" t="str">
        <v/>
      </c>
      <c r="O833" s="167" t="str">
        <v/>
      </c>
      <c r="P833" s="167" t="str">
        <v/>
      </c>
    </row>
    <row r="834" spans="1:16" x14ac:dyDescent="0.2">
      <c r="A834" s="58" t="str">
        <v/>
      </c>
      <c r="B834" s="144" t="str">
        <f>IFERROR(TIMEVALUE(DaqBook_RAW_Data!Q824),IFERROR(TIMEVALUE(DaqBook_RAW_Data!A824),""))</f>
        <v/>
      </c>
      <c r="C834" s="167" t="str">
        <v/>
      </c>
      <c r="D834" s="167" t="str">
        <v/>
      </c>
      <c r="E834" s="167" t="str">
        <v/>
      </c>
      <c r="F834" s="167" t="str">
        <v/>
      </c>
      <c r="G834" s="167" t="str">
        <v/>
      </c>
      <c r="H834" s="167" t="str">
        <v/>
      </c>
      <c r="I834" s="167" t="str">
        <v/>
      </c>
      <c r="J834" s="167" t="str">
        <v/>
      </c>
      <c r="K834" s="167" t="str">
        <v/>
      </c>
      <c r="L834" s="167" t="str">
        <v/>
      </c>
      <c r="M834" s="167" t="str">
        <v/>
      </c>
      <c r="N834" s="167" t="str">
        <v/>
      </c>
      <c r="O834" s="167" t="str">
        <v/>
      </c>
      <c r="P834" s="167" t="str">
        <v/>
      </c>
    </row>
    <row r="835" spans="1:16" x14ac:dyDescent="0.2">
      <c r="A835" s="58" t="str">
        <v/>
      </c>
      <c r="B835" s="144" t="str">
        <f>IFERROR(TIMEVALUE(DaqBook_RAW_Data!Q825),IFERROR(TIMEVALUE(DaqBook_RAW_Data!A825),""))</f>
        <v/>
      </c>
      <c r="C835" s="167" t="str">
        <v/>
      </c>
      <c r="D835" s="167" t="str">
        <v/>
      </c>
      <c r="E835" s="167" t="str">
        <v/>
      </c>
      <c r="F835" s="167" t="str">
        <v/>
      </c>
      <c r="G835" s="167" t="str">
        <v/>
      </c>
      <c r="H835" s="167" t="str">
        <v/>
      </c>
      <c r="I835" s="167" t="str">
        <v/>
      </c>
      <c r="J835" s="167" t="str">
        <v/>
      </c>
      <c r="K835" s="167" t="str">
        <v/>
      </c>
      <c r="L835" s="167" t="str">
        <v/>
      </c>
      <c r="M835" s="167" t="str">
        <v/>
      </c>
      <c r="N835" s="167" t="str">
        <v/>
      </c>
      <c r="O835" s="167" t="str">
        <v/>
      </c>
      <c r="P835" s="167" t="str">
        <v/>
      </c>
    </row>
    <row r="836" spans="1:16" x14ac:dyDescent="0.2">
      <c r="A836" s="58" t="str">
        <v/>
      </c>
      <c r="B836" s="144" t="str">
        <f>IFERROR(TIMEVALUE(DaqBook_RAW_Data!Q826),IFERROR(TIMEVALUE(DaqBook_RAW_Data!A826),""))</f>
        <v/>
      </c>
      <c r="C836" s="167" t="str">
        <v/>
      </c>
      <c r="D836" s="167" t="str">
        <v/>
      </c>
      <c r="E836" s="167" t="str">
        <v/>
      </c>
      <c r="F836" s="167" t="str">
        <v/>
      </c>
      <c r="G836" s="167" t="str">
        <v/>
      </c>
      <c r="H836" s="167" t="str">
        <v/>
      </c>
      <c r="I836" s="167" t="str">
        <v/>
      </c>
      <c r="J836" s="167" t="str">
        <v/>
      </c>
      <c r="K836" s="167" t="str">
        <v/>
      </c>
      <c r="L836" s="167" t="str">
        <v/>
      </c>
      <c r="M836" s="167" t="str">
        <v/>
      </c>
      <c r="N836" s="167" t="str">
        <v/>
      </c>
      <c r="O836" s="167" t="str">
        <v/>
      </c>
      <c r="P836" s="167" t="str">
        <v/>
      </c>
    </row>
    <row r="837" spans="1:16" x14ac:dyDescent="0.2">
      <c r="A837" s="58" t="str">
        <v/>
      </c>
      <c r="B837" s="144" t="str">
        <f>IFERROR(TIMEVALUE(DaqBook_RAW_Data!Q827),IFERROR(TIMEVALUE(DaqBook_RAW_Data!A827),""))</f>
        <v/>
      </c>
      <c r="C837" s="167" t="str">
        <v/>
      </c>
      <c r="D837" s="167" t="str">
        <v/>
      </c>
      <c r="E837" s="167" t="str">
        <v/>
      </c>
      <c r="F837" s="167" t="str">
        <v/>
      </c>
      <c r="G837" s="167" t="str">
        <v/>
      </c>
      <c r="H837" s="167" t="str">
        <v/>
      </c>
      <c r="I837" s="167" t="str">
        <v/>
      </c>
      <c r="J837" s="167" t="str">
        <v/>
      </c>
      <c r="K837" s="167" t="str">
        <v/>
      </c>
      <c r="L837" s="167" t="str">
        <v/>
      </c>
      <c r="M837" s="167" t="str">
        <v/>
      </c>
      <c r="N837" s="167" t="str">
        <v/>
      </c>
      <c r="O837" s="167" t="str">
        <v/>
      </c>
      <c r="P837" s="167" t="str">
        <v/>
      </c>
    </row>
    <row r="838" spans="1:16" x14ac:dyDescent="0.2">
      <c r="A838" s="58" t="str">
        <v/>
      </c>
      <c r="B838" s="144" t="str">
        <f>IFERROR(TIMEVALUE(DaqBook_RAW_Data!Q828),IFERROR(TIMEVALUE(DaqBook_RAW_Data!A828),""))</f>
        <v/>
      </c>
      <c r="C838" s="167" t="str">
        <v/>
      </c>
      <c r="D838" s="167" t="str">
        <v/>
      </c>
      <c r="E838" s="167" t="str">
        <v/>
      </c>
      <c r="F838" s="167" t="str">
        <v/>
      </c>
      <c r="G838" s="167" t="str">
        <v/>
      </c>
      <c r="H838" s="167" t="str">
        <v/>
      </c>
      <c r="I838" s="167" t="str">
        <v/>
      </c>
      <c r="J838" s="167" t="str">
        <v/>
      </c>
      <c r="K838" s="167" t="str">
        <v/>
      </c>
      <c r="L838" s="167" t="str">
        <v/>
      </c>
      <c r="M838" s="167" t="str">
        <v/>
      </c>
      <c r="N838" s="167" t="str">
        <v/>
      </c>
      <c r="O838" s="167" t="str">
        <v/>
      </c>
      <c r="P838" s="167" t="str">
        <v/>
      </c>
    </row>
    <row r="839" spans="1:16" x14ac:dyDescent="0.2">
      <c r="A839" s="58" t="str">
        <v/>
      </c>
      <c r="B839" s="144" t="str">
        <f>IFERROR(TIMEVALUE(DaqBook_RAW_Data!Q829),IFERROR(TIMEVALUE(DaqBook_RAW_Data!A829),""))</f>
        <v/>
      </c>
      <c r="C839" s="167" t="str">
        <v/>
      </c>
      <c r="D839" s="167" t="str">
        <v/>
      </c>
      <c r="E839" s="167" t="str">
        <v/>
      </c>
      <c r="F839" s="167" t="str">
        <v/>
      </c>
      <c r="G839" s="167" t="str">
        <v/>
      </c>
      <c r="H839" s="167" t="str">
        <v/>
      </c>
      <c r="I839" s="167" t="str">
        <v/>
      </c>
      <c r="J839" s="167" t="str">
        <v/>
      </c>
      <c r="K839" s="167" t="str">
        <v/>
      </c>
      <c r="L839" s="167" t="str">
        <v/>
      </c>
      <c r="M839" s="167" t="str">
        <v/>
      </c>
      <c r="N839" s="167" t="str">
        <v/>
      </c>
      <c r="O839" s="167" t="str">
        <v/>
      </c>
      <c r="P839" s="167" t="str">
        <v/>
      </c>
    </row>
    <row r="840" spans="1:16" x14ac:dyDescent="0.2">
      <c r="A840" s="58" t="str">
        <v/>
      </c>
      <c r="B840" s="144" t="str">
        <f>IFERROR(TIMEVALUE(DaqBook_RAW_Data!Q830),IFERROR(TIMEVALUE(DaqBook_RAW_Data!A830),""))</f>
        <v/>
      </c>
      <c r="C840" s="167" t="str">
        <v/>
      </c>
      <c r="D840" s="167" t="str">
        <v/>
      </c>
      <c r="E840" s="167" t="str">
        <v/>
      </c>
      <c r="F840" s="167" t="str">
        <v/>
      </c>
      <c r="G840" s="167" t="str">
        <v/>
      </c>
      <c r="H840" s="167" t="str">
        <v/>
      </c>
      <c r="I840" s="167" t="str">
        <v/>
      </c>
      <c r="J840" s="167" t="str">
        <v/>
      </c>
      <c r="K840" s="167" t="str">
        <v/>
      </c>
      <c r="L840" s="167" t="str">
        <v/>
      </c>
      <c r="M840" s="167" t="str">
        <v/>
      </c>
      <c r="N840" s="167" t="str">
        <v/>
      </c>
      <c r="O840" s="167" t="str">
        <v/>
      </c>
      <c r="P840" s="167" t="str">
        <v/>
      </c>
    </row>
    <row r="841" spans="1:16" x14ac:dyDescent="0.2">
      <c r="A841" s="58" t="str">
        <v/>
      </c>
      <c r="B841" s="144" t="str">
        <f>IFERROR(TIMEVALUE(DaqBook_RAW_Data!Q831),IFERROR(TIMEVALUE(DaqBook_RAW_Data!A831),""))</f>
        <v/>
      </c>
      <c r="C841" s="167" t="str">
        <v/>
      </c>
      <c r="D841" s="167" t="str">
        <v/>
      </c>
      <c r="E841" s="167" t="str">
        <v/>
      </c>
      <c r="F841" s="167" t="str">
        <v/>
      </c>
      <c r="G841" s="167" t="str">
        <v/>
      </c>
      <c r="H841" s="167" t="str">
        <v/>
      </c>
      <c r="I841" s="167" t="str">
        <v/>
      </c>
      <c r="J841" s="167" t="str">
        <v/>
      </c>
      <c r="K841" s="167" t="str">
        <v/>
      </c>
      <c r="L841" s="167" t="str">
        <v/>
      </c>
      <c r="M841" s="167" t="str">
        <v/>
      </c>
      <c r="N841" s="167" t="str">
        <v/>
      </c>
      <c r="O841" s="167" t="str">
        <v/>
      </c>
      <c r="P841" s="167" t="str">
        <v/>
      </c>
    </row>
    <row r="842" spans="1:16" x14ac:dyDescent="0.2">
      <c r="A842" s="58" t="str">
        <v/>
      </c>
      <c r="B842" s="144" t="str">
        <f>IFERROR(TIMEVALUE(DaqBook_RAW_Data!Q832),IFERROR(TIMEVALUE(DaqBook_RAW_Data!A832),""))</f>
        <v/>
      </c>
      <c r="C842" s="167" t="str">
        <v/>
      </c>
      <c r="D842" s="167" t="str">
        <v/>
      </c>
      <c r="E842" s="167" t="str">
        <v/>
      </c>
      <c r="F842" s="167" t="str">
        <v/>
      </c>
      <c r="G842" s="167" t="str">
        <v/>
      </c>
      <c r="H842" s="167" t="str">
        <v/>
      </c>
      <c r="I842" s="167" t="str">
        <v/>
      </c>
      <c r="J842" s="167" t="str">
        <v/>
      </c>
      <c r="K842" s="167" t="str">
        <v/>
      </c>
      <c r="L842" s="167" t="str">
        <v/>
      </c>
      <c r="M842" s="167" t="str">
        <v/>
      </c>
      <c r="N842" s="167" t="str">
        <v/>
      </c>
      <c r="O842" s="167" t="str">
        <v/>
      </c>
      <c r="P842" s="167" t="str">
        <v/>
      </c>
    </row>
    <row r="843" spans="1:16" x14ac:dyDescent="0.2">
      <c r="A843" s="58" t="str">
        <v/>
      </c>
      <c r="B843" s="144" t="str">
        <f>IFERROR(TIMEVALUE(DaqBook_RAW_Data!Q833),IFERROR(TIMEVALUE(DaqBook_RAW_Data!A833),""))</f>
        <v/>
      </c>
      <c r="C843" s="167" t="str">
        <v/>
      </c>
      <c r="D843" s="167" t="str">
        <v/>
      </c>
      <c r="E843" s="167" t="str">
        <v/>
      </c>
      <c r="F843" s="167" t="str">
        <v/>
      </c>
      <c r="G843" s="167" t="str">
        <v/>
      </c>
      <c r="H843" s="167" t="str">
        <v/>
      </c>
      <c r="I843" s="167" t="str">
        <v/>
      </c>
      <c r="J843" s="167" t="str">
        <v/>
      </c>
      <c r="K843" s="167" t="str">
        <v/>
      </c>
      <c r="L843" s="167" t="str">
        <v/>
      </c>
      <c r="M843" s="167" t="str">
        <v/>
      </c>
      <c r="N843" s="167" t="str">
        <v/>
      </c>
      <c r="O843" s="167" t="str">
        <v/>
      </c>
      <c r="P843" s="167" t="str">
        <v/>
      </c>
    </row>
    <row r="844" spans="1:16" x14ac:dyDescent="0.2">
      <c r="A844" s="58" t="str">
        <v/>
      </c>
      <c r="B844" s="144" t="str">
        <f>IFERROR(TIMEVALUE(DaqBook_RAW_Data!Q834),IFERROR(TIMEVALUE(DaqBook_RAW_Data!A834),""))</f>
        <v/>
      </c>
      <c r="C844" s="167" t="str">
        <v/>
      </c>
      <c r="D844" s="167" t="str">
        <v/>
      </c>
      <c r="E844" s="167" t="str">
        <v/>
      </c>
      <c r="F844" s="167" t="str">
        <v/>
      </c>
      <c r="G844" s="167" t="str">
        <v/>
      </c>
      <c r="H844" s="167" t="str">
        <v/>
      </c>
      <c r="I844" s="167" t="str">
        <v/>
      </c>
      <c r="J844" s="167" t="str">
        <v/>
      </c>
      <c r="K844" s="167" t="str">
        <v/>
      </c>
      <c r="L844" s="167" t="str">
        <v/>
      </c>
      <c r="M844" s="167" t="str">
        <v/>
      </c>
      <c r="N844" s="167" t="str">
        <v/>
      </c>
      <c r="O844" s="167" t="str">
        <v/>
      </c>
      <c r="P844" s="167" t="str">
        <v/>
      </c>
    </row>
    <row r="845" spans="1:16" x14ac:dyDescent="0.2">
      <c r="A845" s="58" t="str">
        <v/>
      </c>
      <c r="B845" s="144" t="str">
        <f>IFERROR(TIMEVALUE(DaqBook_RAW_Data!Q835),IFERROR(TIMEVALUE(DaqBook_RAW_Data!A835),""))</f>
        <v/>
      </c>
      <c r="C845" s="167" t="str">
        <v/>
      </c>
      <c r="D845" s="167" t="str">
        <v/>
      </c>
      <c r="E845" s="167" t="str">
        <v/>
      </c>
      <c r="F845" s="167" t="str">
        <v/>
      </c>
      <c r="G845" s="167" t="str">
        <v/>
      </c>
      <c r="H845" s="167" t="str">
        <v/>
      </c>
      <c r="I845" s="167" t="str">
        <v/>
      </c>
      <c r="J845" s="167" t="str">
        <v/>
      </c>
      <c r="K845" s="167" t="str">
        <v/>
      </c>
      <c r="L845" s="167" t="str">
        <v/>
      </c>
      <c r="M845" s="167" t="str">
        <v/>
      </c>
      <c r="N845" s="167" t="str">
        <v/>
      </c>
      <c r="O845" s="167" t="str">
        <v/>
      </c>
      <c r="P845" s="167" t="str">
        <v/>
      </c>
    </row>
    <row r="846" spans="1:16" x14ac:dyDescent="0.2">
      <c r="A846" s="58" t="str">
        <v/>
      </c>
      <c r="B846" s="144" t="str">
        <f>IFERROR(TIMEVALUE(DaqBook_RAW_Data!Q836),IFERROR(TIMEVALUE(DaqBook_RAW_Data!A836),""))</f>
        <v/>
      </c>
      <c r="C846" s="167" t="str">
        <v/>
      </c>
      <c r="D846" s="167" t="str">
        <v/>
      </c>
      <c r="E846" s="167" t="str">
        <v/>
      </c>
      <c r="F846" s="167" t="str">
        <v/>
      </c>
      <c r="G846" s="167" t="str">
        <v/>
      </c>
      <c r="H846" s="167" t="str">
        <v/>
      </c>
      <c r="I846" s="167" t="str">
        <v/>
      </c>
      <c r="J846" s="167" t="str">
        <v/>
      </c>
      <c r="K846" s="167" t="str">
        <v/>
      </c>
      <c r="L846" s="167" t="str">
        <v/>
      </c>
      <c r="M846" s="167" t="str">
        <v/>
      </c>
      <c r="N846" s="167" t="str">
        <v/>
      </c>
      <c r="O846" s="167" t="str">
        <v/>
      </c>
      <c r="P846" s="167" t="str">
        <v/>
      </c>
    </row>
    <row r="847" spans="1:16" x14ac:dyDescent="0.2">
      <c r="A847" s="58" t="str">
        <v/>
      </c>
      <c r="B847" s="144" t="str">
        <f>IFERROR(TIMEVALUE(DaqBook_RAW_Data!Q837),IFERROR(TIMEVALUE(DaqBook_RAW_Data!A837),""))</f>
        <v/>
      </c>
      <c r="C847" s="167" t="str">
        <v/>
      </c>
      <c r="D847" s="167" t="str">
        <v/>
      </c>
      <c r="E847" s="167" t="str">
        <v/>
      </c>
      <c r="F847" s="167" t="str">
        <v/>
      </c>
      <c r="G847" s="167" t="str">
        <v/>
      </c>
      <c r="H847" s="167" t="str">
        <v/>
      </c>
      <c r="I847" s="167" t="str">
        <v/>
      </c>
      <c r="J847" s="167" t="str">
        <v/>
      </c>
      <c r="K847" s="167" t="str">
        <v/>
      </c>
      <c r="L847" s="167" t="str">
        <v/>
      </c>
      <c r="M847" s="167" t="str">
        <v/>
      </c>
      <c r="N847" s="167" t="str">
        <v/>
      </c>
      <c r="O847" s="167" t="str">
        <v/>
      </c>
      <c r="P847" s="167" t="str">
        <v/>
      </c>
    </row>
    <row r="848" spans="1:16" x14ac:dyDescent="0.2">
      <c r="A848" s="58" t="str">
        <v/>
      </c>
      <c r="B848" s="144" t="str">
        <f>IFERROR(TIMEVALUE(DaqBook_RAW_Data!Q838),IFERROR(TIMEVALUE(DaqBook_RAW_Data!A838),""))</f>
        <v/>
      </c>
      <c r="C848" s="167" t="str">
        <v/>
      </c>
      <c r="D848" s="167" t="str">
        <v/>
      </c>
      <c r="E848" s="167" t="str">
        <v/>
      </c>
      <c r="F848" s="167" t="str">
        <v/>
      </c>
      <c r="G848" s="167" t="str">
        <v/>
      </c>
      <c r="H848" s="167" t="str">
        <v/>
      </c>
      <c r="I848" s="167" t="str">
        <v/>
      </c>
      <c r="J848" s="167" t="str">
        <v/>
      </c>
      <c r="K848" s="167" t="str">
        <v/>
      </c>
      <c r="L848" s="167" t="str">
        <v/>
      </c>
      <c r="M848" s="167" t="str">
        <v/>
      </c>
      <c r="N848" s="167" t="str">
        <v/>
      </c>
      <c r="O848" s="167" t="str">
        <v/>
      </c>
      <c r="P848" s="167" t="str">
        <v/>
      </c>
    </row>
    <row r="849" spans="1:16" x14ac:dyDescent="0.2">
      <c r="A849" s="58" t="str">
        <v/>
      </c>
      <c r="B849" s="144" t="str">
        <f>IFERROR(TIMEVALUE(DaqBook_RAW_Data!Q839),IFERROR(TIMEVALUE(DaqBook_RAW_Data!A839),""))</f>
        <v/>
      </c>
      <c r="C849" s="167" t="str">
        <v/>
      </c>
      <c r="D849" s="167" t="str">
        <v/>
      </c>
      <c r="E849" s="167" t="str">
        <v/>
      </c>
      <c r="F849" s="167" t="str">
        <v/>
      </c>
      <c r="G849" s="167" t="str">
        <v/>
      </c>
      <c r="H849" s="167" t="str">
        <v/>
      </c>
      <c r="I849" s="167" t="str">
        <v/>
      </c>
      <c r="J849" s="167" t="str">
        <v/>
      </c>
      <c r="K849" s="167" t="str">
        <v/>
      </c>
      <c r="L849" s="167" t="str">
        <v/>
      </c>
      <c r="M849" s="167" t="str">
        <v/>
      </c>
      <c r="N849" s="167" t="str">
        <v/>
      </c>
      <c r="O849" s="167" t="str">
        <v/>
      </c>
      <c r="P849" s="167" t="str">
        <v/>
      </c>
    </row>
    <row r="850" spans="1:16" x14ac:dyDescent="0.2">
      <c r="A850" s="58" t="str">
        <v/>
      </c>
      <c r="B850" s="144" t="str">
        <f>IFERROR(TIMEVALUE(DaqBook_RAW_Data!Q840),IFERROR(TIMEVALUE(DaqBook_RAW_Data!A840),""))</f>
        <v/>
      </c>
      <c r="C850" s="167" t="str">
        <v/>
      </c>
      <c r="D850" s="167" t="str">
        <v/>
      </c>
      <c r="E850" s="167" t="str">
        <v/>
      </c>
      <c r="F850" s="167" t="str">
        <v/>
      </c>
      <c r="G850" s="167" t="str">
        <v/>
      </c>
      <c r="H850" s="167" t="str">
        <v/>
      </c>
      <c r="I850" s="167" t="str">
        <v/>
      </c>
      <c r="J850" s="167" t="str">
        <v/>
      </c>
      <c r="K850" s="167" t="str">
        <v/>
      </c>
      <c r="L850" s="167" t="str">
        <v/>
      </c>
      <c r="M850" s="167" t="str">
        <v/>
      </c>
      <c r="N850" s="167" t="str">
        <v/>
      </c>
      <c r="O850" s="167" t="str">
        <v/>
      </c>
      <c r="P850" s="167" t="str">
        <v/>
      </c>
    </row>
    <row r="851" spans="1:16" x14ac:dyDescent="0.2">
      <c r="A851" s="58" t="str">
        <v/>
      </c>
      <c r="B851" s="144" t="str">
        <f>IFERROR(TIMEVALUE(DaqBook_RAW_Data!Q841),IFERROR(TIMEVALUE(DaqBook_RAW_Data!A841),""))</f>
        <v/>
      </c>
      <c r="C851" s="167" t="str">
        <v/>
      </c>
      <c r="D851" s="167" t="str">
        <v/>
      </c>
      <c r="E851" s="167" t="str">
        <v/>
      </c>
      <c r="F851" s="167" t="str">
        <v/>
      </c>
      <c r="G851" s="167" t="str">
        <v/>
      </c>
      <c r="H851" s="167" t="str">
        <v/>
      </c>
      <c r="I851" s="167" t="str">
        <v/>
      </c>
      <c r="J851" s="167" t="str">
        <v/>
      </c>
      <c r="K851" s="167" t="str">
        <v/>
      </c>
      <c r="L851" s="167" t="str">
        <v/>
      </c>
      <c r="M851" s="167" t="str">
        <v/>
      </c>
      <c r="N851" s="167" t="str">
        <v/>
      </c>
      <c r="O851" s="167" t="str">
        <v/>
      </c>
      <c r="P851" s="167" t="str">
        <v/>
      </c>
    </row>
    <row r="852" spans="1:16" x14ac:dyDescent="0.2">
      <c r="A852" s="58" t="str">
        <v/>
      </c>
      <c r="B852" s="144" t="str">
        <f>IFERROR(TIMEVALUE(DaqBook_RAW_Data!Q842),IFERROR(TIMEVALUE(DaqBook_RAW_Data!A842),""))</f>
        <v/>
      </c>
      <c r="C852" s="167" t="str">
        <v/>
      </c>
      <c r="D852" s="167" t="str">
        <v/>
      </c>
      <c r="E852" s="167" t="str">
        <v/>
      </c>
      <c r="F852" s="167" t="str">
        <v/>
      </c>
      <c r="G852" s="167" t="str">
        <v/>
      </c>
      <c r="H852" s="167" t="str">
        <v/>
      </c>
      <c r="I852" s="167" t="str">
        <v/>
      </c>
      <c r="J852" s="167" t="str">
        <v/>
      </c>
      <c r="K852" s="167" t="str">
        <v/>
      </c>
      <c r="L852" s="167" t="str">
        <v/>
      </c>
      <c r="M852" s="167" t="str">
        <v/>
      </c>
      <c r="N852" s="167" t="str">
        <v/>
      </c>
      <c r="O852" s="167" t="str">
        <v/>
      </c>
      <c r="P852" s="167" t="str">
        <v/>
      </c>
    </row>
    <row r="853" spans="1:16" x14ac:dyDescent="0.2">
      <c r="A853" s="58" t="str">
        <v/>
      </c>
      <c r="B853" s="144" t="str">
        <f>IFERROR(TIMEVALUE(DaqBook_RAW_Data!Q843),IFERROR(TIMEVALUE(DaqBook_RAW_Data!A843),""))</f>
        <v/>
      </c>
      <c r="C853" s="167" t="str">
        <v/>
      </c>
      <c r="D853" s="167" t="str">
        <v/>
      </c>
      <c r="E853" s="167" t="str">
        <v/>
      </c>
      <c r="F853" s="167" t="str">
        <v/>
      </c>
      <c r="G853" s="167" t="str">
        <v/>
      </c>
      <c r="H853" s="167" t="str">
        <v/>
      </c>
      <c r="I853" s="167" t="str">
        <v/>
      </c>
      <c r="J853" s="167" t="str">
        <v/>
      </c>
      <c r="K853" s="167" t="str">
        <v/>
      </c>
      <c r="L853" s="167" t="str">
        <v/>
      </c>
      <c r="M853" s="167" t="str">
        <v/>
      </c>
      <c r="N853" s="167" t="str">
        <v/>
      </c>
      <c r="O853" s="167" t="str">
        <v/>
      </c>
      <c r="P853" s="167" t="str">
        <v/>
      </c>
    </row>
    <row r="854" spans="1:16" x14ac:dyDescent="0.2">
      <c r="A854" s="58" t="str">
        <v/>
      </c>
      <c r="B854" s="144" t="str">
        <f>IFERROR(TIMEVALUE(DaqBook_RAW_Data!Q844),IFERROR(TIMEVALUE(DaqBook_RAW_Data!A844),""))</f>
        <v/>
      </c>
      <c r="C854" s="167" t="str">
        <v/>
      </c>
      <c r="D854" s="167" t="str">
        <v/>
      </c>
      <c r="E854" s="167" t="str">
        <v/>
      </c>
      <c r="F854" s="167" t="str">
        <v/>
      </c>
      <c r="G854" s="167" t="str">
        <v/>
      </c>
      <c r="H854" s="167" t="str">
        <v/>
      </c>
      <c r="I854" s="167" t="str">
        <v/>
      </c>
      <c r="J854" s="167" t="str">
        <v/>
      </c>
      <c r="K854" s="167" t="str">
        <v/>
      </c>
      <c r="L854" s="167" t="str">
        <v/>
      </c>
      <c r="M854" s="167" t="str">
        <v/>
      </c>
      <c r="N854" s="167" t="str">
        <v/>
      </c>
      <c r="O854" s="167" t="str">
        <v/>
      </c>
      <c r="P854" s="167" t="str">
        <v/>
      </c>
    </row>
    <row r="855" spans="1:16" x14ac:dyDescent="0.2">
      <c r="A855" s="58" t="str">
        <v/>
      </c>
      <c r="B855" s="144" t="str">
        <f>IFERROR(TIMEVALUE(DaqBook_RAW_Data!Q845),IFERROR(TIMEVALUE(DaqBook_RAW_Data!A845),""))</f>
        <v/>
      </c>
      <c r="C855" s="167" t="str">
        <v/>
      </c>
      <c r="D855" s="167" t="str">
        <v/>
      </c>
      <c r="E855" s="167" t="str">
        <v/>
      </c>
      <c r="F855" s="167" t="str">
        <v/>
      </c>
      <c r="G855" s="167" t="str">
        <v/>
      </c>
      <c r="H855" s="167" t="str">
        <v/>
      </c>
      <c r="I855" s="167" t="str">
        <v/>
      </c>
      <c r="J855" s="167" t="str">
        <v/>
      </c>
      <c r="K855" s="167" t="str">
        <v/>
      </c>
      <c r="L855" s="167" t="str">
        <v/>
      </c>
      <c r="M855" s="167" t="str">
        <v/>
      </c>
      <c r="N855" s="167" t="str">
        <v/>
      </c>
      <c r="O855" s="167" t="str">
        <v/>
      </c>
      <c r="P855" s="167" t="str">
        <v/>
      </c>
    </row>
    <row r="856" spans="1:16" x14ac:dyDescent="0.2">
      <c r="A856" s="58" t="str">
        <v/>
      </c>
      <c r="B856" s="144" t="str">
        <f>IFERROR(TIMEVALUE(DaqBook_RAW_Data!Q846),IFERROR(TIMEVALUE(DaqBook_RAW_Data!A846),""))</f>
        <v/>
      </c>
      <c r="C856" s="167" t="str">
        <v/>
      </c>
      <c r="D856" s="167" t="str">
        <v/>
      </c>
      <c r="E856" s="167" t="str">
        <v/>
      </c>
      <c r="F856" s="167" t="str">
        <v/>
      </c>
      <c r="G856" s="167" t="str">
        <v/>
      </c>
      <c r="H856" s="167" t="str">
        <v/>
      </c>
      <c r="I856" s="167" t="str">
        <v/>
      </c>
      <c r="J856" s="167" t="str">
        <v/>
      </c>
      <c r="K856" s="167" t="str">
        <v/>
      </c>
      <c r="L856" s="167" t="str">
        <v/>
      </c>
      <c r="M856" s="167" t="str">
        <v/>
      </c>
      <c r="N856" s="167" t="str">
        <v/>
      </c>
      <c r="O856" s="167" t="str">
        <v/>
      </c>
      <c r="P856" s="167" t="str">
        <v/>
      </c>
    </row>
    <row r="857" spans="1:16" x14ac:dyDescent="0.2">
      <c r="A857" s="58" t="str">
        <v/>
      </c>
      <c r="B857" s="144" t="str">
        <f>IFERROR(TIMEVALUE(DaqBook_RAW_Data!Q847),IFERROR(TIMEVALUE(DaqBook_RAW_Data!A847),""))</f>
        <v/>
      </c>
      <c r="C857" s="167" t="str">
        <v/>
      </c>
      <c r="D857" s="167" t="str">
        <v/>
      </c>
      <c r="E857" s="167" t="str">
        <v/>
      </c>
      <c r="F857" s="167" t="str">
        <v/>
      </c>
      <c r="G857" s="167" t="str">
        <v/>
      </c>
      <c r="H857" s="167" t="str">
        <v/>
      </c>
      <c r="I857" s="167" t="str">
        <v/>
      </c>
      <c r="J857" s="167" t="str">
        <v/>
      </c>
      <c r="K857" s="167" t="str">
        <v/>
      </c>
      <c r="L857" s="167" t="str">
        <v/>
      </c>
      <c r="M857" s="167" t="str">
        <v/>
      </c>
      <c r="N857" s="167" t="str">
        <v/>
      </c>
      <c r="O857" s="167" t="str">
        <v/>
      </c>
      <c r="P857" s="167" t="str">
        <v/>
      </c>
    </row>
    <row r="858" spans="1:16" x14ac:dyDescent="0.2">
      <c r="A858" s="58" t="str">
        <v/>
      </c>
      <c r="B858" s="144" t="str">
        <f>IFERROR(TIMEVALUE(DaqBook_RAW_Data!Q848),IFERROR(TIMEVALUE(DaqBook_RAW_Data!A848),""))</f>
        <v/>
      </c>
      <c r="C858" s="167" t="str">
        <v/>
      </c>
      <c r="D858" s="167" t="str">
        <v/>
      </c>
      <c r="E858" s="167" t="str">
        <v/>
      </c>
      <c r="F858" s="167" t="str">
        <v/>
      </c>
      <c r="G858" s="167" t="str">
        <v/>
      </c>
      <c r="H858" s="167" t="str">
        <v/>
      </c>
      <c r="I858" s="167" t="str">
        <v/>
      </c>
      <c r="J858" s="167" t="str">
        <v/>
      </c>
      <c r="K858" s="167" t="str">
        <v/>
      </c>
      <c r="L858" s="167" t="str">
        <v/>
      </c>
      <c r="M858" s="167" t="str">
        <v/>
      </c>
      <c r="N858" s="167" t="str">
        <v/>
      </c>
      <c r="O858" s="167" t="str">
        <v/>
      </c>
      <c r="P858" s="167" t="str">
        <v/>
      </c>
    </row>
    <row r="859" spans="1:16" x14ac:dyDescent="0.2">
      <c r="A859" s="58" t="str">
        <v/>
      </c>
      <c r="B859" s="144" t="str">
        <f>IFERROR(TIMEVALUE(DaqBook_RAW_Data!Q849),IFERROR(TIMEVALUE(DaqBook_RAW_Data!A849),""))</f>
        <v/>
      </c>
      <c r="C859" s="167" t="str">
        <v/>
      </c>
      <c r="D859" s="167" t="str">
        <v/>
      </c>
      <c r="E859" s="167" t="str">
        <v/>
      </c>
      <c r="F859" s="167" t="str">
        <v/>
      </c>
      <c r="G859" s="167" t="str">
        <v/>
      </c>
      <c r="H859" s="167" t="str">
        <v/>
      </c>
      <c r="I859" s="167" t="str">
        <v/>
      </c>
      <c r="J859" s="167" t="str">
        <v/>
      </c>
      <c r="K859" s="167" t="str">
        <v/>
      </c>
      <c r="L859" s="167" t="str">
        <v/>
      </c>
      <c r="M859" s="167" t="str">
        <v/>
      </c>
      <c r="N859" s="167" t="str">
        <v/>
      </c>
      <c r="O859" s="167" t="str">
        <v/>
      </c>
      <c r="P859" s="167" t="str">
        <v/>
      </c>
    </row>
    <row r="860" spans="1:16" x14ac:dyDescent="0.2">
      <c r="A860" s="58" t="str">
        <v/>
      </c>
      <c r="B860" s="144" t="str">
        <f>IFERROR(TIMEVALUE(DaqBook_RAW_Data!Q850),IFERROR(TIMEVALUE(DaqBook_RAW_Data!A850),""))</f>
        <v/>
      </c>
      <c r="C860" s="167" t="str">
        <v/>
      </c>
      <c r="D860" s="167" t="str">
        <v/>
      </c>
      <c r="E860" s="167" t="str">
        <v/>
      </c>
      <c r="F860" s="167" t="str">
        <v/>
      </c>
      <c r="G860" s="167" t="str">
        <v/>
      </c>
      <c r="H860" s="167" t="str">
        <v/>
      </c>
      <c r="I860" s="167" t="str">
        <v/>
      </c>
      <c r="J860" s="167" t="str">
        <v/>
      </c>
      <c r="K860" s="167" t="str">
        <v/>
      </c>
      <c r="L860" s="167" t="str">
        <v/>
      </c>
      <c r="M860" s="167" t="str">
        <v/>
      </c>
      <c r="N860" s="167" t="str">
        <v/>
      </c>
      <c r="O860" s="167" t="str">
        <v/>
      </c>
      <c r="P860" s="167" t="str">
        <v/>
      </c>
    </row>
    <row r="861" spans="1:16" x14ac:dyDescent="0.2">
      <c r="A861" s="58" t="str">
        <v/>
      </c>
      <c r="B861" s="144" t="str">
        <f>IFERROR(TIMEVALUE(DaqBook_RAW_Data!Q851),IFERROR(TIMEVALUE(DaqBook_RAW_Data!A851),""))</f>
        <v/>
      </c>
      <c r="C861" s="167" t="str">
        <v/>
      </c>
      <c r="D861" s="167" t="str">
        <v/>
      </c>
      <c r="E861" s="167" t="str">
        <v/>
      </c>
      <c r="F861" s="167" t="str">
        <v/>
      </c>
      <c r="G861" s="167" t="str">
        <v/>
      </c>
      <c r="H861" s="167" t="str">
        <v/>
      </c>
      <c r="I861" s="167" t="str">
        <v/>
      </c>
      <c r="J861" s="167" t="str">
        <v/>
      </c>
      <c r="K861" s="167" t="str">
        <v/>
      </c>
      <c r="L861" s="167" t="str">
        <v/>
      </c>
      <c r="M861" s="167" t="str">
        <v/>
      </c>
      <c r="N861" s="167" t="str">
        <v/>
      </c>
      <c r="O861" s="167" t="str">
        <v/>
      </c>
      <c r="P861" s="167" t="str">
        <v/>
      </c>
    </row>
    <row r="862" spans="1:16" x14ac:dyDescent="0.2">
      <c r="A862" s="58" t="str">
        <v/>
      </c>
      <c r="B862" s="144" t="str">
        <f>IFERROR(TIMEVALUE(DaqBook_RAW_Data!Q852),IFERROR(TIMEVALUE(DaqBook_RAW_Data!A852),""))</f>
        <v/>
      </c>
      <c r="C862" s="167" t="str">
        <v/>
      </c>
      <c r="D862" s="167" t="str">
        <v/>
      </c>
      <c r="E862" s="167" t="str">
        <v/>
      </c>
      <c r="F862" s="167" t="str">
        <v/>
      </c>
      <c r="G862" s="167" t="str">
        <v/>
      </c>
      <c r="H862" s="167" t="str">
        <v/>
      </c>
      <c r="I862" s="167" t="str">
        <v/>
      </c>
      <c r="J862" s="167" t="str">
        <v/>
      </c>
      <c r="K862" s="167" t="str">
        <v/>
      </c>
      <c r="L862" s="167" t="str">
        <v/>
      </c>
      <c r="M862" s="167" t="str">
        <v/>
      </c>
      <c r="N862" s="167" t="str">
        <v/>
      </c>
      <c r="O862" s="167" t="str">
        <v/>
      </c>
      <c r="P862" s="167" t="str">
        <v/>
      </c>
    </row>
    <row r="863" spans="1:16" x14ac:dyDescent="0.2">
      <c r="A863" s="58" t="str">
        <v/>
      </c>
      <c r="B863" s="144" t="str">
        <f>IFERROR(TIMEVALUE(DaqBook_RAW_Data!Q853),IFERROR(TIMEVALUE(DaqBook_RAW_Data!A853),""))</f>
        <v/>
      </c>
      <c r="C863" s="167" t="str">
        <v/>
      </c>
      <c r="D863" s="167" t="str">
        <v/>
      </c>
      <c r="E863" s="167" t="str">
        <v/>
      </c>
      <c r="F863" s="167" t="str">
        <v/>
      </c>
      <c r="G863" s="167" t="str">
        <v/>
      </c>
      <c r="H863" s="167" t="str">
        <v/>
      </c>
      <c r="I863" s="167" t="str">
        <v/>
      </c>
      <c r="J863" s="167" t="str">
        <v/>
      </c>
      <c r="K863" s="167" t="str">
        <v/>
      </c>
      <c r="L863" s="167" t="str">
        <v/>
      </c>
      <c r="M863" s="167" t="str">
        <v/>
      </c>
      <c r="N863" s="167" t="str">
        <v/>
      </c>
      <c r="O863" s="167" t="str">
        <v/>
      </c>
      <c r="P863" s="167" t="str">
        <v/>
      </c>
    </row>
    <row r="864" spans="1:16" x14ac:dyDescent="0.2">
      <c r="A864" s="58" t="str">
        <v/>
      </c>
      <c r="B864" s="144" t="str">
        <f>IFERROR(TIMEVALUE(DaqBook_RAW_Data!Q854),IFERROR(TIMEVALUE(DaqBook_RAW_Data!A854),""))</f>
        <v/>
      </c>
      <c r="C864" s="167" t="str">
        <v/>
      </c>
      <c r="D864" s="167" t="str">
        <v/>
      </c>
      <c r="E864" s="167" t="str">
        <v/>
      </c>
      <c r="F864" s="167" t="str">
        <v/>
      </c>
      <c r="G864" s="167" t="str">
        <v/>
      </c>
      <c r="H864" s="167" t="str">
        <v/>
      </c>
      <c r="I864" s="167" t="str">
        <v/>
      </c>
      <c r="J864" s="167" t="str">
        <v/>
      </c>
      <c r="K864" s="167" t="str">
        <v/>
      </c>
      <c r="L864" s="167" t="str">
        <v/>
      </c>
      <c r="M864" s="167" t="str">
        <v/>
      </c>
      <c r="N864" s="167" t="str">
        <v/>
      </c>
      <c r="O864" s="167" t="str">
        <v/>
      </c>
      <c r="P864" s="167" t="str">
        <v/>
      </c>
    </row>
    <row r="865" spans="1:16" x14ac:dyDescent="0.2">
      <c r="A865" s="58" t="str">
        <v/>
      </c>
      <c r="B865" s="144" t="str">
        <f>IFERROR(TIMEVALUE(DaqBook_RAW_Data!Q855),IFERROR(TIMEVALUE(DaqBook_RAW_Data!A855),""))</f>
        <v/>
      </c>
      <c r="C865" s="167" t="str">
        <v/>
      </c>
      <c r="D865" s="167" t="str">
        <v/>
      </c>
      <c r="E865" s="167" t="str">
        <v/>
      </c>
      <c r="F865" s="167" t="str">
        <v/>
      </c>
      <c r="G865" s="167" t="str">
        <v/>
      </c>
      <c r="H865" s="167" t="str">
        <v/>
      </c>
      <c r="I865" s="167" t="str">
        <v/>
      </c>
      <c r="J865" s="167" t="str">
        <v/>
      </c>
      <c r="K865" s="167" t="str">
        <v/>
      </c>
      <c r="L865" s="167" t="str">
        <v/>
      </c>
      <c r="M865" s="167" t="str">
        <v/>
      </c>
      <c r="N865" s="167" t="str">
        <v/>
      </c>
      <c r="O865" s="167" t="str">
        <v/>
      </c>
      <c r="P865" s="167" t="str">
        <v/>
      </c>
    </row>
    <row r="866" spans="1:16" x14ac:dyDescent="0.2">
      <c r="A866" s="58" t="str">
        <v/>
      </c>
      <c r="B866" s="144" t="str">
        <f>IFERROR(TIMEVALUE(DaqBook_RAW_Data!Q856),IFERROR(TIMEVALUE(DaqBook_RAW_Data!A856),""))</f>
        <v/>
      </c>
      <c r="C866" s="167" t="str">
        <v/>
      </c>
      <c r="D866" s="167" t="str">
        <v/>
      </c>
      <c r="E866" s="167" t="str">
        <v/>
      </c>
      <c r="F866" s="167" t="str">
        <v/>
      </c>
      <c r="G866" s="167" t="str">
        <v/>
      </c>
      <c r="H866" s="167" t="str">
        <v/>
      </c>
      <c r="I866" s="167" t="str">
        <v/>
      </c>
      <c r="J866" s="167" t="str">
        <v/>
      </c>
      <c r="K866" s="167" t="str">
        <v/>
      </c>
      <c r="L866" s="167" t="str">
        <v/>
      </c>
      <c r="M866" s="167" t="str">
        <v/>
      </c>
      <c r="N866" s="167" t="str">
        <v/>
      </c>
      <c r="O866" s="167" t="str">
        <v/>
      </c>
      <c r="P866" s="167" t="str">
        <v/>
      </c>
    </row>
    <row r="867" spans="1:16" x14ac:dyDescent="0.2">
      <c r="A867" s="58" t="str">
        <v/>
      </c>
      <c r="B867" s="144" t="str">
        <f>IFERROR(TIMEVALUE(DaqBook_RAW_Data!Q857),IFERROR(TIMEVALUE(DaqBook_RAW_Data!A857),""))</f>
        <v/>
      </c>
      <c r="C867" s="167" t="str">
        <v/>
      </c>
      <c r="D867" s="167" t="str">
        <v/>
      </c>
      <c r="E867" s="167" t="str">
        <v/>
      </c>
      <c r="F867" s="167" t="str">
        <v/>
      </c>
      <c r="G867" s="167" t="str">
        <v/>
      </c>
      <c r="H867" s="167" t="str">
        <v/>
      </c>
      <c r="I867" s="167" t="str">
        <v/>
      </c>
      <c r="J867" s="167" t="str">
        <v/>
      </c>
      <c r="K867" s="167" t="str">
        <v/>
      </c>
      <c r="L867" s="167" t="str">
        <v/>
      </c>
      <c r="M867" s="167" t="str">
        <v/>
      </c>
      <c r="N867" s="167" t="str">
        <v/>
      </c>
      <c r="O867" s="167" t="str">
        <v/>
      </c>
      <c r="P867" s="167" t="str">
        <v/>
      </c>
    </row>
    <row r="868" spans="1:16" x14ac:dyDescent="0.2">
      <c r="A868" s="58" t="str">
        <v/>
      </c>
      <c r="B868" s="144" t="str">
        <f>IFERROR(TIMEVALUE(DaqBook_RAW_Data!Q858),IFERROR(TIMEVALUE(DaqBook_RAW_Data!A858),""))</f>
        <v/>
      </c>
      <c r="C868" s="167" t="str">
        <v/>
      </c>
      <c r="D868" s="167" t="str">
        <v/>
      </c>
      <c r="E868" s="167" t="str">
        <v/>
      </c>
      <c r="F868" s="167" t="str">
        <v/>
      </c>
      <c r="G868" s="167" t="str">
        <v/>
      </c>
      <c r="H868" s="167" t="str">
        <v/>
      </c>
      <c r="I868" s="167" t="str">
        <v/>
      </c>
      <c r="J868" s="167" t="str">
        <v/>
      </c>
      <c r="K868" s="167" t="str">
        <v/>
      </c>
      <c r="L868" s="167" t="str">
        <v/>
      </c>
      <c r="M868" s="167" t="str">
        <v/>
      </c>
      <c r="N868" s="167" t="str">
        <v/>
      </c>
      <c r="O868" s="167" t="str">
        <v/>
      </c>
      <c r="P868" s="167" t="str">
        <v/>
      </c>
    </row>
    <row r="869" spans="1:16" x14ac:dyDescent="0.2">
      <c r="A869" s="58" t="str">
        <v/>
      </c>
      <c r="B869" s="144" t="str">
        <f>IFERROR(TIMEVALUE(DaqBook_RAW_Data!Q859),IFERROR(TIMEVALUE(DaqBook_RAW_Data!A859),""))</f>
        <v/>
      </c>
      <c r="C869" s="167" t="str">
        <v/>
      </c>
      <c r="D869" s="167" t="str">
        <v/>
      </c>
      <c r="E869" s="167" t="str">
        <v/>
      </c>
      <c r="F869" s="167" t="str">
        <v/>
      </c>
      <c r="G869" s="167" t="str">
        <v/>
      </c>
      <c r="H869" s="167" t="str">
        <v/>
      </c>
      <c r="I869" s="167" t="str">
        <v/>
      </c>
      <c r="J869" s="167" t="str">
        <v/>
      </c>
      <c r="K869" s="167" t="str">
        <v/>
      </c>
      <c r="L869" s="167" t="str">
        <v/>
      </c>
      <c r="M869" s="167" t="str">
        <v/>
      </c>
      <c r="N869" s="167" t="str">
        <v/>
      </c>
      <c r="O869" s="167" t="str">
        <v/>
      </c>
      <c r="P869" s="167" t="str">
        <v/>
      </c>
    </row>
    <row r="870" spans="1:16" x14ac:dyDescent="0.2">
      <c r="A870" s="58" t="str">
        <v/>
      </c>
      <c r="B870" s="144" t="str">
        <f>IFERROR(TIMEVALUE(DaqBook_RAW_Data!Q860),IFERROR(TIMEVALUE(DaqBook_RAW_Data!A860),""))</f>
        <v/>
      </c>
      <c r="C870" s="167" t="str">
        <v/>
      </c>
      <c r="D870" s="167" t="str">
        <v/>
      </c>
      <c r="E870" s="167" t="str">
        <v/>
      </c>
      <c r="F870" s="167" t="str">
        <v/>
      </c>
      <c r="G870" s="167" t="str">
        <v/>
      </c>
      <c r="H870" s="167" t="str">
        <v/>
      </c>
      <c r="I870" s="167" t="str">
        <v/>
      </c>
      <c r="J870" s="167" t="str">
        <v/>
      </c>
      <c r="K870" s="167" t="str">
        <v/>
      </c>
      <c r="L870" s="167" t="str">
        <v/>
      </c>
      <c r="M870" s="167" t="str">
        <v/>
      </c>
      <c r="N870" s="167" t="str">
        <v/>
      </c>
      <c r="O870" s="167" t="str">
        <v/>
      </c>
      <c r="P870" s="167" t="str">
        <v/>
      </c>
    </row>
    <row r="871" spans="1:16" x14ac:dyDescent="0.2">
      <c r="A871" s="58" t="str">
        <v/>
      </c>
      <c r="B871" s="144" t="str">
        <f>IFERROR(TIMEVALUE(DaqBook_RAW_Data!Q861),IFERROR(TIMEVALUE(DaqBook_RAW_Data!A861),""))</f>
        <v/>
      </c>
      <c r="C871" s="167" t="str">
        <v/>
      </c>
      <c r="D871" s="167" t="str">
        <v/>
      </c>
      <c r="E871" s="167" t="str">
        <v/>
      </c>
      <c r="F871" s="167" t="str">
        <v/>
      </c>
      <c r="G871" s="167" t="str">
        <v/>
      </c>
      <c r="H871" s="167" t="str">
        <v/>
      </c>
      <c r="I871" s="167" t="str">
        <v/>
      </c>
      <c r="J871" s="167" t="str">
        <v/>
      </c>
      <c r="K871" s="167" t="str">
        <v/>
      </c>
      <c r="L871" s="167" t="str">
        <v/>
      </c>
      <c r="M871" s="167" t="str">
        <v/>
      </c>
      <c r="N871" s="167" t="str">
        <v/>
      </c>
      <c r="O871" s="167" t="str">
        <v/>
      </c>
      <c r="P871" s="167" t="str">
        <v/>
      </c>
    </row>
    <row r="872" spans="1:16" x14ac:dyDescent="0.2">
      <c r="A872" s="58" t="str">
        <v/>
      </c>
      <c r="B872" s="144" t="str">
        <f>IFERROR(TIMEVALUE(DaqBook_RAW_Data!Q862),IFERROR(TIMEVALUE(DaqBook_RAW_Data!A862),""))</f>
        <v/>
      </c>
      <c r="C872" s="167" t="str">
        <v/>
      </c>
      <c r="D872" s="167" t="str">
        <v/>
      </c>
      <c r="E872" s="167" t="str">
        <v/>
      </c>
      <c r="F872" s="167" t="str">
        <v/>
      </c>
      <c r="G872" s="167" t="str">
        <v/>
      </c>
      <c r="H872" s="167" t="str">
        <v/>
      </c>
      <c r="I872" s="167" t="str">
        <v/>
      </c>
      <c r="J872" s="167" t="str">
        <v/>
      </c>
      <c r="K872" s="167" t="str">
        <v/>
      </c>
      <c r="L872" s="167" t="str">
        <v/>
      </c>
      <c r="M872" s="167" t="str">
        <v/>
      </c>
      <c r="N872" s="167" t="str">
        <v/>
      </c>
      <c r="O872" s="167" t="str">
        <v/>
      </c>
      <c r="P872" s="167" t="str">
        <v/>
      </c>
    </row>
    <row r="873" spans="1:16" x14ac:dyDescent="0.2">
      <c r="A873" s="58" t="str">
        <v/>
      </c>
      <c r="B873" s="144" t="str">
        <f>IFERROR(TIMEVALUE(DaqBook_RAW_Data!Q863),IFERROR(TIMEVALUE(DaqBook_RAW_Data!A863),""))</f>
        <v/>
      </c>
      <c r="C873" s="167" t="str">
        <v/>
      </c>
      <c r="D873" s="167" t="str">
        <v/>
      </c>
      <c r="E873" s="167" t="str">
        <v/>
      </c>
      <c r="F873" s="167" t="str">
        <v/>
      </c>
      <c r="G873" s="167" t="str">
        <v/>
      </c>
      <c r="H873" s="167" t="str">
        <v/>
      </c>
      <c r="I873" s="167" t="str">
        <v/>
      </c>
      <c r="J873" s="167" t="str">
        <v/>
      </c>
      <c r="K873" s="167" t="str">
        <v/>
      </c>
      <c r="L873" s="167" t="str">
        <v/>
      </c>
      <c r="M873" s="167" t="str">
        <v/>
      </c>
      <c r="N873" s="167" t="str">
        <v/>
      </c>
      <c r="O873" s="167" t="str">
        <v/>
      </c>
      <c r="P873" s="167" t="str">
        <v/>
      </c>
    </row>
    <row r="874" spans="1:16" x14ac:dyDescent="0.2">
      <c r="A874" s="58" t="str">
        <v/>
      </c>
      <c r="B874" s="144" t="str">
        <f>IFERROR(TIMEVALUE(DaqBook_RAW_Data!Q864),IFERROR(TIMEVALUE(DaqBook_RAW_Data!A864),""))</f>
        <v/>
      </c>
      <c r="C874" s="167" t="str">
        <v/>
      </c>
      <c r="D874" s="167" t="str">
        <v/>
      </c>
      <c r="E874" s="167" t="str">
        <v/>
      </c>
      <c r="F874" s="167" t="str">
        <v/>
      </c>
      <c r="G874" s="167" t="str">
        <v/>
      </c>
      <c r="H874" s="167" t="str">
        <v/>
      </c>
      <c r="I874" s="167" t="str">
        <v/>
      </c>
      <c r="J874" s="167" t="str">
        <v/>
      </c>
      <c r="K874" s="167" t="str">
        <v/>
      </c>
      <c r="L874" s="167" t="str">
        <v/>
      </c>
      <c r="M874" s="167" t="str">
        <v/>
      </c>
      <c r="N874" s="167" t="str">
        <v/>
      </c>
      <c r="O874" s="167" t="str">
        <v/>
      </c>
      <c r="P874" s="167" t="str">
        <v/>
      </c>
    </row>
    <row r="875" spans="1:16" x14ac:dyDescent="0.2">
      <c r="A875" s="58" t="str">
        <v/>
      </c>
      <c r="B875" s="144" t="str">
        <f>IFERROR(TIMEVALUE(DaqBook_RAW_Data!Q865),IFERROR(TIMEVALUE(DaqBook_RAW_Data!A865),""))</f>
        <v/>
      </c>
      <c r="C875" s="167" t="str">
        <v/>
      </c>
      <c r="D875" s="167" t="str">
        <v/>
      </c>
      <c r="E875" s="167" t="str">
        <v/>
      </c>
      <c r="F875" s="167" t="str">
        <v/>
      </c>
      <c r="G875" s="167" t="str">
        <v/>
      </c>
      <c r="H875" s="167" t="str">
        <v/>
      </c>
      <c r="I875" s="167" t="str">
        <v/>
      </c>
      <c r="J875" s="167" t="str">
        <v/>
      </c>
      <c r="K875" s="167" t="str">
        <v/>
      </c>
      <c r="L875" s="167" t="str">
        <v/>
      </c>
      <c r="M875" s="167" t="str">
        <v/>
      </c>
      <c r="N875" s="167" t="str">
        <v/>
      </c>
      <c r="O875" s="167" t="str">
        <v/>
      </c>
      <c r="P875" s="167" t="str">
        <v/>
      </c>
    </row>
    <row r="876" spans="1:16" x14ac:dyDescent="0.2">
      <c r="A876" s="58" t="str">
        <v/>
      </c>
      <c r="B876" s="144" t="str">
        <f>IFERROR(TIMEVALUE(DaqBook_RAW_Data!Q866),IFERROR(TIMEVALUE(DaqBook_RAW_Data!A866),""))</f>
        <v/>
      </c>
      <c r="C876" s="167" t="str">
        <v/>
      </c>
      <c r="D876" s="167" t="str">
        <v/>
      </c>
      <c r="E876" s="167" t="str">
        <v/>
      </c>
      <c r="F876" s="167" t="str">
        <v/>
      </c>
      <c r="G876" s="167" t="str">
        <v/>
      </c>
      <c r="H876" s="167" t="str">
        <v/>
      </c>
      <c r="I876" s="167" t="str">
        <v/>
      </c>
      <c r="J876" s="167" t="str">
        <v/>
      </c>
      <c r="K876" s="167" t="str">
        <v/>
      </c>
      <c r="L876" s="167" t="str">
        <v/>
      </c>
      <c r="M876" s="167" t="str">
        <v/>
      </c>
      <c r="N876" s="167" t="str">
        <v/>
      </c>
      <c r="O876" s="167" t="str">
        <v/>
      </c>
      <c r="P876" s="167" t="str">
        <v/>
      </c>
    </row>
    <row r="877" spans="1:16" x14ac:dyDescent="0.2">
      <c r="A877" s="58" t="str">
        <v/>
      </c>
      <c r="B877" s="144" t="str">
        <f>IFERROR(TIMEVALUE(DaqBook_RAW_Data!Q867),IFERROR(TIMEVALUE(DaqBook_RAW_Data!A867),""))</f>
        <v/>
      </c>
      <c r="C877" s="167" t="str">
        <v/>
      </c>
      <c r="D877" s="167" t="str">
        <v/>
      </c>
      <c r="E877" s="167" t="str">
        <v/>
      </c>
      <c r="F877" s="167" t="str">
        <v/>
      </c>
      <c r="G877" s="167" t="str">
        <v/>
      </c>
      <c r="H877" s="167" t="str">
        <v/>
      </c>
      <c r="I877" s="167" t="str">
        <v/>
      </c>
      <c r="J877" s="167" t="str">
        <v/>
      </c>
      <c r="K877" s="167" t="str">
        <v/>
      </c>
      <c r="L877" s="167" t="str">
        <v/>
      </c>
      <c r="M877" s="167" t="str">
        <v/>
      </c>
      <c r="N877" s="167" t="str">
        <v/>
      </c>
      <c r="O877" s="167" t="str">
        <v/>
      </c>
      <c r="P877" s="167" t="str">
        <v/>
      </c>
    </row>
    <row r="878" spans="1:16" x14ac:dyDescent="0.2">
      <c r="A878" s="58" t="str">
        <v/>
      </c>
      <c r="B878" s="144" t="str">
        <f>IFERROR(TIMEVALUE(DaqBook_RAW_Data!Q868),IFERROR(TIMEVALUE(DaqBook_RAW_Data!A868),""))</f>
        <v/>
      </c>
      <c r="C878" s="167" t="str">
        <v/>
      </c>
      <c r="D878" s="167" t="str">
        <v/>
      </c>
      <c r="E878" s="167" t="str">
        <v/>
      </c>
      <c r="F878" s="167" t="str">
        <v/>
      </c>
      <c r="G878" s="167" t="str">
        <v/>
      </c>
      <c r="H878" s="167" t="str">
        <v/>
      </c>
      <c r="I878" s="167" t="str">
        <v/>
      </c>
      <c r="J878" s="167" t="str">
        <v/>
      </c>
      <c r="K878" s="167" t="str">
        <v/>
      </c>
      <c r="L878" s="167" t="str">
        <v/>
      </c>
      <c r="M878" s="167" t="str">
        <v/>
      </c>
      <c r="N878" s="167" t="str">
        <v/>
      </c>
      <c r="O878" s="167" t="str">
        <v/>
      </c>
      <c r="P878" s="167" t="str">
        <v/>
      </c>
    </row>
    <row r="879" spans="1:16" x14ac:dyDescent="0.2">
      <c r="A879" s="58" t="str">
        <v/>
      </c>
      <c r="B879" s="144" t="str">
        <f>IFERROR(TIMEVALUE(DaqBook_RAW_Data!Q869),IFERROR(TIMEVALUE(DaqBook_RAW_Data!A869),""))</f>
        <v/>
      </c>
      <c r="C879" s="167" t="str">
        <v/>
      </c>
      <c r="D879" s="167" t="str">
        <v/>
      </c>
      <c r="E879" s="167" t="str">
        <v/>
      </c>
      <c r="F879" s="167" t="str">
        <v/>
      </c>
      <c r="G879" s="167" t="str">
        <v/>
      </c>
      <c r="H879" s="167" t="str">
        <v/>
      </c>
      <c r="I879" s="167" t="str">
        <v/>
      </c>
      <c r="J879" s="167" t="str">
        <v/>
      </c>
      <c r="K879" s="167" t="str">
        <v/>
      </c>
      <c r="L879" s="167" t="str">
        <v/>
      </c>
      <c r="M879" s="167" t="str">
        <v/>
      </c>
      <c r="N879" s="167" t="str">
        <v/>
      </c>
      <c r="O879" s="167" t="str">
        <v/>
      </c>
      <c r="P879" s="167" t="str">
        <v/>
      </c>
    </row>
    <row r="880" spans="1:16" x14ac:dyDescent="0.2">
      <c r="A880" s="58" t="str">
        <v/>
      </c>
      <c r="B880" s="144" t="str">
        <f>IFERROR(TIMEVALUE(DaqBook_RAW_Data!Q870),IFERROR(TIMEVALUE(DaqBook_RAW_Data!A870),""))</f>
        <v/>
      </c>
      <c r="C880" s="167" t="str">
        <v/>
      </c>
      <c r="D880" s="167" t="str">
        <v/>
      </c>
      <c r="E880" s="167" t="str">
        <v/>
      </c>
      <c r="F880" s="167" t="str">
        <v/>
      </c>
      <c r="G880" s="167" t="str">
        <v/>
      </c>
      <c r="H880" s="167" t="str">
        <v/>
      </c>
      <c r="I880" s="167" t="str">
        <v/>
      </c>
      <c r="J880" s="167" t="str">
        <v/>
      </c>
      <c r="K880" s="167" t="str">
        <v/>
      </c>
      <c r="L880" s="167" t="str">
        <v/>
      </c>
      <c r="M880" s="167" t="str">
        <v/>
      </c>
      <c r="N880" s="167" t="str">
        <v/>
      </c>
      <c r="O880" s="167" t="str">
        <v/>
      </c>
      <c r="P880" s="167" t="str">
        <v/>
      </c>
    </row>
    <row r="881" spans="1:16" x14ac:dyDescent="0.2">
      <c r="A881" s="58" t="str">
        <v/>
      </c>
      <c r="B881" s="144" t="str">
        <f>IFERROR(TIMEVALUE(DaqBook_RAW_Data!Q871),IFERROR(TIMEVALUE(DaqBook_RAW_Data!A871),""))</f>
        <v/>
      </c>
      <c r="C881" s="167" t="str">
        <v/>
      </c>
      <c r="D881" s="167" t="str">
        <v/>
      </c>
      <c r="E881" s="167" t="str">
        <v/>
      </c>
      <c r="F881" s="167" t="str">
        <v/>
      </c>
      <c r="G881" s="167" t="str">
        <v/>
      </c>
      <c r="H881" s="167" t="str">
        <v/>
      </c>
      <c r="I881" s="167" t="str">
        <v/>
      </c>
      <c r="J881" s="167" t="str">
        <v/>
      </c>
      <c r="K881" s="167" t="str">
        <v/>
      </c>
      <c r="L881" s="167" t="str">
        <v/>
      </c>
      <c r="M881" s="167" t="str">
        <v/>
      </c>
      <c r="N881" s="167" t="str">
        <v/>
      </c>
      <c r="O881" s="167" t="str">
        <v/>
      </c>
      <c r="P881" s="167" t="str">
        <v/>
      </c>
    </row>
    <row r="882" spans="1:16" x14ac:dyDescent="0.2">
      <c r="A882" s="58" t="str">
        <v/>
      </c>
      <c r="B882" s="144" t="str">
        <f>IFERROR(TIMEVALUE(DaqBook_RAW_Data!Q872),IFERROR(TIMEVALUE(DaqBook_RAW_Data!A872),""))</f>
        <v/>
      </c>
      <c r="C882" s="167" t="str">
        <v/>
      </c>
      <c r="D882" s="167" t="str">
        <v/>
      </c>
      <c r="E882" s="167" t="str">
        <v/>
      </c>
      <c r="F882" s="167" t="str">
        <v/>
      </c>
      <c r="G882" s="167" t="str">
        <v/>
      </c>
      <c r="H882" s="167" t="str">
        <v/>
      </c>
      <c r="I882" s="167" t="str">
        <v/>
      </c>
      <c r="J882" s="167" t="str">
        <v/>
      </c>
      <c r="K882" s="167" t="str">
        <v/>
      </c>
      <c r="L882" s="167" t="str">
        <v/>
      </c>
      <c r="M882" s="167" t="str">
        <v/>
      </c>
      <c r="N882" s="167" t="str">
        <v/>
      </c>
      <c r="O882" s="167" t="str">
        <v/>
      </c>
      <c r="P882" s="167" t="str">
        <v/>
      </c>
    </row>
    <row r="883" spans="1:16" x14ac:dyDescent="0.2">
      <c r="A883" s="58" t="str">
        <v/>
      </c>
      <c r="B883" s="144" t="str">
        <f>IFERROR(TIMEVALUE(DaqBook_RAW_Data!Q873),IFERROR(TIMEVALUE(DaqBook_RAW_Data!A873),""))</f>
        <v/>
      </c>
      <c r="C883" s="167" t="str">
        <v/>
      </c>
      <c r="D883" s="167" t="str">
        <v/>
      </c>
      <c r="E883" s="167" t="str">
        <v/>
      </c>
      <c r="F883" s="167" t="str">
        <v/>
      </c>
      <c r="G883" s="167" t="str">
        <v/>
      </c>
      <c r="H883" s="167" t="str">
        <v/>
      </c>
      <c r="I883" s="167" t="str">
        <v/>
      </c>
      <c r="J883" s="167" t="str">
        <v/>
      </c>
      <c r="K883" s="167" t="str">
        <v/>
      </c>
      <c r="L883" s="167" t="str">
        <v/>
      </c>
      <c r="M883" s="167" t="str">
        <v/>
      </c>
      <c r="N883" s="167" t="str">
        <v/>
      </c>
      <c r="O883" s="167" t="str">
        <v/>
      </c>
      <c r="P883" s="167" t="str">
        <v/>
      </c>
    </row>
    <row r="884" spans="1:16" x14ac:dyDescent="0.2">
      <c r="A884" s="58" t="str">
        <v/>
      </c>
      <c r="B884" s="144" t="str">
        <f>IFERROR(TIMEVALUE(DaqBook_RAW_Data!Q874),IFERROR(TIMEVALUE(DaqBook_RAW_Data!A874),""))</f>
        <v/>
      </c>
      <c r="C884" s="167" t="str">
        <v/>
      </c>
      <c r="D884" s="167" t="str">
        <v/>
      </c>
      <c r="E884" s="167" t="str">
        <v/>
      </c>
      <c r="F884" s="167" t="str">
        <v/>
      </c>
      <c r="G884" s="167" t="str">
        <v/>
      </c>
      <c r="H884" s="167" t="str">
        <v/>
      </c>
      <c r="I884" s="167" t="str">
        <v/>
      </c>
      <c r="J884" s="167" t="str">
        <v/>
      </c>
      <c r="K884" s="167" t="str">
        <v/>
      </c>
      <c r="L884" s="167" t="str">
        <v/>
      </c>
      <c r="M884" s="167" t="str">
        <v/>
      </c>
      <c r="N884" s="167" t="str">
        <v/>
      </c>
      <c r="O884" s="167" t="str">
        <v/>
      </c>
      <c r="P884" s="167" t="str">
        <v/>
      </c>
    </row>
    <row r="885" spans="1:16" x14ac:dyDescent="0.2">
      <c r="A885" s="58" t="str">
        <v/>
      </c>
      <c r="B885" s="144" t="str">
        <f>IFERROR(TIMEVALUE(DaqBook_RAW_Data!Q875),IFERROR(TIMEVALUE(DaqBook_RAW_Data!A875),""))</f>
        <v/>
      </c>
      <c r="C885" s="167" t="str">
        <v/>
      </c>
      <c r="D885" s="167" t="str">
        <v/>
      </c>
      <c r="E885" s="167" t="str">
        <v/>
      </c>
      <c r="F885" s="167" t="str">
        <v/>
      </c>
      <c r="G885" s="167" t="str">
        <v/>
      </c>
      <c r="H885" s="167" t="str">
        <v/>
      </c>
      <c r="I885" s="167" t="str">
        <v/>
      </c>
      <c r="J885" s="167" t="str">
        <v/>
      </c>
      <c r="K885" s="167" t="str">
        <v/>
      </c>
      <c r="L885" s="167" t="str">
        <v/>
      </c>
      <c r="M885" s="167" t="str">
        <v/>
      </c>
      <c r="N885" s="167" t="str">
        <v/>
      </c>
      <c r="O885" s="167" t="str">
        <v/>
      </c>
      <c r="P885" s="167" t="str">
        <v/>
      </c>
    </row>
    <row r="886" spans="1:16" x14ac:dyDescent="0.2">
      <c r="A886" s="58" t="str">
        <v/>
      </c>
      <c r="B886" s="144" t="str">
        <f>IFERROR(TIMEVALUE(DaqBook_RAW_Data!Q876),IFERROR(TIMEVALUE(DaqBook_RAW_Data!A876),""))</f>
        <v/>
      </c>
      <c r="C886" s="167" t="str">
        <v/>
      </c>
      <c r="D886" s="167" t="str">
        <v/>
      </c>
      <c r="E886" s="167" t="str">
        <v/>
      </c>
      <c r="F886" s="167" t="str">
        <v/>
      </c>
      <c r="G886" s="167" t="str">
        <v/>
      </c>
      <c r="H886" s="167" t="str">
        <v/>
      </c>
      <c r="I886" s="167" t="str">
        <v/>
      </c>
      <c r="J886" s="167" t="str">
        <v/>
      </c>
      <c r="K886" s="167" t="str">
        <v/>
      </c>
      <c r="L886" s="167" t="str">
        <v/>
      </c>
      <c r="M886" s="167" t="str">
        <v/>
      </c>
      <c r="N886" s="167" t="str">
        <v/>
      </c>
      <c r="O886" s="167" t="str">
        <v/>
      </c>
      <c r="P886" s="167" t="str">
        <v/>
      </c>
    </row>
    <row r="887" spans="1:16" x14ac:dyDescent="0.2">
      <c r="A887" s="58" t="str">
        <v/>
      </c>
      <c r="B887" s="144" t="str">
        <f>IFERROR(TIMEVALUE(DaqBook_RAW_Data!Q877),IFERROR(TIMEVALUE(DaqBook_RAW_Data!A877),""))</f>
        <v/>
      </c>
      <c r="C887" s="167" t="str">
        <v/>
      </c>
      <c r="D887" s="167" t="str">
        <v/>
      </c>
      <c r="E887" s="167" t="str">
        <v/>
      </c>
      <c r="F887" s="167" t="str">
        <v/>
      </c>
      <c r="G887" s="167" t="str">
        <v/>
      </c>
      <c r="H887" s="167" t="str">
        <v/>
      </c>
      <c r="I887" s="167" t="str">
        <v/>
      </c>
      <c r="J887" s="167" t="str">
        <v/>
      </c>
      <c r="K887" s="167" t="str">
        <v/>
      </c>
      <c r="L887" s="167" t="str">
        <v/>
      </c>
      <c r="M887" s="167" t="str">
        <v/>
      </c>
      <c r="N887" s="167" t="str">
        <v/>
      </c>
      <c r="O887" s="167" t="str">
        <v/>
      </c>
      <c r="P887" s="167" t="str">
        <v/>
      </c>
    </row>
    <row r="888" spans="1:16" x14ac:dyDescent="0.2">
      <c r="A888" s="58" t="str">
        <v/>
      </c>
      <c r="B888" s="144" t="str">
        <f>IFERROR(TIMEVALUE(DaqBook_RAW_Data!Q878),IFERROR(TIMEVALUE(DaqBook_RAW_Data!A878),""))</f>
        <v/>
      </c>
      <c r="C888" s="167" t="str">
        <v/>
      </c>
      <c r="D888" s="167" t="str">
        <v/>
      </c>
      <c r="E888" s="167" t="str">
        <v/>
      </c>
      <c r="F888" s="167" t="str">
        <v/>
      </c>
      <c r="G888" s="167" t="str">
        <v/>
      </c>
      <c r="H888" s="167" t="str">
        <v/>
      </c>
      <c r="I888" s="167" t="str">
        <v/>
      </c>
      <c r="J888" s="167" t="str">
        <v/>
      </c>
      <c r="K888" s="167" t="str">
        <v/>
      </c>
      <c r="L888" s="167" t="str">
        <v/>
      </c>
      <c r="M888" s="167" t="str">
        <v/>
      </c>
      <c r="N888" s="167" t="str">
        <v/>
      </c>
      <c r="O888" s="167" t="str">
        <v/>
      </c>
      <c r="P888" s="167" t="str">
        <v/>
      </c>
    </row>
    <row r="889" spans="1:16" x14ac:dyDescent="0.2">
      <c r="A889" s="58" t="str">
        <v/>
      </c>
      <c r="B889" s="144" t="str">
        <f>IFERROR(TIMEVALUE(DaqBook_RAW_Data!Q879),IFERROR(TIMEVALUE(DaqBook_RAW_Data!A879),""))</f>
        <v/>
      </c>
      <c r="C889" s="167" t="str">
        <v/>
      </c>
      <c r="D889" s="167" t="str">
        <v/>
      </c>
      <c r="E889" s="167" t="str">
        <v/>
      </c>
      <c r="F889" s="167" t="str">
        <v/>
      </c>
      <c r="G889" s="167" t="str">
        <v/>
      </c>
      <c r="H889" s="167" t="str">
        <v/>
      </c>
      <c r="I889" s="167" t="str">
        <v/>
      </c>
      <c r="J889" s="167" t="str">
        <v/>
      </c>
      <c r="K889" s="167" t="str">
        <v/>
      </c>
      <c r="L889" s="167" t="str">
        <v/>
      </c>
      <c r="M889" s="167" t="str">
        <v/>
      </c>
      <c r="N889" s="167" t="str">
        <v/>
      </c>
      <c r="O889" s="167" t="str">
        <v/>
      </c>
      <c r="P889" s="167" t="str">
        <v/>
      </c>
    </row>
    <row r="890" spans="1:16" x14ac:dyDescent="0.2">
      <c r="A890" s="58" t="str">
        <v/>
      </c>
      <c r="B890" s="144" t="str">
        <f>IFERROR(TIMEVALUE(DaqBook_RAW_Data!Q880),IFERROR(TIMEVALUE(DaqBook_RAW_Data!A880),""))</f>
        <v/>
      </c>
      <c r="C890" s="167" t="str">
        <v/>
      </c>
      <c r="D890" s="167" t="str">
        <v/>
      </c>
      <c r="E890" s="167" t="str">
        <v/>
      </c>
      <c r="F890" s="167" t="str">
        <v/>
      </c>
      <c r="G890" s="167" t="str">
        <v/>
      </c>
      <c r="H890" s="167" t="str">
        <v/>
      </c>
      <c r="I890" s="167" t="str">
        <v/>
      </c>
      <c r="J890" s="167" t="str">
        <v/>
      </c>
      <c r="K890" s="167" t="str">
        <v/>
      </c>
      <c r="L890" s="167" t="str">
        <v/>
      </c>
      <c r="M890" s="167" t="str">
        <v/>
      </c>
      <c r="N890" s="167" t="str">
        <v/>
      </c>
      <c r="O890" s="167" t="str">
        <v/>
      </c>
      <c r="P890" s="167" t="str">
        <v/>
      </c>
    </row>
    <row r="891" spans="1:16" x14ac:dyDescent="0.2">
      <c r="A891" s="58" t="str">
        <v/>
      </c>
      <c r="B891" s="144" t="str">
        <f>IFERROR(TIMEVALUE(DaqBook_RAW_Data!Q881),IFERROR(TIMEVALUE(DaqBook_RAW_Data!A881),""))</f>
        <v/>
      </c>
      <c r="C891" s="167" t="str">
        <v/>
      </c>
      <c r="D891" s="167" t="str">
        <v/>
      </c>
      <c r="E891" s="167" t="str">
        <v/>
      </c>
      <c r="F891" s="167" t="str">
        <v/>
      </c>
      <c r="G891" s="167" t="str">
        <v/>
      </c>
      <c r="H891" s="167" t="str">
        <v/>
      </c>
      <c r="I891" s="167" t="str">
        <v/>
      </c>
      <c r="J891" s="167" t="str">
        <v/>
      </c>
      <c r="K891" s="167" t="str">
        <v/>
      </c>
      <c r="L891" s="167" t="str">
        <v/>
      </c>
      <c r="M891" s="167" t="str">
        <v/>
      </c>
      <c r="N891" s="167" t="str">
        <v/>
      </c>
      <c r="O891" s="167" t="str">
        <v/>
      </c>
      <c r="P891" s="167" t="str">
        <v/>
      </c>
    </row>
    <row r="892" spans="1:16" x14ac:dyDescent="0.2">
      <c r="A892" s="58" t="str">
        <v/>
      </c>
      <c r="B892" s="144" t="str">
        <f>IFERROR(TIMEVALUE(DaqBook_RAW_Data!Q882),IFERROR(TIMEVALUE(DaqBook_RAW_Data!A882),""))</f>
        <v/>
      </c>
      <c r="C892" s="167" t="str">
        <v/>
      </c>
      <c r="D892" s="167" t="str">
        <v/>
      </c>
      <c r="E892" s="167" t="str">
        <v/>
      </c>
      <c r="F892" s="167" t="str">
        <v/>
      </c>
      <c r="G892" s="167" t="str">
        <v/>
      </c>
      <c r="H892" s="167" t="str">
        <v/>
      </c>
      <c r="I892" s="167" t="str">
        <v/>
      </c>
      <c r="J892" s="167" t="str">
        <v/>
      </c>
      <c r="K892" s="167" t="str">
        <v/>
      </c>
      <c r="L892" s="167" t="str">
        <v/>
      </c>
      <c r="M892" s="167" t="str">
        <v/>
      </c>
      <c r="N892" s="167" t="str">
        <v/>
      </c>
      <c r="O892" s="167" t="str">
        <v/>
      </c>
      <c r="P892" s="167" t="str">
        <v/>
      </c>
    </row>
    <row r="893" spans="1:16" x14ac:dyDescent="0.2">
      <c r="A893" s="58" t="str">
        <v/>
      </c>
      <c r="B893" s="144" t="str">
        <f>IFERROR(TIMEVALUE(DaqBook_RAW_Data!Q883),IFERROR(TIMEVALUE(DaqBook_RAW_Data!A883),""))</f>
        <v/>
      </c>
      <c r="C893" s="167" t="str">
        <v/>
      </c>
      <c r="D893" s="167" t="str">
        <v/>
      </c>
      <c r="E893" s="167" t="str">
        <v/>
      </c>
      <c r="F893" s="167" t="str">
        <v/>
      </c>
      <c r="G893" s="167" t="str">
        <v/>
      </c>
      <c r="H893" s="167" t="str">
        <v/>
      </c>
      <c r="I893" s="167" t="str">
        <v/>
      </c>
      <c r="J893" s="167" t="str">
        <v/>
      </c>
      <c r="K893" s="167" t="str">
        <v/>
      </c>
      <c r="L893" s="167" t="str">
        <v/>
      </c>
      <c r="M893" s="167" t="str">
        <v/>
      </c>
      <c r="N893" s="167" t="str">
        <v/>
      </c>
      <c r="O893" s="167" t="str">
        <v/>
      </c>
      <c r="P893" s="167" t="str">
        <v/>
      </c>
    </row>
    <row r="894" spans="1:16" x14ac:dyDescent="0.2">
      <c r="A894" s="58" t="str">
        <v/>
      </c>
      <c r="B894" s="144" t="str">
        <f>IFERROR(TIMEVALUE(DaqBook_RAW_Data!Q884),IFERROR(TIMEVALUE(DaqBook_RAW_Data!A884),""))</f>
        <v/>
      </c>
      <c r="C894" s="167" t="str">
        <v/>
      </c>
      <c r="D894" s="167" t="str">
        <v/>
      </c>
      <c r="E894" s="167" t="str">
        <v/>
      </c>
      <c r="F894" s="167" t="str">
        <v/>
      </c>
      <c r="G894" s="167" t="str">
        <v/>
      </c>
      <c r="H894" s="167" t="str">
        <v/>
      </c>
      <c r="I894" s="167" t="str">
        <v/>
      </c>
      <c r="J894" s="167" t="str">
        <v/>
      </c>
      <c r="K894" s="167" t="str">
        <v/>
      </c>
      <c r="L894" s="167" t="str">
        <v/>
      </c>
      <c r="M894" s="167" t="str">
        <v/>
      </c>
      <c r="N894" s="167" t="str">
        <v/>
      </c>
      <c r="O894" s="167" t="str">
        <v/>
      </c>
      <c r="P894" s="167" t="str">
        <v/>
      </c>
    </row>
    <row r="895" spans="1:16" x14ac:dyDescent="0.2">
      <c r="A895" s="58" t="str">
        <v/>
      </c>
      <c r="B895" s="144" t="str">
        <f>IFERROR(TIMEVALUE(DaqBook_RAW_Data!Q885),IFERROR(TIMEVALUE(DaqBook_RAW_Data!A885),""))</f>
        <v/>
      </c>
      <c r="C895" s="167" t="str">
        <v/>
      </c>
      <c r="D895" s="167" t="str">
        <v/>
      </c>
      <c r="E895" s="167" t="str">
        <v/>
      </c>
      <c r="F895" s="167" t="str">
        <v/>
      </c>
      <c r="G895" s="167" t="str">
        <v/>
      </c>
      <c r="H895" s="167" t="str">
        <v/>
      </c>
      <c r="I895" s="167" t="str">
        <v/>
      </c>
      <c r="J895" s="167" t="str">
        <v/>
      </c>
      <c r="K895" s="167" t="str">
        <v/>
      </c>
      <c r="L895" s="167" t="str">
        <v/>
      </c>
      <c r="M895" s="167" t="str">
        <v/>
      </c>
      <c r="N895" s="167" t="str">
        <v/>
      </c>
      <c r="O895" s="167" t="str">
        <v/>
      </c>
      <c r="P895" s="167" t="str">
        <v/>
      </c>
    </row>
    <row r="896" spans="1:16" x14ac:dyDescent="0.2">
      <c r="A896" s="58" t="str">
        <v/>
      </c>
      <c r="B896" s="144" t="str">
        <f>IFERROR(TIMEVALUE(DaqBook_RAW_Data!Q886),IFERROR(TIMEVALUE(DaqBook_RAW_Data!A886),""))</f>
        <v/>
      </c>
      <c r="C896" s="167" t="str">
        <v/>
      </c>
      <c r="D896" s="167" t="str">
        <v/>
      </c>
      <c r="E896" s="167" t="str">
        <v/>
      </c>
      <c r="F896" s="167" t="str">
        <v/>
      </c>
      <c r="G896" s="167" t="str">
        <v/>
      </c>
      <c r="H896" s="167" t="str">
        <v/>
      </c>
      <c r="I896" s="167" t="str">
        <v/>
      </c>
      <c r="J896" s="167" t="str">
        <v/>
      </c>
      <c r="K896" s="167" t="str">
        <v/>
      </c>
      <c r="L896" s="167" t="str">
        <v/>
      </c>
      <c r="M896" s="167" t="str">
        <v/>
      </c>
      <c r="N896" s="167" t="str">
        <v/>
      </c>
      <c r="O896" s="167" t="str">
        <v/>
      </c>
      <c r="P896" s="167" t="str">
        <v/>
      </c>
    </row>
    <row r="897" spans="1:16" x14ac:dyDescent="0.2">
      <c r="A897" s="58" t="str">
        <v/>
      </c>
      <c r="B897" s="144" t="str">
        <f>IFERROR(TIMEVALUE(DaqBook_RAW_Data!Q887),IFERROR(TIMEVALUE(DaqBook_RAW_Data!A887),""))</f>
        <v/>
      </c>
      <c r="C897" s="167" t="str">
        <v/>
      </c>
      <c r="D897" s="167" t="str">
        <v/>
      </c>
      <c r="E897" s="167" t="str">
        <v/>
      </c>
      <c r="F897" s="167" t="str">
        <v/>
      </c>
      <c r="G897" s="167" t="str">
        <v/>
      </c>
      <c r="H897" s="167" t="str">
        <v/>
      </c>
      <c r="I897" s="167" t="str">
        <v/>
      </c>
      <c r="J897" s="167" t="str">
        <v/>
      </c>
      <c r="K897" s="167" t="str">
        <v/>
      </c>
      <c r="L897" s="167" t="str">
        <v/>
      </c>
      <c r="M897" s="167" t="str">
        <v/>
      </c>
      <c r="N897" s="167" t="str">
        <v/>
      </c>
      <c r="O897" s="167" t="str">
        <v/>
      </c>
      <c r="P897" s="167" t="str">
        <v/>
      </c>
    </row>
    <row r="898" spans="1:16" x14ac:dyDescent="0.2">
      <c r="A898" s="58" t="str">
        <v/>
      </c>
      <c r="B898" s="144" t="str">
        <f>IFERROR(TIMEVALUE(DaqBook_RAW_Data!Q888),IFERROR(TIMEVALUE(DaqBook_RAW_Data!A888),""))</f>
        <v/>
      </c>
      <c r="C898" s="167" t="str">
        <v/>
      </c>
      <c r="D898" s="167" t="str">
        <v/>
      </c>
      <c r="E898" s="167" t="str">
        <v/>
      </c>
      <c r="F898" s="167" t="str">
        <v/>
      </c>
      <c r="G898" s="167" t="str">
        <v/>
      </c>
      <c r="H898" s="167" t="str">
        <v/>
      </c>
      <c r="I898" s="167" t="str">
        <v/>
      </c>
      <c r="J898" s="167" t="str">
        <v/>
      </c>
      <c r="K898" s="167" t="str">
        <v/>
      </c>
      <c r="L898" s="167" t="str">
        <v/>
      </c>
      <c r="M898" s="167" t="str">
        <v/>
      </c>
      <c r="N898" s="167" t="str">
        <v/>
      </c>
      <c r="O898" s="167" t="str">
        <v/>
      </c>
      <c r="P898" s="167" t="str">
        <v/>
      </c>
    </row>
    <row r="899" spans="1:16" x14ac:dyDescent="0.2">
      <c r="A899" s="58" t="str">
        <v/>
      </c>
      <c r="B899" s="144" t="str">
        <f>IFERROR(TIMEVALUE(DaqBook_RAW_Data!Q889),IFERROR(TIMEVALUE(DaqBook_RAW_Data!A889),""))</f>
        <v/>
      </c>
      <c r="C899" s="167" t="str">
        <v/>
      </c>
      <c r="D899" s="167" t="str">
        <v/>
      </c>
      <c r="E899" s="167" t="str">
        <v/>
      </c>
      <c r="F899" s="167" t="str">
        <v/>
      </c>
      <c r="G899" s="167" t="str">
        <v/>
      </c>
      <c r="H899" s="167" t="str">
        <v/>
      </c>
      <c r="I899" s="167" t="str">
        <v/>
      </c>
      <c r="J899" s="167" t="str">
        <v/>
      </c>
      <c r="K899" s="167" t="str">
        <v/>
      </c>
      <c r="L899" s="167" t="str">
        <v/>
      </c>
      <c r="M899" s="167" t="str">
        <v/>
      </c>
      <c r="N899" s="167" t="str">
        <v/>
      </c>
      <c r="O899" s="167" t="str">
        <v/>
      </c>
      <c r="P899" s="167" t="str">
        <v/>
      </c>
    </row>
    <row r="900" spans="1:16" x14ac:dyDescent="0.2">
      <c r="A900" s="58" t="str">
        <v/>
      </c>
      <c r="B900" s="144" t="str">
        <f>IFERROR(TIMEVALUE(DaqBook_RAW_Data!Q890),IFERROR(TIMEVALUE(DaqBook_RAW_Data!A890),""))</f>
        <v/>
      </c>
      <c r="C900" s="167" t="str">
        <v/>
      </c>
      <c r="D900" s="167" t="str">
        <v/>
      </c>
      <c r="E900" s="167" t="str">
        <v/>
      </c>
      <c r="F900" s="167" t="str">
        <v/>
      </c>
      <c r="G900" s="167" t="str">
        <v/>
      </c>
      <c r="H900" s="167" t="str">
        <v/>
      </c>
      <c r="I900" s="167" t="str">
        <v/>
      </c>
      <c r="J900" s="167" t="str">
        <v/>
      </c>
      <c r="K900" s="167" t="str">
        <v/>
      </c>
      <c r="L900" s="167" t="str">
        <v/>
      </c>
      <c r="M900" s="167" t="str">
        <v/>
      </c>
      <c r="N900" s="167" t="str">
        <v/>
      </c>
      <c r="O900" s="167" t="str">
        <v/>
      </c>
      <c r="P900" s="167" t="str">
        <v/>
      </c>
    </row>
    <row r="901" spans="1:16" x14ac:dyDescent="0.2">
      <c r="A901" s="58" t="str">
        <v/>
      </c>
      <c r="B901" s="144" t="str">
        <f>IFERROR(TIMEVALUE(DaqBook_RAW_Data!Q891),IFERROR(TIMEVALUE(DaqBook_RAW_Data!A891),""))</f>
        <v/>
      </c>
      <c r="C901" s="167" t="str">
        <v/>
      </c>
      <c r="D901" s="167" t="str">
        <v/>
      </c>
      <c r="E901" s="167" t="str">
        <v/>
      </c>
      <c r="F901" s="167" t="str">
        <v/>
      </c>
      <c r="G901" s="167" t="str">
        <v/>
      </c>
      <c r="H901" s="167" t="str">
        <v/>
      </c>
      <c r="I901" s="167" t="str">
        <v/>
      </c>
      <c r="J901" s="167" t="str">
        <v/>
      </c>
      <c r="K901" s="167" t="str">
        <v/>
      </c>
      <c r="L901" s="167" t="str">
        <v/>
      </c>
      <c r="M901" s="167" t="str">
        <v/>
      </c>
      <c r="N901" s="167" t="str">
        <v/>
      </c>
      <c r="O901" s="167" t="str">
        <v/>
      </c>
      <c r="P901" s="167" t="str">
        <v/>
      </c>
    </row>
    <row r="902" spans="1:16" x14ac:dyDescent="0.2">
      <c r="A902" s="58" t="str">
        <v/>
      </c>
      <c r="B902" s="144" t="str">
        <f>IFERROR(TIMEVALUE(DaqBook_RAW_Data!Q892),IFERROR(TIMEVALUE(DaqBook_RAW_Data!A892),""))</f>
        <v/>
      </c>
      <c r="C902" s="167" t="str">
        <v/>
      </c>
      <c r="D902" s="167" t="str">
        <v/>
      </c>
      <c r="E902" s="167" t="str">
        <v/>
      </c>
      <c r="F902" s="167" t="str">
        <v/>
      </c>
      <c r="G902" s="167" t="str">
        <v/>
      </c>
      <c r="H902" s="167" t="str">
        <v/>
      </c>
      <c r="I902" s="167" t="str">
        <v/>
      </c>
      <c r="J902" s="167" t="str">
        <v/>
      </c>
      <c r="K902" s="167" t="str">
        <v/>
      </c>
      <c r="L902" s="167" t="str">
        <v/>
      </c>
      <c r="M902" s="167" t="str">
        <v/>
      </c>
      <c r="N902" s="167" t="str">
        <v/>
      </c>
      <c r="O902" s="167" t="str">
        <v/>
      </c>
      <c r="P902" s="167" t="str">
        <v/>
      </c>
    </row>
    <row r="903" spans="1:16" x14ac:dyDescent="0.2">
      <c r="A903" s="58" t="str">
        <v/>
      </c>
      <c r="B903" s="144" t="str">
        <f>IFERROR(TIMEVALUE(DaqBook_RAW_Data!Q893),IFERROR(TIMEVALUE(DaqBook_RAW_Data!A893),""))</f>
        <v/>
      </c>
      <c r="C903" s="167" t="str">
        <v/>
      </c>
      <c r="D903" s="167" t="str">
        <v/>
      </c>
      <c r="E903" s="167" t="str">
        <v/>
      </c>
      <c r="F903" s="167" t="str">
        <v/>
      </c>
      <c r="G903" s="167" t="str">
        <v/>
      </c>
      <c r="H903" s="167" t="str">
        <v/>
      </c>
      <c r="I903" s="167" t="str">
        <v/>
      </c>
      <c r="J903" s="167" t="str">
        <v/>
      </c>
      <c r="K903" s="167" t="str">
        <v/>
      </c>
      <c r="L903" s="167" t="str">
        <v/>
      </c>
      <c r="M903" s="167" t="str">
        <v/>
      </c>
      <c r="N903" s="167" t="str">
        <v/>
      </c>
      <c r="O903" s="167" t="str">
        <v/>
      </c>
      <c r="P903" s="167" t="str">
        <v/>
      </c>
    </row>
  </sheetData>
  <sheetProtection selectLockedCells="1"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P31" sqref="P3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55"/>
      <c r="B1" s="162">
        <f>Main!$D$16</f>
        <v>0</v>
      </c>
      <c r="C1" s="156">
        <f>$B$1-$B$2</f>
        <v>0</v>
      </c>
      <c r="D1" s="156"/>
      <c r="E1" s="162">
        <f>B1-D2</f>
        <v>0</v>
      </c>
      <c r="F1" s="38" t="s">
        <v>105</v>
      </c>
      <c r="P1" s="47" t="str">
        <f>IF(Main!$E$30="","A10",ADDRESS(13+(MATCH(Main!$E$30,Data_Sheet!$A$14:$A$903,0)),1,4))</f>
        <v>A10</v>
      </c>
    </row>
    <row r="2" spans="1:16" x14ac:dyDescent="0.2">
      <c r="A2" s="155"/>
      <c r="B2" s="162">
        <f>Main!$D$19</f>
        <v>0</v>
      </c>
      <c r="C2" s="156">
        <f>$B$1+$B$2</f>
        <v>0</v>
      </c>
      <c r="D2" s="156">
        <f>(Main!$D$19)/2</f>
        <v>0</v>
      </c>
      <c r="E2" s="162">
        <f>B1+D2</f>
        <v>0</v>
      </c>
      <c r="F2" s="147"/>
      <c r="I2" s="111" t="s">
        <v>575</v>
      </c>
      <c r="M2" s="677" t="s">
        <v>134</v>
      </c>
      <c r="N2" s="677"/>
      <c r="O2" s="677"/>
      <c r="P2" s="47" t="str">
        <f>IF(Main!$E$30="","A10",ADDRESS(13+Standards_Info!W2+(MATCH(Main!$E$30,Data_Sheet!$A$14:$A$903,0)),1,4))</f>
        <v>A10</v>
      </c>
    </row>
    <row r="3" spans="1:16" ht="15" x14ac:dyDescent="0.25">
      <c r="B3" s="171" t="s">
        <v>0</v>
      </c>
      <c r="C3" s="4"/>
      <c r="M3" s="665" t="s">
        <v>135</v>
      </c>
      <c r="N3" s="666"/>
      <c r="O3" s="667"/>
      <c r="P3" s="47"/>
    </row>
    <row r="4" spans="1:16" ht="15" x14ac:dyDescent="0.25">
      <c r="B4" s="158" t="s">
        <v>40</v>
      </c>
      <c r="C4" s="5"/>
      <c r="M4" s="668" t="s">
        <v>223</v>
      </c>
      <c r="N4" s="669"/>
      <c r="O4" s="670"/>
    </row>
    <row r="5" spans="1:16" x14ac:dyDescent="0.2">
      <c r="B5" s="159" t="s">
        <v>41</v>
      </c>
      <c r="C5" s="88">
        <f>Main!D3</f>
        <v>0</v>
      </c>
      <c r="D5" s="44"/>
      <c r="E5" s="44"/>
      <c r="F5" s="44"/>
      <c r="G5" s="44"/>
      <c r="H5" s="44"/>
      <c r="I5" s="86" t="s">
        <v>9</v>
      </c>
      <c r="J5" s="44">
        <f>Main!D5</f>
        <v>0</v>
      </c>
      <c r="L5" s="44"/>
      <c r="M5" s="671" t="s">
        <v>222</v>
      </c>
      <c r="N5" s="672"/>
      <c r="O5" s="673"/>
    </row>
    <row r="6" spans="1:16" ht="13.5" thickBot="1" x14ac:dyDescent="0.25">
      <c r="B6" s="159" t="s">
        <v>7</v>
      </c>
      <c r="C6" s="89">
        <f>Main!D6</f>
        <v>0</v>
      </c>
      <c r="D6" s="44"/>
      <c r="E6" s="44"/>
      <c r="F6" s="44"/>
      <c r="G6" s="44"/>
      <c r="H6" s="44"/>
      <c r="I6" s="86" t="s">
        <v>10</v>
      </c>
      <c r="J6" s="85">
        <f>Main!D16</f>
        <v>0</v>
      </c>
      <c r="L6" s="44"/>
      <c r="M6" s="674" t="s">
        <v>221</v>
      </c>
      <c r="N6" s="675"/>
      <c r="O6" s="676"/>
    </row>
    <row r="7" spans="1:16" ht="13.5" thickBot="1" x14ac:dyDescent="0.25">
      <c r="B7" s="159" t="s">
        <v>42</v>
      </c>
      <c r="C7" s="89">
        <f>Main!D7</f>
        <v>0</v>
      </c>
      <c r="D7" s="44"/>
      <c r="E7" s="44"/>
      <c r="F7" s="44"/>
      <c r="G7" s="44"/>
      <c r="H7" s="44"/>
      <c r="I7" s="91" t="s">
        <v>262</v>
      </c>
      <c r="J7" s="662">
        <f>Main!$D$30</f>
        <v>0</v>
      </c>
      <c r="K7" s="663"/>
      <c r="L7" s="144"/>
      <c r="M7" s="661" t="s">
        <v>220</v>
      </c>
      <c r="N7" s="661"/>
      <c r="O7" s="661"/>
    </row>
    <row r="8" spans="1:16" x14ac:dyDescent="0.2">
      <c r="B8" s="159"/>
      <c r="C8" s="89"/>
      <c r="D8" s="44"/>
      <c r="E8" s="44"/>
      <c r="F8" s="44"/>
      <c r="G8" s="44"/>
      <c r="H8" s="44"/>
      <c r="I8" s="91"/>
      <c r="J8" s="168"/>
      <c r="K8" s="168"/>
      <c r="L8" s="144"/>
      <c r="M8" s="169"/>
      <c r="N8" s="169"/>
      <c r="O8" s="169"/>
    </row>
    <row r="9" spans="1:16" x14ac:dyDescent="0.2">
      <c r="B9" s="159"/>
      <c r="C9" s="89"/>
      <c r="D9" s="44"/>
      <c r="E9" s="44"/>
      <c r="F9" s="44"/>
      <c r="G9" s="44"/>
      <c r="H9" s="44"/>
      <c r="I9" s="172" t="str">
        <f>IF(Main!K15="SIM Load Hot",Main!N59,"")</f>
        <v/>
      </c>
      <c r="J9" s="168"/>
      <c r="K9" s="168"/>
      <c r="L9" s="144"/>
      <c r="M9" s="169"/>
      <c r="N9" s="169"/>
      <c r="O9" s="169"/>
    </row>
    <row r="10" spans="1:16" s="96" customFormat="1" x14ac:dyDescent="0.2">
      <c r="A10" s="145"/>
      <c r="B10" s="182"/>
      <c r="C10" s="183"/>
      <c r="I10" s="172" t="str">
        <f>IF(AND(Main!E60 &lt;&gt; "", Main!K60 &lt;&gt;""),Main!N60,IF(AND(Main!E61&lt;&gt;"",Main!K61&lt;&gt;""),Main!N61,""))</f>
        <v/>
      </c>
      <c r="J10" s="184"/>
      <c r="K10" s="184"/>
      <c r="L10" s="160"/>
      <c r="M10" s="185"/>
      <c r="N10" s="185"/>
      <c r="O10" s="185"/>
    </row>
    <row r="11" spans="1:16" s="96" customFormat="1" x14ac:dyDescent="0.2">
      <c r="A11" s="145"/>
      <c r="B11" s="160"/>
      <c r="C11" s="177"/>
      <c r="D11" s="177"/>
      <c r="E11" s="177"/>
      <c r="F11" s="177"/>
      <c r="G11" s="177"/>
      <c r="H11" s="177"/>
      <c r="I11" s="177"/>
      <c r="J11" s="177"/>
      <c r="K11" s="177"/>
      <c r="L11" s="177"/>
      <c r="M11" s="177"/>
      <c r="N11" s="177"/>
      <c r="O11" s="177"/>
      <c r="P11" s="177"/>
    </row>
    <row r="12" spans="1:16" s="96" customFormat="1" x14ac:dyDescent="0.2">
      <c r="A12" s="145"/>
      <c r="B12" s="144">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96" customFormat="1" x14ac:dyDescent="0.2">
      <c r="A13" s="145"/>
      <c r="B13" s="144"/>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96" customFormat="1" x14ac:dyDescent="0.2">
      <c r="A14" s="145" t="str" cm="1">
        <f t="array" ref="A14:A903">TEXT(B14:B903, "h:mm")</f>
        <v/>
      </c>
      <c r="B14" s="144" t="str">
        <f>IFERROR(TIMEVALUE(DaqBook_RAW_Data!AG4),IFERROR(TIMEVALUE(DaqBook_RAW_Data!A4),""))</f>
        <v/>
      </c>
      <c r="C14" s="167" t="str" cm="1">
        <f t="array" ref="C14">IF(DaqBook_RAW_Data!AH4="","",DaqBook_RAW_Data!AH4:AS893)</f>
        <v/>
      </c>
      <c r="D14" s="167"/>
      <c r="E14" s="167"/>
      <c r="F14" s="167"/>
      <c r="G14" s="167"/>
      <c r="H14" s="167"/>
      <c r="I14" s="167"/>
      <c r="J14" s="167"/>
      <c r="K14" s="167"/>
      <c r="L14" s="167"/>
      <c r="M14" s="167"/>
      <c r="N14" s="167"/>
      <c r="O14" s="167"/>
      <c r="P14" s="167"/>
    </row>
    <row r="15" spans="1:16" s="96" customFormat="1" x14ac:dyDescent="0.2">
      <c r="A15" s="145" t="str">
        <v/>
      </c>
      <c r="B15" s="144" t="str">
        <f>IFERROR(TIMEVALUE(DaqBook_RAW_Data!AG5),IFERROR(TIMEVALUE(DaqBook_RAW_Data!A5),""))</f>
        <v/>
      </c>
      <c r="C15" s="167"/>
      <c r="D15" s="167"/>
      <c r="E15" s="167"/>
      <c r="F15" s="167"/>
      <c r="G15" s="167"/>
      <c r="H15" s="167"/>
      <c r="I15" s="167"/>
      <c r="J15" s="167"/>
      <c r="K15" s="167"/>
      <c r="L15" s="167"/>
      <c r="M15" s="167"/>
      <c r="N15" s="167"/>
      <c r="O15" s="167"/>
      <c r="P15" s="167"/>
    </row>
    <row r="16" spans="1:16" s="96" customFormat="1" x14ac:dyDescent="0.2">
      <c r="A16" s="145" t="str">
        <v/>
      </c>
      <c r="B16" s="144" t="str">
        <f>IFERROR(TIMEVALUE(DaqBook_RAW_Data!AG6),IFERROR(TIMEVALUE(DaqBook_RAW_Data!A6),""))</f>
        <v/>
      </c>
      <c r="C16" s="167"/>
      <c r="D16" s="167"/>
      <c r="E16" s="167"/>
      <c r="F16" s="167"/>
      <c r="G16" s="167"/>
      <c r="H16" s="167"/>
      <c r="I16" s="167"/>
      <c r="J16" s="167"/>
      <c r="K16" s="167"/>
      <c r="L16" s="167"/>
      <c r="M16" s="167"/>
      <c r="N16" s="167"/>
      <c r="O16" s="167"/>
      <c r="P16" s="167"/>
    </row>
    <row r="17" spans="1:17" s="96" customFormat="1" x14ac:dyDescent="0.2">
      <c r="A17" s="145" t="str">
        <v/>
      </c>
      <c r="B17" s="144" t="str">
        <f>IFERROR(TIMEVALUE(DaqBook_RAW_Data!AG7),IFERROR(TIMEVALUE(DaqBook_RAW_Data!A7),""))</f>
        <v/>
      </c>
      <c r="C17" s="167"/>
      <c r="D17" s="167"/>
      <c r="E17" s="167"/>
      <c r="F17" s="167"/>
      <c r="G17" s="167"/>
      <c r="H17" s="167"/>
      <c r="I17" s="167"/>
      <c r="J17" s="167"/>
      <c r="K17" s="167"/>
      <c r="L17" s="167"/>
      <c r="M17" s="167"/>
      <c r="N17" s="167"/>
      <c r="O17" s="167"/>
      <c r="P17" s="167"/>
    </row>
    <row r="18" spans="1:17" s="96" customFormat="1" x14ac:dyDescent="0.2">
      <c r="A18" s="145" t="str">
        <v/>
      </c>
      <c r="B18" s="144" t="str">
        <f>IFERROR(TIMEVALUE(DaqBook_RAW_Data!AG8),IFERROR(TIMEVALUE(DaqBook_RAW_Data!A8),""))</f>
        <v/>
      </c>
      <c r="C18" s="167"/>
      <c r="D18" s="167"/>
      <c r="E18" s="167"/>
      <c r="F18" s="167"/>
      <c r="G18" s="167"/>
      <c r="H18" s="167"/>
      <c r="I18" s="167"/>
      <c r="J18" s="167"/>
      <c r="K18" s="167"/>
      <c r="L18" s="167"/>
      <c r="M18" s="167"/>
      <c r="N18" s="167"/>
      <c r="O18" s="167"/>
      <c r="P18" s="167"/>
    </row>
    <row r="19" spans="1:17" s="96" customFormat="1" x14ac:dyDescent="0.2">
      <c r="A19" s="145" t="str">
        <v/>
      </c>
      <c r="B19" s="144" t="str">
        <f>IFERROR(TIMEVALUE(DaqBook_RAW_Data!AG9),IFERROR(TIMEVALUE(DaqBook_RAW_Data!A9),""))</f>
        <v/>
      </c>
      <c r="C19" s="167"/>
      <c r="D19" s="167"/>
      <c r="E19" s="167"/>
      <c r="F19" s="167"/>
      <c r="G19" s="167"/>
      <c r="H19" s="167"/>
      <c r="I19" s="167"/>
      <c r="J19" s="167"/>
      <c r="K19" s="167"/>
      <c r="L19" s="167"/>
      <c r="M19" s="167"/>
      <c r="N19" s="167"/>
      <c r="O19" s="167"/>
      <c r="P19" s="167"/>
    </row>
    <row r="20" spans="1:17" s="96" customFormat="1" x14ac:dyDescent="0.2">
      <c r="A20" s="145" t="str">
        <v/>
      </c>
      <c r="B20" s="144" t="str">
        <f>IFERROR(TIMEVALUE(DaqBook_RAW_Data!AG10),IFERROR(TIMEVALUE(DaqBook_RAW_Data!A10),""))</f>
        <v/>
      </c>
      <c r="C20" s="167"/>
      <c r="D20" s="167"/>
      <c r="E20" s="167"/>
      <c r="F20" s="167"/>
      <c r="G20" s="167"/>
      <c r="H20" s="167"/>
      <c r="I20" s="167"/>
      <c r="J20" s="167"/>
      <c r="K20" s="167"/>
      <c r="L20" s="167"/>
      <c r="M20" s="167"/>
      <c r="N20" s="167"/>
      <c r="O20" s="167"/>
      <c r="P20" s="167"/>
    </row>
    <row r="21" spans="1:17" s="96" customFormat="1" x14ac:dyDescent="0.2">
      <c r="A21" s="145" t="str">
        <v/>
      </c>
      <c r="B21" s="144" t="str">
        <f>IFERROR(TIMEVALUE(DaqBook_RAW_Data!AG11),IFERROR(TIMEVALUE(DaqBook_RAW_Data!A11),""))</f>
        <v/>
      </c>
      <c r="C21" s="167"/>
      <c r="D21" s="167"/>
      <c r="E21" s="167"/>
      <c r="F21" s="167"/>
      <c r="G21" s="167"/>
      <c r="H21" s="167"/>
      <c r="I21" s="167"/>
      <c r="J21" s="167"/>
      <c r="K21" s="167"/>
      <c r="L21" s="167"/>
      <c r="M21" s="167"/>
      <c r="N21" s="167"/>
      <c r="O21" s="167"/>
      <c r="P21" s="167"/>
    </row>
    <row r="22" spans="1:17" s="96" customFormat="1" x14ac:dyDescent="0.2">
      <c r="A22" s="145" t="str">
        <v/>
      </c>
      <c r="B22" s="144" t="str">
        <f>IFERROR(TIMEVALUE(DaqBook_RAW_Data!AG12),IFERROR(TIMEVALUE(DaqBook_RAW_Data!A12),""))</f>
        <v/>
      </c>
      <c r="C22" s="167"/>
      <c r="D22" s="167"/>
      <c r="E22" s="167"/>
      <c r="F22" s="167"/>
      <c r="G22" s="167"/>
      <c r="H22" s="167"/>
      <c r="I22" s="167"/>
      <c r="J22" s="167"/>
      <c r="K22" s="167"/>
      <c r="L22" s="167"/>
      <c r="M22" s="167"/>
      <c r="N22" s="167"/>
      <c r="O22" s="167"/>
      <c r="P22" s="167"/>
    </row>
    <row r="23" spans="1:17" s="96" customFormat="1" x14ac:dyDescent="0.2">
      <c r="A23" s="145" t="str">
        <v/>
      </c>
      <c r="B23" s="144" t="str">
        <f>IFERROR(TIMEVALUE(DaqBook_RAW_Data!AG13),IFERROR(TIMEVALUE(DaqBook_RAW_Data!A13),""))</f>
        <v/>
      </c>
      <c r="C23" s="167"/>
      <c r="D23" s="167"/>
      <c r="E23" s="167"/>
      <c r="F23" s="167"/>
      <c r="G23" s="167"/>
      <c r="H23" s="167"/>
      <c r="I23" s="167"/>
      <c r="J23" s="167"/>
      <c r="K23" s="167"/>
      <c r="L23" s="167"/>
      <c r="M23" s="167"/>
      <c r="N23" s="167"/>
      <c r="O23" s="167"/>
      <c r="P23" s="167"/>
    </row>
    <row r="24" spans="1:17" s="96" customFormat="1" x14ac:dyDescent="0.2">
      <c r="A24" s="145" t="str">
        <v/>
      </c>
      <c r="B24" s="144" t="str">
        <f>IFERROR(TIMEVALUE(DaqBook_RAW_Data!AG14),IFERROR(TIMEVALUE(DaqBook_RAW_Data!A14),""))</f>
        <v/>
      </c>
      <c r="C24" s="167"/>
      <c r="D24" s="167"/>
      <c r="E24" s="167"/>
      <c r="F24" s="167"/>
      <c r="G24" s="167"/>
      <c r="H24" s="167"/>
      <c r="I24" s="167"/>
      <c r="J24" s="167"/>
      <c r="K24" s="167"/>
      <c r="L24" s="167"/>
      <c r="M24" s="167"/>
      <c r="N24" s="167"/>
      <c r="O24" s="167"/>
      <c r="P24" s="167"/>
    </row>
    <row r="25" spans="1:17" s="96" customFormat="1" x14ac:dyDescent="0.2">
      <c r="A25" s="145" t="str">
        <v/>
      </c>
      <c r="B25" s="144" t="str">
        <f>IFERROR(TIMEVALUE(DaqBook_RAW_Data!AG15),IFERROR(TIMEVALUE(DaqBook_RAW_Data!A15),""))</f>
        <v/>
      </c>
      <c r="C25" s="167"/>
      <c r="D25" s="167"/>
      <c r="E25" s="167"/>
      <c r="F25" s="167"/>
      <c r="G25" s="167"/>
      <c r="H25" s="167"/>
      <c r="I25" s="167"/>
      <c r="J25" s="167"/>
      <c r="K25" s="167"/>
      <c r="L25" s="167"/>
      <c r="M25" s="167"/>
      <c r="N25" s="167"/>
      <c r="O25" s="167"/>
      <c r="P25" s="167"/>
    </row>
    <row r="26" spans="1:17" s="96" customFormat="1" x14ac:dyDescent="0.2">
      <c r="A26" s="145" t="str">
        <v/>
      </c>
      <c r="B26" s="144" t="str">
        <f>IFERROR(TIMEVALUE(DaqBook_RAW_Data!AG16),IFERROR(TIMEVALUE(DaqBook_RAW_Data!A16),""))</f>
        <v/>
      </c>
      <c r="C26" s="167"/>
      <c r="D26" s="167"/>
      <c r="E26" s="167"/>
      <c r="F26" s="167"/>
      <c r="G26" s="167"/>
      <c r="H26" s="167"/>
      <c r="I26" s="167"/>
      <c r="J26" s="167"/>
      <c r="K26" s="167"/>
      <c r="L26" s="167"/>
      <c r="M26" s="167"/>
      <c r="N26" s="167"/>
      <c r="O26" s="167"/>
      <c r="P26" s="167"/>
    </row>
    <row r="27" spans="1:17" s="96" customFormat="1" x14ac:dyDescent="0.2">
      <c r="A27" s="145" t="str">
        <v/>
      </c>
      <c r="B27" s="144" t="str">
        <f>IFERROR(TIMEVALUE(DaqBook_RAW_Data!AG17),IFERROR(TIMEVALUE(DaqBook_RAW_Data!A17),""))</f>
        <v/>
      </c>
      <c r="C27" s="167"/>
      <c r="D27" s="167"/>
      <c r="E27" s="167"/>
      <c r="F27" s="167"/>
      <c r="G27" s="167"/>
      <c r="H27" s="167"/>
      <c r="I27" s="167"/>
      <c r="J27" s="167"/>
      <c r="K27" s="167"/>
      <c r="L27" s="167"/>
      <c r="M27" s="167"/>
      <c r="N27" s="167"/>
      <c r="O27" s="167"/>
      <c r="P27" s="167"/>
      <c r="Q27" s="146"/>
    </row>
    <row r="28" spans="1:17" s="96" customFormat="1" x14ac:dyDescent="0.2">
      <c r="A28" s="145" t="str">
        <v/>
      </c>
      <c r="B28" s="144" t="str">
        <f>IFERROR(TIMEVALUE(DaqBook_RAW_Data!AG18),IFERROR(TIMEVALUE(DaqBook_RAW_Data!A18),""))</f>
        <v/>
      </c>
      <c r="C28" s="167"/>
      <c r="D28" s="167"/>
      <c r="E28" s="167"/>
      <c r="F28" s="167"/>
      <c r="G28" s="167"/>
      <c r="H28" s="167"/>
      <c r="I28" s="167"/>
      <c r="J28" s="167"/>
      <c r="K28" s="167"/>
      <c r="L28" s="167"/>
      <c r="M28" s="167"/>
      <c r="N28" s="167"/>
      <c r="O28" s="167"/>
      <c r="P28" s="167"/>
    </row>
    <row r="29" spans="1:17" s="96" customFormat="1" x14ac:dyDescent="0.2">
      <c r="A29" s="145" t="str">
        <v/>
      </c>
      <c r="B29" s="144" t="str">
        <f>IFERROR(TIMEVALUE(DaqBook_RAW_Data!AG19),IFERROR(TIMEVALUE(DaqBook_RAW_Data!A19),""))</f>
        <v/>
      </c>
      <c r="C29" s="167"/>
      <c r="D29" s="167"/>
      <c r="E29" s="167"/>
      <c r="F29" s="167"/>
      <c r="G29" s="167"/>
      <c r="H29" s="167"/>
      <c r="I29" s="167"/>
      <c r="J29" s="167"/>
      <c r="K29" s="167"/>
      <c r="L29" s="167"/>
      <c r="M29" s="167"/>
      <c r="N29" s="167"/>
      <c r="O29" s="167"/>
      <c r="P29" s="167"/>
    </row>
    <row r="30" spans="1:17" s="96" customFormat="1" x14ac:dyDescent="0.2">
      <c r="A30" s="145" t="str">
        <v/>
      </c>
      <c r="B30" s="144" t="str">
        <f>IFERROR(TIMEVALUE(DaqBook_RAW_Data!AG20),IFERROR(TIMEVALUE(DaqBook_RAW_Data!A20),""))</f>
        <v/>
      </c>
      <c r="C30" s="167"/>
      <c r="D30" s="167"/>
      <c r="E30" s="167"/>
      <c r="F30" s="167"/>
      <c r="G30" s="167"/>
      <c r="H30" s="167"/>
      <c r="I30" s="167"/>
      <c r="J30" s="167"/>
      <c r="K30" s="167"/>
      <c r="L30" s="167"/>
      <c r="M30" s="167"/>
      <c r="N30" s="167"/>
      <c r="O30" s="167"/>
      <c r="P30" s="167"/>
    </row>
    <row r="31" spans="1:17" s="96" customFormat="1" x14ac:dyDescent="0.2">
      <c r="A31" s="145" t="str">
        <v/>
      </c>
      <c r="B31" s="144" t="str">
        <f>IFERROR(TIMEVALUE(DaqBook_RAW_Data!AG21),IFERROR(TIMEVALUE(DaqBook_RAW_Data!A21),""))</f>
        <v/>
      </c>
      <c r="C31" s="167"/>
      <c r="D31" s="167"/>
      <c r="E31" s="167"/>
      <c r="F31" s="167"/>
      <c r="G31" s="167"/>
      <c r="H31" s="167"/>
      <c r="I31" s="167"/>
      <c r="J31" s="167"/>
      <c r="K31" s="167"/>
      <c r="L31" s="167"/>
      <c r="M31" s="167"/>
      <c r="N31" s="167"/>
      <c r="O31" s="167"/>
      <c r="P31" s="167"/>
    </row>
    <row r="32" spans="1:17" s="96" customFormat="1" x14ac:dyDescent="0.2">
      <c r="A32" s="145" t="str">
        <v/>
      </c>
      <c r="B32" s="144" t="str">
        <f>IFERROR(TIMEVALUE(DaqBook_RAW_Data!AG22),IFERROR(TIMEVALUE(DaqBook_RAW_Data!A22),""))</f>
        <v/>
      </c>
      <c r="C32" s="167"/>
      <c r="D32" s="167"/>
      <c r="E32" s="167"/>
      <c r="F32" s="167"/>
      <c r="G32" s="167"/>
      <c r="H32" s="167"/>
      <c r="I32" s="167"/>
      <c r="J32" s="167"/>
      <c r="K32" s="167"/>
      <c r="L32" s="167"/>
      <c r="M32" s="167"/>
      <c r="N32" s="167"/>
      <c r="O32" s="167"/>
      <c r="P32" s="167"/>
    </row>
    <row r="33" spans="1:16" s="96" customFormat="1" x14ac:dyDescent="0.2">
      <c r="A33" s="145" t="str">
        <v/>
      </c>
      <c r="B33" s="144" t="str">
        <f>IFERROR(TIMEVALUE(DaqBook_RAW_Data!AG23),IFERROR(TIMEVALUE(DaqBook_RAW_Data!A23),""))</f>
        <v/>
      </c>
      <c r="C33" s="167"/>
      <c r="D33" s="167"/>
      <c r="E33" s="167"/>
      <c r="F33" s="167"/>
      <c r="G33" s="167"/>
      <c r="H33" s="167"/>
      <c r="I33" s="167"/>
      <c r="J33" s="167"/>
      <c r="K33" s="167"/>
      <c r="L33" s="167"/>
      <c r="M33" s="167"/>
      <c r="N33" s="167"/>
      <c r="O33" s="167"/>
      <c r="P33" s="167"/>
    </row>
    <row r="34" spans="1:16" s="96" customFormat="1" x14ac:dyDescent="0.2">
      <c r="A34" s="145" t="str">
        <v/>
      </c>
      <c r="B34" s="144" t="str">
        <f>IFERROR(TIMEVALUE(DaqBook_RAW_Data!AG24),IFERROR(TIMEVALUE(DaqBook_RAW_Data!A24),""))</f>
        <v/>
      </c>
      <c r="C34" s="167"/>
      <c r="D34" s="167"/>
      <c r="E34" s="167"/>
      <c r="F34" s="167"/>
      <c r="G34" s="167"/>
      <c r="H34" s="167"/>
      <c r="I34" s="167"/>
      <c r="J34" s="167"/>
      <c r="K34" s="167"/>
      <c r="L34" s="167"/>
      <c r="M34" s="167"/>
      <c r="N34" s="167"/>
      <c r="O34" s="167"/>
      <c r="P34" s="167"/>
    </row>
    <row r="35" spans="1:16" s="96" customFormat="1" x14ac:dyDescent="0.2">
      <c r="A35" s="145" t="str">
        <v/>
      </c>
      <c r="B35" s="144" t="str">
        <f>IFERROR(TIMEVALUE(DaqBook_RAW_Data!AG25),IFERROR(TIMEVALUE(DaqBook_RAW_Data!A25),""))</f>
        <v/>
      </c>
      <c r="C35" s="167"/>
      <c r="D35" s="167"/>
      <c r="E35" s="167"/>
      <c r="F35" s="167"/>
      <c r="G35" s="167"/>
      <c r="H35" s="167"/>
      <c r="I35" s="167"/>
      <c r="J35" s="167"/>
      <c r="K35" s="167"/>
      <c r="L35" s="167"/>
      <c r="M35" s="167"/>
      <c r="N35" s="167"/>
      <c r="O35" s="167"/>
      <c r="P35" s="167"/>
    </row>
    <row r="36" spans="1:16" s="96" customFormat="1" x14ac:dyDescent="0.2">
      <c r="A36" s="145" t="str">
        <v/>
      </c>
      <c r="B36" s="144" t="str">
        <f>IFERROR(TIMEVALUE(DaqBook_RAW_Data!AG26),IFERROR(TIMEVALUE(DaqBook_RAW_Data!A26),""))</f>
        <v/>
      </c>
      <c r="C36" s="167"/>
      <c r="D36" s="167"/>
      <c r="E36" s="167"/>
      <c r="F36" s="167"/>
      <c r="G36" s="167"/>
      <c r="H36" s="167"/>
      <c r="I36" s="167"/>
      <c r="J36" s="167"/>
      <c r="K36" s="167"/>
      <c r="L36" s="167"/>
      <c r="M36" s="167"/>
      <c r="N36" s="167"/>
      <c r="O36" s="167"/>
      <c r="P36" s="167"/>
    </row>
    <row r="37" spans="1:16" s="96" customFormat="1" x14ac:dyDescent="0.2">
      <c r="A37" s="145" t="str">
        <v/>
      </c>
      <c r="B37" s="144" t="str">
        <f>IFERROR(TIMEVALUE(DaqBook_RAW_Data!AG27),IFERROR(TIMEVALUE(DaqBook_RAW_Data!A27),""))</f>
        <v/>
      </c>
      <c r="C37" s="167"/>
      <c r="D37" s="167"/>
      <c r="E37" s="167"/>
      <c r="F37" s="167"/>
      <c r="G37" s="167"/>
      <c r="H37" s="167"/>
      <c r="I37" s="167"/>
      <c r="J37" s="167"/>
      <c r="K37" s="167"/>
      <c r="L37" s="167"/>
      <c r="M37" s="167"/>
      <c r="N37" s="167"/>
      <c r="O37" s="167"/>
      <c r="P37" s="167"/>
    </row>
    <row r="38" spans="1:16" s="96" customFormat="1" x14ac:dyDescent="0.2">
      <c r="A38" s="145" t="str">
        <v/>
      </c>
      <c r="B38" s="144" t="str">
        <f>IFERROR(TIMEVALUE(DaqBook_RAW_Data!AG28),IFERROR(TIMEVALUE(DaqBook_RAW_Data!A28),""))</f>
        <v/>
      </c>
      <c r="C38" s="167"/>
      <c r="D38" s="167"/>
      <c r="E38" s="167"/>
      <c r="F38" s="167"/>
      <c r="G38" s="167"/>
      <c r="H38" s="167"/>
      <c r="I38" s="167"/>
      <c r="J38" s="167"/>
      <c r="K38" s="167"/>
      <c r="L38" s="167"/>
      <c r="M38" s="167"/>
      <c r="N38" s="167"/>
      <c r="O38" s="167"/>
      <c r="P38" s="167"/>
    </row>
    <row r="39" spans="1:16" s="96" customFormat="1" x14ac:dyDescent="0.2">
      <c r="A39" s="145" t="str">
        <v/>
      </c>
      <c r="B39" s="144" t="str">
        <f>IFERROR(TIMEVALUE(DaqBook_RAW_Data!AG29),IFERROR(TIMEVALUE(DaqBook_RAW_Data!A29),""))</f>
        <v/>
      </c>
      <c r="C39" s="167"/>
      <c r="D39" s="167"/>
      <c r="E39" s="167"/>
      <c r="F39" s="167"/>
      <c r="G39" s="167"/>
      <c r="H39" s="167"/>
      <c r="I39" s="167"/>
      <c r="J39" s="167"/>
      <c r="K39" s="167"/>
      <c r="L39" s="167"/>
      <c r="M39" s="167"/>
      <c r="N39" s="167"/>
      <c r="O39" s="167"/>
      <c r="P39" s="167"/>
    </row>
    <row r="40" spans="1:16" s="96" customFormat="1" x14ac:dyDescent="0.2">
      <c r="A40" s="145" t="str">
        <v/>
      </c>
      <c r="B40" s="144" t="str">
        <f>IFERROR(TIMEVALUE(DaqBook_RAW_Data!AG30),IFERROR(TIMEVALUE(DaqBook_RAW_Data!A30),""))</f>
        <v/>
      </c>
      <c r="C40" s="167"/>
      <c r="D40" s="167"/>
      <c r="E40" s="167"/>
      <c r="F40" s="167"/>
      <c r="G40" s="167"/>
      <c r="H40" s="167"/>
      <c r="I40" s="167"/>
      <c r="J40" s="167"/>
      <c r="K40" s="167"/>
      <c r="L40" s="167"/>
      <c r="M40" s="167"/>
      <c r="N40" s="167"/>
      <c r="O40" s="167"/>
      <c r="P40" s="167"/>
    </row>
    <row r="41" spans="1:16" s="96" customFormat="1" x14ac:dyDescent="0.2">
      <c r="A41" s="145" t="str">
        <v/>
      </c>
      <c r="B41" s="144" t="str">
        <f>IFERROR(TIMEVALUE(DaqBook_RAW_Data!AG31),IFERROR(TIMEVALUE(DaqBook_RAW_Data!A31),""))</f>
        <v/>
      </c>
      <c r="C41" s="167"/>
      <c r="D41" s="167"/>
      <c r="E41" s="167"/>
      <c r="F41" s="167"/>
      <c r="G41" s="167"/>
      <c r="H41" s="167"/>
      <c r="I41" s="167"/>
      <c r="J41" s="167"/>
      <c r="K41" s="167"/>
      <c r="L41" s="167"/>
      <c r="M41" s="167"/>
      <c r="N41" s="167"/>
      <c r="O41" s="167"/>
      <c r="P41" s="167"/>
    </row>
    <row r="42" spans="1:16" s="96" customFormat="1" x14ac:dyDescent="0.2">
      <c r="A42" s="145" t="str">
        <v/>
      </c>
      <c r="B42" s="144" t="str">
        <f>IFERROR(TIMEVALUE(DaqBook_RAW_Data!AG32),IFERROR(TIMEVALUE(DaqBook_RAW_Data!A32),""))</f>
        <v/>
      </c>
      <c r="C42" s="167"/>
      <c r="D42" s="167"/>
      <c r="E42" s="167"/>
      <c r="F42" s="167"/>
      <c r="G42" s="167"/>
      <c r="H42" s="167"/>
      <c r="I42" s="167"/>
      <c r="J42" s="167"/>
      <c r="K42" s="167"/>
      <c r="L42" s="167"/>
      <c r="M42" s="167"/>
      <c r="N42" s="167"/>
      <c r="O42" s="167"/>
      <c r="P42" s="167"/>
    </row>
    <row r="43" spans="1:16" s="96" customFormat="1" x14ac:dyDescent="0.2">
      <c r="A43" s="145" t="str">
        <v/>
      </c>
      <c r="B43" s="144" t="str">
        <f>IFERROR(TIMEVALUE(DaqBook_RAW_Data!AG33),IFERROR(TIMEVALUE(DaqBook_RAW_Data!A33),""))</f>
        <v/>
      </c>
      <c r="C43" s="167"/>
      <c r="D43" s="167"/>
      <c r="E43" s="167"/>
      <c r="F43" s="167"/>
      <c r="G43" s="167"/>
      <c r="H43" s="167"/>
      <c r="I43" s="167"/>
      <c r="J43" s="167"/>
      <c r="K43" s="167"/>
      <c r="L43" s="167"/>
      <c r="M43" s="167"/>
      <c r="N43" s="167"/>
      <c r="O43" s="167"/>
      <c r="P43" s="167"/>
    </row>
    <row r="44" spans="1:16" s="96" customFormat="1" x14ac:dyDescent="0.2">
      <c r="A44" s="145" t="str">
        <v/>
      </c>
      <c r="B44" s="144" t="str">
        <f>IFERROR(TIMEVALUE(DaqBook_RAW_Data!AG34),IFERROR(TIMEVALUE(DaqBook_RAW_Data!A34),""))</f>
        <v/>
      </c>
      <c r="C44" s="167"/>
      <c r="D44" s="167"/>
      <c r="E44" s="167"/>
      <c r="F44" s="167"/>
      <c r="G44" s="167"/>
      <c r="H44" s="167"/>
      <c r="I44" s="167"/>
      <c r="J44" s="167"/>
      <c r="K44" s="167"/>
      <c r="L44" s="167"/>
      <c r="M44" s="167"/>
      <c r="N44" s="167"/>
      <c r="O44" s="167"/>
      <c r="P44" s="167"/>
    </row>
    <row r="45" spans="1:16" s="96" customFormat="1" x14ac:dyDescent="0.2">
      <c r="A45" s="145" t="str">
        <v/>
      </c>
      <c r="B45" s="144" t="str">
        <f>IFERROR(TIMEVALUE(DaqBook_RAW_Data!AG35),IFERROR(TIMEVALUE(DaqBook_RAW_Data!A35),""))</f>
        <v/>
      </c>
      <c r="C45" s="167"/>
      <c r="D45" s="167"/>
      <c r="E45" s="167"/>
      <c r="F45" s="167"/>
      <c r="G45" s="167"/>
      <c r="H45" s="167"/>
      <c r="I45" s="167"/>
      <c r="J45" s="167"/>
      <c r="K45" s="167"/>
      <c r="L45" s="167"/>
      <c r="M45" s="167"/>
      <c r="N45" s="167"/>
      <c r="O45" s="167"/>
      <c r="P45" s="167"/>
    </row>
    <row r="46" spans="1:16" s="96" customFormat="1" x14ac:dyDescent="0.2">
      <c r="A46" s="145" t="str">
        <v/>
      </c>
      <c r="B46" s="144" t="str">
        <f>IFERROR(TIMEVALUE(DaqBook_RAW_Data!AG36),IFERROR(TIMEVALUE(DaqBook_RAW_Data!A36),""))</f>
        <v/>
      </c>
      <c r="C46" s="167"/>
      <c r="D46" s="167"/>
      <c r="E46" s="167"/>
      <c r="F46" s="167"/>
      <c r="G46" s="167"/>
      <c r="H46" s="167"/>
      <c r="I46" s="167"/>
      <c r="J46" s="167"/>
      <c r="K46" s="167"/>
      <c r="L46" s="167"/>
      <c r="M46" s="167"/>
      <c r="N46" s="167"/>
      <c r="O46" s="167"/>
      <c r="P46" s="167"/>
    </row>
    <row r="47" spans="1:16" s="96" customFormat="1" x14ac:dyDescent="0.2">
      <c r="A47" s="145" t="str">
        <v/>
      </c>
      <c r="B47" s="144" t="str">
        <f>IFERROR(TIMEVALUE(DaqBook_RAW_Data!AG37),IFERROR(TIMEVALUE(DaqBook_RAW_Data!A37),""))</f>
        <v/>
      </c>
      <c r="C47" s="167"/>
      <c r="D47" s="167"/>
      <c r="E47" s="167"/>
      <c r="F47" s="167"/>
      <c r="G47" s="167"/>
      <c r="H47" s="167"/>
      <c r="I47" s="167"/>
      <c r="J47" s="167"/>
      <c r="K47" s="167"/>
      <c r="L47" s="167"/>
      <c r="M47" s="167"/>
      <c r="N47" s="167"/>
      <c r="O47" s="167"/>
      <c r="P47" s="167"/>
    </row>
    <row r="48" spans="1:16" s="96" customFormat="1" x14ac:dyDescent="0.2">
      <c r="A48" s="145" t="str">
        <v/>
      </c>
      <c r="B48" s="144" t="str">
        <f>IFERROR(TIMEVALUE(DaqBook_RAW_Data!AG38),IFERROR(TIMEVALUE(DaqBook_RAW_Data!A38),""))</f>
        <v/>
      </c>
      <c r="C48" s="167"/>
      <c r="D48" s="167"/>
      <c r="E48" s="167"/>
      <c r="F48" s="167"/>
      <c r="G48" s="167"/>
      <c r="H48" s="167"/>
      <c r="I48" s="167"/>
      <c r="J48" s="167"/>
      <c r="K48" s="167"/>
      <c r="L48" s="167"/>
      <c r="M48" s="167"/>
      <c r="N48" s="167"/>
      <c r="O48" s="167"/>
      <c r="P48" s="167"/>
    </row>
    <row r="49" spans="1:16" s="96" customFormat="1" x14ac:dyDescent="0.2">
      <c r="A49" s="145" t="str">
        <v/>
      </c>
      <c r="B49" s="144" t="str">
        <f>IFERROR(TIMEVALUE(DaqBook_RAW_Data!AG39),IFERROR(TIMEVALUE(DaqBook_RAW_Data!A39),""))</f>
        <v/>
      </c>
      <c r="C49" s="167"/>
      <c r="D49" s="167"/>
      <c r="E49" s="167"/>
      <c r="F49" s="167"/>
      <c r="G49" s="167"/>
      <c r="H49" s="167"/>
      <c r="I49" s="167"/>
      <c r="J49" s="167"/>
      <c r="K49" s="167"/>
      <c r="L49" s="167"/>
      <c r="M49" s="167"/>
      <c r="N49" s="167"/>
      <c r="O49" s="167"/>
      <c r="P49" s="167"/>
    </row>
    <row r="50" spans="1:16" s="96" customFormat="1" x14ac:dyDescent="0.2">
      <c r="A50" s="145" t="str">
        <v/>
      </c>
      <c r="B50" s="144" t="str">
        <f>IFERROR(TIMEVALUE(DaqBook_RAW_Data!AG40),IFERROR(TIMEVALUE(DaqBook_RAW_Data!A40),""))</f>
        <v/>
      </c>
      <c r="C50" s="167"/>
      <c r="D50" s="167"/>
      <c r="E50" s="167"/>
      <c r="F50" s="167"/>
      <c r="G50" s="167"/>
      <c r="H50" s="167"/>
      <c r="I50" s="167"/>
      <c r="J50" s="167"/>
      <c r="K50" s="167"/>
      <c r="L50" s="167"/>
      <c r="M50" s="167"/>
      <c r="N50" s="167"/>
      <c r="O50" s="167"/>
      <c r="P50" s="167"/>
    </row>
    <row r="51" spans="1:16" s="96" customFormat="1" x14ac:dyDescent="0.2">
      <c r="A51" s="145" t="str">
        <v/>
      </c>
      <c r="B51" s="144" t="str">
        <f>IFERROR(TIMEVALUE(DaqBook_RAW_Data!AG41),IFERROR(TIMEVALUE(DaqBook_RAW_Data!A41),""))</f>
        <v/>
      </c>
      <c r="C51" s="167"/>
      <c r="D51" s="167"/>
      <c r="E51" s="167"/>
      <c r="F51" s="167"/>
      <c r="G51" s="167"/>
      <c r="H51" s="167"/>
      <c r="I51" s="167"/>
      <c r="J51" s="167"/>
      <c r="K51" s="167"/>
      <c r="L51" s="167"/>
      <c r="M51" s="167"/>
      <c r="N51" s="167"/>
      <c r="O51" s="167"/>
      <c r="P51" s="167"/>
    </row>
    <row r="52" spans="1:16" s="96" customFormat="1" x14ac:dyDescent="0.2">
      <c r="A52" s="145" t="str">
        <v/>
      </c>
      <c r="B52" s="144" t="str">
        <f>IFERROR(TIMEVALUE(DaqBook_RAW_Data!AG42),IFERROR(TIMEVALUE(DaqBook_RAW_Data!A42),""))</f>
        <v/>
      </c>
      <c r="C52" s="167"/>
      <c r="D52" s="167"/>
      <c r="E52" s="167"/>
      <c r="F52" s="167"/>
      <c r="G52" s="167"/>
      <c r="H52" s="167"/>
      <c r="I52" s="167"/>
      <c r="J52" s="167"/>
      <c r="K52" s="167"/>
      <c r="L52" s="167"/>
      <c r="M52" s="167"/>
      <c r="N52" s="167"/>
      <c r="O52" s="167"/>
      <c r="P52" s="167"/>
    </row>
    <row r="53" spans="1:16" s="96" customFormat="1" x14ac:dyDescent="0.2">
      <c r="A53" s="145" t="str">
        <v/>
      </c>
      <c r="B53" s="144" t="str">
        <f>IFERROR(TIMEVALUE(DaqBook_RAW_Data!AG43),IFERROR(TIMEVALUE(DaqBook_RAW_Data!A43),""))</f>
        <v/>
      </c>
      <c r="C53" s="167"/>
      <c r="D53" s="167"/>
      <c r="E53" s="167"/>
      <c r="F53" s="167"/>
      <c r="G53" s="167"/>
      <c r="H53" s="167"/>
      <c r="I53" s="167"/>
      <c r="J53" s="167"/>
      <c r="K53" s="167"/>
      <c r="L53" s="167"/>
      <c r="M53" s="167"/>
      <c r="N53" s="167"/>
      <c r="O53" s="167"/>
      <c r="P53" s="167"/>
    </row>
    <row r="54" spans="1:16" s="96" customFormat="1" x14ac:dyDescent="0.2">
      <c r="A54" s="145" t="str">
        <v/>
      </c>
      <c r="B54" s="144" t="str">
        <f>IFERROR(TIMEVALUE(DaqBook_RAW_Data!AG44),IFERROR(TIMEVALUE(DaqBook_RAW_Data!A44),""))</f>
        <v/>
      </c>
      <c r="C54" s="167"/>
      <c r="D54" s="167"/>
      <c r="E54" s="167"/>
      <c r="F54" s="167"/>
      <c r="G54" s="167"/>
      <c r="H54" s="167"/>
      <c r="I54" s="167"/>
      <c r="J54" s="167"/>
      <c r="K54" s="167"/>
      <c r="L54" s="167"/>
      <c r="M54" s="167"/>
      <c r="N54" s="167"/>
      <c r="O54" s="167"/>
      <c r="P54" s="167"/>
    </row>
    <row r="55" spans="1:16" s="96" customFormat="1" x14ac:dyDescent="0.2">
      <c r="A55" s="145" t="str">
        <v/>
      </c>
      <c r="B55" s="144" t="str">
        <f>IFERROR(TIMEVALUE(DaqBook_RAW_Data!AG45),IFERROR(TIMEVALUE(DaqBook_RAW_Data!A45),""))</f>
        <v/>
      </c>
      <c r="C55" s="167"/>
      <c r="D55" s="167"/>
      <c r="E55" s="167"/>
      <c r="F55" s="167"/>
      <c r="G55" s="167"/>
      <c r="H55" s="167"/>
      <c r="I55" s="167"/>
      <c r="J55" s="167"/>
      <c r="K55" s="167"/>
      <c r="L55" s="167"/>
      <c r="M55" s="167"/>
      <c r="N55" s="167"/>
      <c r="O55" s="167"/>
      <c r="P55" s="167"/>
    </row>
    <row r="56" spans="1:16" s="96" customFormat="1" x14ac:dyDescent="0.2">
      <c r="A56" s="145" t="str">
        <v/>
      </c>
      <c r="B56" s="144" t="str">
        <f>IFERROR(TIMEVALUE(DaqBook_RAW_Data!AG46),IFERROR(TIMEVALUE(DaqBook_RAW_Data!A46),""))</f>
        <v/>
      </c>
      <c r="C56" s="167"/>
      <c r="D56" s="167"/>
      <c r="E56" s="167"/>
      <c r="F56" s="167"/>
      <c r="G56" s="167"/>
      <c r="H56" s="167"/>
      <c r="I56" s="167"/>
      <c r="J56" s="167"/>
      <c r="K56" s="167"/>
      <c r="L56" s="167"/>
      <c r="M56" s="167"/>
      <c r="N56" s="167"/>
      <c r="O56" s="167"/>
      <c r="P56" s="167"/>
    </row>
    <row r="57" spans="1:16" s="96" customFormat="1" x14ac:dyDescent="0.2">
      <c r="A57" s="145" t="str">
        <v/>
      </c>
      <c r="B57" s="144" t="str">
        <f>IFERROR(TIMEVALUE(DaqBook_RAW_Data!AG47),IFERROR(TIMEVALUE(DaqBook_RAW_Data!A47),""))</f>
        <v/>
      </c>
      <c r="C57" s="167"/>
      <c r="D57" s="167"/>
      <c r="E57" s="167"/>
      <c r="F57" s="167"/>
      <c r="G57" s="167"/>
      <c r="H57" s="167"/>
      <c r="I57" s="167"/>
      <c r="J57" s="167"/>
      <c r="K57" s="167"/>
      <c r="L57" s="167"/>
      <c r="M57" s="167"/>
      <c r="N57" s="167"/>
      <c r="O57" s="167"/>
      <c r="P57" s="167"/>
    </row>
    <row r="58" spans="1:16" s="96" customFormat="1" x14ac:dyDescent="0.2">
      <c r="A58" s="145" t="str">
        <v/>
      </c>
      <c r="B58" s="144" t="str">
        <f>IFERROR(TIMEVALUE(DaqBook_RAW_Data!AG48),IFERROR(TIMEVALUE(DaqBook_RAW_Data!A48),""))</f>
        <v/>
      </c>
      <c r="C58" s="167"/>
      <c r="D58" s="167"/>
      <c r="E58" s="167"/>
      <c r="F58" s="167"/>
      <c r="G58" s="167"/>
      <c r="H58" s="167"/>
      <c r="I58" s="167"/>
      <c r="J58" s="167"/>
      <c r="K58" s="167"/>
      <c r="L58" s="167"/>
      <c r="M58" s="167"/>
      <c r="N58" s="167"/>
      <c r="O58" s="167"/>
      <c r="P58" s="167"/>
    </row>
    <row r="59" spans="1:16" s="96" customFormat="1" x14ac:dyDescent="0.2">
      <c r="A59" s="145" t="str">
        <v/>
      </c>
      <c r="B59" s="144" t="str">
        <f>IFERROR(TIMEVALUE(DaqBook_RAW_Data!AG49),IFERROR(TIMEVALUE(DaqBook_RAW_Data!A49),""))</f>
        <v/>
      </c>
      <c r="C59" s="167"/>
      <c r="D59" s="167"/>
      <c r="E59" s="167"/>
      <c r="F59" s="167"/>
      <c r="G59" s="167"/>
      <c r="H59" s="167"/>
      <c r="I59" s="167"/>
      <c r="J59" s="167"/>
      <c r="K59" s="167"/>
      <c r="L59" s="167"/>
      <c r="M59" s="167"/>
      <c r="N59" s="167"/>
      <c r="O59" s="167"/>
      <c r="P59" s="167"/>
    </row>
    <row r="60" spans="1:16" s="96" customFormat="1" x14ac:dyDescent="0.2">
      <c r="A60" s="145" t="str">
        <v/>
      </c>
      <c r="B60" s="144" t="str">
        <f>IFERROR(TIMEVALUE(DaqBook_RAW_Data!AG50),IFERROR(TIMEVALUE(DaqBook_RAW_Data!A50),""))</f>
        <v/>
      </c>
      <c r="C60" s="167"/>
      <c r="D60" s="167"/>
      <c r="E60" s="167"/>
      <c r="F60" s="167"/>
      <c r="G60" s="167"/>
      <c r="H60" s="167"/>
      <c r="I60" s="167"/>
      <c r="J60" s="167"/>
      <c r="K60" s="167"/>
      <c r="L60" s="167"/>
      <c r="M60" s="167"/>
      <c r="N60" s="167"/>
      <c r="O60" s="167"/>
      <c r="P60" s="167"/>
    </row>
    <row r="61" spans="1:16" s="96" customFormat="1" x14ac:dyDescent="0.2">
      <c r="A61" s="145" t="str">
        <v/>
      </c>
      <c r="B61" s="144" t="str">
        <f>IFERROR(TIMEVALUE(DaqBook_RAW_Data!AG51),IFERROR(TIMEVALUE(DaqBook_RAW_Data!A51),""))</f>
        <v/>
      </c>
      <c r="C61" s="167"/>
      <c r="D61" s="167"/>
      <c r="E61" s="167"/>
      <c r="F61" s="167"/>
      <c r="G61" s="167"/>
      <c r="H61" s="167"/>
      <c r="I61" s="167"/>
      <c r="J61" s="167"/>
      <c r="K61" s="167"/>
      <c r="L61" s="167"/>
      <c r="M61" s="167"/>
      <c r="N61" s="167"/>
      <c r="O61" s="167"/>
      <c r="P61" s="167"/>
    </row>
    <row r="62" spans="1:16" s="96" customFormat="1" x14ac:dyDescent="0.2">
      <c r="A62" s="145" t="str">
        <v/>
      </c>
      <c r="B62" s="144" t="str">
        <f>IFERROR(TIMEVALUE(DaqBook_RAW_Data!AG52),IFERROR(TIMEVALUE(DaqBook_RAW_Data!A52),""))</f>
        <v/>
      </c>
      <c r="C62" s="167"/>
      <c r="D62" s="167"/>
      <c r="E62" s="167"/>
      <c r="F62" s="167"/>
      <c r="G62" s="167"/>
      <c r="H62" s="167"/>
      <c r="I62" s="167"/>
      <c r="J62" s="167"/>
      <c r="K62" s="167"/>
      <c r="L62" s="167"/>
      <c r="M62" s="167"/>
      <c r="N62" s="167"/>
      <c r="O62" s="167"/>
      <c r="P62" s="167"/>
    </row>
    <row r="63" spans="1:16" s="96" customFormat="1" x14ac:dyDescent="0.2">
      <c r="A63" s="145" t="str">
        <v/>
      </c>
      <c r="B63" s="144" t="str">
        <f>IFERROR(TIMEVALUE(DaqBook_RAW_Data!AG53),IFERROR(TIMEVALUE(DaqBook_RAW_Data!A53),""))</f>
        <v/>
      </c>
      <c r="C63" s="167"/>
      <c r="D63" s="167"/>
      <c r="E63" s="167"/>
      <c r="F63" s="167"/>
      <c r="G63" s="167"/>
      <c r="H63" s="167"/>
      <c r="I63" s="167"/>
      <c r="J63" s="167"/>
      <c r="K63" s="167"/>
      <c r="L63" s="167"/>
      <c r="M63" s="167"/>
      <c r="N63" s="167"/>
      <c r="O63" s="167"/>
      <c r="P63" s="167"/>
    </row>
    <row r="64" spans="1:16" s="96" customFormat="1" x14ac:dyDescent="0.2">
      <c r="A64" s="145" t="str">
        <v/>
      </c>
      <c r="B64" s="144" t="str">
        <f>IFERROR(TIMEVALUE(DaqBook_RAW_Data!AG54),IFERROR(TIMEVALUE(DaqBook_RAW_Data!A54),""))</f>
        <v/>
      </c>
      <c r="C64" s="167"/>
      <c r="D64" s="167"/>
      <c r="E64" s="167"/>
      <c r="F64" s="167"/>
      <c r="G64" s="167"/>
      <c r="H64" s="167"/>
      <c r="I64" s="167"/>
      <c r="J64" s="167"/>
      <c r="K64" s="167"/>
      <c r="L64" s="167"/>
      <c r="M64" s="167"/>
      <c r="N64" s="167"/>
      <c r="O64" s="167"/>
      <c r="P64" s="167"/>
    </row>
    <row r="65" spans="1:16" s="96" customFormat="1" x14ac:dyDescent="0.2">
      <c r="A65" s="145" t="str">
        <v/>
      </c>
      <c r="B65" s="144" t="str">
        <f>IFERROR(TIMEVALUE(DaqBook_RAW_Data!AG55),IFERROR(TIMEVALUE(DaqBook_RAW_Data!A55),""))</f>
        <v/>
      </c>
      <c r="C65" s="167"/>
      <c r="D65" s="167"/>
      <c r="E65" s="167"/>
      <c r="F65" s="167"/>
      <c r="G65" s="167"/>
      <c r="H65" s="167"/>
      <c r="I65" s="167"/>
      <c r="J65" s="167"/>
      <c r="K65" s="167"/>
      <c r="L65" s="167"/>
      <c r="M65" s="167"/>
      <c r="N65" s="167"/>
      <c r="O65" s="167"/>
      <c r="P65" s="167"/>
    </row>
    <row r="66" spans="1:16" s="96" customFormat="1" x14ac:dyDescent="0.2">
      <c r="A66" s="145" t="str">
        <v/>
      </c>
      <c r="B66" s="144" t="str">
        <f>IFERROR(TIMEVALUE(DaqBook_RAW_Data!AG56),IFERROR(TIMEVALUE(DaqBook_RAW_Data!A56),""))</f>
        <v/>
      </c>
      <c r="C66" s="167"/>
      <c r="D66" s="167"/>
      <c r="E66" s="167"/>
      <c r="F66" s="167"/>
      <c r="G66" s="167"/>
      <c r="H66" s="167"/>
      <c r="I66" s="167"/>
      <c r="J66" s="167"/>
      <c r="K66" s="167"/>
      <c r="L66" s="167"/>
      <c r="M66" s="167"/>
      <c r="N66" s="167"/>
      <c r="O66" s="167"/>
      <c r="P66" s="167"/>
    </row>
    <row r="67" spans="1:16" s="96" customFormat="1" x14ac:dyDescent="0.2">
      <c r="A67" s="145" t="str">
        <v/>
      </c>
      <c r="B67" s="144" t="str">
        <f>IFERROR(TIMEVALUE(DaqBook_RAW_Data!AG57),IFERROR(TIMEVALUE(DaqBook_RAW_Data!A57),""))</f>
        <v/>
      </c>
      <c r="C67" s="167"/>
      <c r="D67" s="167"/>
      <c r="E67" s="167"/>
      <c r="F67" s="167"/>
      <c r="G67" s="167"/>
      <c r="H67" s="167"/>
      <c r="I67" s="167"/>
      <c r="J67" s="167"/>
      <c r="K67" s="167"/>
      <c r="L67" s="167"/>
      <c r="M67" s="167"/>
      <c r="N67" s="167"/>
      <c r="O67" s="167"/>
      <c r="P67" s="167"/>
    </row>
    <row r="68" spans="1:16" s="96" customFormat="1" x14ac:dyDescent="0.2">
      <c r="A68" s="145" t="str">
        <v/>
      </c>
      <c r="B68" s="144" t="str">
        <f>IFERROR(TIMEVALUE(DaqBook_RAW_Data!AG58),IFERROR(TIMEVALUE(DaqBook_RAW_Data!A58),""))</f>
        <v/>
      </c>
      <c r="C68" s="167"/>
      <c r="D68" s="167"/>
      <c r="E68" s="167"/>
      <c r="F68" s="167"/>
      <c r="G68" s="167"/>
      <c r="H68" s="167"/>
      <c r="I68" s="167"/>
      <c r="J68" s="167"/>
      <c r="K68" s="167"/>
      <c r="L68" s="167"/>
      <c r="M68" s="167"/>
      <c r="N68" s="167"/>
      <c r="O68" s="167"/>
      <c r="P68" s="167"/>
    </row>
    <row r="69" spans="1:16" s="96" customFormat="1" x14ac:dyDescent="0.2">
      <c r="A69" s="145" t="str">
        <v/>
      </c>
      <c r="B69" s="144" t="str">
        <f>IFERROR(TIMEVALUE(DaqBook_RAW_Data!AG59),IFERROR(TIMEVALUE(DaqBook_RAW_Data!A59),""))</f>
        <v/>
      </c>
      <c r="C69" s="167"/>
      <c r="D69" s="167"/>
      <c r="E69" s="167"/>
      <c r="F69" s="167"/>
      <c r="G69" s="167"/>
      <c r="H69" s="167"/>
      <c r="I69" s="167"/>
      <c r="J69" s="167"/>
      <c r="K69" s="167"/>
      <c r="L69" s="167"/>
      <c r="M69" s="167"/>
      <c r="N69" s="167"/>
      <c r="O69" s="167"/>
      <c r="P69" s="167"/>
    </row>
    <row r="70" spans="1:16" s="96" customFormat="1" x14ac:dyDescent="0.2">
      <c r="A70" s="145" t="str">
        <v/>
      </c>
      <c r="B70" s="144" t="str">
        <f>IFERROR(TIMEVALUE(DaqBook_RAW_Data!AG60),IFERROR(TIMEVALUE(DaqBook_RAW_Data!A60),""))</f>
        <v/>
      </c>
      <c r="C70" s="167"/>
      <c r="D70" s="167"/>
      <c r="E70" s="167"/>
      <c r="F70" s="167"/>
      <c r="G70" s="167"/>
      <c r="H70" s="167"/>
      <c r="I70" s="167"/>
      <c r="J70" s="167"/>
      <c r="K70" s="167"/>
      <c r="L70" s="167"/>
      <c r="M70" s="167"/>
      <c r="N70" s="167"/>
      <c r="O70" s="167"/>
      <c r="P70" s="167"/>
    </row>
    <row r="71" spans="1:16" s="96" customFormat="1" x14ac:dyDescent="0.2">
      <c r="A71" s="145" t="str">
        <v/>
      </c>
      <c r="B71" s="144" t="str">
        <f>IFERROR(TIMEVALUE(DaqBook_RAW_Data!AG61),IFERROR(TIMEVALUE(DaqBook_RAW_Data!A61),""))</f>
        <v/>
      </c>
      <c r="C71" s="167"/>
      <c r="D71" s="167"/>
      <c r="E71" s="167"/>
      <c r="F71" s="167"/>
      <c r="G71" s="167"/>
      <c r="H71" s="167"/>
      <c r="I71" s="167"/>
      <c r="J71" s="167"/>
      <c r="K71" s="167"/>
      <c r="L71" s="167"/>
      <c r="M71" s="167"/>
      <c r="N71" s="167"/>
      <c r="O71" s="167"/>
      <c r="P71" s="167"/>
    </row>
    <row r="72" spans="1:16" s="96" customFormat="1" x14ac:dyDescent="0.2">
      <c r="A72" s="145" t="str">
        <v/>
      </c>
      <c r="B72" s="144" t="str">
        <f>IFERROR(TIMEVALUE(DaqBook_RAW_Data!AG62),IFERROR(TIMEVALUE(DaqBook_RAW_Data!A62),""))</f>
        <v/>
      </c>
      <c r="C72" s="167"/>
      <c r="D72" s="167"/>
      <c r="E72" s="167"/>
      <c r="F72" s="167"/>
      <c r="G72" s="167"/>
      <c r="H72" s="167"/>
      <c r="I72" s="167"/>
      <c r="J72" s="167"/>
      <c r="K72" s="167"/>
      <c r="L72" s="167"/>
      <c r="M72" s="167"/>
      <c r="N72" s="167"/>
      <c r="O72" s="167"/>
      <c r="P72" s="167"/>
    </row>
    <row r="73" spans="1:16" s="96" customFormat="1" x14ac:dyDescent="0.2">
      <c r="A73" s="145" t="str">
        <v/>
      </c>
      <c r="B73" s="144" t="str">
        <f>IFERROR(TIMEVALUE(DaqBook_RAW_Data!AG63),IFERROR(TIMEVALUE(DaqBook_RAW_Data!A63),""))</f>
        <v/>
      </c>
      <c r="C73" s="167"/>
      <c r="D73" s="167"/>
      <c r="E73" s="167"/>
      <c r="F73" s="167"/>
      <c r="G73" s="167"/>
      <c r="H73" s="167"/>
      <c r="I73" s="167"/>
      <c r="J73" s="167"/>
      <c r="K73" s="167"/>
      <c r="L73" s="167"/>
      <c r="M73" s="167"/>
      <c r="N73" s="167"/>
      <c r="O73" s="167"/>
      <c r="P73" s="167"/>
    </row>
    <row r="74" spans="1:16" s="96" customFormat="1" x14ac:dyDescent="0.2">
      <c r="A74" s="145" t="str">
        <v/>
      </c>
      <c r="B74" s="144" t="str">
        <f>IFERROR(TIMEVALUE(DaqBook_RAW_Data!AG64),IFERROR(TIMEVALUE(DaqBook_RAW_Data!A64),""))</f>
        <v/>
      </c>
      <c r="C74" s="167"/>
      <c r="D74" s="167"/>
      <c r="E74" s="167"/>
      <c r="F74" s="167"/>
      <c r="G74" s="167"/>
      <c r="H74" s="167"/>
      <c r="I74" s="167"/>
      <c r="J74" s="167"/>
      <c r="K74" s="167"/>
      <c r="L74" s="167"/>
      <c r="M74" s="167"/>
      <c r="N74" s="167"/>
      <c r="O74" s="167"/>
      <c r="P74" s="167"/>
    </row>
    <row r="75" spans="1:16" s="96" customFormat="1" x14ac:dyDescent="0.2">
      <c r="A75" s="145" t="str">
        <v/>
      </c>
      <c r="B75" s="144" t="str">
        <f>IFERROR(TIMEVALUE(DaqBook_RAW_Data!AG65),IFERROR(TIMEVALUE(DaqBook_RAW_Data!A65),""))</f>
        <v/>
      </c>
      <c r="C75" s="167"/>
      <c r="D75" s="167"/>
      <c r="E75" s="167"/>
      <c r="F75" s="167"/>
      <c r="G75" s="167"/>
      <c r="H75" s="167"/>
      <c r="I75" s="167"/>
      <c r="J75" s="167"/>
      <c r="K75" s="167"/>
      <c r="L75" s="167"/>
      <c r="M75" s="167"/>
      <c r="N75" s="167"/>
      <c r="O75" s="167"/>
      <c r="P75" s="167"/>
    </row>
    <row r="76" spans="1:16" s="96" customFormat="1" x14ac:dyDescent="0.2">
      <c r="A76" s="145" t="str">
        <v/>
      </c>
      <c r="B76" s="144" t="str">
        <f>IFERROR(TIMEVALUE(DaqBook_RAW_Data!AG66),IFERROR(TIMEVALUE(DaqBook_RAW_Data!A66),""))</f>
        <v/>
      </c>
      <c r="C76" s="167"/>
      <c r="D76" s="167"/>
      <c r="E76" s="167"/>
      <c r="F76" s="167"/>
      <c r="G76" s="167"/>
      <c r="H76" s="167"/>
      <c r="I76" s="167"/>
      <c r="J76" s="167"/>
      <c r="K76" s="167"/>
      <c r="L76" s="167"/>
      <c r="M76" s="167"/>
      <c r="N76" s="167"/>
      <c r="O76" s="167"/>
      <c r="P76" s="167"/>
    </row>
    <row r="77" spans="1:16" s="96" customFormat="1" x14ac:dyDescent="0.2">
      <c r="A77" s="145" t="str">
        <v/>
      </c>
      <c r="B77" s="144" t="str">
        <f>IFERROR(TIMEVALUE(DaqBook_RAW_Data!AG67),IFERROR(TIMEVALUE(DaqBook_RAW_Data!A67),""))</f>
        <v/>
      </c>
      <c r="C77" s="167"/>
      <c r="D77" s="167"/>
      <c r="E77" s="167"/>
      <c r="F77" s="167"/>
      <c r="G77" s="167"/>
      <c r="H77" s="167"/>
      <c r="I77" s="167"/>
      <c r="J77" s="167"/>
      <c r="K77" s="167"/>
      <c r="L77" s="167"/>
      <c r="M77" s="167"/>
      <c r="N77" s="167"/>
      <c r="O77" s="167"/>
      <c r="P77" s="167"/>
    </row>
    <row r="78" spans="1:16" s="96" customFormat="1" x14ac:dyDescent="0.2">
      <c r="A78" s="145" t="str">
        <v/>
      </c>
      <c r="B78" s="144" t="str">
        <f>IFERROR(TIMEVALUE(DaqBook_RAW_Data!AG68),IFERROR(TIMEVALUE(DaqBook_RAW_Data!A68),""))</f>
        <v/>
      </c>
      <c r="C78" s="167"/>
      <c r="D78" s="167"/>
      <c r="E78" s="167"/>
      <c r="F78" s="167"/>
      <c r="G78" s="167"/>
      <c r="H78" s="167"/>
      <c r="I78" s="167"/>
      <c r="J78" s="167"/>
      <c r="K78" s="167"/>
      <c r="L78" s="167"/>
      <c r="M78" s="167"/>
      <c r="N78" s="167"/>
      <c r="O78" s="167"/>
      <c r="P78" s="167"/>
    </row>
    <row r="79" spans="1:16" s="98" customFormat="1" x14ac:dyDescent="0.2">
      <c r="A79" s="97" t="str">
        <v/>
      </c>
      <c r="B79" s="144" t="str">
        <f>IFERROR(TIMEVALUE(DaqBook_RAW_Data!AG69),IFERROR(TIMEVALUE(DaqBook_RAW_Data!A69),""))</f>
        <v/>
      </c>
      <c r="C79" s="167"/>
      <c r="D79" s="167"/>
      <c r="E79" s="167"/>
      <c r="F79" s="167"/>
      <c r="G79" s="167"/>
      <c r="H79" s="167"/>
      <c r="I79" s="167"/>
      <c r="J79" s="167"/>
      <c r="K79" s="167"/>
      <c r="L79" s="167"/>
      <c r="M79" s="167"/>
      <c r="N79" s="167"/>
      <c r="O79" s="167"/>
      <c r="P79" s="167"/>
    </row>
    <row r="80" spans="1:16" s="98" customFormat="1" x14ac:dyDescent="0.2">
      <c r="A80" s="97" t="str">
        <v/>
      </c>
      <c r="B80" s="144" t="str">
        <f>IFERROR(TIMEVALUE(DaqBook_RAW_Data!AG70),IFERROR(TIMEVALUE(DaqBook_RAW_Data!A70),""))</f>
        <v/>
      </c>
      <c r="C80" s="167"/>
      <c r="D80" s="167"/>
      <c r="E80" s="167"/>
      <c r="F80" s="167"/>
      <c r="G80" s="167"/>
      <c r="H80" s="167"/>
      <c r="I80" s="167"/>
      <c r="J80" s="167"/>
      <c r="K80" s="167"/>
      <c r="L80" s="167"/>
      <c r="M80" s="167"/>
      <c r="N80" s="167"/>
      <c r="O80" s="167"/>
      <c r="P80" s="167"/>
    </row>
    <row r="81" spans="1:16" s="98" customFormat="1" x14ac:dyDescent="0.2">
      <c r="A81" s="97" t="str">
        <v/>
      </c>
      <c r="B81" s="144" t="str">
        <f>IFERROR(TIMEVALUE(DaqBook_RAW_Data!AG71),IFERROR(TIMEVALUE(DaqBook_RAW_Data!A71),""))</f>
        <v/>
      </c>
      <c r="C81" s="167"/>
      <c r="D81" s="167"/>
      <c r="E81" s="167"/>
      <c r="F81" s="167"/>
      <c r="G81" s="167"/>
      <c r="H81" s="167"/>
      <c r="I81" s="167"/>
      <c r="J81" s="167"/>
      <c r="K81" s="167"/>
      <c r="L81" s="167"/>
      <c r="M81" s="167"/>
      <c r="N81" s="167"/>
      <c r="O81" s="167"/>
      <c r="P81" s="167"/>
    </row>
    <row r="82" spans="1:16" s="98" customFormat="1" x14ac:dyDescent="0.2">
      <c r="A82" s="97" t="str">
        <v/>
      </c>
      <c r="B82" s="144" t="str">
        <f>IFERROR(TIMEVALUE(DaqBook_RAW_Data!AG72),IFERROR(TIMEVALUE(DaqBook_RAW_Data!A72),""))</f>
        <v/>
      </c>
      <c r="C82" s="167"/>
      <c r="D82" s="167"/>
      <c r="E82" s="167"/>
      <c r="F82" s="167"/>
      <c r="G82" s="167"/>
      <c r="H82" s="167"/>
      <c r="I82" s="167"/>
      <c r="J82" s="167"/>
      <c r="K82" s="167"/>
      <c r="L82" s="167"/>
      <c r="M82" s="167"/>
      <c r="N82" s="167"/>
      <c r="O82" s="167"/>
      <c r="P82" s="167"/>
    </row>
    <row r="83" spans="1:16" s="98" customFormat="1" x14ac:dyDescent="0.2">
      <c r="A83" s="97" t="str">
        <v/>
      </c>
      <c r="B83" s="144" t="str">
        <f>IFERROR(TIMEVALUE(DaqBook_RAW_Data!AG73),IFERROR(TIMEVALUE(DaqBook_RAW_Data!A73),""))</f>
        <v/>
      </c>
      <c r="C83" s="167"/>
      <c r="D83" s="167"/>
      <c r="E83" s="167"/>
      <c r="F83" s="167"/>
      <c r="G83" s="167"/>
      <c r="H83" s="167"/>
      <c r="I83" s="167"/>
      <c r="J83" s="167"/>
      <c r="K83" s="167"/>
      <c r="L83" s="167"/>
      <c r="M83" s="167"/>
      <c r="N83" s="167"/>
      <c r="O83" s="167"/>
      <c r="P83" s="167"/>
    </row>
    <row r="84" spans="1:16" s="96" customFormat="1" x14ac:dyDescent="0.2">
      <c r="A84" s="145" t="str">
        <v/>
      </c>
      <c r="B84" s="144" t="str">
        <f>IFERROR(TIMEVALUE(DaqBook_RAW_Data!AG74),IFERROR(TIMEVALUE(DaqBook_RAW_Data!A74),""))</f>
        <v/>
      </c>
      <c r="C84" s="167"/>
      <c r="D84" s="167"/>
      <c r="E84" s="167"/>
      <c r="F84" s="167"/>
      <c r="G84" s="167"/>
      <c r="H84" s="167"/>
      <c r="I84" s="167"/>
      <c r="J84" s="167"/>
      <c r="K84" s="167"/>
      <c r="L84" s="167"/>
      <c r="M84" s="167"/>
      <c r="N84" s="167"/>
      <c r="O84" s="167"/>
      <c r="P84" s="167"/>
    </row>
    <row r="85" spans="1:16" s="96" customFormat="1" x14ac:dyDescent="0.2">
      <c r="A85" s="145" t="str">
        <v/>
      </c>
      <c r="B85" s="144" t="str">
        <f>IFERROR(TIMEVALUE(DaqBook_RAW_Data!AG75),IFERROR(TIMEVALUE(DaqBook_RAW_Data!A75),""))</f>
        <v/>
      </c>
      <c r="C85" s="167"/>
      <c r="D85" s="167"/>
      <c r="E85" s="167"/>
      <c r="F85" s="167"/>
      <c r="G85" s="167"/>
      <c r="H85" s="167"/>
      <c r="I85" s="167"/>
      <c r="J85" s="167"/>
      <c r="K85" s="167"/>
      <c r="L85" s="167"/>
      <c r="M85" s="167"/>
      <c r="N85" s="167"/>
      <c r="O85" s="167"/>
      <c r="P85" s="167"/>
    </row>
    <row r="86" spans="1:16" s="96" customFormat="1" x14ac:dyDescent="0.2">
      <c r="A86" s="145" t="str">
        <v/>
      </c>
      <c r="B86" s="144" t="str">
        <f>IFERROR(TIMEVALUE(DaqBook_RAW_Data!AG76),IFERROR(TIMEVALUE(DaqBook_RAW_Data!A76),""))</f>
        <v/>
      </c>
      <c r="C86" s="167"/>
      <c r="D86" s="167"/>
      <c r="E86" s="167"/>
      <c r="F86" s="167"/>
      <c r="G86" s="167"/>
      <c r="H86" s="167"/>
      <c r="I86" s="167"/>
      <c r="J86" s="167"/>
      <c r="K86" s="167"/>
      <c r="L86" s="167"/>
      <c r="M86" s="167"/>
      <c r="N86" s="167"/>
      <c r="O86" s="167"/>
      <c r="P86" s="167"/>
    </row>
    <row r="87" spans="1:16" s="96" customFormat="1" x14ac:dyDescent="0.2">
      <c r="A87" s="145" t="str">
        <v/>
      </c>
      <c r="B87" s="144" t="str">
        <f>IFERROR(TIMEVALUE(DaqBook_RAW_Data!AG77),IFERROR(TIMEVALUE(DaqBook_RAW_Data!A77),""))</f>
        <v/>
      </c>
      <c r="C87" s="167"/>
      <c r="D87" s="167"/>
      <c r="E87" s="167"/>
      <c r="F87" s="167"/>
      <c r="G87" s="167"/>
      <c r="H87" s="167"/>
      <c r="I87" s="167"/>
      <c r="J87" s="167"/>
      <c r="K87" s="167"/>
      <c r="L87" s="167"/>
      <c r="M87" s="167"/>
      <c r="N87" s="167"/>
      <c r="O87" s="167"/>
      <c r="P87" s="167"/>
    </row>
    <row r="88" spans="1:16" s="96" customFormat="1" x14ac:dyDescent="0.2">
      <c r="A88" s="145" t="str">
        <v/>
      </c>
      <c r="B88" s="144" t="str">
        <f>IFERROR(TIMEVALUE(DaqBook_RAW_Data!AG78),IFERROR(TIMEVALUE(DaqBook_RAW_Data!A78),""))</f>
        <v/>
      </c>
      <c r="C88" s="167"/>
      <c r="D88" s="167"/>
      <c r="E88" s="167"/>
      <c r="F88" s="167"/>
      <c r="G88" s="167"/>
      <c r="H88" s="167"/>
      <c r="I88" s="167"/>
      <c r="J88" s="167"/>
      <c r="K88" s="167"/>
      <c r="L88" s="167"/>
      <c r="M88" s="167"/>
      <c r="N88" s="167"/>
      <c r="O88" s="167"/>
      <c r="P88" s="167"/>
    </row>
    <row r="89" spans="1:16" s="96" customFormat="1" x14ac:dyDescent="0.2">
      <c r="A89" s="145" t="str">
        <v/>
      </c>
      <c r="B89" s="144" t="str">
        <f>IFERROR(TIMEVALUE(DaqBook_RAW_Data!AG79),IFERROR(TIMEVALUE(DaqBook_RAW_Data!A79),""))</f>
        <v/>
      </c>
      <c r="C89" s="167"/>
      <c r="D89" s="167"/>
      <c r="E89" s="167"/>
      <c r="F89" s="167"/>
      <c r="G89" s="167"/>
      <c r="H89" s="167"/>
      <c r="I89" s="167"/>
      <c r="J89" s="167"/>
      <c r="K89" s="167"/>
      <c r="L89" s="167"/>
      <c r="M89" s="167"/>
      <c r="N89" s="167"/>
      <c r="O89" s="167"/>
      <c r="P89" s="167"/>
    </row>
    <row r="90" spans="1:16" s="96" customFormat="1" x14ac:dyDescent="0.2">
      <c r="A90" s="145" t="str">
        <v/>
      </c>
      <c r="B90" s="144" t="str">
        <f>IFERROR(TIMEVALUE(DaqBook_RAW_Data!AG80),IFERROR(TIMEVALUE(DaqBook_RAW_Data!A80),""))</f>
        <v/>
      </c>
      <c r="C90" s="167"/>
      <c r="D90" s="167"/>
      <c r="E90" s="167"/>
      <c r="F90" s="167"/>
      <c r="G90" s="167"/>
      <c r="H90" s="167"/>
      <c r="I90" s="167"/>
      <c r="J90" s="167"/>
      <c r="K90" s="167"/>
      <c r="L90" s="167"/>
      <c r="M90" s="167"/>
      <c r="N90" s="167"/>
      <c r="O90" s="167"/>
      <c r="P90" s="167"/>
    </row>
    <row r="91" spans="1:16" s="96" customFormat="1" x14ac:dyDescent="0.2">
      <c r="A91" s="145" t="str">
        <v/>
      </c>
      <c r="B91" s="144" t="str">
        <f>IFERROR(TIMEVALUE(DaqBook_RAW_Data!AG81),IFERROR(TIMEVALUE(DaqBook_RAW_Data!A81),""))</f>
        <v/>
      </c>
      <c r="C91" s="167"/>
      <c r="D91" s="167"/>
      <c r="E91" s="167"/>
      <c r="F91" s="167"/>
      <c r="G91" s="167"/>
      <c r="H91" s="167"/>
      <c r="I91" s="167"/>
      <c r="J91" s="167"/>
      <c r="K91" s="167"/>
      <c r="L91" s="167"/>
      <c r="M91" s="167"/>
      <c r="N91" s="167"/>
      <c r="O91" s="167"/>
      <c r="P91" s="167"/>
    </row>
    <row r="92" spans="1:16" s="96" customFormat="1" x14ac:dyDescent="0.2">
      <c r="A92" s="145" t="str">
        <v/>
      </c>
      <c r="B92" s="144" t="str">
        <f>IFERROR(TIMEVALUE(DaqBook_RAW_Data!AG82),IFERROR(TIMEVALUE(DaqBook_RAW_Data!A82),""))</f>
        <v/>
      </c>
      <c r="C92" s="167"/>
      <c r="D92" s="167"/>
      <c r="E92" s="167"/>
      <c r="F92" s="167"/>
      <c r="G92" s="167"/>
      <c r="H92" s="167"/>
      <c r="I92" s="167"/>
      <c r="J92" s="167"/>
      <c r="K92" s="167"/>
      <c r="L92" s="167"/>
      <c r="M92" s="167"/>
      <c r="N92" s="167"/>
      <c r="O92" s="167"/>
      <c r="P92" s="167"/>
    </row>
    <row r="93" spans="1:16" s="96" customFormat="1" x14ac:dyDescent="0.2">
      <c r="A93" s="145" t="str">
        <v/>
      </c>
      <c r="B93" s="144" t="str">
        <f>IFERROR(TIMEVALUE(DaqBook_RAW_Data!AG83),IFERROR(TIMEVALUE(DaqBook_RAW_Data!A83),""))</f>
        <v/>
      </c>
      <c r="C93" s="167"/>
      <c r="D93" s="167"/>
      <c r="E93" s="167"/>
      <c r="F93" s="167"/>
      <c r="G93" s="167"/>
      <c r="H93" s="167"/>
      <c r="I93" s="167"/>
      <c r="J93" s="167"/>
      <c r="K93" s="167"/>
      <c r="L93" s="167"/>
      <c r="M93" s="167"/>
      <c r="N93" s="167"/>
      <c r="O93" s="167"/>
      <c r="P93" s="167"/>
    </row>
    <row r="94" spans="1:16" s="96" customFormat="1" x14ac:dyDescent="0.2">
      <c r="A94" s="145" t="str">
        <v/>
      </c>
      <c r="B94" s="144" t="str">
        <f>IFERROR(TIMEVALUE(DaqBook_RAW_Data!AG84),IFERROR(TIMEVALUE(DaqBook_RAW_Data!A84),""))</f>
        <v/>
      </c>
      <c r="C94" s="167"/>
      <c r="D94" s="167"/>
      <c r="E94" s="167"/>
      <c r="F94" s="167"/>
      <c r="G94" s="167"/>
      <c r="H94" s="167"/>
      <c r="I94" s="167"/>
      <c r="J94" s="167"/>
      <c r="K94" s="167"/>
      <c r="L94" s="167"/>
      <c r="M94" s="167"/>
      <c r="N94" s="167"/>
      <c r="O94" s="167"/>
      <c r="P94" s="167"/>
    </row>
    <row r="95" spans="1:16" s="96" customFormat="1" x14ac:dyDescent="0.2">
      <c r="A95" s="145" t="str">
        <v/>
      </c>
      <c r="B95" s="144" t="str">
        <f>IFERROR(TIMEVALUE(DaqBook_RAW_Data!AG85),IFERROR(TIMEVALUE(DaqBook_RAW_Data!A85),""))</f>
        <v/>
      </c>
      <c r="C95" s="167"/>
      <c r="D95" s="167"/>
      <c r="E95" s="167"/>
      <c r="F95" s="167"/>
      <c r="G95" s="167"/>
      <c r="H95" s="167"/>
      <c r="I95" s="167"/>
      <c r="J95" s="167"/>
      <c r="K95" s="167"/>
      <c r="L95" s="167"/>
      <c r="M95" s="167"/>
      <c r="N95" s="167"/>
      <c r="O95" s="167"/>
      <c r="P95" s="167"/>
    </row>
    <row r="96" spans="1:16" s="96" customFormat="1" x14ac:dyDescent="0.2">
      <c r="A96" s="145" t="str">
        <v/>
      </c>
      <c r="B96" s="144" t="str">
        <f>IFERROR(TIMEVALUE(DaqBook_RAW_Data!AG86),IFERROR(TIMEVALUE(DaqBook_RAW_Data!A86),""))</f>
        <v/>
      </c>
      <c r="C96" s="167"/>
      <c r="D96" s="167"/>
      <c r="E96" s="167"/>
      <c r="F96" s="167"/>
      <c r="G96" s="167"/>
      <c r="H96" s="167"/>
      <c r="I96" s="167"/>
      <c r="J96" s="167"/>
      <c r="K96" s="167"/>
      <c r="L96" s="167"/>
      <c r="M96" s="167"/>
      <c r="N96" s="167"/>
      <c r="O96" s="167"/>
      <c r="P96" s="167"/>
    </row>
    <row r="97" spans="1:16" s="96" customFormat="1" x14ac:dyDescent="0.2">
      <c r="A97" s="145" t="str">
        <v/>
      </c>
      <c r="B97" s="144" t="str">
        <f>IFERROR(TIMEVALUE(DaqBook_RAW_Data!AG87),IFERROR(TIMEVALUE(DaqBook_RAW_Data!A87),""))</f>
        <v/>
      </c>
      <c r="C97" s="167"/>
      <c r="D97" s="167"/>
      <c r="E97" s="167"/>
      <c r="F97" s="167"/>
      <c r="G97" s="167"/>
      <c r="H97" s="167"/>
      <c r="I97" s="167"/>
      <c r="J97" s="167"/>
      <c r="K97" s="167"/>
      <c r="L97" s="167"/>
      <c r="M97" s="167"/>
      <c r="N97" s="167"/>
      <c r="O97" s="167"/>
      <c r="P97" s="167"/>
    </row>
    <row r="98" spans="1:16" s="96" customFormat="1" x14ac:dyDescent="0.2">
      <c r="A98" s="145" t="str">
        <v/>
      </c>
      <c r="B98" s="144" t="str">
        <f>IFERROR(TIMEVALUE(DaqBook_RAW_Data!AG88),IFERROR(TIMEVALUE(DaqBook_RAW_Data!A88),""))</f>
        <v/>
      </c>
      <c r="C98" s="167"/>
      <c r="D98" s="167"/>
      <c r="E98" s="167"/>
      <c r="F98" s="167"/>
      <c r="G98" s="167"/>
      <c r="H98" s="167"/>
      <c r="I98" s="167"/>
      <c r="J98" s="167"/>
      <c r="K98" s="167"/>
      <c r="L98" s="167"/>
      <c r="M98" s="167"/>
      <c r="N98" s="167"/>
      <c r="O98" s="167"/>
      <c r="P98" s="167"/>
    </row>
    <row r="99" spans="1:16" s="96" customFormat="1" x14ac:dyDescent="0.2">
      <c r="A99" s="145" t="str">
        <v/>
      </c>
      <c r="B99" s="144" t="str">
        <f>IFERROR(TIMEVALUE(DaqBook_RAW_Data!AG89),IFERROR(TIMEVALUE(DaqBook_RAW_Data!A89),""))</f>
        <v/>
      </c>
      <c r="C99" s="167"/>
      <c r="D99" s="167"/>
      <c r="E99" s="167"/>
      <c r="F99" s="167"/>
      <c r="G99" s="167"/>
      <c r="H99" s="167"/>
      <c r="I99" s="167"/>
      <c r="J99" s="167"/>
      <c r="K99" s="167"/>
      <c r="L99" s="167"/>
      <c r="M99" s="167"/>
      <c r="N99" s="167"/>
      <c r="O99" s="167"/>
      <c r="P99" s="167"/>
    </row>
    <row r="100" spans="1:16" s="96" customFormat="1" x14ac:dyDescent="0.2">
      <c r="A100" s="145" t="str">
        <v/>
      </c>
      <c r="B100" s="144" t="str">
        <f>IFERROR(TIMEVALUE(DaqBook_RAW_Data!AG90),IFERROR(TIMEVALUE(DaqBook_RAW_Data!A90),""))</f>
        <v/>
      </c>
      <c r="C100" s="167"/>
      <c r="D100" s="167"/>
      <c r="E100" s="167"/>
      <c r="F100" s="167"/>
      <c r="G100" s="167"/>
      <c r="H100" s="167"/>
      <c r="I100" s="167"/>
      <c r="J100" s="167"/>
      <c r="K100" s="167"/>
      <c r="L100" s="167"/>
      <c r="M100" s="167"/>
      <c r="N100" s="167"/>
      <c r="O100" s="167"/>
      <c r="P100" s="167"/>
    </row>
    <row r="101" spans="1:16" s="96" customFormat="1" x14ac:dyDescent="0.2">
      <c r="A101" s="145" t="str">
        <v/>
      </c>
      <c r="B101" s="144" t="str">
        <f>IFERROR(TIMEVALUE(DaqBook_RAW_Data!AG91),IFERROR(TIMEVALUE(DaqBook_RAW_Data!A91),""))</f>
        <v/>
      </c>
      <c r="C101" s="167"/>
      <c r="D101" s="167"/>
      <c r="E101" s="167"/>
      <c r="F101" s="167"/>
      <c r="G101" s="167"/>
      <c r="H101" s="167"/>
      <c r="I101" s="167"/>
      <c r="J101" s="167"/>
      <c r="K101" s="167"/>
      <c r="L101" s="167"/>
      <c r="M101" s="167"/>
      <c r="N101" s="167"/>
      <c r="O101" s="167"/>
      <c r="P101" s="167"/>
    </row>
    <row r="102" spans="1:16" s="96" customFormat="1" x14ac:dyDescent="0.2">
      <c r="A102" s="145" t="str">
        <v/>
      </c>
      <c r="B102" s="144" t="str">
        <f>IFERROR(TIMEVALUE(DaqBook_RAW_Data!AG92),IFERROR(TIMEVALUE(DaqBook_RAW_Data!A92),""))</f>
        <v/>
      </c>
      <c r="C102" s="167"/>
      <c r="D102" s="167"/>
      <c r="E102" s="167"/>
      <c r="F102" s="167"/>
      <c r="G102" s="167"/>
      <c r="H102" s="167"/>
      <c r="I102" s="167"/>
      <c r="J102" s="167"/>
      <c r="K102" s="167"/>
      <c r="L102" s="167"/>
      <c r="M102" s="167"/>
      <c r="N102" s="167"/>
      <c r="O102" s="167"/>
      <c r="P102" s="167"/>
    </row>
    <row r="103" spans="1:16" s="96" customFormat="1" x14ac:dyDescent="0.2">
      <c r="A103" s="145" t="str">
        <v/>
      </c>
      <c r="B103" s="144" t="str">
        <f>IFERROR(TIMEVALUE(DaqBook_RAW_Data!AG93),IFERROR(TIMEVALUE(DaqBook_RAW_Data!A93),""))</f>
        <v/>
      </c>
      <c r="C103" s="167"/>
      <c r="D103" s="167"/>
      <c r="E103" s="167"/>
      <c r="F103" s="167"/>
      <c r="G103" s="167"/>
      <c r="H103" s="167"/>
      <c r="I103" s="167"/>
      <c r="J103" s="167"/>
      <c r="K103" s="167"/>
      <c r="L103" s="167"/>
      <c r="M103" s="167"/>
      <c r="N103" s="167"/>
      <c r="O103" s="167"/>
      <c r="P103" s="167"/>
    </row>
    <row r="104" spans="1:16" s="96" customFormat="1" x14ac:dyDescent="0.2">
      <c r="A104" s="145" t="str">
        <v/>
      </c>
      <c r="B104" s="144" t="str">
        <f>IFERROR(TIMEVALUE(DaqBook_RAW_Data!AG94),IFERROR(TIMEVALUE(DaqBook_RAW_Data!A94),""))</f>
        <v/>
      </c>
      <c r="C104" s="167"/>
      <c r="D104" s="167"/>
      <c r="E104" s="167"/>
      <c r="F104" s="167"/>
      <c r="G104" s="167"/>
      <c r="H104" s="167"/>
      <c r="I104" s="167"/>
      <c r="J104" s="167"/>
      <c r="K104" s="167"/>
      <c r="L104" s="167"/>
      <c r="M104" s="167"/>
      <c r="N104" s="167"/>
      <c r="O104" s="167"/>
      <c r="P104" s="167"/>
    </row>
    <row r="105" spans="1:16" s="96" customFormat="1" x14ac:dyDescent="0.2">
      <c r="A105" s="145" t="str">
        <v/>
      </c>
      <c r="B105" s="144" t="str">
        <f>IFERROR(TIMEVALUE(DaqBook_RAW_Data!AG95),IFERROR(TIMEVALUE(DaqBook_RAW_Data!A95),""))</f>
        <v/>
      </c>
      <c r="C105" s="167"/>
      <c r="D105" s="167"/>
      <c r="E105" s="167"/>
      <c r="F105" s="167"/>
      <c r="G105" s="167"/>
      <c r="H105" s="167"/>
      <c r="I105" s="167"/>
      <c r="J105" s="167"/>
      <c r="K105" s="167"/>
      <c r="L105" s="167"/>
      <c r="M105" s="167"/>
      <c r="N105" s="167"/>
      <c r="O105" s="167"/>
      <c r="P105" s="167"/>
    </row>
    <row r="106" spans="1:16" x14ac:dyDescent="0.2">
      <c r="A106" s="58" t="str">
        <v/>
      </c>
      <c r="B106" s="144" t="str">
        <f>IFERROR(TIMEVALUE(DaqBook_RAW_Data!AG96),IFERROR(TIMEVALUE(DaqBook_RAW_Data!A96),""))</f>
        <v/>
      </c>
      <c r="C106" s="167"/>
      <c r="D106" s="167"/>
      <c r="E106" s="167"/>
      <c r="F106" s="167"/>
      <c r="G106" s="167"/>
      <c r="H106" s="167"/>
      <c r="I106" s="167"/>
      <c r="J106" s="167"/>
      <c r="K106" s="167"/>
      <c r="L106" s="167"/>
      <c r="M106" s="167"/>
      <c r="N106" s="167"/>
      <c r="O106" s="167"/>
      <c r="P106" s="167"/>
    </row>
    <row r="107" spans="1:16" x14ac:dyDescent="0.2">
      <c r="A107" s="58" t="str">
        <v/>
      </c>
      <c r="B107" s="144" t="str">
        <f>IFERROR(TIMEVALUE(DaqBook_RAW_Data!AG97),IFERROR(TIMEVALUE(DaqBook_RAW_Data!A97),""))</f>
        <v/>
      </c>
      <c r="C107" s="167"/>
      <c r="D107" s="167"/>
      <c r="E107" s="167"/>
      <c r="F107" s="167"/>
      <c r="G107" s="167"/>
      <c r="H107" s="167"/>
      <c r="I107" s="167"/>
      <c r="J107" s="167"/>
      <c r="K107" s="167"/>
      <c r="L107" s="167"/>
      <c r="M107" s="167"/>
      <c r="N107" s="167"/>
      <c r="O107" s="167"/>
      <c r="P107" s="167"/>
    </row>
    <row r="108" spans="1:16" x14ac:dyDescent="0.2">
      <c r="A108" s="58" t="str">
        <v/>
      </c>
      <c r="B108" s="144" t="str">
        <f>IFERROR(TIMEVALUE(DaqBook_RAW_Data!AG98),IFERROR(TIMEVALUE(DaqBook_RAW_Data!A98),""))</f>
        <v/>
      </c>
      <c r="C108" s="167"/>
      <c r="D108" s="167"/>
      <c r="E108" s="167"/>
      <c r="F108" s="167"/>
      <c r="G108" s="167"/>
      <c r="H108" s="167"/>
      <c r="I108" s="167"/>
      <c r="J108" s="167"/>
      <c r="K108" s="167"/>
      <c r="L108" s="167"/>
      <c r="M108" s="167"/>
      <c r="N108" s="167"/>
      <c r="O108" s="167"/>
      <c r="P108" s="167"/>
    </row>
    <row r="109" spans="1:16" x14ac:dyDescent="0.2">
      <c r="A109" s="58" t="str">
        <v/>
      </c>
      <c r="B109" s="144" t="str">
        <f>IFERROR(TIMEVALUE(DaqBook_RAW_Data!AG99),IFERROR(TIMEVALUE(DaqBook_RAW_Data!A99),""))</f>
        <v/>
      </c>
      <c r="C109" s="167"/>
      <c r="D109" s="167"/>
      <c r="E109" s="167"/>
      <c r="F109" s="167"/>
      <c r="G109" s="167"/>
      <c r="H109" s="167"/>
      <c r="I109" s="167"/>
      <c r="J109" s="167"/>
      <c r="K109" s="167"/>
      <c r="L109" s="167"/>
      <c r="M109" s="167"/>
      <c r="N109" s="167"/>
      <c r="O109" s="167"/>
      <c r="P109" s="167"/>
    </row>
    <row r="110" spans="1:16" x14ac:dyDescent="0.2">
      <c r="A110" s="58" t="str">
        <v/>
      </c>
      <c r="B110" s="144" t="str">
        <f>IFERROR(TIMEVALUE(DaqBook_RAW_Data!AG100),IFERROR(TIMEVALUE(DaqBook_RAW_Data!A100),""))</f>
        <v/>
      </c>
      <c r="C110" s="167"/>
      <c r="D110" s="167"/>
      <c r="E110" s="167"/>
      <c r="F110" s="167"/>
      <c r="G110" s="167"/>
      <c r="H110" s="167"/>
      <c r="I110" s="167"/>
      <c r="J110" s="167"/>
      <c r="K110" s="167"/>
      <c r="L110" s="167"/>
      <c r="M110" s="167"/>
      <c r="N110" s="167"/>
      <c r="O110" s="167"/>
      <c r="P110" s="167"/>
    </row>
    <row r="111" spans="1:16" x14ac:dyDescent="0.2">
      <c r="A111" s="58" t="str">
        <v/>
      </c>
      <c r="B111" s="144" t="str">
        <f>IFERROR(TIMEVALUE(DaqBook_RAW_Data!AG101),IFERROR(TIMEVALUE(DaqBook_RAW_Data!A101),""))</f>
        <v/>
      </c>
      <c r="C111" s="167"/>
      <c r="D111" s="167"/>
      <c r="E111" s="167"/>
      <c r="F111" s="167"/>
      <c r="G111" s="167"/>
      <c r="H111" s="167"/>
      <c r="I111" s="167"/>
      <c r="J111" s="167"/>
      <c r="K111" s="167"/>
      <c r="L111" s="167"/>
      <c r="M111" s="167"/>
      <c r="N111" s="167"/>
      <c r="O111" s="167"/>
      <c r="P111" s="167"/>
    </row>
    <row r="112" spans="1:16" x14ac:dyDescent="0.2">
      <c r="A112" s="58" t="str">
        <v/>
      </c>
      <c r="B112" s="144" t="str">
        <f>IFERROR(TIMEVALUE(DaqBook_RAW_Data!AG102),IFERROR(TIMEVALUE(DaqBook_RAW_Data!A102),""))</f>
        <v/>
      </c>
      <c r="C112" s="167"/>
      <c r="D112" s="167"/>
      <c r="E112" s="167"/>
      <c r="F112" s="167"/>
      <c r="G112" s="167"/>
      <c r="H112" s="167"/>
      <c r="I112" s="167"/>
      <c r="J112" s="167"/>
      <c r="K112" s="167"/>
      <c r="L112" s="167"/>
      <c r="M112" s="167"/>
      <c r="N112" s="167"/>
      <c r="O112" s="167"/>
      <c r="P112" s="167"/>
    </row>
    <row r="113" spans="1:16" x14ac:dyDescent="0.2">
      <c r="A113" s="58" t="str">
        <v/>
      </c>
      <c r="B113" s="144" t="str">
        <f>IFERROR(TIMEVALUE(DaqBook_RAW_Data!AG103),IFERROR(TIMEVALUE(DaqBook_RAW_Data!A103),""))</f>
        <v/>
      </c>
      <c r="C113" s="167"/>
      <c r="D113" s="167"/>
      <c r="E113" s="167"/>
      <c r="F113" s="167"/>
      <c r="G113" s="167"/>
      <c r="H113" s="167"/>
      <c r="I113" s="167"/>
      <c r="J113" s="167"/>
      <c r="K113" s="167"/>
      <c r="L113" s="167"/>
      <c r="M113" s="167"/>
      <c r="N113" s="167"/>
      <c r="O113" s="167"/>
      <c r="P113" s="167"/>
    </row>
    <row r="114" spans="1:16" x14ac:dyDescent="0.2">
      <c r="A114" s="58" t="str">
        <v/>
      </c>
      <c r="B114" s="144" t="str">
        <f>IFERROR(TIMEVALUE(DaqBook_RAW_Data!AG104),IFERROR(TIMEVALUE(DaqBook_RAW_Data!A104),""))</f>
        <v/>
      </c>
      <c r="C114" s="167"/>
      <c r="D114" s="167"/>
      <c r="E114" s="167"/>
      <c r="F114" s="167"/>
      <c r="G114" s="167"/>
      <c r="H114" s="167"/>
      <c r="I114" s="167"/>
      <c r="J114" s="167"/>
      <c r="K114" s="167"/>
      <c r="L114" s="167"/>
      <c r="M114" s="167"/>
      <c r="N114" s="167"/>
      <c r="O114" s="167"/>
      <c r="P114" s="167"/>
    </row>
    <row r="115" spans="1:16" x14ac:dyDescent="0.2">
      <c r="A115" s="58" t="str">
        <v/>
      </c>
      <c r="B115" s="144" t="str">
        <f>IFERROR(TIMEVALUE(DaqBook_RAW_Data!AG105),IFERROR(TIMEVALUE(DaqBook_RAW_Data!A105),""))</f>
        <v/>
      </c>
      <c r="C115" s="167"/>
      <c r="D115" s="167"/>
      <c r="E115" s="167"/>
      <c r="F115" s="167"/>
      <c r="G115" s="167"/>
      <c r="H115" s="167"/>
      <c r="I115" s="167"/>
      <c r="J115" s="167"/>
      <c r="K115" s="167"/>
      <c r="L115" s="167"/>
      <c r="M115" s="167"/>
      <c r="N115" s="167"/>
      <c r="O115" s="167"/>
      <c r="P115" s="167"/>
    </row>
    <row r="116" spans="1:16" x14ac:dyDescent="0.2">
      <c r="A116" s="58" t="str">
        <v/>
      </c>
      <c r="B116" s="144" t="str">
        <f>IFERROR(TIMEVALUE(DaqBook_RAW_Data!AG106),IFERROR(TIMEVALUE(DaqBook_RAW_Data!A106),""))</f>
        <v/>
      </c>
      <c r="C116" s="167"/>
      <c r="D116" s="167"/>
      <c r="E116" s="167"/>
      <c r="F116" s="167"/>
      <c r="G116" s="167"/>
      <c r="H116" s="167"/>
      <c r="I116" s="167"/>
      <c r="J116" s="167"/>
      <c r="K116" s="167"/>
      <c r="L116" s="167"/>
      <c r="M116" s="167"/>
      <c r="N116" s="167"/>
      <c r="O116" s="167"/>
      <c r="P116" s="167"/>
    </row>
    <row r="117" spans="1:16" x14ac:dyDescent="0.2">
      <c r="A117" s="58" t="str">
        <v/>
      </c>
      <c r="B117" s="144" t="str">
        <f>IFERROR(TIMEVALUE(DaqBook_RAW_Data!AG107),IFERROR(TIMEVALUE(DaqBook_RAW_Data!A107),""))</f>
        <v/>
      </c>
      <c r="C117" s="167"/>
      <c r="D117" s="167"/>
      <c r="E117" s="167"/>
      <c r="F117" s="167"/>
      <c r="G117" s="167"/>
      <c r="H117" s="167"/>
      <c r="I117" s="167"/>
      <c r="J117" s="167"/>
      <c r="K117" s="167"/>
      <c r="L117" s="167"/>
      <c r="M117" s="167"/>
      <c r="N117" s="167"/>
      <c r="O117" s="167"/>
      <c r="P117" s="167"/>
    </row>
    <row r="118" spans="1:16" x14ac:dyDescent="0.2">
      <c r="A118" s="58" t="str">
        <v/>
      </c>
      <c r="B118" s="144" t="str">
        <f>IFERROR(TIMEVALUE(DaqBook_RAW_Data!AG108),IFERROR(TIMEVALUE(DaqBook_RAW_Data!A108),""))</f>
        <v/>
      </c>
      <c r="C118" s="167"/>
      <c r="D118" s="167"/>
      <c r="E118" s="167"/>
      <c r="F118" s="167"/>
      <c r="G118" s="167"/>
      <c r="H118" s="167"/>
      <c r="I118" s="167"/>
      <c r="J118" s="167"/>
      <c r="K118" s="167"/>
      <c r="L118" s="167"/>
      <c r="M118" s="167"/>
      <c r="N118" s="167"/>
      <c r="O118" s="167"/>
      <c r="P118" s="167"/>
    </row>
    <row r="119" spans="1:16" x14ac:dyDescent="0.2">
      <c r="A119" s="58" t="str">
        <v/>
      </c>
      <c r="B119" s="144" t="str">
        <f>IFERROR(TIMEVALUE(DaqBook_RAW_Data!AG109),IFERROR(TIMEVALUE(DaqBook_RAW_Data!A109),""))</f>
        <v/>
      </c>
      <c r="C119" s="167"/>
      <c r="D119" s="167"/>
      <c r="E119" s="167"/>
      <c r="F119" s="167"/>
      <c r="G119" s="167"/>
      <c r="H119" s="167"/>
      <c r="I119" s="167"/>
      <c r="J119" s="167"/>
      <c r="K119" s="167"/>
      <c r="L119" s="167"/>
      <c r="M119" s="167"/>
      <c r="N119" s="167"/>
      <c r="O119" s="167"/>
      <c r="P119" s="167"/>
    </row>
    <row r="120" spans="1:16" x14ac:dyDescent="0.2">
      <c r="A120" s="58" t="str">
        <v/>
      </c>
      <c r="B120" s="144" t="str">
        <f>IFERROR(TIMEVALUE(DaqBook_RAW_Data!AG110),IFERROR(TIMEVALUE(DaqBook_RAW_Data!A110),""))</f>
        <v/>
      </c>
      <c r="C120" s="167"/>
      <c r="D120" s="167"/>
      <c r="E120" s="167"/>
      <c r="F120" s="167"/>
      <c r="G120" s="167"/>
      <c r="H120" s="167"/>
      <c r="I120" s="167"/>
      <c r="J120" s="167"/>
      <c r="K120" s="167"/>
      <c r="L120" s="167"/>
      <c r="M120" s="167"/>
      <c r="N120" s="167"/>
      <c r="O120" s="167"/>
      <c r="P120" s="167"/>
    </row>
    <row r="121" spans="1:16" x14ac:dyDescent="0.2">
      <c r="A121" s="58" t="str">
        <v/>
      </c>
      <c r="B121" s="144" t="str">
        <f>IFERROR(TIMEVALUE(DaqBook_RAW_Data!AG111),IFERROR(TIMEVALUE(DaqBook_RAW_Data!A111),""))</f>
        <v/>
      </c>
      <c r="C121" s="167"/>
      <c r="D121" s="167"/>
      <c r="E121" s="167"/>
      <c r="F121" s="167"/>
      <c r="G121" s="167"/>
      <c r="H121" s="167"/>
      <c r="I121" s="167"/>
      <c r="J121" s="167"/>
      <c r="K121" s="167"/>
      <c r="L121" s="167"/>
      <c r="M121" s="167"/>
      <c r="N121" s="167"/>
      <c r="O121" s="167"/>
      <c r="P121" s="167"/>
    </row>
    <row r="122" spans="1:16" x14ac:dyDescent="0.2">
      <c r="A122" s="58" t="str">
        <v/>
      </c>
      <c r="B122" s="144" t="str">
        <f>IFERROR(TIMEVALUE(DaqBook_RAW_Data!AG112),IFERROR(TIMEVALUE(DaqBook_RAW_Data!A112),""))</f>
        <v/>
      </c>
      <c r="C122" s="167"/>
      <c r="D122" s="167"/>
      <c r="E122" s="167"/>
      <c r="F122" s="167"/>
      <c r="G122" s="167"/>
      <c r="H122" s="167"/>
      <c r="I122" s="167"/>
      <c r="J122" s="167"/>
      <c r="K122" s="167"/>
      <c r="L122" s="167"/>
      <c r="M122" s="167"/>
      <c r="N122" s="167"/>
      <c r="O122" s="167"/>
      <c r="P122" s="167"/>
    </row>
    <row r="123" spans="1:16" x14ac:dyDescent="0.2">
      <c r="A123" s="58" t="str">
        <v/>
      </c>
      <c r="B123" s="144" t="str">
        <f>IFERROR(TIMEVALUE(DaqBook_RAW_Data!AG113),IFERROR(TIMEVALUE(DaqBook_RAW_Data!A113),""))</f>
        <v/>
      </c>
      <c r="C123" s="167"/>
      <c r="D123" s="167"/>
      <c r="E123" s="167"/>
      <c r="F123" s="167"/>
      <c r="G123" s="167"/>
      <c r="H123" s="167"/>
      <c r="I123" s="167"/>
      <c r="J123" s="167"/>
      <c r="K123" s="167"/>
      <c r="L123" s="167"/>
      <c r="M123" s="167"/>
      <c r="N123" s="167"/>
      <c r="O123" s="167"/>
      <c r="P123" s="167"/>
    </row>
    <row r="124" spans="1:16" x14ac:dyDescent="0.2">
      <c r="A124" s="58" t="str">
        <v/>
      </c>
      <c r="B124" s="144" t="str">
        <f>IFERROR(TIMEVALUE(DaqBook_RAW_Data!AG114),IFERROR(TIMEVALUE(DaqBook_RAW_Data!A114),""))</f>
        <v/>
      </c>
      <c r="C124" s="167"/>
      <c r="D124" s="167"/>
      <c r="E124" s="167"/>
      <c r="F124" s="167"/>
      <c r="G124" s="167"/>
      <c r="H124" s="167"/>
      <c r="I124" s="167"/>
      <c r="J124" s="167"/>
      <c r="K124" s="167"/>
      <c r="L124" s="167"/>
      <c r="M124" s="167"/>
      <c r="N124" s="167"/>
      <c r="O124" s="167"/>
      <c r="P124" s="167"/>
    </row>
    <row r="125" spans="1:16" x14ac:dyDescent="0.2">
      <c r="A125" s="58" t="str">
        <v/>
      </c>
      <c r="B125" s="144" t="str">
        <f>IFERROR(TIMEVALUE(DaqBook_RAW_Data!AG115),IFERROR(TIMEVALUE(DaqBook_RAW_Data!A115),""))</f>
        <v/>
      </c>
      <c r="C125" s="167"/>
      <c r="D125" s="167"/>
      <c r="E125" s="167"/>
      <c r="F125" s="167"/>
      <c r="G125" s="167"/>
      <c r="H125" s="167"/>
      <c r="I125" s="167"/>
      <c r="J125" s="167"/>
      <c r="K125" s="167"/>
      <c r="L125" s="167"/>
      <c r="M125" s="167"/>
      <c r="N125" s="167"/>
      <c r="O125" s="167"/>
      <c r="P125" s="167"/>
    </row>
    <row r="126" spans="1:16" x14ac:dyDescent="0.2">
      <c r="A126" s="58" t="str">
        <v/>
      </c>
      <c r="B126" s="144" t="str">
        <f>IFERROR(TIMEVALUE(DaqBook_RAW_Data!AG116),IFERROR(TIMEVALUE(DaqBook_RAW_Data!A116),""))</f>
        <v/>
      </c>
      <c r="C126" s="167"/>
      <c r="D126" s="167"/>
      <c r="E126" s="167"/>
      <c r="F126" s="167"/>
      <c r="G126" s="167"/>
      <c r="H126" s="167"/>
      <c r="I126" s="167"/>
      <c r="J126" s="167"/>
      <c r="K126" s="167"/>
      <c r="L126" s="167"/>
      <c r="M126" s="167"/>
      <c r="N126" s="167"/>
      <c r="O126" s="167"/>
      <c r="P126" s="167"/>
    </row>
    <row r="127" spans="1:16" x14ac:dyDescent="0.2">
      <c r="A127" s="58" t="str">
        <v/>
      </c>
      <c r="B127" s="144" t="str">
        <f>IFERROR(TIMEVALUE(DaqBook_RAW_Data!AG117),IFERROR(TIMEVALUE(DaqBook_RAW_Data!A117),""))</f>
        <v/>
      </c>
      <c r="C127" s="167"/>
      <c r="D127" s="167"/>
      <c r="E127" s="167"/>
      <c r="F127" s="167"/>
      <c r="G127" s="167"/>
      <c r="H127" s="167"/>
      <c r="I127" s="167"/>
      <c r="J127" s="167"/>
      <c r="K127" s="167"/>
      <c r="L127" s="167"/>
      <c r="M127" s="167"/>
      <c r="N127" s="167"/>
      <c r="O127" s="167"/>
      <c r="P127" s="167"/>
    </row>
    <row r="128" spans="1:16" x14ac:dyDescent="0.2">
      <c r="A128" s="58" t="str">
        <v/>
      </c>
      <c r="B128" s="144" t="str">
        <f>IFERROR(TIMEVALUE(DaqBook_RAW_Data!AG118),IFERROR(TIMEVALUE(DaqBook_RAW_Data!A118),""))</f>
        <v/>
      </c>
      <c r="C128" s="167"/>
      <c r="D128" s="167"/>
      <c r="E128" s="167"/>
      <c r="F128" s="167"/>
      <c r="G128" s="167"/>
      <c r="H128" s="167"/>
      <c r="I128" s="167"/>
      <c r="J128" s="167"/>
      <c r="K128" s="167"/>
      <c r="L128" s="167"/>
      <c r="M128" s="167"/>
      <c r="N128" s="167"/>
      <c r="O128" s="167"/>
      <c r="P128" s="167"/>
    </row>
    <row r="129" spans="1:16" x14ac:dyDescent="0.2">
      <c r="A129" s="58" t="str">
        <v/>
      </c>
      <c r="B129" s="144" t="str">
        <f>IFERROR(TIMEVALUE(DaqBook_RAW_Data!AG119),IFERROR(TIMEVALUE(DaqBook_RAW_Data!A119),""))</f>
        <v/>
      </c>
      <c r="C129" s="167"/>
      <c r="D129" s="167"/>
      <c r="E129" s="167"/>
      <c r="F129" s="167"/>
      <c r="G129" s="167"/>
      <c r="H129" s="167"/>
      <c r="I129" s="167"/>
      <c r="J129" s="167"/>
      <c r="K129" s="167"/>
      <c r="L129" s="167"/>
      <c r="M129" s="167"/>
      <c r="N129" s="167"/>
      <c r="O129" s="167"/>
      <c r="P129" s="167"/>
    </row>
    <row r="130" spans="1:16" x14ac:dyDescent="0.2">
      <c r="A130" s="58" t="str">
        <v/>
      </c>
      <c r="B130" s="144" t="str">
        <f>IFERROR(TIMEVALUE(DaqBook_RAW_Data!AG120),IFERROR(TIMEVALUE(DaqBook_RAW_Data!A120),""))</f>
        <v/>
      </c>
      <c r="C130" s="167"/>
      <c r="D130" s="167"/>
      <c r="E130" s="167"/>
      <c r="F130" s="167"/>
      <c r="G130" s="167"/>
      <c r="H130" s="167"/>
      <c r="I130" s="167"/>
      <c r="J130" s="167"/>
      <c r="K130" s="167"/>
      <c r="L130" s="167"/>
      <c r="M130" s="167"/>
      <c r="N130" s="167"/>
      <c r="O130" s="167"/>
      <c r="P130" s="167"/>
    </row>
    <row r="131" spans="1:16" x14ac:dyDescent="0.2">
      <c r="A131" s="58" t="str">
        <v/>
      </c>
      <c r="B131" s="144" t="str">
        <f>IFERROR(TIMEVALUE(DaqBook_RAW_Data!AG121),IFERROR(TIMEVALUE(DaqBook_RAW_Data!A121),""))</f>
        <v/>
      </c>
      <c r="C131" s="167"/>
      <c r="D131" s="167"/>
      <c r="E131" s="167"/>
      <c r="F131" s="167"/>
      <c r="G131" s="167"/>
      <c r="H131" s="167"/>
      <c r="I131" s="167"/>
      <c r="J131" s="167"/>
      <c r="K131" s="167"/>
      <c r="L131" s="167"/>
      <c r="M131" s="167"/>
      <c r="N131" s="167"/>
      <c r="O131" s="167"/>
      <c r="P131" s="167"/>
    </row>
    <row r="132" spans="1:16" x14ac:dyDescent="0.2">
      <c r="A132" s="58" t="str">
        <v/>
      </c>
      <c r="B132" s="144" t="str">
        <f>IFERROR(TIMEVALUE(DaqBook_RAW_Data!AG122),IFERROR(TIMEVALUE(DaqBook_RAW_Data!A122),""))</f>
        <v/>
      </c>
      <c r="C132" s="167"/>
      <c r="D132" s="167"/>
      <c r="E132" s="167"/>
      <c r="F132" s="167"/>
      <c r="G132" s="167"/>
      <c r="H132" s="167"/>
      <c r="I132" s="167"/>
      <c r="J132" s="167"/>
      <c r="K132" s="167"/>
      <c r="L132" s="167"/>
      <c r="M132" s="167"/>
      <c r="N132" s="167"/>
      <c r="O132" s="167"/>
      <c r="P132" s="167"/>
    </row>
    <row r="133" spans="1:16" x14ac:dyDescent="0.2">
      <c r="A133" s="58" t="str">
        <v/>
      </c>
      <c r="B133" s="144" t="str">
        <f>IFERROR(TIMEVALUE(DaqBook_RAW_Data!AG123),IFERROR(TIMEVALUE(DaqBook_RAW_Data!A123),""))</f>
        <v/>
      </c>
      <c r="C133" s="167"/>
      <c r="D133" s="167"/>
      <c r="E133" s="167"/>
      <c r="F133" s="167"/>
      <c r="G133" s="167"/>
      <c r="H133" s="167"/>
      <c r="I133" s="167"/>
      <c r="J133" s="167"/>
      <c r="K133" s="167"/>
      <c r="L133" s="167"/>
      <c r="M133" s="167"/>
      <c r="N133" s="167"/>
      <c r="O133" s="167"/>
      <c r="P133" s="167"/>
    </row>
    <row r="134" spans="1:16" x14ac:dyDescent="0.2">
      <c r="A134" s="58" t="str">
        <v/>
      </c>
      <c r="B134" s="144" t="str">
        <f>IFERROR(TIMEVALUE(DaqBook_RAW_Data!AG124),IFERROR(TIMEVALUE(DaqBook_RAW_Data!A124),""))</f>
        <v/>
      </c>
      <c r="C134" s="167"/>
      <c r="D134" s="167"/>
      <c r="E134" s="167"/>
      <c r="F134" s="167"/>
      <c r="G134" s="167"/>
      <c r="H134" s="167"/>
      <c r="I134" s="167"/>
      <c r="J134" s="167"/>
      <c r="K134" s="167"/>
      <c r="L134" s="167"/>
      <c r="M134" s="167"/>
      <c r="N134" s="167"/>
      <c r="O134" s="167"/>
      <c r="P134" s="167"/>
    </row>
    <row r="135" spans="1:16" x14ac:dyDescent="0.2">
      <c r="A135" s="58" t="str">
        <v/>
      </c>
      <c r="B135" s="144" t="str">
        <f>IFERROR(TIMEVALUE(DaqBook_RAW_Data!AG125),IFERROR(TIMEVALUE(DaqBook_RAW_Data!A125),""))</f>
        <v/>
      </c>
      <c r="C135" s="167"/>
      <c r="D135" s="167"/>
      <c r="E135" s="167"/>
      <c r="F135" s="167"/>
      <c r="G135" s="167"/>
      <c r="H135" s="167"/>
      <c r="I135" s="167"/>
      <c r="J135" s="167"/>
      <c r="K135" s="167"/>
      <c r="L135" s="167"/>
      <c r="M135" s="167"/>
      <c r="N135" s="167"/>
      <c r="O135" s="167"/>
      <c r="P135" s="167"/>
    </row>
    <row r="136" spans="1:16" x14ac:dyDescent="0.2">
      <c r="A136" s="58" t="str">
        <v/>
      </c>
      <c r="B136" s="144" t="str">
        <f>IFERROR(TIMEVALUE(DaqBook_RAW_Data!AG126),IFERROR(TIMEVALUE(DaqBook_RAW_Data!A126),""))</f>
        <v/>
      </c>
      <c r="C136" s="167"/>
      <c r="D136" s="167"/>
      <c r="E136" s="167"/>
      <c r="F136" s="167"/>
      <c r="G136" s="167"/>
      <c r="H136" s="167"/>
      <c r="I136" s="167"/>
      <c r="J136" s="167"/>
      <c r="K136" s="167"/>
      <c r="L136" s="167"/>
      <c r="M136" s="167"/>
      <c r="N136" s="167"/>
      <c r="O136" s="167"/>
      <c r="P136" s="167"/>
    </row>
    <row r="137" spans="1:16" x14ac:dyDescent="0.2">
      <c r="A137" s="58" t="str">
        <v/>
      </c>
      <c r="B137" s="144" t="str">
        <f>IFERROR(TIMEVALUE(DaqBook_RAW_Data!AG127),IFERROR(TIMEVALUE(DaqBook_RAW_Data!A127),""))</f>
        <v/>
      </c>
      <c r="C137" s="167"/>
      <c r="D137" s="167"/>
      <c r="E137" s="167"/>
      <c r="F137" s="167"/>
      <c r="G137" s="167"/>
      <c r="H137" s="167"/>
      <c r="I137" s="167"/>
      <c r="J137" s="167"/>
      <c r="K137" s="167"/>
      <c r="L137" s="167"/>
      <c r="M137" s="167"/>
      <c r="N137" s="167"/>
      <c r="O137" s="167"/>
      <c r="P137" s="167"/>
    </row>
    <row r="138" spans="1:16" x14ac:dyDescent="0.2">
      <c r="A138" s="58" t="str">
        <v/>
      </c>
      <c r="B138" s="144" t="str">
        <f>IFERROR(TIMEVALUE(DaqBook_RAW_Data!AG128),IFERROR(TIMEVALUE(DaqBook_RAW_Data!A128),""))</f>
        <v/>
      </c>
      <c r="C138" s="167"/>
      <c r="D138" s="167"/>
      <c r="E138" s="167"/>
      <c r="F138" s="167"/>
      <c r="G138" s="167"/>
      <c r="H138" s="167"/>
      <c r="I138" s="167"/>
      <c r="J138" s="167"/>
      <c r="K138" s="167"/>
      <c r="L138" s="167"/>
      <c r="M138" s="167"/>
      <c r="N138" s="167"/>
      <c r="O138" s="167"/>
      <c r="P138" s="167"/>
    </row>
    <row r="139" spans="1:16" x14ac:dyDescent="0.2">
      <c r="A139" s="58" t="str">
        <v/>
      </c>
      <c r="B139" s="144" t="str">
        <f>IFERROR(TIMEVALUE(DaqBook_RAW_Data!AG129),IFERROR(TIMEVALUE(DaqBook_RAW_Data!A129),""))</f>
        <v/>
      </c>
      <c r="C139" s="167"/>
      <c r="D139" s="167"/>
      <c r="E139" s="167"/>
      <c r="F139" s="167"/>
      <c r="G139" s="167"/>
      <c r="H139" s="167"/>
      <c r="I139" s="167"/>
      <c r="J139" s="167"/>
      <c r="K139" s="167"/>
      <c r="L139" s="167"/>
      <c r="M139" s="167"/>
      <c r="N139" s="167"/>
      <c r="O139" s="167"/>
      <c r="P139" s="167"/>
    </row>
    <row r="140" spans="1:16" x14ac:dyDescent="0.2">
      <c r="A140" s="58" t="str">
        <v/>
      </c>
      <c r="B140" s="144" t="str">
        <f>IFERROR(TIMEVALUE(DaqBook_RAW_Data!AG130),IFERROR(TIMEVALUE(DaqBook_RAW_Data!A130),""))</f>
        <v/>
      </c>
      <c r="C140" s="167"/>
      <c r="D140" s="167"/>
      <c r="E140" s="167"/>
      <c r="F140" s="167"/>
      <c r="G140" s="167"/>
      <c r="H140" s="167"/>
      <c r="I140" s="167"/>
      <c r="J140" s="167"/>
      <c r="K140" s="167"/>
      <c r="L140" s="167"/>
      <c r="M140" s="167"/>
      <c r="N140" s="167"/>
      <c r="O140" s="167"/>
      <c r="P140" s="167"/>
    </row>
    <row r="141" spans="1:16" x14ac:dyDescent="0.2">
      <c r="A141" s="58" t="str">
        <v/>
      </c>
      <c r="B141" s="144" t="str">
        <f>IFERROR(TIMEVALUE(DaqBook_RAW_Data!AG131),IFERROR(TIMEVALUE(DaqBook_RAW_Data!A131),""))</f>
        <v/>
      </c>
      <c r="C141" s="167"/>
      <c r="D141" s="167"/>
      <c r="E141" s="167"/>
      <c r="F141" s="167"/>
      <c r="G141" s="167"/>
      <c r="H141" s="167"/>
      <c r="I141" s="167"/>
      <c r="J141" s="167"/>
      <c r="K141" s="167"/>
      <c r="L141" s="167"/>
      <c r="M141" s="167"/>
      <c r="N141" s="167"/>
      <c r="O141" s="167"/>
      <c r="P141" s="167"/>
    </row>
    <row r="142" spans="1:16" x14ac:dyDescent="0.2">
      <c r="A142" s="58" t="str">
        <v/>
      </c>
      <c r="B142" s="144" t="str">
        <f>IFERROR(TIMEVALUE(DaqBook_RAW_Data!AG132),IFERROR(TIMEVALUE(DaqBook_RAW_Data!A132),""))</f>
        <v/>
      </c>
      <c r="C142" s="167"/>
      <c r="D142" s="167"/>
      <c r="E142" s="167"/>
      <c r="F142" s="167"/>
      <c r="G142" s="167"/>
      <c r="H142" s="167"/>
      <c r="I142" s="167"/>
      <c r="J142" s="167"/>
      <c r="K142" s="167"/>
      <c r="L142" s="167"/>
      <c r="M142" s="167"/>
      <c r="N142" s="167"/>
      <c r="O142" s="167"/>
      <c r="P142" s="167"/>
    </row>
    <row r="143" spans="1:16" x14ac:dyDescent="0.2">
      <c r="A143" s="58" t="str">
        <v/>
      </c>
      <c r="B143" s="144" t="str">
        <f>IFERROR(TIMEVALUE(DaqBook_RAW_Data!AG133),IFERROR(TIMEVALUE(DaqBook_RAW_Data!A133),""))</f>
        <v/>
      </c>
      <c r="C143" s="167"/>
      <c r="D143" s="167"/>
      <c r="E143" s="167"/>
      <c r="F143" s="167"/>
      <c r="G143" s="167"/>
      <c r="H143" s="167"/>
      <c r="I143" s="167"/>
      <c r="J143" s="167"/>
      <c r="K143" s="167"/>
      <c r="L143" s="167"/>
      <c r="M143" s="167"/>
      <c r="N143" s="167"/>
      <c r="O143" s="167"/>
      <c r="P143" s="167"/>
    </row>
    <row r="144" spans="1:16" x14ac:dyDescent="0.2">
      <c r="A144" s="58" t="str">
        <v/>
      </c>
      <c r="B144" s="144" t="str">
        <f>IFERROR(TIMEVALUE(DaqBook_RAW_Data!AG134),IFERROR(TIMEVALUE(DaqBook_RAW_Data!A134),""))</f>
        <v/>
      </c>
      <c r="C144" s="167"/>
      <c r="D144" s="167"/>
      <c r="E144" s="167"/>
      <c r="F144" s="167"/>
      <c r="G144" s="167"/>
      <c r="H144" s="167"/>
      <c r="I144" s="167"/>
      <c r="J144" s="167"/>
      <c r="K144" s="167"/>
      <c r="L144" s="167"/>
      <c r="M144" s="167"/>
      <c r="N144" s="167"/>
      <c r="O144" s="167"/>
      <c r="P144" s="167"/>
    </row>
    <row r="145" spans="1:16" x14ac:dyDescent="0.2">
      <c r="A145" s="58" t="str">
        <v/>
      </c>
      <c r="B145" s="144" t="str">
        <f>IFERROR(TIMEVALUE(DaqBook_RAW_Data!AG135),IFERROR(TIMEVALUE(DaqBook_RAW_Data!A135),""))</f>
        <v/>
      </c>
      <c r="C145" s="167"/>
      <c r="D145" s="167"/>
      <c r="E145" s="167"/>
      <c r="F145" s="167"/>
      <c r="G145" s="167"/>
      <c r="H145" s="167"/>
      <c r="I145" s="167"/>
      <c r="J145" s="167"/>
      <c r="K145" s="167"/>
      <c r="L145" s="167"/>
      <c r="M145" s="167"/>
      <c r="N145" s="167"/>
      <c r="O145" s="167"/>
      <c r="P145" s="167"/>
    </row>
    <row r="146" spans="1:16" x14ac:dyDescent="0.2">
      <c r="A146" s="58" t="str">
        <v/>
      </c>
      <c r="B146" s="144" t="str">
        <f>IFERROR(TIMEVALUE(DaqBook_RAW_Data!AG136),IFERROR(TIMEVALUE(DaqBook_RAW_Data!A136),""))</f>
        <v/>
      </c>
      <c r="C146" s="167"/>
      <c r="D146" s="167"/>
      <c r="E146" s="167"/>
      <c r="F146" s="167"/>
      <c r="G146" s="167"/>
      <c r="H146" s="167"/>
      <c r="I146" s="167"/>
      <c r="J146" s="167"/>
      <c r="K146" s="167"/>
      <c r="L146" s="167"/>
      <c r="M146" s="167"/>
      <c r="N146" s="167"/>
      <c r="O146" s="167"/>
      <c r="P146" s="167"/>
    </row>
    <row r="147" spans="1:16" x14ac:dyDescent="0.2">
      <c r="A147" s="58" t="str">
        <v/>
      </c>
      <c r="B147" s="144" t="str">
        <f>IFERROR(TIMEVALUE(DaqBook_RAW_Data!AG137),IFERROR(TIMEVALUE(DaqBook_RAW_Data!A137),""))</f>
        <v/>
      </c>
      <c r="C147" s="167"/>
      <c r="D147" s="167"/>
      <c r="E147" s="167"/>
      <c r="F147" s="167"/>
      <c r="G147" s="167"/>
      <c r="H147" s="167"/>
      <c r="I147" s="167"/>
      <c r="J147" s="167"/>
      <c r="K147" s="167"/>
      <c r="L147" s="167"/>
      <c r="M147" s="167"/>
      <c r="N147" s="167"/>
      <c r="O147" s="167"/>
      <c r="P147" s="167"/>
    </row>
    <row r="148" spans="1:16" x14ac:dyDescent="0.2">
      <c r="A148" s="58" t="str">
        <v/>
      </c>
      <c r="B148" s="144" t="str">
        <f>IFERROR(TIMEVALUE(DaqBook_RAW_Data!AG138),IFERROR(TIMEVALUE(DaqBook_RAW_Data!A138),""))</f>
        <v/>
      </c>
      <c r="C148" s="167"/>
      <c r="D148" s="167"/>
      <c r="E148" s="167"/>
      <c r="F148" s="167"/>
      <c r="G148" s="167"/>
      <c r="H148" s="167"/>
      <c r="I148" s="167"/>
      <c r="J148" s="167"/>
      <c r="K148" s="167"/>
      <c r="L148" s="167"/>
      <c r="M148" s="167"/>
      <c r="N148" s="167"/>
      <c r="O148" s="167"/>
      <c r="P148" s="167"/>
    </row>
    <row r="149" spans="1:16" x14ac:dyDescent="0.2">
      <c r="A149" s="58" t="str">
        <v/>
      </c>
      <c r="B149" s="144" t="str">
        <f>IFERROR(TIMEVALUE(DaqBook_RAW_Data!AG139),IFERROR(TIMEVALUE(DaqBook_RAW_Data!A139),""))</f>
        <v/>
      </c>
      <c r="C149" s="167"/>
      <c r="D149" s="167"/>
      <c r="E149" s="167"/>
      <c r="F149" s="167"/>
      <c r="G149" s="167"/>
      <c r="H149" s="167"/>
      <c r="I149" s="167"/>
      <c r="J149" s="167"/>
      <c r="K149" s="167"/>
      <c r="L149" s="167"/>
      <c r="M149" s="167"/>
      <c r="N149" s="167"/>
      <c r="O149" s="167"/>
      <c r="P149" s="167"/>
    </row>
    <row r="150" spans="1:16" x14ac:dyDescent="0.2">
      <c r="A150" s="58" t="str">
        <v/>
      </c>
      <c r="B150" s="144" t="str">
        <f>IFERROR(TIMEVALUE(DaqBook_RAW_Data!AG140),IFERROR(TIMEVALUE(DaqBook_RAW_Data!A140),""))</f>
        <v/>
      </c>
      <c r="C150" s="167"/>
      <c r="D150" s="167"/>
      <c r="E150" s="167"/>
      <c r="F150" s="167"/>
      <c r="G150" s="167"/>
      <c r="H150" s="167"/>
      <c r="I150" s="167"/>
      <c r="J150" s="167"/>
      <c r="K150" s="167"/>
      <c r="L150" s="167"/>
      <c r="M150" s="167"/>
      <c r="N150" s="167"/>
      <c r="O150" s="167"/>
      <c r="P150" s="167"/>
    </row>
    <row r="151" spans="1:16" x14ac:dyDescent="0.2">
      <c r="A151" s="58" t="str">
        <v/>
      </c>
      <c r="B151" s="144" t="str">
        <f>IFERROR(TIMEVALUE(DaqBook_RAW_Data!AG141),IFERROR(TIMEVALUE(DaqBook_RAW_Data!A141),""))</f>
        <v/>
      </c>
      <c r="C151" s="167"/>
      <c r="D151" s="167"/>
      <c r="E151" s="167"/>
      <c r="F151" s="167"/>
      <c r="G151" s="167"/>
      <c r="H151" s="167"/>
      <c r="I151" s="167"/>
      <c r="J151" s="167"/>
      <c r="K151" s="167"/>
      <c r="L151" s="167"/>
      <c r="M151" s="167"/>
      <c r="N151" s="167"/>
      <c r="O151" s="167"/>
      <c r="P151" s="167"/>
    </row>
    <row r="152" spans="1:16" x14ac:dyDescent="0.2">
      <c r="A152" s="58" t="str">
        <v/>
      </c>
      <c r="B152" s="144" t="str">
        <f>IFERROR(TIMEVALUE(DaqBook_RAW_Data!AG142),IFERROR(TIMEVALUE(DaqBook_RAW_Data!A142),""))</f>
        <v/>
      </c>
      <c r="C152" s="167"/>
      <c r="D152" s="167"/>
      <c r="E152" s="167"/>
      <c r="F152" s="167"/>
      <c r="G152" s="167"/>
      <c r="H152" s="167"/>
      <c r="I152" s="167"/>
      <c r="J152" s="167"/>
      <c r="K152" s="167"/>
      <c r="L152" s="167"/>
      <c r="M152" s="167"/>
      <c r="N152" s="167"/>
      <c r="O152" s="167"/>
      <c r="P152" s="167"/>
    </row>
    <row r="153" spans="1:16" x14ac:dyDescent="0.2">
      <c r="A153" s="58" t="str">
        <v/>
      </c>
      <c r="B153" s="144" t="str">
        <f>IFERROR(TIMEVALUE(DaqBook_RAW_Data!AG143),IFERROR(TIMEVALUE(DaqBook_RAW_Data!A143),""))</f>
        <v/>
      </c>
      <c r="C153" s="167"/>
      <c r="D153" s="167"/>
      <c r="E153" s="167"/>
      <c r="F153" s="167"/>
      <c r="G153" s="167"/>
      <c r="H153" s="167"/>
      <c r="I153" s="167"/>
      <c r="J153" s="167"/>
      <c r="K153" s="167"/>
      <c r="L153" s="167"/>
      <c r="M153" s="167"/>
      <c r="N153" s="167"/>
      <c r="O153" s="167"/>
      <c r="P153" s="167"/>
    </row>
    <row r="154" spans="1:16" x14ac:dyDescent="0.2">
      <c r="A154" s="58" t="str">
        <v/>
      </c>
      <c r="B154" s="144" t="str">
        <f>IFERROR(TIMEVALUE(DaqBook_RAW_Data!AG144),IFERROR(TIMEVALUE(DaqBook_RAW_Data!A144),""))</f>
        <v/>
      </c>
      <c r="C154" s="167"/>
      <c r="D154" s="167"/>
      <c r="E154" s="167"/>
      <c r="F154" s="167"/>
      <c r="G154" s="167"/>
      <c r="H154" s="167"/>
      <c r="I154" s="167"/>
      <c r="J154" s="167"/>
      <c r="K154" s="167"/>
      <c r="L154" s="167"/>
      <c r="M154" s="167"/>
      <c r="N154" s="167"/>
      <c r="O154" s="167"/>
      <c r="P154" s="167"/>
    </row>
    <row r="155" spans="1:16" x14ac:dyDescent="0.2">
      <c r="A155" s="58" t="str">
        <v/>
      </c>
      <c r="B155" s="144" t="str">
        <f>IFERROR(TIMEVALUE(DaqBook_RAW_Data!AG145),IFERROR(TIMEVALUE(DaqBook_RAW_Data!A145),""))</f>
        <v/>
      </c>
      <c r="C155" s="167"/>
      <c r="D155" s="167"/>
      <c r="E155" s="167"/>
      <c r="F155" s="167"/>
      <c r="G155" s="167"/>
      <c r="H155" s="167"/>
      <c r="I155" s="167"/>
      <c r="J155" s="167"/>
      <c r="K155" s="167"/>
      <c r="L155" s="167"/>
      <c r="M155" s="167"/>
      <c r="N155" s="167"/>
      <c r="O155" s="167"/>
      <c r="P155" s="167"/>
    </row>
    <row r="156" spans="1:16" x14ac:dyDescent="0.2">
      <c r="A156" s="58" t="str">
        <v/>
      </c>
      <c r="B156" s="144" t="str">
        <f>IFERROR(TIMEVALUE(DaqBook_RAW_Data!AG146),IFERROR(TIMEVALUE(DaqBook_RAW_Data!A146),""))</f>
        <v/>
      </c>
      <c r="C156" s="167"/>
      <c r="D156" s="167"/>
      <c r="E156" s="167"/>
      <c r="F156" s="167"/>
      <c r="G156" s="167"/>
      <c r="H156" s="167"/>
      <c r="I156" s="167"/>
      <c r="J156" s="167"/>
      <c r="K156" s="167"/>
      <c r="L156" s="167"/>
      <c r="M156" s="167"/>
      <c r="N156" s="167"/>
      <c r="O156" s="167"/>
      <c r="P156" s="167"/>
    </row>
    <row r="157" spans="1:16" x14ac:dyDescent="0.2">
      <c r="A157" s="58" t="str">
        <v/>
      </c>
      <c r="B157" s="144" t="str">
        <f>IFERROR(TIMEVALUE(DaqBook_RAW_Data!AG147),IFERROR(TIMEVALUE(DaqBook_RAW_Data!A147),""))</f>
        <v/>
      </c>
      <c r="C157" s="167"/>
      <c r="D157" s="167"/>
      <c r="E157" s="167"/>
      <c r="F157" s="167"/>
      <c r="G157" s="167"/>
      <c r="H157" s="167"/>
      <c r="I157" s="167"/>
      <c r="J157" s="167"/>
      <c r="K157" s="167"/>
      <c r="L157" s="167"/>
      <c r="M157" s="167"/>
      <c r="N157" s="167"/>
      <c r="O157" s="167"/>
      <c r="P157" s="167"/>
    </row>
    <row r="158" spans="1:16" x14ac:dyDescent="0.2">
      <c r="A158" s="58" t="str">
        <v/>
      </c>
      <c r="B158" s="144" t="str">
        <f>IFERROR(TIMEVALUE(DaqBook_RAW_Data!AG148),IFERROR(TIMEVALUE(DaqBook_RAW_Data!A148),""))</f>
        <v/>
      </c>
      <c r="C158" s="167"/>
      <c r="D158" s="167"/>
      <c r="E158" s="167"/>
      <c r="F158" s="167"/>
      <c r="G158" s="167"/>
      <c r="H158" s="167"/>
      <c r="I158" s="167"/>
      <c r="J158" s="167"/>
      <c r="K158" s="167"/>
      <c r="L158" s="167"/>
      <c r="M158" s="167"/>
      <c r="N158" s="167"/>
      <c r="O158" s="167"/>
      <c r="P158" s="167"/>
    </row>
    <row r="159" spans="1:16" x14ac:dyDescent="0.2">
      <c r="A159" s="58" t="str">
        <v/>
      </c>
      <c r="B159" s="144" t="str">
        <f>IFERROR(TIMEVALUE(DaqBook_RAW_Data!AG149),IFERROR(TIMEVALUE(DaqBook_RAW_Data!A149),""))</f>
        <v/>
      </c>
      <c r="C159" s="167"/>
      <c r="D159" s="167"/>
      <c r="E159" s="167"/>
      <c r="F159" s="167"/>
      <c r="G159" s="167"/>
      <c r="H159" s="167"/>
      <c r="I159" s="167"/>
      <c r="J159" s="167"/>
      <c r="K159" s="167"/>
      <c r="L159" s="167"/>
      <c r="M159" s="167"/>
      <c r="N159" s="167"/>
      <c r="O159" s="167"/>
      <c r="P159" s="167"/>
    </row>
    <row r="160" spans="1:16" x14ac:dyDescent="0.2">
      <c r="A160" s="58" t="str">
        <v/>
      </c>
      <c r="B160" s="144" t="str">
        <f>IFERROR(TIMEVALUE(DaqBook_RAW_Data!AG150),IFERROR(TIMEVALUE(DaqBook_RAW_Data!A150),""))</f>
        <v/>
      </c>
      <c r="C160" s="167"/>
      <c r="D160" s="167"/>
      <c r="E160" s="167"/>
      <c r="F160" s="167"/>
      <c r="G160" s="167"/>
      <c r="H160" s="167"/>
      <c r="I160" s="167"/>
      <c r="J160" s="167"/>
      <c r="K160" s="167"/>
      <c r="L160" s="167"/>
      <c r="M160" s="167"/>
      <c r="N160" s="167"/>
      <c r="O160" s="167"/>
      <c r="P160" s="167"/>
    </row>
    <row r="161" spans="1:16" x14ac:dyDescent="0.2">
      <c r="A161" s="58" t="str">
        <v/>
      </c>
      <c r="B161" s="144" t="str">
        <f>IFERROR(TIMEVALUE(DaqBook_RAW_Data!AG151),IFERROR(TIMEVALUE(DaqBook_RAW_Data!A151),""))</f>
        <v/>
      </c>
      <c r="C161" s="167"/>
      <c r="D161" s="167"/>
      <c r="E161" s="167"/>
      <c r="F161" s="167"/>
      <c r="G161" s="167"/>
      <c r="H161" s="167"/>
      <c r="I161" s="167"/>
      <c r="J161" s="167"/>
      <c r="K161" s="167"/>
      <c r="L161" s="167"/>
      <c r="M161" s="167"/>
      <c r="N161" s="167"/>
      <c r="O161" s="167"/>
      <c r="P161" s="167"/>
    </row>
    <row r="162" spans="1:16" x14ac:dyDescent="0.2">
      <c r="A162" s="58" t="str">
        <v/>
      </c>
      <c r="B162" s="144" t="str">
        <f>IFERROR(TIMEVALUE(DaqBook_RAW_Data!AG152),IFERROR(TIMEVALUE(DaqBook_RAW_Data!A152),""))</f>
        <v/>
      </c>
      <c r="C162" s="167"/>
      <c r="D162" s="167"/>
      <c r="E162" s="167"/>
      <c r="F162" s="167"/>
      <c r="G162" s="167"/>
      <c r="H162" s="167"/>
      <c r="I162" s="167"/>
      <c r="J162" s="167"/>
      <c r="K162" s="167"/>
      <c r="L162" s="167"/>
      <c r="M162" s="167"/>
      <c r="N162" s="167"/>
      <c r="O162" s="167"/>
      <c r="P162" s="167"/>
    </row>
    <row r="163" spans="1:16" x14ac:dyDescent="0.2">
      <c r="A163" s="58" t="str">
        <v/>
      </c>
      <c r="B163" s="144" t="str">
        <f>IFERROR(TIMEVALUE(DaqBook_RAW_Data!AG153),IFERROR(TIMEVALUE(DaqBook_RAW_Data!A153),""))</f>
        <v/>
      </c>
      <c r="C163" s="167"/>
      <c r="D163" s="167"/>
      <c r="E163" s="167"/>
      <c r="F163" s="167"/>
      <c r="G163" s="167"/>
      <c r="H163" s="167"/>
      <c r="I163" s="167"/>
      <c r="J163" s="167"/>
      <c r="K163" s="167"/>
      <c r="L163" s="167"/>
      <c r="M163" s="167"/>
      <c r="N163" s="167"/>
      <c r="O163" s="167"/>
      <c r="P163" s="167"/>
    </row>
    <row r="164" spans="1:16" x14ac:dyDescent="0.2">
      <c r="A164" s="58" t="str">
        <v/>
      </c>
      <c r="B164" s="144" t="str">
        <f>IFERROR(TIMEVALUE(DaqBook_RAW_Data!AG154),IFERROR(TIMEVALUE(DaqBook_RAW_Data!A154),""))</f>
        <v/>
      </c>
      <c r="C164" s="167"/>
      <c r="D164" s="167"/>
      <c r="E164" s="167"/>
      <c r="F164" s="167"/>
      <c r="G164" s="167"/>
      <c r="H164" s="167"/>
      <c r="I164" s="167"/>
      <c r="J164" s="167"/>
      <c r="K164" s="167"/>
      <c r="L164" s="167"/>
      <c r="M164" s="167"/>
      <c r="N164" s="167"/>
      <c r="O164" s="167"/>
      <c r="P164" s="167"/>
    </row>
    <row r="165" spans="1:16" x14ac:dyDescent="0.2">
      <c r="A165" s="58" t="str">
        <v/>
      </c>
      <c r="B165" s="144" t="str">
        <f>IFERROR(TIMEVALUE(DaqBook_RAW_Data!AG155),IFERROR(TIMEVALUE(DaqBook_RAW_Data!A155),""))</f>
        <v/>
      </c>
      <c r="C165" s="167"/>
      <c r="D165" s="167"/>
      <c r="E165" s="167"/>
      <c r="F165" s="167"/>
      <c r="G165" s="167"/>
      <c r="H165" s="167"/>
      <c r="I165" s="167"/>
      <c r="J165" s="167"/>
      <c r="K165" s="167"/>
      <c r="L165" s="167"/>
      <c r="M165" s="167"/>
      <c r="N165" s="167"/>
      <c r="O165" s="167"/>
      <c r="P165" s="167"/>
    </row>
    <row r="166" spans="1:16" x14ac:dyDescent="0.2">
      <c r="A166" s="58" t="str">
        <v/>
      </c>
      <c r="B166" s="144" t="str">
        <f>IFERROR(TIMEVALUE(DaqBook_RAW_Data!AG156),IFERROR(TIMEVALUE(DaqBook_RAW_Data!A156),""))</f>
        <v/>
      </c>
      <c r="C166" s="167"/>
      <c r="D166" s="167"/>
      <c r="E166" s="167"/>
      <c r="F166" s="167"/>
      <c r="G166" s="167"/>
      <c r="H166" s="167"/>
      <c r="I166" s="167"/>
      <c r="J166" s="167"/>
      <c r="K166" s="167"/>
      <c r="L166" s="167"/>
      <c r="M166" s="167"/>
      <c r="N166" s="167"/>
      <c r="O166" s="167"/>
      <c r="P166" s="167"/>
    </row>
    <row r="167" spans="1:16" x14ac:dyDescent="0.2">
      <c r="A167" s="58" t="str">
        <v/>
      </c>
      <c r="B167" s="144" t="str">
        <f>IFERROR(TIMEVALUE(DaqBook_RAW_Data!AG157),IFERROR(TIMEVALUE(DaqBook_RAW_Data!A157),""))</f>
        <v/>
      </c>
      <c r="C167" s="167"/>
      <c r="D167" s="167"/>
      <c r="E167" s="167"/>
      <c r="F167" s="167"/>
      <c r="G167" s="167"/>
      <c r="H167" s="167"/>
      <c r="I167" s="167"/>
      <c r="J167" s="167"/>
      <c r="K167" s="167"/>
      <c r="L167" s="167"/>
      <c r="M167" s="167"/>
      <c r="N167" s="167"/>
      <c r="O167" s="167"/>
      <c r="P167" s="167"/>
    </row>
    <row r="168" spans="1:16" x14ac:dyDescent="0.2">
      <c r="A168" s="58" t="str">
        <v/>
      </c>
      <c r="B168" s="144" t="str">
        <f>IFERROR(TIMEVALUE(DaqBook_RAW_Data!AG158),IFERROR(TIMEVALUE(DaqBook_RAW_Data!A158),""))</f>
        <v/>
      </c>
      <c r="C168" s="167"/>
      <c r="D168" s="167"/>
      <c r="E168" s="167"/>
      <c r="F168" s="167"/>
      <c r="G168" s="167"/>
      <c r="H168" s="167"/>
      <c r="I168" s="167"/>
      <c r="J168" s="167"/>
      <c r="K168" s="167"/>
      <c r="L168" s="167"/>
      <c r="M168" s="167"/>
      <c r="N168" s="167"/>
      <c r="O168" s="167"/>
      <c r="P168" s="167"/>
    </row>
    <row r="169" spans="1:16" x14ac:dyDescent="0.2">
      <c r="A169" s="58" t="str">
        <v/>
      </c>
      <c r="B169" s="144" t="str">
        <f>IFERROR(TIMEVALUE(DaqBook_RAW_Data!AG159),IFERROR(TIMEVALUE(DaqBook_RAW_Data!A159),""))</f>
        <v/>
      </c>
      <c r="C169" s="167"/>
      <c r="D169" s="167"/>
      <c r="E169" s="167"/>
      <c r="F169" s="167"/>
      <c r="G169" s="167"/>
      <c r="H169" s="167"/>
      <c r="I169" s="167"/>
      <c r="J169" s="167"/>
      <c r="K169" s="167"/>
      <c r="L169" s="167"/>
      <c r="M169" s="167"/>
      <c r="N169" s="167"/>
      <c r="O169" s="167"/>
      <c r="P169" s="167"/>
    </row>
    <row r="170" spans="1:16" x14ac:dyDescent="0.2">
      <c r="A170" s="58" t="str">
        <v/>
      </c>
      <c r="B170" s="144" t="str">
        <f>IFERROR(TIMEVALUE(DaqBook_RAW_Data!AG160),IFERROR(TIMEVALUE(DaqBook_RAW_Data!A160),""))</f>
        <v/>
      </c>
      <c r="C170" s="167"/>
      <c r="D170" s="167"/>
      <c r="E170" s="167"/>
      <c r="F170" s="167"/>
      <c r="G170" s="167"/>
      <c r="H170" s="167"/>
      <c r="I170" s="167"/>
      <c r="J170" s="167"/>
      <c r="K170" s="167"/>
      <c r="L170" s="167"/>
      <c r="M170" s="167"/>
      <c r="N170" s="167"/>
      <c r="O170" s="167"/>
      <c r="P170" s="167"/>
    </row>
    <row r="171" spans="1:16" x14ac:dyDescent="0.2">
      <c r="A171" s="58" t="str">
        <v/>
      </c>
      <c r="B171" s="144" t="str">
        <f>IFERROR(TIMEVALUE(DaqBook_RAW_Data!AG161),IFERROR(TIMEVALUE(DaqBook_RAW_Data!A161),""))</f>
        <v/>
      </c>
      <c r="C171" s="167"/>
      <c r="D171" s="167"/>
      <c r="E171" s="167"/>
      <c r="F171" s="167"/>
      <c r="G171" s="167"/>
      <c r="H171" s="167"/>
      <c r="I171" s="167"/>
      <c r="J171" s="167"/>
      <c r="K171" s="167"/>
      <c r="L171" s="167"/>
      <c r="M171" s="167"/>
      <c r="N171" s="167"/>
      <c r="O171" s="167"/>
      <c r="P171" s="167"/>
    </row>
    <row r="172" spans="1:16" x14ac:dyDescent="0.2">
      <c r="A172" s="58" t="str">
        <v/>
      </c>
      <c r="B172" s="144" t="str">
        <f>IFERROR(TIMEVALUE(DaqBook_RAW_Data!AG162),IFERROR(TIMEVALUE(DaqBook_RAW_Data!A162),""))</f>
        <v/>
      </c>
      <c r="C172" s="167"/>
      <c r="D172" s="167"/>
      <c r="E172" s="167"/>
      <c r="F172" s="167"/>
      <c r="G172" s="167"/>
      <c r="H172" s="167"/>
      <c r="I172" s="167"/>
      <c r="J172" s="167"/>
      <c r="K172" s="167"/>
      <c r="L172" s="167"/>
      <c r="M172" s="167"/>
      <c r="N172" s="167"/>
      <c r="O172" s="167"/>
      <c r="P172" s="167"/>
    </row>
    <row r="173" spans="1:16" x14ac:dyDescent="0.2">
      <c r="A173" s="58" t="str">
        <v/>
      </c>
      <c r="B173" s="144" t="str">
        <f>IFERROR(TIMEVALUE(DaqBook_RAW_Data!AG163),IFERROR(TIMEVALUE(DaqBook_RAW_Data!A163),""))</f>
        <v/>
      </c>
      <c r="C173" s="167"/>
      <c r="D173" s="167"/>
      <c r="E173" s="167"/>
      <c r="F173" s="167"/>
      <c r="G173" s="167"/>
      <c r="H173" s="167"/>
      <c r="I173" s="167"/>
      <c r="J173" s="167"/>
      <c r="K173" s="167"/>
      <c r="L173" s="167"/>
      <c r="M173" s="167"/>
      <c r="N173" s="167"/>
      <c r="O173" s="167"/>
      <c r="P173" s="167"/>
    </row>
    <row r="174" spans="1:16" x14ac:dyDescent="0.2">
      <c r="A174" s="58" t="str">
        <v/>
      </c>
      <c r="B174" s="144" t="str">
        <f>IFERROR(TIMEVALUE(DaqBook_RAW_Data!AG164),IFERROR(TIMEVALUE(DaqBook_RAW_Data!A164),""))</f>
        <v/>
      </c>
      <c r="C174" s="167"/>
      <c r="D174" s="167"/>
      <c r="E174" s="167"/>
      <c r="F174" s="167"/>
      <c r="G174" s="167"/>
      <c r="H174" s="167"/>
      <c r="I174" s="167"/>
      <c r="J174" s="167"/>
      <c r="K174" s="167"/>
      <c r="L174" s="167"/>
      <c r="M174" s="167"/>
      <c r="N174" s="167"/>
      <c r="O174" s="167"/>
      <c r="P174" s="167"/>
    </row>
    <row r="175" spans="1:16" x14ac:dyDescent="0.2">
      <c r="A175" s="58" t="str">
        <v/>
      </c>
      <c r="B175" s="144" t="str">
        <f>IFERROR(TIMEVALUE(DaqBook_RAW_Data!AG165),IFERROR(TIMEVALUE(DaqBook_RAW_Data!A165),""))</f>
        <v/>
      </c>
      <c r="C175" s="167"/>
      <c r="D175" s="167"/>
      <c r="E175" s="167"/>
      <c r="F175" s="167"/>
      <c r="G175" s="167"/>
      <c r="H175" s="167"/>
      <c r="I175" s="167"/>
      <c r="J175" s="167"/>
      <c r="K175" s="167"/>
      <c r="L175" s="167"/>
      <c r="M175" s="167"/>
      <c r="N175" s="167"/>
      <c r="O175" s="167"/>
      <c r="P175" s="167"/>
    </row>
    <row r="176" spans="1:16" x14ac:dyDescent="0.2">
      <c r="A176" s="58" t="str">
        <v/>
      </c>
      <c r="B176" s="144" t="str">
        <f>IFERROR(TIMEVALUE(DaqBook_RAW_Data!AG166),IFERROR(TIMEVALUE(DaqBook_RAW_Data!A166),""))</f>
        <v/>
      </c>
      <c r="C176" s="167"/>
      <c r="D176" s="167"/>
      <c r="E176" s="167"/>
      <c r="F176" s="167"/>
      <c r="G176" s="167"/>
      <c r="H176" s="167"/>
      <c r="I176" s="167"/>
      <c r="J176" s="167"/>
      <c r="K176" s="167"/>
      <c r="L176" s="167"/>
      <c r="M176" s="167"/>
      <c r="N176" s="167"/>
      <c r="O176" s="167"/>
      <c r="P176" s="167"/>
    </row>
    <row r="177" spans="1:16" x14ac:dyDescent="0.2">
      <c r="A177" s="58" t="str">
        <v/>
      </c>
      <c r="B177" s="144" t="str">
        <f>IFERROR(TIMEVALUE(DaqBook_RAW_Data!AG167),IFERROR(TIMEVALUE(DaqBook_RAW_Data!A167),""))</f>
        <v/>
      </c>
      <c r="C177" s="167"/>
      <c r="D177" s="167"/>
      <c r="E177" s="167"/>
      <c r="F177" s="167"/>
      <c r="G177" s="167"/>
      <c r="H177" s="167"/>
      <c r="I177" s="167"/>
      <c r="J177" s="167"/>
      <c r="K177" s="167"/>
      <c r="L177" s="167"/>
      <c r="M177" s="167"/>
      <c r="N177" s="167"/>
      <c r="O177" s="167"/>
      <c r="P177" s="167"/>
    </row>
    <row r="178" spans="1:16" x14ac:dyDescent="0.2">
      <c r="A178" s="58" t="str">
        <v/>
      </c>
      <c r="B178" s="144" t="str">
        <f>IFERROR(TIMEVALUE(DaqBook_RAW_Data!AG168),IFERROR(TIMEVALUE(DaqBook_RAW_Data!A168),""))</f>
        <v/>
      </c>
      <c r="C178" s="167"/>
      <c r="D178" s="167"/>
      <c r="E178" s="167"/>
      <c r="F178" s="167"/>
      <c r="G178" s="167"/>
      <c r="H178" s="167"/>
      <c r="I178" s="167"/>
      <c r="J178" s="167"/>
      <c r="K178" s="167"/>
      <c r="L178" s="167"/>
      <c r="M178" s="167"/>
      <c r="N178" s="167"/>
      <c r="O178" s="167"/>
      <c r="P178" s="167"/>
    </row>
    <row r="179" spans="1:16" x14ac:dyDescent="0.2">
      <c r="A179" s="58" t="str">
        <v/>
      </c>
      <c r="B179" s="144" t="str">
        <f>IFERROR(TIMEVALUE(DaqBook_RAW_Data!AG169),IFERROR(TIMEVALUE(DaqBook_RAW_Data!A169),""))</f>
        <v/>
      </c>
      <c r="C179" s="167"/>
      <c r="D179" s="167"/>
      <c r="E179" s="167"/>
      <c r="F179" s="167"/>
      <c r="G179" s="167"/>
      <c r="H179" s="167"/>
      <c r="I179" s="167"/>
      <c r="J179" s="167"/>
      <c r="K179" s="167"/>
      <c r="L179" s="167"/>
      <c r="M179" s="167"/>
      <c r="N179" s="167"/>
      <c r="O179" s="167"/>
      <c r="P179" s="167"/>
    </row>
    <row r="180" spans="1:16" x14ac:dyDescent="0.2">
      <c r="A180" s="58" t="str">
        <v/>
      </c>
      <c r="B180" s="144" t="str">
        <f>IFERROR(TIMEVALUE(DaqBook_RAW_Data!AG170),IFERROR(TIMEVALUE(DaqBook_RAW_Data!A170),""))</f>
        <v/>
      </c>
      <c r="C180" s="167"/>
      <c r="D180" s="167"/>
      <c r="E180" s="167"/>
      <c r="F180" s="167"/>
      <c r="G180" s="167"/>
      <c r="H180" s="167"/>
      <c r="I180" s="167"/>
      <c r="J180" s="167"/>
      <c r="K180" s="167"/>
      <c r="L180" s="167"/>
      <c r="M180" s="167"/>
      <c r="N180" s="167"/>
      <c r="O180" s="167"/>
      <c r="P180" s="167"/>
    </row>
    <row r="181" spans="1:16" x14ac:dyDescent="0.2">
      <c r="A181" s="58" t="str">
        <v/>
      </c>
      <c r="B181" s="144" t="str">
        <f>IFERROR(TIMEVALUE(DaqBook_RAW_Data!AG171),IFERROR(TIMEVALUE(DaqBook_RAW_Data!A171),""))</f>
        <v/>
      </c>
      <c r="C181" s="167"/>
      <c r="D181" s="167"/>
      <c r="E181" s="167"/>
      <c r="F181" s="167"/>
      <c r="G181" s="167"/>
      <c r="H181" s="167"/>
      <c r="I181" s="167"/>
      <c r="J181" s="167"/>
      <c r="K181" s="167"/>
      <c r="L181" s="167"/>
      <c r="M181" s="167"/>
      <c r="N181" s="167"/>
      <c r="O181" s="167"/>
      <c r="P181" s="167"/>
    </row>
    <row r="182" spans="1:16" x14ac:dyDescent="0.2">
      <c r="A182" s="58" t="str">
        <v/>
      </c>
      <c r="B182" s="144" t="str">
        <f>IFERROR(TIMEVALUE(DaqBook_RAW_Data!AG172),IFERROR(TIMEVALUE(DaqBook_RAW_Data!A172),""))</f>
        <v/>
      </c>
      <c r="C182" s="167"/>
      <c r="D182" s="167"/>
      <c r="E182" s="167"/>
      <c r="F182" s="167"/>
      <c r="G182" s="167"/>
      <c r="H182" s="167"/>
      <c r="I182" s="167"/>
      <c r="J182" s="167"/>
      <c r="K182" s="167"/>
      <c r="L182" s="167"/>
      <c r="M182" s="167"/>
      <c r="N182" s="167"/>
      <c r="O182" s="167"/>
      <c r="P182" s="167"/>
    </row>
    <row r="183" spans="1:16" x14ac:dyDescent="0.2">
      <c r="A183" s="58" t="str">
        <v/>
      </c>
      <c r="B183" s="144" t="str">
        <f>IFERROR(TIMEVALUE(DaqBook_RAW_Data!AG173),IFERROR(TIMEVALUE(DaqBook_RAW_Data!A173),""))</f>
        <v/>
      </c>
      <c r="C183" s="167"/>
      <c r="D183" s="167"/>
      <c r="E183" s="167"/>
      <c r="F183" s="167"/>
      <c r="G183" s="167"/>
      <c r="H183" s="167"/>
      <c r="I183" s="167"/>
      <c r="J183" s="167"/>
      <c r="K183" s="167"/>
      <c r="L183" s="167"/>
      <c r="M183" s="167"/>
      <c r="N183" s="167"/>
      <c r="O183" s="167"/>
      <c r="P183" s="167"/>
    </row>
    <row r="184" spans="1:16" x14ac:dyDescent="0.2">
      <c r="A184" s="58" t="str">
        <v/>
      </c>
      <c r="B184" s="144" t="str">
        <f>IFERROR(TIMEVALUE(DaqBook_RAW_Data!AG174),IFERROR(TIMEVALUE(DaqBook_RAW_Data!A174),""))</f>
        <v/>
      </c>
      <c r="C184" s="167"/>
      <c r="D184" s="167"/>
      <c r="E184" s="167"/>
      <c r="F184" s="167"/>
      <c r="G184" s="167"/>
      <c r="H184" s="167"/>
      <c r="I184" s="167"/>
      <c r="J184" s="167"/>
      <c r="K184" s="167"/>
      <c r="L184" s="167"/>
      <c r="M184" s="167"/>
      <c r="N184" s="167"/>
      <c r="O184" s="167"/>
      <c r="P184" s="167"/>
    </row>
    <row r="185" spans="1:16" x14ac:dyDescent="0.2">
      <c r="A185" s="58" t="str">
        <v/>
      </c>
      <c r="B185" s="144" t="str">
        <f>IFERROR(TIMEVALUE(DaqBook_RAW_Data!AG175),IFERROR(TIMEVALUE(DaqBook_RAW_Data!A175),""))</f>
        <v/>
      </c>
      <c r="C185" s="167"/>
      <c r="D185" s="167"/>
      <c r="E185" s="167"/>
      <c r="F185" s="167"/>
      <c r="G185" s="167"/>
      <c r="H185" s="167"/>
      <c r="I185" s="167"/>
      <c r="J185" s="167"/>
      <c r="K185" s="167"/>
      <c r="L185" s="167"/>
      <c r="M185" s="167"/>
      <c r="N185" s="167"/>
      <c r="O185" s="167"/>
      <c r="P185" s="167"/>
    </row>
    <row r="186" spans="1:16" x14ac:dyDescent="0.2">
      <c r="A186" s="58" t="str">
        <v/>
      </c>
      <c r="B186" s="144" t="str">
        <f>IFERROR(TIMEVALUE(DaqBook_RAW_Data!AG176),IFERROR(TIMEVALUE(DaqBook_RAW_Data!A176),""))</f>
        <v/>
      </c>
      <c r="C186" s="167"/>
      <c r="D186" s="167"/>
      <c r="E186" s="167"/>
      <c r="F186" s="167"/>
      <c r="G186" s="167"/>
      <c r="H186" s="167"/>
      <c r="I186" s="167"/>
      <c r="J186" s="167"/>
      <c r="K186" s="167"/>
      <c r="L186" s="167"/>
      <c r="M186" s="167"/>
      <c r="N186" s="167"/>
      <c r="O186" s="167"/>
      <c r="P186" s="167"/>
    </row>
    <row r="187" spans="1:16" x14ac:dyDescent="0.2">
      <c r="A187" s="58" t="str">
        <v/>
      </c>
      <c r="B187" s="144" t="str">
        <f>IFERROR(TIMEVALUE(DaqBook_RAW_Data!AG177),IFERROR(TIMEVALUE(DaqBook_RAW_Data!A177),""))</f>
        <v/>
      </c>
      <c r="C187" s="167"/>
      <c r="D187" s="167"/>
      <c r="E187" s="167"/>
      <c r="F187" s="167"/>
      <c r="G187" s="167"/>
      <c r="H187" s="167"/>
      <c r="I187" s="167"/>
      <c r="J187" s="167"/>
      <c r="K187" s="167"/>
      <c r="L187" s="167"/>
      <c r="M187" s="167"/>
      <c r="N187" s="167"/>
      <c r="O187" s="167"/>
      <c r="P187" s="167"/>
    </row>
    <row r="188" spans="1:16" x14ac:dyDescent="0.2">
      <c r="A188" s="58" t="str">
        <v/>
      </c>
      <c r="B188" s="144" t="str">
        <f>IFERROR(TIMEVALUE(DaqBook_RAW_Data!AG178),IFERROR(TIMEVALUE(DaqBook_RAW_Data!A178),""))</f>
        <v/>
      </c>
      <c r="C188" s="167"/>
      <c r="D188" s="167"/>
      <c r="E188" s="167"/>
      <c r="F188" s="167"/>
      <c r="G188" s="167"/>
      <c r="H188" s="167"/>
      <c r="I188" s="167"/>
      <c r="J188" s="167"/>
      <c r="K188" s="167"/>
      <c r="L188" s="167"/>
      <c r="M188" s="167"/>
      <c r="N188" s="167"/>
      <c r="O188" s="167"/>
      <c r="P188" s="167"/>
    </row>
    <row r="189" spans="1:16" x14ac:dyDescent="0.2">
      <c r="A189" s="58" t="str">
        <v/>
      </c>
      <c r="B189" s="144" t="str">
        <f>IFERROR(TIMEVALUE(DaqBook_RAW_Data!AG179),IFERROR(TIMEVALUE(DaqBook_RAW_Data!A179),""))</f>
        <v/>
      </c>
      <c r="C189" s="167"/>
      <c r="D189" s="167"/>
      <c r="E189" s="167"/>
      <c r="F189" s="167"/>
      <c r="G189" s="167"/>
      <c r="H189" s="167"/>
      <c r="I189" s="167"/>
      <c r="J189" s="167"/>
      <c r="K189" s="167"/>
      <c r="L189" s="167"/>
      <c r="M189" s="167"/>
      <c r="N189" s="167"/>
      <c r="O189" s="167"/>
      <c r="P189" s="167"/>
    </row>
    <row r="190" spans="1:16" x14ac:dyDescent="0.2">
      <c r="A190" s="58" t="str">
        <v/>
      </c>
      <c r="B190" s="144" t="str">
        <f>IFERROR(TIMEVALUE(DaqBook_RAW_Data!AG180),IFERROR(TIMEVALUE(DaqBook_RAW_Data!A180),""))</f>
        <v/>
      </c>
      <c r="C190" s="167"/>
      <c r="D190" s="167"/>
      <c r="E190" s="167"/>
      <c r="F190" s="167"/>
      <c r="G190" s="167"/>
      <c r="H190" s="167"/>
      <c r="I190" s="167"/>
      <c r="J190" s="167"/>
      <c r="K190" s="167"/>
      <c r="L190" s="167"/>
      <c r="M190" s="167"/>
      <c r="N190" s="167"/>
      <c r="O190" s="167"/>
      <c r="P190" s="167"/>
    </row>
    <row r="191" spans="1:16" x14ac:dyDescent="0.2">
      <c r="A191" s="58" t="str">
        <v/>
      </c>
      <c r="B191" s="144" t="str">
        <f>IFERROR(TIMEVALUE(DaqBook_RAW_Data!AG181),IFERROR(TIMEVALUE(DaqBook_RAW_Data!A181),""))</f>
        <v/>
      </c>
      <c r="C191" s="167"/>
      <c r="D191" s="167"/>
      <c r="E191" s="167"/>
      <c r="F191" s="167"/>
      <c r="G191" s="167"/>
      <c r="H191" s="167"/>
      <c r="I191" s="167"/>
      <c r="J191" s="167"/>
      <c r="K191" s="167"/>
      <c r="L191" s="167"/>
      <c r="M191" s="167"/>
      <c r="N191" s="167"/>
      <c r="O191" s="167"/>
      <c r="P191" s="167"/>
    </row>
    <row r="192" spans="1:16" x14ac:dyDescent="0.2">
      <c r="A192" s="58" t="str">
        <v/>
      </c>
      <c r="B192" s="144" t="str">
        <f>IFERROR(TIMEVALUE(DaqBook_RAW_Data!AG182),IFERROR(TIMEVALUE(DaqBook_RAW_Data!A182),""))</f>
        <v/>
      </c>
      <c r="C192" s="167"/>
      <c r="D192" s="167"/>
      <c r="E192" s="167"/>
      <c r="F192" s="167"/>
      <c r="G192" s="167"/>
      <c r="H192" s="167"/>
      <c r="I192" s="167"/>
      <c r="J192" s="167"/>
      <c r="K192" s="167"/>
      <c r="L192" s="167"/>
      <c r="M192" s="167"/>
      <c r="N192" s="167"/>
      <c r="O192" s="167"/>
      <c r="P192" s="167"/>
    </row>
    <row r="193" spans="1:16" x14ac:dyDescent="0.2">
      <c r="A193" s="58" t="str">
        <v/>
      </c>
      <c r="B193" s="144" t="str">
        <f>IFERROR(TIMEVALUE(DaqBook_RAW_Data!AG183),IFERROR(TIMEVALUE(DaqBook_RAW_Data!A183),""))</f>
        <v/>
      </c>
      <c r="C193" s="167"/>
      <c r="D193" s="167"/>
      <c r="E193" s="167"/>
      <c r="F193" s="167"/>
      <c r="G193" s="167"/>
      <c r="H193" s="167"/>
      <c r="I193" s="167"/>
      <c r="J193" s="167"/>
      <c r="K193" s="167"/>
      <c r="L193" s="167"/>
      <c r="M193" s="167"/>
      <c r="N193" s="167"/>
      <c r="O193" s="167"/>
      <c r="P193" s="167"/>
    </row>
    <row r="194" spans="1:16" x14ac:dyDescent="0.2">
      <c r="A194" s="58" t="str">
        <v/>
      </c>
      <c r="B194" s="144" t="str">
        <f>IFERROR(TIMEVALUE(DaqBook_RAW_Data!AG184),IFERROR(TIMEVALUE(DaqBook_RAW_Data!A184),""))</f>
        <v/>
      </c>
      <c r="C194" s="167"/>
      <c r="D194" s="167"/>
      <c r="E194" s="167"/>
      <c r="F194" s="167"/>
      <c r="G194" s="167"/>
      <c r="H194" s="167"/>
      <c r="I194" s="167"/>
      <c r="J194" s="167"/>
      <c r="K194" s="167"/>
      <c r="L194" s="167"/>
      <c r="M194" s="167"/>
      <c r="N194" s="167"/>
      <c r="O194" s="167"/>
      <c r="P194" s="167"/>
    </row>
    <row r="195" spans="1:16" x14ac:dyDescent="0.2">
      <c r="A195" s="58" t="str">
        <v/>
      </c>
      <c r="B195" s="144" t="str">
        <f>IFERROR(TIMEVALUE(DaqBook_RAW_Data!AG185),IFERROR(TIMEVALUE(DaqBook_RAW_Data!A185),""))</f>
        <v/>
      </c>
      <c r="C195" s="167"/>
      <c r="D195" s="167"/>
      <c r="E195" s="167"/>
      <c r="F195" s="167"/>
      <c r="G195" s="167"/>
      <c r="H195" s="167"/>
      <c r="I195" s="167"/>
      <c r="J195" s="167"/>
      <c r="K195" s="167"/>
      <c r="L195" s="167"/>
      <c r="M195" s="167"/>
      <c r="N195" s="167"/>
      <c r="O195" s="167"/>
      <c r="P195" s="167"/>
    </row>
    <row r="196" spans="1:16" x14ac:dyDescent="0.2">
      <c r="A196" s="58" t="str">
        <v/>
      </c>
      <c r="B196" s="144" t="str">
        <f>IFERROR(TIMEVALUE(DaqBook_RAW_Data!AG186),IFERROR(TIMEVALUE(DaqBook_RAW_Data!A186),""))</f>
        <v/>
      </c>
      <c r="C196" s="167"/>
      <c r="D196" s="167"/>
      <c r="E196" s="167"/>
      <c r="F196" s="167"/>
      <c r="G196" s="167"/>
      <c r="H196" s="167"/>
      <c r="I196" s="167"/>
      <c r="J196" s="167"/>
      <c r="K196" s="167"/>
      <c r="L196" s="167"/>
      <c r="M196" s="167"/>
      <c r="N196" s="167"/>
      <c r="O196" s="167"/>
      <c r="P196" s="167"/>
    </row>
    <row r="197" spans="1:16" x14ac:dyDescent="0.2">
      <c r="A197" s="58" t="str">
        <v/>
      </c>
      <c r="B197" s="144" t="str">
        <f>IFERROR(TIMEVALUE(DaqBook_RAW_Data!AG187),IFERROR(TIMEVALUE(DaqBook_RAW_Data!A187),""))</f>
        <v/>
      </c>
      <c r="C197" s="167"/>
      <c r="D197" s="167"/>
      <c r="E197" s="167"/>
      <c r="F197" s="167"/>
      <c r="G197" s="167"/>
      <c r="H197" s="167"/>
      <c r="I197" s="167"/>
      <c r="J197" s="167"/>
      <c r="K197" s="167"/>
      <c r="L197" s="167"/>
      <c r="M197" s="167"/>
      <c r="N197" s="167"/>
      <c r="O197" s="167"/>
      <c r="P197" s="167"/>
    </row>
    <row r="198" spans="1:16" x14ac:dyDescent="0.2">
      <c r="A198" s="58" t="str">
        <v/>
      </c>
      <c r="B198" s="144" t="str">
        <f>IFERROR(TIMEVALUE(DaqBook_RAW_Data!AG188),IFERROR(TIMEVALUE(DaqBook_RAW_Data!A188),""))</f>
        <v/>
      </c>
      <c r="C198" s="167"/>
      <c r="D198" s="167"/>
      <c r="E198" s="167"/>
      <c r="F198" s="167"/>
      <c r="G198" s="167"/>
      <c r="H198" s="167"/>
      <c r="I198" s="167"/>
      <c r="J198" s="167"/>
      <c r="K198" s="167"/>
      <c r="L198" s="167"/>
      <c r="M198" s="167"/>
      <c r="N198" s="167"/>
      <c r="O198" s="167"/>
      <c r="P198" s="167"/>
    </row>
    <row r="199" spans="1:16" x14ac:dyDescent="0.2">
      <c r="A199" s="58" t="str">
        <v/>
      </c>
      <c r="B199" s="144" t="str">
        <f>IFERROR(TIMEVALUE(DaqBook_RAW_Data!AG189),IFERROR(TIMEVALUE(DaqBook_RAW_Data!A189),""))</f>
        <v/>
      </c>
      <c r="C199" s="167"/>
      <c r="D199" s="167"/>
      <c r="E199" s="167"/>
      <c r="F199" s="167"/>
      <c r="G199" s="167"/>
      <c r="H199" s="167"/>
      <c r="I199" s="167"/>
      <c r="J199" s="167"/>
      <c r="K199" s="167"/>
      <c r="L199" s="167"/>
      <c r="M199" s="167"/>
      <c r="N199" s="167"/>
      <c r="O199" s="167"/>
      <c r="P199" s="167"/>
    </row>
    <row r="200" spans="1:16" x14ac:dyDescent="0.2">
      <c r="A200" s="58" t="str">
        <v/>
      </c>
      <c r="B200" s="144" t="str">
        <f>IFERROR(TIMEVALUE(DaqBook_RAW_Data!AG190),IFERROR(TIMEVALUE(DaqBook_RAW_Data!A190),""))</f>
        <v/>
      </c>
      <c r="C200" s="167"/>
      <c r="D200" s="167"/>
      <c r="E200" s="167"/>
      <c r="F200" s="167"/>
      <c r="G200" s="167"/>
      <c r="H200" s="167"/>
      <c r="I200" s="167"/>
      <c r="J200" s="167"/>
      <c r="K200" s="167"/>
      <c r="L200" s="167"/>
      <c r="M200" s="167"/>
      <c r="N200" s="167"/>
      <c r="O200" s="167"/>
      <c r="P200" s="167"/>
    </row>
    <row r="201" spans="1:16" x14ac:dyDescent="0.2">
      <c r="A201" s="58" t="str">
        <v/>
      </c>
      <c r="B201" s="144" t="str">
        <f>IFERROR(TIMEVALUE(DaqBook_RAW_Data!AG191),IFERROR(TIMEVALUE(DaqBook_RAW_Data!A191),""))</f>
        <v/>
      </c>
      <c r="C201" s="167"/>
      <c r="D201" s="167"/>
      <c r="E201" s="167"/>
      <c r="F201" s="167"/>
      <c r="G201" s="167"/>
      <c r="H201" s="167"/>
      <c r="I201" s="167"/>
      <c r="J201" s="167"/>
      <c r="K201" s="167"/>
      <c r="L201" s="167"/>
      <c r="M201" s="167"/>
      <c r="N201" s="167"/>
      <c r="O201" s="167"/>
      <c r="P201" s="167"/>
    </row>
    <row r="202" spans="1:16" x14ac:dyDescent="0.2">
      <c r="A202" s="58" t="str">
        <v/>
      </c>
      <c r="B202" s="144" t="str">
        <f>IFERROR(TIMEVALUE(DaqBook_RAW_Data!AG192),IFERROR(TIMEVALUE(DaqBook_RAW_Data!A192),""))</f>
        <v/>
      </c>
      <c r="C202" s="167"/>
      <c r="D202" s="167"/>
      <c r="E202" s="167"/>
      <c r="F202" s="167"/>
      <c r="G202" s="167"/>
      <c r="H202" s="167"/>
      <c r="I202" s="167"/>
      <c r="J202" s="167"/>
      <c r="K202" s="167"/>
      <c r="L202" s="167"/>
      <c r="M202" s="167"/>
      <c r="N202" s="167"/>
      <c r="O202" s="167"/>
      <c r="P202" s="167"/>
    </row>
    <row r="203" spans="1:16" x14ac:dyDescent="0.2">
      <c r="A203" s="58" t="str">
        <v/>
      </c>
      <c r="B203" s="144" t="str">
        <f>IFERROR(TIMEVALUE(DaqBook_RAW_Data!AG193),IFERROR(TIMEVALUE(DaqBook_RAW_Data!A193),""))</f>
        <v/>
      </c>
      <c r="C203" s="167"/>
      <c r="D203" s="167"/>
      <c r="E203" s="167"/>
      <c r="F203" s="167"/>
      <c r="G203" s="167"/>
      <c r="H203" s="167"/>
      <c r="I203" s="167"/>
      <c r="J203" s="167"/>
      <c r="K203" s="167"/>
      <c r="L203" s="167"/>
      <c r="M203" s="167"/>
      <c r="N203" s="167"/>
      <c r="O203" s="167"/>
      <c r="P203" s="167"/>
    </row>
    <row r="204" spans="1:16" x14ac:dyDescent="0.2">
      <c r="A204" s="58" t="str">
        <v/>
      </c>
      <c r="B204" s="144" t="str">
        <f>IFERROR(TIMEVALUE(DaqBook_RAW_Data!AG194),IFERROR(TIMEVALUE(DaqBook_RAW_Data!A194),""))</f>
        <v/>
      </c>
      <c r="C204" s="167"/>
      <c r="D204" s="167"/>
      <c r="E204" s="167"/>
      <c r="F204" s="167"/>
      <c r="G204" s="167"/>
      <c r="H204" s="167"/>
      <c r="I204" s="167"/>
      <c r="J204" s="167"/>
      <c r="K204" s="167"/>
      <c r="L204" s="167"/>
      <c r="M204" s="167"/>
      <c r="N204" s="167"/>
      <c r="O204" s="167"/>
      <c r="P204" s="167"/>
    </row>
    <row r="205" spans="1:16" x14ac:dyDescent="0.2">
      <c r="A205" s="58" t="str">
        <v/>
      </c>
      <c r="B205" s="144" t="str">
        <f>IFERROR(TIMEVALUE(DaqBook_RAW_Data!AG195),IFERROR(TIMEVALUE(DaqBook_RAW_Data!A195),""))</f>
        <v/>
      </c>
      <c r="C205" s="167"/>
      <c r="D205" s="167"/>
      <c r="E205" s="167"/>
      <c r="F205" s="167"/>
      <c r="G205" s="167"/>
      <c r="H205" s="167"/>
      <c r="I205" s="167"/>
      <c r="J205" s="167"/>
      <c r="K205" s="167"/>
      <c r="L205" s="167"/>
      <c r="M205" s="167"/>
      <c r="N205" s="167"/>
      <c r="O205" s="167"/>
      <c r="P205" s="167"/>
    </row>
    <row r="206" spans="1:16" x14ac:dyDescent="0.2">
      <c r="A206" s="58" t="str">
        <v/>
      </c>
      <c r="B206" s="144" t="str">
        <f>IFERROR(TIMEVALUE(DaqBook_RAW_Data!AG196),IFERROR(TIMEVALUE(DaqBook_RAW_Data!A196),""))</f>
        <v/>
      </c>
      <c r="C206" s="167"/>
      <c r="D206" s="167"/>
      <c r="E206" s="167"/>
      <c r="F206" s="167"/>
      <c r="G206" s="167"/>
      <c r="H206" s="167"/>
      <c r="I206" s="167"/>
      <c r="J206" s="167"/>
      <c r="K206" s="167"/>
      <c r="L206" s="167"/>
      <c r="M206" s="167"/>
      <c r="N206" s="167"/>
      <c r="O206" s="167"/>
      <c r="P206" s="167"/>
    </row>
    <row r="207" spans="1:16" x14ac:dyDescent="0.2">
      <c r="A207" s="58" t="str">
        <v/>
      </c>
      <c r="B207" s="144" t="str">
        <f>IFERROR(TIMEVALUE(DaqBook_RAW_Data!AG197),IFERROR(TIMEVALUE(DaqBook_RAW_Data!A197),""))</f>
        <v/>
      </c>
      <c r="C207" s="167"/>
      <c r="D207" s="167"/>
      <c r="E207" s="167"/>
      <c r="F207" s="167"/>
      <c r="G207" s="167"/>
      <c r="H207" s="167"/>
      <c r="I207" s="167"/>
      <c r="J207" s="167"/>
      <c r="K207" s="167"/>
      <c r="L207" s="167"/>
      <c r="M207" s="167"/>
      <c r="N207" s="167"/>
      <c r="O207" s="167"/>
      <c r="P207" s="167"/>
    </row>
    <row r="208" spans="1:16" x14ac:dyDescent="0.2">
      <c r="A208" s="58" t="str">
        <v/>
      </c>
      <c r="B208" s="144" t="str">
        <f>IFERROR(TIMEVALUE(DaqBook_RAW_Data!AG198),IFERROR(TIMEVALUE(DaqBook_RAW_Data!A198),""))</f>
        <v/>
      </c>
      <c r="C208" s="167"/>
      <c r="D208" s="167"/>
      <c r="E208" s="167"/>
      <c r="F208" s="167"/>
      <c r="G208" s="167"/>
      <c r="H208" s="167"/>
      <c r="I208" s="167"/>
      <c r="J208" s="167"/>
      <c r="K208" s="167"/>
      <c r="L208" s="167"/>
      <c r="M208" s="167"/>
      <c r="N208" s="167"/>
      <c r="O208" s="167"/>
      <c r="P208" s="167"/>
    </row>
    <row r="209" spans="1:16" x14ac:dyDescent="0.2">
      <c r="A209" s="58" t="str">
        <v/>
      </c>
      <c r="B209" s="144" t="str">
        <f>IFERROR(TIMEVALUE(DaqBook_RAW_Data!AG199),IFERROR(TIMEVALUE(DaqBook_RAW_Data!A199),""))</f>
        <v/>
      </c>
      <c r="C209" s="167"/>
      <c r="D209" s="167"/>
      <c r="E209" s="167"/>
      <c r="F209" s="167"/>
      <c r="G209" s="167"/>
      <c r="H209" s="167"/>
      <c r="I209" s="167"/>
      <c r="J209" s="167"/>
      <c r="K209" s="167"/>
      <c r="L209" s="167"/>
      <c r="M209" s="167"/>
      <c r="N209" s="167"/>
      <c r="O209" s="167"/>
      <c r="P209" s="167"/>
    </row>
    <row r="210" spans="1:16" x14ac:dyDescent="0.2">
      <c r="A210" s="58" t="str">
        <v/>
      </c>
      <c r="B210" s="144" t="str">
        <f>IFERROR(TIMEVALUE(DaqBook_RAW_Data!AG200),IFERROR(TIMEVALUE(DaqBook_RAW_Data!A200),""))</f>
        <v/>
      </c>
      <c r="C210" s="167"/>
      <c r="D210" s="167"/>
      <c r="E210" s="167"/>
      <c r="F210" s="167"/>
      <c r="G210" s="167"/>
      <c r="H210" s="167"/>
      <c r="I210" s="167"/>
      <c r="J210" s="167"/>
      <c r="K210" s="167"/>
      <c r="L210" s="167"/>
      <c r="M210" s="167"/>
      <c r="N210" s="167"/>
      <c r="O210" s="167"/>
      <c r="P210" s="167"/>
    </row>
    <row r="211" spans="1:16" x14ac:dyDescent="0.2">
      <c r="A211" s="58" t="str">
        <v/>
      </c>
      <c r="B211" s="144" t="str">
        <f>IFERROR(TIMEVALUE(DaqBook_RAW_Data!AG201),IFERROR(TIMEVALUE(DaqBook_RAW_Data!A201),""))</f>
        <v/>
      </c>
      <c r="C211" s="167"/>
      <c r="D211" s="167"/>
      <c r="E211" s="167"/>
      <c r="F211" s="167"/>
      <c r="G211" s="167"/>
      <c r="H211" s="167"/>
      <c r="I211" s="167"/>
      <c r="J211" s="167"/>
      <c r="K211" s="167"/>
      <c r="L211" s="167"/>
      <c r="M211" s="167"/>
      <c r="N211" s="167"/>
      <c r="O211" s="167"/>
      <c r="P211" s="167"/>
    </row>
    <row r="212" spans="1:16" x14ac:dyDescent="0.2">
      <c r="A212" s="58" t="str">
        <v/>
      </c>
      <c r="B212" s="144" t="str">
        <f>IFERROR(TIMEVALUE(DaqBook_RAW_Data!AG202),IFERROR(TIMEVALUE(DaqBook_RAW_Data!A202),""))</f>
        <v/>
      </c>
      <c r="C212" s="167"/>
      <c r="D212" s="167"/>
      <c r="E212" s="167"/>
      <c r="F212" s="167"/>
      <c r="G212" s="167"/>
      <c r="H212" s="167"/>
      <c r="I212" s="167"/>
      <c r="J212" s="167"/>
      <c r="K212" s="167"/>
      <c r="L212" s="167"/>
      <c r="M212" s="167"/>
      <c r="N212" s="167"/>
      <c r="O212" s="167"/>
      <c r="P212" s="167"/>
    </row>
    <row r="213" spans="1:16" x14ac:dyDescent="0.2">
      <c r="A213" s="58" t="str">
        <v/>
      </c>
      <c r="B213" s="144" t="str">
        <f>IFERROR(TIMEVALUE(DaqBook_RAW_Data!AG203),IFERROR(TIMEVALUE(DaqBook_RAW_Data!A203),""))</f>
        <v/>
      </c>
      <c r="C213" s="167"/>
      <c r="D213" s="167"/>
      <c r="E213" s="167"/>
      <c r="F213" s="167"/>
      <c r="G213" s="167"/>
      <c r="H213" s="167"/>
      <c r="I213" s="167"/>
      <c r="J213" s="167"/>
      <c r="K213" s="167"/>
      <c r="L213" s="167"/>
      <c r="M213" s="167"/>
      <c r="N213" s="167"/>
      <c r="O213" s="167"/>
      <c r="P213" s="167"/>
    </row>
    <row r="214" spans="1:16" x14ac:dyDescent="0.2">
      <c r="A214" s="58" t="str">
        <v/>
      </c>
      <c r="B214" s="144" t="str">
        <f>IFERROR(TIMEVALUE(DaqBook_RAW_Data!AG204),IFERROR(TIMEVALUE(DaqBook_RAW_Data!A204),""))</f>
        <v/>
      </c>
      <c r="C214" s="167"/>
      <c r="D214" s="167"/>
      <c r="E214" s="167"/>
      <c r="F214" s="167"/>
      <c r="G214" s="167"/>
      <c r="H214" s="167"/>
      <c r="I214" s="167"/>
      <c r="J214" s="167"/>
      <c r="K214" s="167"/>
      <c r="L214" s="167"/>
      <c r="M214" s="167"/>
      <c r="N214" s="167"/>
      <c r="O214" s="167"/>
      <c r="P214" s="167"/>
    </row>
    <row r="215" spans="1:16" x14ac:dyDescent="0.2">
      <c r="A215" s="58" t="str">
        <v/>
      </c>
      <c r="B215" s="144" t="str">
        <f>IFERROR(TIMEVALUE(DaqBook_RAW_Data!AG205),IFERROR(TIMEVALUE(DaqBook_RAW_Data!A205),""))</f>
        <v/>
      </c>
      <c r="C215" s="167"/>
      <c r="D215" s="167"/>
      <c r="E215" s="167"/>
      <c r="F215" s="167"/>
      <c r="G215" s="167"/>
      <c r="H215" s="167"/>
      <c r="I215" s="167"/>
      <c r="J215" s="167"/>
      <c r="K215" s="167"/>
      <c r="L215" s="167"/>
      <c r="M215" s="167"/>
      <c r="N215" s="167"/>
      <c r="O215" s="167"/>
      <c r="P215" s="167"/>
    </row>
    <row r="216" spans="1:16" x14ac:dyDescent="0.2">
      <c r="A216" s="58" t="str">
        <v/>
      </c>
      <c r="B216" s="144" t="str">
        <f>IFERROR(TIMEVALUE(DaqBook_RAW_Data!AG206),IFERROR(TIMEVALUE(DaqBook_RAW_Data!A206),""))</f>
        <v/>
      </c>
      <c r="C216" s="167"/>
      <c r="D216" s="167"/>
      <c r="E216" s="167"/>
      <c r="F216" s="167"/>
      <c r="G216" s="167"/>
      <c r="H216" s="167"/>
      <c r="I216" s="167"/>
      <c r="J216" s="167"/>
      <c r="K216" s="167"/>
      <c r="L216" s="167"/>
      <c r="M216" s="167"/>
      <c r="N216" s="167"/>
      <c r="O216" s="167"/>
      <c r="P216" s="167"/>
    </row>
    <row r="217" spans="1:16" x14ac:dyDescent="0.2">
      <c r="A217" s="58" t="str">
        <v/>
      </c>
      <c r="B217" s="144" t="str">
        <f>IFERROR(TIMEVALUE(DaqBook_RAW_Data!AG207),IFERROR(TIMEVALUE(DaqBook_RAW_Data!A207),""))</f>
        <v/>
      </c>
      <c r="C217" s="167"/>
      <c r="D217" s="167"/>
      <c r="E217" s="167"/>
      <c r="F217" s="167"/>
      <c r="G217" s="167"/>
      <c r="H217" s="167"/>
      <c r="I217" s="167"/>
      <c r="J217" s="167"/>
      <c r="K217" s="167"/>
      <c r="L217" s="167"/>
      <c r="M217" s="167"/>
      <c r="N217" s="167"/>
      <c r="O217" s="167"/>
      <c r="P217" s="167"/>
    </row>
    <row r="218" spans="1:16" x14ac:dyDescent="0.2">
      <c r="A218" s="58" t="str">
        <v/>
      </c>
      <c r="B218" s="144" t="str">
        <f>IFERROR(TIMEVALUE(DaqBook_RAW_Data!AG208),IFERROR(TIMEVALUE(DaqBook_RAW_Data!A208),""))</f>
        <v/>
      </c>
      <c r="C218" s="167"/>
      <c r="D218" s="167"/>
      <c r="E218" s="167"/>
      <c r="F218" s="167"/>
      <c r="G218" s="167"/>
      <c r="H218" s="167"/>
      <c r="I218" s="167"/>
      <c r="J218" s="167"/>
      <c r="K218" s="167"/>
      <c r="L218" s="167"/>
      <c r="M218" s="167"/>
      <c r="N218" s="167"/>
      <c r="O218" s="167"/>
      <c r="P218" s="167"/>
    </row>
    <row r="219" spans="1:16" x14ac:dyDescent="0.2">
      <c r="A219" s="58" t="str">
        <v/>
      </c>
      <c r="B219" s="144" t="str">
        <f>IFERROR(TIMEVALUE(DaqBook_RAW_Data!AG209),IFERROR(TIMEVALUE(DaqBook_RAW_Data!A209),""))</f>
        <v/>
      </c>
      <c r="C219" s="167"/>
      <c r="D219" s="167"/>
      <c r="E219" s="167"/>
      <c r="F219" s="167"/>
      <c r="G219" s="167"/>
      <c r="H219" s="167"/>
      <c r="I219" s="167"/>
      <c r="J219" s="167"/>
      <c r="K219" s="167"/>
      <c r="L219" s="167"/>
      <c r="M219" s="167"/>
      <c r="N219" s="167"/>
      <c r="O219" s="167"/>
      <c r="P219" s="167"/>
    </row>
    <row r="220" spans="1:16" x14ac:dyDescent="0.2">
      <c r="A220" s="58" t="str">
        <v/>
      </c>
      <c r="B220" s="144" t="str">
        <f>IFERROR(TIMEVALUE(DaqBook_RAW_Data!AG210),IFERROR(TIMEVALUE(DaqBook_RAW_Data!A210),""))</f>
        <v/>
      </c>
      <c r="C220" s="167"/>
      <c r="D220" s="167"/>
      <c r="E220" s="167"/>
      <c r="F220" s="167"/>
      <c r="G220" s="167"/>
      <c r="H220" s="167"/>
      <c r="I220" s="167"/>
      <c r="J220" s="167"/>
      <c r="K220" s="167"/>
      <c r="L220" s="167"/>
      <c r="M220" s="167"/>
      <c r="N220" s="167"/>
      <c r="O220" s="167"/>
      <c r="P220" s="167"/>
    </row>
    <row r="221" spans="1:16" x14ac:dyDescent="0.2">
      <c r="A221" s="58" t="str">
        <v/>
      </c>
      <c r="B221" s="144" t="str">
        <f>IFERROR(TIMEVALUE(DaqBook_RAW_Data!AG211),IFERROR(TIMEVALUE(DaqBook_RAW_Data!A211),""))</f>
        <v/>
      </c>
      <c r="C221" s="167"/>
      <c r="D221" s="167"/>
      <c r="E221" s="167"/>
      <c r="F221" s="167"/>
      <c r="G221" s="167"/>
      <c r="H221" s="167"/>
      <c r="I221" s="167"/>
      <c r="J221" s="167"/>
      <c r="K221" s="167"/>
      <c r="L221" s="167"/>
      <c r="M221" s="167"/>
      <c r="N221" s="167"/>
      <c r="O221" s="167"/>
      <c r="P221" s="167"/>
    </row>
    <row r="222" spans="1:16" x14ac:dyDescent="0.2">
      <c r="A222" s="58" t="str">
        <v/>
      </c>
      <c r="B222" s="144" t="str">
        <f>IFERROR(TIMEVALUE(DaqBook_RAW_Data!AG212),IFERROR(TIMEVALUE(DaqBook_RAW_Data!A212),""))</f>
        <v/>
      </c>
      <c r="C222" s="167"/>
      <c r="D222" s="167"/>
      <c r="E222" s="167"/>
      <c r="F222" s="167"/>
      <c r="G222" s="167"/>
      <c r="H222" s="167"/>
      <c r="I222" s="167"/>
      <c r="J222" s="167"/>
      <c r="K222" s="167"/>
      <c r="L222" s="167"/>
      <c r="M222" s="167"/>
      <c r="N222" s="167"/>
      <c r="O222" s="167"/>
      <c r="P222" s="167"/>
    </row>
    <row r="223" spans="1:16" x14ac:dyDescent="0.2">
      <c r="A223" s="58" t="str">
        <v/>
      </c>
      <c r="B223" s="144" t="str">
        <f>IFERROR(TIMEVALUE(DaqBook_RAW_Data!AG213),IFERROR(TIMEVALUE(DaqBook_RAW_Data!A213),""))</f>
        <v/>
      </c>
      <c r="C223" s="167"/>
      <c r="D223" s="167"/>
      <c r="E223" s="167"/>
      <c r="F223" s="167"/>
      <c r="G223" s="167"/>
      <c r="H223" s="167"/>
      <c r="I223" s="167"/>
      <c r="J223" s="167"/>
      <c r="K223" s="167"/>
      <c r="L223" s="167"/>
      <c r="M223" s="167"/>
      <c r="N223" s="167"/>
      <c r="O223" s="167"/>
      <c r="P223" s="167"/>
    </row>
    <row r="224" spans="1:16" x14ac:dyDescent="0.2">
      <c r="A224" s="58" t="str">
        <v/>
      </c>
      <c r="B224" s="144" t="str">
        <f>IFERROR(TIMEVALUE(DaqBook_RAW_Data!AG214),IFERROR(TIMEVALUE(DaqBook_RAW_Data!A214),""))</f>
        <v/>
      </c>
      <c r="C224" s="167"/>
      <c r="D224" s="167"/>
      <c r="E224" s="167"/>
      <c r="F224" s="167"/>
      <c r="G224" s="167"/>
      <c r="H224" s="167"/>
      <c r="I224" s="167"/>
      <c r="J224" s="167"/>
      <c r="K224" s="167"/>
      <c r="L224" s="167"/>
      <c r="M224" s="167"/>
      <c r="N224" s="167"/>
      <c r="O224" s="167"/>
      <c r="P224" s="167"/>
    </row>
    <row r="225" spans="1:16" x14ac:dyDescent="0.2">
      <c r="A225" s="58" t="str">
        <v/>
      </c>
      <c r="B225" s="144" t="str">
        <f>IFERROR(TIMEVALUE(DaqBook_RAW_Data!AG215),IFERROR(TIMEVALUE(DaqBook_RAW_Data!A215),""))</f>
        <v/>
      </c>
      <c r="C225" s="167"/>
      <c r="D225" s="167"/>
      <c r="E225" s="167"/>
      <c r="F225" s="167"/>
      <c r="G225" s="167"/>
      <c r="H225" s="167"/>
      <c r="I225" s="167"/>
      <c r="J225" s="167"/>
      <c r="K225" s="167"/>
      <c r="L225" s="167"/>
      <c r="M225" s="167"/>
      <c r="N225" s="167"/>
      <c r="O225" s="167"/>
      <c r="P225" s="167"/>
    </row>
    <row r="226" spans="1:16" x14ac:dyDescent="0.2">
      <c r="A226" s="58" t="str">
        <v/>
      </c>
      <c r="B226" s="144" t="str">
        <f>IFERROR(TIMEVALUE(DaqBook_RAW_Data!AG216),IFERROR(TIMEVALUE(DaqBook_RAW_Data!A216),""))</f>
        <v/>
      </c>
      <c r="C226" s="167"/>
      <c r="D226" s="167"/>
      <c r="E226" s="167"/>
      <c r="F226" s="167"/>
      <c r="G226" s="167"/>
      <c r="H226" s="167"/>
      <c r="I226" s="167"/>
      <c r="J226" s="167"/>
      <c r="K226" s="167"/>
      <c r="L226" s="167"/>
      <c r="M226" s="167"/>
      <c r="N226" s="167"/>
      <c r="O226" s="167"/>
      <c r="P226" s="167"/>
    </row>
    <row r="227" spans="1:16" x14ac:dyDescent="0.2">
      <c r="A227" s="58" t="str">
        <v/>
      </c>
      <c r="B227" s="144" t="str">
        <f>IFERROR(TIMEVALUE(DaqBook_RAW_Data!AG217),IFERROR(TIMEVALUE(DaqBook_RAW_Data!A217),""))</f>
        <v/>
      </c>
      <c r="C227" s="167"/>
      <c r="D227" s="167"/>
      <c r="E227" s="167"/>
      <c r="F227" s="167"/>
      <c r="G227" s="167"/>
      <c r="H227" s="167"/>
      <c r="I227" s="167"/>
      <c r="J227" s="167"/>
      <c r="K227" s="167"/>
      <c r="L227" s="167"/>
      <c r="M227" s="167"/>
      <c r="N227" s="167"/>
      <c r="O227" s="167"/>
      <c r="P227" s="167"/>
    </row>
    <row r="228" spans="1:16" x14ac:dyDescent="0.2">
      <c r="A228" s="58" t="str">
        <v/>
      </c>
      <c r="B228" s="144" t="str">
        <f>IFERROR(TIMEVALUE(DaqBook_RAW_Data!AG218),IFERROR(TIMEVALUE(DaqBook_RAW_Data!A218),""))</f>
        <v/>
      </c>
      <c r="C228" s="167"/>
      <c r="D228" s="167"/>
      <c r="E228" s="167"/>
      <c r="F228" s="167"/>
      <c r="G228" s="167"/>
      <c r="H228" s="167"/>
      <c r="I228" s="167"/>
      <c r="J228" s="167"/>
      <c r="K228" s="167"/>
      <c r="L228" s="167"/>
      <c r="M228" s="167"/>
      <c r="N228" s="167"/>
      <c r="O228" s="167"/>
      <c r="P228" s="167"/>
    </row>
    <row r="229" spans="1:16" x14ac:dyDescent="0.2">
      <c r="A229" s="58" t="str">
        <v/>
      </c>
      <c r="B229" s="144" t="str">
        <f>IFERROR(TIMEVALUE(DaqBook_RAW_Data!AG219),IFERROR(TIMEVALUE(DaqBook_RAW_Data!A219),""))</f>
        <v/>
      </c>
      <c r="C229" s="167"/>
      <c r="D229" s="167"/>
      <c r="E229" s="167"/>
      <c r="F229" s="167"/>
      <c r="G229" s="167"/>
      <c r="H229" s="167"/>
      <c r="I229" s="167"/>
      <c r="J229" s="167"/>
      <c r="K229" s="167"/>
      <c r="L229" s="167"/>
      <c r="M229" s="167"/>
      <c r="N229" s="167"/>
      <c r="O229" s="167"/>
      <c r="P229" s="167"/>
    </row>
    <row r="230" spans="1:16" x14ac:dyDescent="0.2">
      <c r="A230" s="58" t="str">
        <v/>
      </c>
      <c r="B230" s="144" t="str">
        <f>IFERROR(TIMEVALUE(DaqBook_RAW_Data!AG220),IFERROR(TIMEVALUE(DaqBook_RAW_Data!A220),""))</f>
        <v/>
      </c>
      <c r="C230" s="167"/>
      <c r="D230" s="167"/>
      <c r="E230" s="167"/>
      <c r="F230" s="167"/>
      <c r="G230" s="167"/>
      <c r="H230" s="167"/>
      <c r="I230" s="167"/>
      <c r="J230" s="167"/>
      <c r="K230" s="167"/>
      <c r="L230" s="167"/>
      <c r="M230" s="167"/>
      <c r="N230" s="167"/>
      <c r="O230" s="167"/>
      <c r="P230" s="167"/>
    </row>
    <row r="231" spans="1:16" x14ac:dyDescent="0.2">
      <c r="A231" s="58" t="str">
        <v/>
      </c>
      <c r="B231" s="144" t="str">
        <f>IFERROR(TIMEVALUE(DaqBook_RAW_Data!AG221),IFERROR(TIMEVALUE(DaqBook_RAW_Data!A221),""))</f>
        <v/>
      </c>
      <c r="C231" s="167"/>
      <c r="D231" s="167"/>
      <c r="E231" s="167"/>
      <c r="F231" s="167"/>
      <c r="G231" s="167"/>
      <c r="H231" s="167"/>
      <c r="I231" s="167"/>
      <c r="J231" s="167"/>
      <c r="K231" s="167"/>
      <c r="L231" s="167"/>
      <c r="M231" s="167"/>
      <c r="N231" s="167"/>
      <c r="O231" s="167"/>
      <c r="P231" s="167"/>
    </row>
    <row r="232" spans="1:16" x14ac:dyDescent="0.2">
      <c r="A232" s="58" t="str">
        <v/>
      </c>
      <c r="B232" s="144" t="str">
        <f>IFERROR(TIMEVALUE(DaqBook_RAW_Data!AG222),IFERROR(TIMEVALUE(DaqBook_RAW_Data!A222),""))</f>
        <v/>
      </c>
      <c r="C232" s="167"/>
      <c r="D232" s="167"/>
      <c r="E232" s="167"/>
      <c r="F232" s="167"/>
      <c r="G232" s="167"/>
      <c r="H232" s="167"/>
      <c r="I232" s="167"/>
      <c r="J232" s="167"/>
      <c r="K232" s="167"/>
      <c r="L232" s="167"/>
      <c r="M232" s="167"/>
      <c r="N232" s="167"/>
      <c r="O232" s="167"/>
      <c r="P232" s="167"/>
    </row>
    <row r="233" spans="1:16" x14ac:dyDescent="0.2">
      <c r="A233" s="58" t="str">
        <v/>
      </c>
      <c r="B233" s="144" t="str">
        <f>IFERROR(TIMEVALUE(DaqBook_RAW_Data!AG223),IFERROR(TIMEVALUE(DaqBook_RAW_Data!A223),""))</f>
        <v/>
      </c>
      <c r="C233" s="167"/>
      <c r="D233" s="167"/>
      <c r="E233" s="167"/>
      <c r="F233" s="167"/>
      <c r="G233" s="167"/>
      <c r="H233" s="167"/>
      <c r="I233" s="167"/>
      <c r="J233" s="167"/>
      <c r="K233" s="167"/>
      <c r="L233" s="167"/>
      <c r="M233" s="167"/>
      <c r="N233" s="167"/>
      <c r="O233" s="167"/>
      <c r="P233" s="167"/>
    </row>
    <row r="234" spans="1:16" x14ac:dyDescent="0.2">
      <c r="A234" s="58" t="str">
        <v/>
      </c>
      <c r="B234" s="144" t="str">
        <f>IFERROR(TIMEVALUE(DaqBook_RAW_Data!AG224),IFERROR(TIMEVALUE(DaqBook_RAW_Data!A224),""))</f>
        <v/>
      </c>
      <c r="C234" s="167"/>
      <c r="D234" s="167"/>
      <c r="E234" s="167"/>
      <c r="F234" s="167"/>
      <c r="G234" s="167"/>
      <c r="H234" s="167"/>
      <c r="I234" s="167"/>
      <c r="J234" s="167"/>
      <c r="K234" s="167"/>
      <c r="L234" s="167"/>
      <c r="M234" s="167"/>
      <c r="N234" s="167"/>
      <c r="O234" s="167"/>
      <c r="P234" s="167"/>
    </row>
    <row r="235" spans="1:16" x14ac:dyDescent="0.2">
      <c r="A235" s="58" t="str">
        <v/>
      </c>
      <c r="B235" s="144" t="str">
        <f>IFERROR(TIMEVALUE(DaqBook_RAW_Data!AG225),IFERROR(TIMEVALUE(DaqBook_RAW_Data!A225),""))</f>
        <v/>
      </c>
      <c r="C235" s="167"/>
      <c r="D235" s="167"/>
      <c r="E235" s="167"/>
      <c r="F235" s="167"/>
      <c r="G235" s="167"/>
      <c r="H235" s="167"/>
      <c r="I235" s="167"/>
      <c r="J235" s="167"/>
      <c r="K235" s="167"/>
      <c r="L235" s="167"/>
      <c r="M235" s="167"/>
      <c r="N235" s="167"/>
      <c r="O235" s="167"/>
      <c r="P235" s="167"/>
    </row>
    <row r="236" spans="1:16" x14ac:dyDescent="0.2">
      <c r="A236" s="58" t="str">
        <v/>
      </c>
      <c r="B236" s="144" t="str">
        <f>IFERROR(TIMEVALUE(DaqBook_RAW_Data!AG226),IFERROR(TIMEVALUE(DaqBook_RAW_Data!A226),""))</f>
        <v/>
      </c>
      <c r="C236" s="167"/>
      <c r="D236" s="167"/>
      <c r="E236" s="167"/>
      <c r="F236" s="167"/>
      <c r="G236" s="167"/>
      <c r="H236" s="167"/>
      <c r="I236" s="167"/>
      <c r="J236" s="167"/>
      <c r="K236" s="167"/>
      <c r="L236" s="167"/>
      <c r="M236" s="167"/>
      <c r="N236" s="167"/>
      <c r="O236" s="167"/>
      <c r="P236" s="167"/>
    </row>
    <row r="237" spans="1:16" x14ac:dyDescent="0.2">
      <c r="A237" s="58" t="str">
        <v/>
      </c>
      <c r="B237" s="144" t="str">
        <f>IFERROR(TIMEVALUE(DaqBook_RAW_Data!AG227),IFERROR(TIMEVALUE(DaqBook_RAW_Data!A227),""))</f>
        <v/>
      </c>
      <c r="C237" s="167"/>
      <c r="D237" s="167"/>
      <c r="E237" s="167"/>
      <c r="F237" s="167"/>
      <c r="G237" s="167"/>
      <c r="H237" s="167"/>
      <c r="I237" s="167"/>
      <c r="J237" s="167"/>
      <c r="K237" s="167"/>
      <c r="L237" s="167"/>
      <c r="M237" s="167"/>
      <c r="N237" s="167"/>
      <c r="O237" s="167"/>
      <c r="P237" s="167"/>
    </row>
    <row r="238" spans="1:16" x14ac:dyDescent="0.2">
      <c r="A238" s="58" t="str">
        <v/>
      </c>
      <c r="B238" s="144" t="str">
        <f>IFERROR(TIMEVALUE(DaqBook_RAW_Data!AG228),IFERROR(TIMEVALUE(DaqBook_RAW_Data!A228),""))</f>
        <v/>
      </c>
      <c r="C238" s="167"/>
      <c r="D238" s="167"/>
      <c r="E238" s="167"/>
      <c r="F238" s="167"/>
      <c r="G238" s="167"/>
      <c r="H238" s="167"/>
      <c r="I238" s="167"/>
      <c r="J238" s="167"/>
      <c r="K238" s="167"/>
      <c r="L238" s="167"/>
      <c r="M238" s="167"/>
      <c r="N238" s="167"/>
      <c r="O238" s="167"/>
      <c r="P238" s="167"/>
    </row>
    <row r="239" spans="1:16" x14ac:dyDescent="0.2">
      <c r="A239" s="58" t="str">
        <v/>
      </c>
      <c r="B239" s="144" t="str">
        <f>IFERROR(TIMEVALUE(DaqBook_RAW_Data!AG229),IFERROR(TIMEVALUE(DaqBook_RAW_Data!A229),""))</f>
        <v/>
      </c>
      <c r="C239" s="167"/>
      <c r="D239" s="167"/>
      <c r="E239" s="167"/>
      <c r="F239" s="167"/>
      <c r="G239" s="167"/>
      <c r="H239" s="167"/>
      <c r="I239" s="167"/>
      <c r="J239" s="167"/>
      <c r="K239" s="167"/>
      <c r="L239" s="167"/>
      <c r="M239" s="167"/>
      <c r="N239" s="167"/>
      <c r="O239" s="167"/>
      <c r="P239" s="167"/>
    </row>
    <row r="240" spans="1:16" x14ac:dyDescent="0.2">
      <c r="A240" s="58" t="str">
        <v/>
      </c>
      <c r="B240" s="144" t="str">
        <f>IFERROR(TIMEVALUE(DaqBook_RAW_Data!AG230),IFERROR(TIMEVALUE(DaqBook_RAW_Data!A230),""))</f>
        <v/>
      </c>
      <c r="C240" s="167"/>
      <c r="D240" s="167"/>
      <c r="E240" s="167"/>
      <c r="F240" s="167"/>
      <c r="G240" s="167"/>
      <c r="H240" s="167"/>
      <c r="I240" s="167"/>
      <c r="J240" s="167"/>
      <c r="K240" s="167"/>
      <c r="L240" s="167"/>
      <c r="M240" s="167"/>
      <c r="N240" s="167"/>
      <c r="O240" s="167"/>
      <c r="P240" s="167"/>
    </row>
    <row r="241" spans="1:16" x14ac:dyDescent="0.2">
      <c r="A241" s="58" t="str">
        <v/>
      </c>
      <c r="B241" s="144" t="str">
        <f>IFERROR(TIMEVALUE(DaqBook_RAW_Data!AG231),IFERROR(TIMEVALUE(DaqBook_RAW_Data!A231),""))</f>
        <v/>
      </c>
      <c r="C241" s="167"/>
      <c r="D241" s="167"/>
      <c r="E241" s="167"/>
      <c r="F241" s="167"/>
      <c r="G241" s="167"/>
      <c r="H241" s="167"/>
      <c r="I241" s="167"/>
      <c r="J241" s="167"/>
      <c r="K241" s="167"/>
      <c r="L241" s="167"/>
      <c r="M241" s="167"/>
      <c r="N241" s="167"/>
      <c r="O241" s="167"/>
      <c r="P241" s="167"/>
    </row>
    <row r="242" spans="1:16" x14ac:dyDescent="0.2">
      <c r="A242" s="58" t="str">
        <v/>
      </c>
      <c r="B242" s="144" t="str">
        <f>IFERROR(TIMEVALUE(DaqBook_RAW_Data!AG232),IFERROR(TIMEVALUE(DaqBook_RAW_Data!A232),""))</f>
        <v/>
      </c>
      <c r="C242" s="167"/>
      <c r="D242" s="167"/>
      <c r="E242" s="167"/>
      <c r="F242" s="167"/>
      <c r="G242" s="167"/>
      <c r="H242" s="167"/>
      <c r="I242" s="167"/>
      <c r="J242" s="167"/>
      <c r="K242" s="167"/>
      <c r="L242" s="167"/>
      <c r="M242" s="167"/>
      <c r="N242" s="167"/>
      <c r="O242" s="167"/>
      <c r="P242" s="167"/>
    </row>
    <row r="243" spans="1:16" x14ac:dyDescent="0.2">
      <c r="A243" s="58" t="str">
        <v/>
      </c>
      <c r="B243" s="144" t="str">
        <f>IFERROR(TIMEVALUE(DaqBook_RAW_Data!AG233),IFERROR(TIMEVALUE(DaqBook_RAW_Data!A233),""))</f>
        <v/>
      </c>
      <c r="C243" s="167"/>
      <c r="D243" s="167"/>
      <c r="E243" s="167"/>
      <c r="F243" s="167"/>
      <c r="G243" s="167"/>
      <c r="H243" s="167"/>
      <c r="I243" s="167"/>
      <c r="J243" s="167"/>
      <c r="K243" s="167"/>
      <c r="L243" s="167"/>
      <c r="M243" s="167"/>
      <c r="N243" s="167"/>
      <c r="O243" s="167"/>
      <c r="P243" s="167"/>
    </row>
    <row r="244" spans="1:16" x14ac:dyDescent="0.2">
      <c r="A244" s="58" t="str">
        <v/>
      </c>
      <c r="B244" s="144" t="str">
        <f>IFERROR(TIMEVALUE(DaqBook_RAW_Data!AG234),IFERROR(TIMEVALUE(DaqBook_RAW_Data!A234),""))</f>
        <v/>
      </c>
      <c r="C244" s="167"/>
      <c r="D244" s="167"/>
      <c r="E244" s="167"/>
      <c r="F244" s="167"/>
      <c r="G244" s="167"/>
      <c r="H244" s="167"/>
      <c r="I244" s="167"/>
      <c r="J244" s="167"/>
      <c r="K244" s="167"/>
      <c r="L244" s="167"/>
      <c r="M244" s="167"/>
      <c r="N244" s="167"/>
      <c r="O244" s="167"/>
      <c r="P244" s="167"/>
    </row>
    <row r="245" spans="1:16" x14ac:dyDescent="0.2">
      <c r="A245" s="58" t="str">
        <v/>
      </c>
      <c r="B245" s="144" t="str">
        <f>IFERROR(TIMEVALUE(DaqBook_RAW_Data!AG235),IFERROR(TIMEVALUE(DaqBook_RAW_Data!A235),""))</f>
        <v/>
      </c>
      <c r="C245" s="167"/>
      <c r="D245" s="167"/>
      <c r="E245" s="167"/>
      <c r="F245" s="167"/>
      <c r="G245" s="167"/>
      <c r="H245" s="167"/>
      <c r="I245" s="167"/>
      <c r="J245" s="167"/>
      <c r="K245" s="167"/>
      <c r="L245" s="167"/>
      <c r="M245" s="167"/>
      <c r="N245" s="167"/>
      <c r="O245" s="167"/>
      <c r="P245" s="167"/>
    </row>
    <row r="246" spans="1:16" x14ac:dyDescent="0.2">
      <c r="A246" s="58" t="str">
        <v/>
      </c>
      <c r="B246" s="144" t="str">
        <f>IFERROR(TIMEVALUE(DaqBook_RAW_Data!AG236),IFERROR(TIMEVALUE(DaqBook_RAW_Data!A236),""))</f>
        <v/>
      </c>
      <c r="C246" s="167"/>
      <c r="D246" s="167"/>
      <c r="E246" s="167"/>
      <c r="F246" s="167"/>
      <c r="G246" s="167"/>
      <c r="H246" s="167"/>
      <c r="I246" s="167"/>
      <c r="J246" s="167"/>
      <c r="K246" s="167"/>
      <c r="L246" s="167"/>
      <c r="M246" s="167"/>
      <c r="N246" s="167"/>
      <c r="O246" s="167"/>
      <c r="P246" s="167"/>
    </row>
    <row r="247" spans="1:16" x14ac:dyDescent="0.2">
      <c r="A247" s="58" t="str">
        <v/>
      </c>
      <c r="B247" s="144" t="str">
        <f>IFERROR(TIMEVALUE(DaqBook_RAW_Data!AG237),IFERROR(TIMEVALUE(DaqBook_RAW_Data!A237),""))</f>
        <v/>
      </c>
      <c r="C247" s="167"/>
      <c r="D247" s="167"/>
      <c r="E247" s="167"/>
      <c r="F247" s="167"/>
      <c r="G247" s="167"/>
      <c r="H247" s="167"/>
      <c r="I247" s="167"/>
      <c r="J247" s="167"/>
      <c r="K247" s="167"/>
      <c r="L247" s="167"/>
      <c r="M247" s="167"/>
      <c r="N247" s="167"/>
      <c r="O247" s="167"/>
      <c r="P247" s="167"/>
    </row>
    <row r="248" spans="1:16" x14ac:dyDescent="0.2">
      <c r="A248" s="58" t="str">
        <v/>
      </c>
      <c r="B248" s="144" t="str">
        <f>IFERROR(TIMEVALUE(DaqBook_RAW_Data!AG238),IFERROR(TIMEVALUE(DaqBook_RAW_Data!A238),""))</f>
        <v/>
      </c>
      <c r="C248" s="167"/>
      <c r="D248" s="167"/>
      <c r="E248" s="167"/>
      <c r="F248" s="167"/>
      <c r="G248" s="167"/>
      <c r="H248" s="167"/>
      <c r="I248" s="167"/>
      <c r="J248" s="167"/>
      <c r="K248" s="167"/>
      <c r="L248" s="167"/>
      <c r="M248" s="167"/>
      <c r="N248" s="167"/>
      <c r="O248" s="167"/>
      <c r="P248" s="167"/>
    </row>
    <row r="249" spans="1:16" x14ac:dyDescent="0.2">
      <c r="A249" s="58" t="str">
        <v/>
      </c>
      <c r="B249" s="144" t="str">
        <f>IFERROR(TIMEVALUE(DaqBook_RAW_Data!AG239),IFERROR(TIMEVALUE(DaqBook_RAW_Data!A239),""))</f>
        <v/>
      </c>
      <c r="C249" s="167"/>
      <c r="D249" s="167"/>
      <c r="E249" s="167"/>
      <c r="F249" s="167"/>
      <c r="G249" s="167"/>
      <c r="H249" s="167"/>
      <c r="I249" s="167"/>
      <c r="J249" s="167"/>
      <c r="K249" s="167"/>
      <c r="L249" s="167"/>
      <c r="M249" s="167"/>
      <c r="N249" s="167"/>
      <c r="O249" s="167"/>
      <c r="P249" s="167"/>
    </row>
    <row r="250" spans="1:16" x14ac:dyDescent="0.2">
      <c r="A250" s="58" t="str">
        <v/>
      </c>
      <c r="B250" s="144" t="str">
        <f>IFERROR(TIMEVALUE(DaqBook_RAW_Data!AG240),IFERROR(TIMEVALUE(DaqBook_RAW_Data!A240),""))</f>
        <v/>
      </c>
      <c r="C250" s="167"/>
      <c r="D250" s="167"/>
      <c r="E250" s="167"/>
      <c r="F250" s="167"/>
      <c r="G250" s="167"/>
      <c r="H250" s="167"/>
      <c r="I250" s="167"/>
      <c r="J250" s="167"/>
      <c r="K250" s="167"/>
      <c r="L250" s="167"/>
      <c r="M250" s="167"/>
      <c r="N250" s="167"/>
      <c r="O250" s="167"/>
      <c r="P250" s="167"/>
    </row>
    <row r="251" spans="1:16" x14ac:dyDescent="0.2">
      <c r="A251" s="58" t="str">
        <v/>
      </c>
      <c r="B251" s="144" t="str">
        <f>IFERROR(TIMEVALUE(DaqBook_RAW_Data!AG241),IFERROR(TIMEVALUE(DaqBook_RAW_Data!A241),""))</f>
        <v/>
      </c>
      <c r="C251" s="167"/>
      <c r="D251" s="167"/>
      <c r="E251" s="167"/>
      <c r="F251" s="167"/>
      <c r="G251" s="167"/>
      <c r="H251" s="167"/>
      <c r="I251" s="167"/>
      <c r="J251" s="167"/>
      <c r="K251" s="167"/>
      <c r="L251" s="167"/>
      <c r="M251" s="167"/>
      <c r="N251" s="167"/>
      <c r="O251" s="167"/>
      <c r="P251" s="167"/>
    </row>
    <row r="252" spans="1:16" x14ac:dyDescent="0.2">
      <c r="A252" s="58" t="str">
        <v/>
      </c>
      <c r="B252" s="144" t="str">
        <f>IFERROR(TIMEVALUE(DaqBook_RAW_Data!AG242),IFERROR(TIMEVALUE(DaqBook_RAW_Data!A242),""))</f>
        <v/>
      </c>
      <c r="C252" s="167"/>
      <c r="D252" s="167"/>
      <c r="E252" s="167"/>
      <c r="F252" s="167"/>
      <c r="G252" s="167"/>
      <c r="H252" s="167"/>
      <c r="I252" s="167"/>
      <c r="J252" s="167"/>
      <c r="K252" s="167"/>
      <c r="L252" s="167"/>
      <c r="M252" s="167"/>
      <c r="N252" s="167"/>
      <c r="O252" s="167"/>
      <c r="P252" s="167"/>
    </row>
    <row r="253" spans="1:16" x14ac:dyDescent="0.2">
      <c r="A253" s="58" t="str">
        <v/>
      </c>
      <c r="B253" s="144" t="str">
        <f>IFERROR(TIMEVALUE(DaqBook_RAW_Data!AG243),IFERROR(TIMEVALUE(DaqBook_RAW_Data!A243),""))</f>
        <v/>
      </c>
      <c r="C253" s="167"/>
      <c r="D253" s="167"/>
      <c r="E253" s="167"/>
      <c r="F253" s="167"/>
      <c r="G253" s="167"/>
      <c r="H253" s="167"/>
      <c r="I253" s="167"/>
      <c r="J253" s="167"/>
      <c r="K253" s="167"/>
      <c r="L253" s="167"/>
      <c r="M253" s="167"/>
      <c r="N253" s="167"/>
      <c r="O253" s="167"/>
      <c r="P253" s="167"/>
    </row>
    <row r="254" spans="1:16" x14ac:dyDescent="0.2">
      <c r="A254" s="58" t="str">
        <v/>
      </c>
      <c r="B254" s="144" t="str">
        <f>IFERROR(TIMEVALUE(DaqBook_RAW_Data!AG244),IFERROR(TIMEVALUE(DaqBook_RAW_Data!A244),""))</f>
        <v/>
      </c>
      <c r="C254" s="167"/>
      <c r="D254" s="167"/>
      <c r="E254" s="167"/>
      <c r="F254" s="167"/>
      <c r="G254" s="167"/>
      <c r="H254" s="167"/>
      <c r="I254" s="167"/>
      <c r="J254" s="167"/>
      <c r="K254" s="167"/>
      <c r="L254" s="167"/>
      <c r="M254" s="167"/>
      <c r="N254" s="167"/>
      <c r="O254" s="167"/>
      <c r="P254" s="167"/>
    </row>
    <row r="255" spans="1:16" x14ac:dyDescent="0.2">
      <c r="A255" s="58" t="str">
        <v/>
      </c>
      <c r="B255" s="144" t="str">
        <f>IFERROR(TIMEVALUE(DaqBook_RAW_Data!AG245),IFERROR(TIMEVALUE(DaqBook_RAW_Data!A245),""))</f>
        <v/>
      </c>
      <c r="C255" s="167"/>
      <c r="D255" s="167"/>
      <c r="E255" s="167"/>
      <c r="F255" s="167"/>
      <c r="G255" s="167"/>
      <c r="H255" s="167"/>
      <c r="I255" s="167"/>
      <c r="J255" s="167"/>
      <c r="K255" s="167"/>
      <c r="L255" s="167"/>
      <c r="M255" s="167"/>
      <c r="N255" s="167"/>
      <c r="O255" s="167"/>
      <c r="P255" s="167"/>
    </row>
    <row r="256" spans="1:16" x14ac:dyDescent="0.2">
      <c r="A256" s="58" t="str">
        <v/>
      </c>
      <c r="B256" s="144" t="str">
        <f>IFERROR(TIMEVALUE(DaqBook_RAW_Data!AG246),IFERROR(TIMEVALUE(DaqBook_RAW_Data!A246),""))</f>
        <v/>
      </c>
      <c r="C256" s="167"/>
      <c r="D256" s="167"/>
      <c r="E256" s="167"/>
      <c r="F256" s="167"/>
      <c r="G256" s="167"/>
      <c r="H256" s="167"/>
      <c r="I256" s="167"/>
      <c r="J256" s="167"/>
      <c r="K256" s="167"/>
      <c r="L256" s="167"/>
      <c r="M256" s="167"/>
      <c r="N256" s="167"/>
      <c r="O256" s="167"/>
      <c r="P256" s="167"/>
    </row>
    <row r="257" spans="1:16" x14ac:dyDescent="0.2">
      <c r="A257" s="58" t="str">
        <v/>
      </c>
      <c r="B257" s="144" t="str">
        <f>IFERROR(TIMEVALUE(DaqBook_RAW_Data!AG247),IFERROR(TIMEVALUE(DaqBook_RAW_Data!A247),""))</f>
        <v/>
      </c>
      <c r="C257" s="167"/>
      <c r="D257" s="167"/>
      <c r="E257" s="167"/>
      <c r="F257" s="167"/>
      <c r="G257" s="167"/>
      <c r="H257" s="167"/>
      <c r="I257" s="167"/>
      <c r="J257" s="167"/>
      <c r="K257" s="167"/>
      <c r="L257" s="167"/>
      <c r="M257" s="167"/>
      <c r="N257" s="167"/>
      <c r="O257" s="167"/>
      <c r="P257" s="167"/>
    </row>
    <row r="258" spans="1:16" x14ac:dyDescent="0.2">
      <c r="A258" s="58" t="str">
        <v/>
      </c>
      <c r="B258" s="144" t="str">
        <f>IFERROR(TIMEVALUE(DaqBook_RAW_Data!AG248),IFERROR(TIMEVALUE(DaqBook_RAW_Data!A248),""))</f>
        <v/>
      </c>
      <c r="C258" s="167"/>
      <c r="D258" s="167"/>
      <c r="E258" s="167"/>
      <c r="F258" s="167"/>
      <c r="G258" s="167"/>
      <c r="H258" s="167"/>
      <c r="I258" s="167"/>
      <c r="J258" s="167"/>
      <c r="K258" s="167"/>
      <c r="L258" s="167"/>
      <c r="M258" s="167"/>
      <c r="N258" s="167"/>
      <c r="O258" s="167"/>
      <c r="P258" s="167"/>
    </row>
    <row r="259" spans="1:16" x14ac:dyDescent="0.2">
      <c r="A259" s="58" t="str">
        <v/>
      </c>
      <c r="B259" s="144" t="str">
        <f>IFERROR(TIMEVALUE(DaqBook_RAW_Data!AG249),IFERROR(TIMEVALUE(DaqBook_RAW_Data!A249),""))</f>
        <v/>
      </c>
      <c r="C259" s="167"/>
      <c r="D259" s="167"/>
      <c r="E259" s="167"/>
      <c r="F259" s="167"/>
      <c r="G259" s="167"/>
      <c r="H259" s="167"/>
      <c r="I259" s="167"/>
      <c r="J259" s="167"/>
      <c r="K259" s="167"/>
      <c r="L259" s="167"/>
      <c r="M259" s="167"/>
      <c r="N259" s="167"/>
      <c r="O259" s="167"/>
      <c r="P259" s="167"/>
    </row>
    <row r="260" spans="1:16" x14ac:dyDescent="0.2">
      <c r="A260" s="58" t="str">
        <v/>
      </c>
      <c r="B260" s="144" t="str">
        <f>IFERROR(TIMEVALUE(DaqBook_RAW_Data!AG250),IFERROR(TIMEVALUE(DaqBook_RAW_Data!A250),""))</f>
        <v/>
      </c>
      <c r="C260" s="167"/>
      <c r="D260" s="167"/>
      <c r="E260" s="167"/>
      <c r="F260" s="167"/>
      <c r="G260" s="167"/>
      <c r="H260" s="167"/>
      <c r="I260" s="167"/>
      <c r="J260" s="167"/>
      <c r="K260" s="167"/>
      <c r="L260" s="167"/>
      <c r="M260" s="167"/>
      <c r="N260" s="167"/>
      <c r="O260" s="167"/>
      <c r="P260" s="167"/>
    </row>
    <row r="261" spans="1:16" x14ac:dyDescent="0.2">
      <c r="A261" s="58" t="str">
        <v/>
      </c>
      <c r="B261" s="144" t="str">
        <f>IFERROR(TIMEVALUE(DaqBook_RAW_Data!AG251),IFERROR(TIMEVALUE(DaqBook_RAW_Data!A251),""))</f>
        <v/>
      </c>
      <c r="C261" s="167"/>
      <c r="D261" s="167"/>
      <c r="E261" s="167"/>
      <c r="F261" s="167"/>
      <c r="G261" s="167"/>
      <c r="H261" s="167"/>
      <c r="I261" s="167"/>
      <c r="J261" s="167"/>
      <c r="K261" s="167"/>
      <c r="L261" s="167"/>
      <c r="M261" s="167"/>
      <c r="N261" s="167"/>
      <c r="O261" s="167"/>
      <c r="P261" s="167"/>
    </row>
    <row r="262" spans="1:16" x14ac:dyDescent="0.2">
      <c r="A262" s="58" t="str">
        <v/>
      </c>
      <c r="B262" s="144" t="str">
        <f>IFERROR(TIMEVALUE(DaqBook_RAW_Data!AG252),IFERROR(TIMEVALUE(DaqBook_RAW_Data!A252),""))</f>
        <v/>
      </c>
      <c r="C262" s="167"/>
      <c r="D262" s="167"/>
      <c r="E262" s="167"/>
      <c r="F262" s="167"/>
      <c r="G262" s="167"/>
      <c r="H262" s="167"/>
      <c r="I262" s="167"/>
      <c r="J262" s="167"/>
      <c r="K262" s="167"/>
      <c r="L262" s="167"/>
      <c r="M262" s="167"/>
      <c r="N262" s="167"/>
      <c r="O262" s="167"/>
      <c r="P262" s="167"/>
    </row>
    <row r="263" spans="1:16" x14ac:dyDescent="0.2">
      <c r="A263" s="58" t="str">
        <v/>
      </c>
      <c r="B263" s="144" t="str">
        <f>IFERROR(TIMEVALUE(DaqBook_RAW_Data!AG253),IFERROR(TIMEVALUE(DaqBook_RAW_Data!A253),""))</f>
        <v/>
      </c>
      <c r="C263" s="167"/>
      <c r="D263" s="167"/>
      <c r="E263" s="167"/>
      <c r="F263" s="167"/>
      <c r="G263" s="167"/>
      <c r="H263" s="167"/>
      <c r="I263" s="167"/>
      <c r="J263" s="167"/>
      <c r="K263" s="167"/>
      <c r="L263" s="167"/>
      <c r="M263" s="167"/>
      <c r="N263" s="167"/>
      <c r="O263" s="167"/>
      <c r="P263" s="167"/>
    </row>
    <row r="264" spans="1:16" x14ac:dyDescent="0.2">
      <c r="A264" s="58" t="str">
        <v/>
      </c>
      <c r="B264" s="144" t="str">
        <f>IFERROR(TIMEVALUE(DaqBook_RAW_Data!AG254),IFERROR(TIMEVALUE(DaqBook_RAW_Data!A254),""))</f>
        <v/>
      </c>
      <c r="C264" s="167"/>
      <c r="D264" s="167"/>
      <c r="E264" s="167"/>
      <c r="F264" s="167"/>
      <c r="G264" s="167"/>
      <c r="H264" s="167"/>
      <c r="I264" s="167"/>
      <c r="J264" s="167"/>
      <c r="K264" s="167"/>
      <c r="L264" s="167"/>
      <c r="M264" s="167"/>
      <c r="N264" s="167"/>
      <c r="O264" s="167"/>
      <c r="P264" s="167"/>
    </row>
    <row r="265" spans="1:16" x14ac:dyDescent="0.2">
      <c r="A265" s="58" t="str">
        <v/>
      </c>
      <c r="B265" s="144" t="str">
        <f>IFERROR(TIMEVALUE(DaqBook_RAW_Data!AG255),IFERROR(TIMEVALUE(DaqBook_RAW_Data!A255),""))</f>
        <v/>
      </c>
      <c r="C265" s="167"/>
      <c r="D265" s="167"/>
      <c r="E265" s="167"/>
      <c r="F265" s="167"/>
      <c r="G265" s="167"/>
      <c r="H265" s="167"/>
      <c r="I265" s="167"/>
      <c r="J265" s="167"/>
      <c r="K265" s="167"/>
      <c r="L265" s="167"/>
      <c r="M265" s="167"/>
      <c r="N265" s="167"/>
      <c r="O265" s="167"/>
      <c r="P265" s="167"/>
    </row>
    <row r="266" spans="1:16" x14ac:dyDescent="0.2">
      <c r="A266" s="58" t="str">
        <v/>
      </c>
      <c r="B266" s="144" t="str">
        <f>IFERROR(TIMEVALUE(DaqBook_RAW_Data!AG256),IFERROR(TIMEVALUE(DaqBook_RAW_Data!A256),""))</f>
        <v/>
      </c>
      <c r="C266" s="167"/>
      <c r="D266" s="167"/>
      <c r="E266" s="167"/>
      <c r="F266" s="167"/>
      <c r="G266" s="167"/>
      <c r="H266" s="167"/>
      <c r="I266" s="167"/>
      <c r="J266" s="167"/>
      <c r="K266" s="167"/>
      <c r="L266" s="167"/>
      <c r="M266" s="167"/>
      <c r="N266" s="167"/>
      <c r="O266" s="167"/>
      <c r="P266" s="167"/>
    </row>
    <row r="267" spans="1:16" x14ac:dyDescent="0.2">
      <c r="A267" s="58" t="str">
        <v/>
      </c>
      <c r="B267" s="144" t="str">
        <f>IFERROR(TIMEVALUE(DaqBook_RAW_Data!AG257),IFERROR(TIMEVALUE(DaqBook_RAW_Data!A257),""))</f>
        <v/>
      </c>
      <c r="C267" s="167"/>
      <c r="D267" s="167"/>
      <c r="E267" s="167"/>
      <c r="F267" s="167"/>
      <c r="G267" s="167"/>
      <c r="H267" s="167"/>
      <c r="I267" s="167"/>
      <c r="J267" s="167"/>
      <c r="K267" s="167"/>
      <c r="L267" s="167"/>
      <c r="M267" s="167"/>
      <c r="N267" s="167"/>
      <c r="O267" s="167"/>
      <c r="P267" s="167"/>
    </row>
    <row r="268" spans="1:16" x14ac:dyDescent="0.2">
      <c r="A268" s="58" t="str">
        <v/>
      </c>
      <c r="B268" s="144" t="str">
        <f>IFERROR(TIMEVALUE(DaqBook_RAW_Data!AG258),IFERROR(TIMEVALUE(DaqBook_RAW_Data!A258),""))</f>
        <v/>
      </c>
      <c r="C268" s="167"/>
      <c r="D268" s="167"/>
      <c r="E268" s="167"/>
      <c r="F268" s="167"/>
      <c r="G268" s="167"/>
      <c r="H268" s="167"/>
      <c r="I268" s="167"/>
      <c r="J268" s="167"/>
      <c r="K268" s="167"/>
      <c r="L268" s="167"/>
      <c r="M268" s="167"/>
      <c r="N268" s="167"/>
      <c r="O268" s="167"/>
      <c r="P268" s="167"/>
    </row>
    <row r="269" spans="1:16" x14ac:dyDescent="0.2">
      <c r="A269" s="58" t="str">
        <v/>
      </c>
      <c r="B269" s="144" t="str">
        <f>IFERROR(TIMEVALUE(DaqBook_RAW_Data!AG259),IFERROR(TIMEVALUE(DaqBook_RAW_Data!A259),""))</f>
        <v/>
      </c>
      <c r="C269" s="167"/>
      <c r="D269" s="167"/>
      <c r="E269" s="167"/>
      <c r="F269" s="167"/>
      <c r="G269" s="167"/>
      <c r="H269" s="167"/>
      <c r="I269" s="167"/>
      <c r="J269" s="167"/>
      <c r="K269" s="167"/>
      <c r="L269" s="167"/>
      <c r="M269" s="167"/>
      <c r="N269" s="167"/>
      <c r="O269" s="167"/>
      <c r="P269" s="167"/>
    </row>
    <row r="270" spans="1:16" x14ac:dyDescent="0.2">
      <c r="A270" s="58" t="str">
        <v/>
      </c>
      <c r="B270" s="144" t="str">
        <f>IFERROR(TIMEVALUE(DaqBook_RAW_Data!AG260),IFERROR(TIMEVALUE(DaqBook_RAW_Data!A260),""))</f>
        <v/>
      </c>
      <c r="C270" s="167"/>
      <c r="D270" s="167"/>
      <c r="E270" s="167"/>
      <c r="F270" s="167"/>
      <c r="G270" s="167"/>
      <c r="H270" s="167"/>
      <c r="I270" s="167"/>
      <c r="J270" s="167"/>
      <c r="K270" s="167"/>
      <c r="L270" s="167"/>
      <c r="M270" s="167"/>
      <c r="N270" s="167"/>
      <c r="O270" s="167"/>
      <c r="P270" s="167"/>
    </row>
    <row r="271" spans="1:16" x14ac:dyDescent="0.2">
      <c r="A271" s="58" t="str">
        <v/>
      </c>
      <c r="B271" s="144" t="str">
        <f>IFERROR(TIMEVALUE(DaqBook_RAW_Data!AG261),IFERROR(TIMEVALUE(DaqBook_RAW_Data!A261),""))</f>
        <v/>
      </c>
      <c r="C271" s="167"/>
      <c r="D271" s="167"/>
      <c r="E271" s="167"/>
      <c r="F271" s="167"/>
      <c r="G271" s="167"/>
      <c r="H271" s="167"/>
      <c r="I271" s="167"/>
      <c r="J271" s="167"/>
      <c r="K271" s="167"/>
      <c r="L271" s="167"/>
      <c r="M271" s="167"/>
      <c r="N271" s="167"/>
      <c r="O271" s="167"/>
      <c r="P271" s="167"/>
    </row>
    <row r="272" spans="1:16" x14ac:dyDescent="0.2">
      <c r="A272" s="58" t="str">
        <v/>
      </c>
      <c r="B272" s="144" t="str">
        <f>IFERROR(TIMEVALUE(DaqBook_RAW_Data!AG262),IFERROR(TIMEVALUE(DaqBook_RAW_Data!A262),""))</f>
        <v/>
      </c>
      <c r="C272" s="167"/>
      <c r="D272" s="167"/>
      <c r="E272" s="167"/>
      <c r="F272" s="167"/>
      <c r="G272" s="167"/>
      <c r="H272" s="167"/>
      <c r="I272" s="167"/>
      <c r="J272" s="167"/>
      <c r="K272" s="167"/>
      <c r="L272" s="167"/>
      <c r="M272" s="167"/>
      <c r="N272" s="167"/>
      <c r="O272" s="167"/>
      <c r="P272" s="167"/>
    </row>
    <row r="273" spans="1:16" x14ac:dyDescent="0.2">
      <c r="A273" s="58" t="str">
        <v/>
      </c>
      <c r="B273" s="144" t="str">
        <f>IFERROR(TIMEVALUE(DaqBook_RAW_Data!AG263),IFERROR(TIMEVALUE(DaqBook_RAW_Data!A263),""))</f>
        <v/>
      </c>
      <c r="C273" s="167"/>
      <c r="D273" s="167"/>
      <c r="E273" s="167"/>
      <c r="F273" s="167"/>
      <c r="G273" s="167"/>
      <c r="H273" s="167"/>
      <c r="I273" s="167"/>
      <c r="J273" s="167"/>
      <c r="K273" s="167"/>
      <c r="L273" s="167"/>
      <c r="M273" s="167"/>
      <c r="N273" s="167"/>
      <c r="O273" s="167"/>
      <c r="P273" s="167"/>
    </row>
    <row r="274" spans="1:16" x14ac:dyDescent="0.2">
      <c r="A274" s="58" t="str">
        <v/>
      </c>
      <c r="B274" s="144" t="str">
        <f>IFERROR(TIMEVALUE(DaqBook_RAW_Data!AG264),IFERROR(TIMEVALUE(DaqBook_RAW_Data!A264),""))</f>
        <v/>
      </c>
      <c r="C274" s="167"/>
      <c r="D274" s="167"/>
      <c r="E274" s="167"/>
      <c r="F274" s="167"/>
      <c r="G274" s="167"/>
      <c r="H274" s="167"/>
      <c r="I274" s="167"/>
      <c r="J274" s="167"/>
      <c r="K274" s="167"/>
      <c r="L274" s="167"/>
      <c r="M274" s="167"/>
      <c r="N274" s="167"/>
      <c r="O274" s="167"/>
      <c r="P274" s="167"/>
    </row>
    <row r="275" spans="1:16" x14ac:dyDescent="0.2">
      <c r="A275" s="58" t="str">
        <v/>
      </c>
      <c r="B275" s="144" t="str">
        <f>IFERROR(TIMEVALUE(DaqBook_RAW_Data!AG265),IFERROR(TIMEVALUE(DaqBook_RAW_Data!A265),""))</f>
        <v/>
      </c>
      <c r="C275" s="167"/>
      <c r="D275" s="167"/>
      <c r="E275" s="167"/>
      <c r="F275" s="167"/>
      <c r="G275" s="167"/>
      <c r="H275" s="167"/>
      <c r="I275" s="167"/>
      <c r="J275" s="167"/>
      <c r="K275" s="167"/>
      <c r="L275" s="167"/>
      <c r="M275" s="167"/>
      <c r="N275" s="167"/>
      <c r="O275" s="167"/>
      <c r="P275" s="167"/>
    </row>
    <row r="276" spans="1:16" x14ac:dyDescent="0.2">
      <c r="A276" s="58" t="str">
        <v/>
      </c>
      <c r="B276" s="144" t="str">
        <f>IFERROR(TIMEVALUE(DaqBook_RAW_Data!AG266),IFERROR(TIMEVALUE(DaqBook_RAW_Data!A266),""))</f>
        <v/>
      </c>
      <c r="C276" s="167"/>
      <c r="D276" s="167"/>
      <c r="E276" s="167"/>
      <c r="F276" s="167"/>
      <c r="G276" s="167"/>
      <c r="H276" s="167"/>
      <c r="I276" s="167"/>
      <c r="J276" s="167"/>
      <c r="K276" s="167"/>
      <c r="L276" s="167"/>
      <c r="M276" s="167"/>
      <c r="N276" s="167"/>
      <c r="O276" s="167"/>
      <c r="P276" s="167"/>
    </row>
    <row r="277" spans="1:16" x14ac:dyDescent="0.2">
      <c r="A277" s="58" t="str">
        <v/>
      </c>
      <c r="B277" s="144" t="str">
        <f>IFERROR(TIMEVALUE(DaqBook_RAW_Data!AG267),IFERROR(TIMEVALUE(DaqBook_RAW_Data!A267),""))</f>
        <v/>
      </c>
      <c r="C277" s="167"/>
      <c r="D277" s="167"/>
      <c r="E277" s="167"/>
      <c r="F277" s="167"/>
      <c r="G277" s="167"/>
      <c r="H277" s="167"/>
      <c r="I277" s="167"/>
      <c r="J277" s="167"/>
      <c r="K277" s="167"/>
      <c r="L277" s="167"/>
      <c r="M277" s="167"/>
      <c r="N277" s="167"/>
      <c r="O277" s="167"/>
      <c r="P277" s="167"/>
    </row>
    <row r="278" spans="1:16" x14ac:dyDescent="0.2">
      <c r="A278" s="58" t="str">
        <v/>
      </c>
      <c r="B278" s="144" t="str">
        <f>IFERROR(TIMEVALUE(DaqBook_RAW_Data!AG268),IFERROR(TIMEVALUE(DaqBook_RAW_Data!A268),""))</f>
        <v/>
      </c>
      <c r="C278" s="167"/>
      <c r="D278" s="167"/>
      <c r="E278" s="167"/>
      <c r="F278" s="167"/>
      <c r="G278" s="167"/>
      <c r="H278" s="167"/>
      <c r="I278" s="167"/>
      <c r="J278" s="167"/>
      <c r="K278" s="167"/>
      <c r="L278" s="167"/>
      <c r="M278" s="167"/>
      <c r="N278" s="167"/>
      <c r="O278" s="167"/>
      <c r="P278" s="167"/>
    </row>
    <row r="279" spans="1:16" x14ac:dyDescent="0.2">
      <c r="A279" s="58" t="str">
        <v/>
      </c>
      <c r="B279" s="144" t="str">
        <f>IFERROR(TIMEVALUE(DaqBook_RAW_Data!AG269),IFERROR(TIMEVALUE(DaqBook_RAW_Data!A269),""))</f>
        <v/>
      </c>
      <c r="C279" s="167"/>
      <c r="D279" s="167"/>
      <c r="E279" s="167"/>
      <c r="F279" s="167"/>
      <c r="G279" s="167"/>
      <c r="H279" s="167"/>
      <c r="I279" s="167"/>
      <c r="J279" s="167"/>
      <c r="K279" s="167"/>
      <c r="L279" s="167"/>
      <c r="M279" s="167"/>
      <c r="N279" s="167"/>
      <c r="O279" s="167"/>
      <c r="P279" s="167"/>
    </row>
    <row r="280" spans="1:16" x14ac:dyDescent="0.2">
      <c r="A280" s="58" t="str">
        <v/>
      </c>
      <c r="B280" s="144" t="str">
        <f>IFERROR(TIMEVALUE(DaqBook_RAW_Data!AG270),IFERROR(TIMEVALUE(DaqBook_RAW_Data!A270),""))</f>
        <v/>
      </c>
      <c r="C280" s="167"/>
      <c r="D280" s="167"/>
      <c r="E280" s="167"/>
      <c r="F280" s="167"/>
      <c r="G280" s="167"/>
      <c r="H280" s="167"/>
      <c r="I280" s="167"/>
      <c r="J280" s="167"/>
      <c r="K280" s="167"/>
      <c r="L280" s="167"/>
      <c r="M280" s="167"/>
      <c r="N280" s="167"/>
      <c r="O280" s="167"/>
      <c r="P280" s="167"/>
    </row>
    <row r="281" spans="1:16" x14ac:dyDescent="0.2">
      <c r="A281" s="58" t="str">
        <v/>
      </c>
      <c r="B281" s="144" t="str">
        <f>IFERROR(TIMEVALUE(DaqBook_RAW_Data!AG271),IFERROR(TIMEVALUE(DaqBook_RAW_Data!A271),""))</f>
        <v/>
      </c>
      <c r="C281" s="167"/>
      <c r="D281" s="167"/>
      <c r="E281" s="167"/>
      <c r="F281" s="167"/>
      <c r="G281" s="167"/>
      <c r="H281" s="167"/>
      <c r="I281" s="167"/>
      <c r="J281" s="167"/>
      <c r="K281" s="167"/>
      <c r="L281" s="167"/>
      <c r="M281" s="167"/>
      <c r="N281" s="167"/>
      <c r="O281" s="167"/>
      <c r="P281" s="167"/>
    </row>
    <row r="282" spans="1:16" x14ac:dyDescent="0.2">
      <c r="A282" s="58" t="str">
        <v/>
      </c>
      <c r="B282" s="144" t="str">
        <f>IFERROR(TIMEVALUE(DaqBook_RAW_Data!AG272),IFERROR(TIMEVALUE(DaqBook_RAW_Data!A272),""))</f>
        <v/>
      </c>
      <c r="C282" s="167"/>
      <c r="D282" s="167"/>
      <c r="E282" s="167"/>
      <c r="F282" s="167"/>
      <c r="G282" s="167"/>
      <c r="H282" s="167"/>
      <c r="I282" s="167"/>
      <c r="J282" s="167"/>
      <c r="K282" s="167"/>
      <c r="L282" s="167"/>
      <c r="M282" s="167"/>
      <c r="N282" s="167"/>
      <c r="O282" s="167"/>
      <c r="P282" s="167"/>
    </row>
    <row r="283" spans="1:16" x14ac:dyDescent="0.2">
      <c r="A283" s="58" t="str">
        <v/>
      </c>
      <c r="B283" s="144" t="str">
        <f>IFERROR(TIMEVALUE(DaqBook_RAW_Data!AG273),IFERROR(TIMEVALUE(DaqBook_RAW_Data!A273),""))</f>
        <v/>
      </c>
      <c r="C283" s="167"/>
      <c r="D283" s="167"/>
      <c r="E283" s="167"/>
      <c r="F283" s="167"/>
      <c r="G283" s="167"/>
      <c r="H283" s="167"/>
      <c r="I283" s="167"/>
      <c r="J283" s="167"/>
      <c r="K283" s="167"/>
      <c r="L283" s="167"/>
      <c r="M283" s="167"/>
      <c r="N283" s="167"/>
      <c r="O283" s="167"/>
      <c r="P283" s="167"/>
    </row>
    <row r="284" spans="1:16" x14ac:dyDescent="0.2">
      <c r="A284" s="58" t="str">
        <v/>
      </c>
      <c r="B284" s="144" t="str">
        <f>IFERROR(TIMEVALUE(DaqBook_RAW_Data!AG274),IFERROR(TIMEVALUE(DaqBook_RAW_Data!A274),""))</f>
        <v/>
      </c>
      <c r="C284" s="167"/>
      <c r="D284" s="167"/>
      <c r="E284" s="167"/>
      <c r="F284" s="167"/>
      <c r="G284" s="167"/>
      <c r="H284" s="167"/>
      <c r="I284" s="167"/>
      <c r="J284" s="167"/>
      <c r="K284" s="167"/>
      <c r="L284" s="167"/>
      <c r="M284" s="167"/>
      <c r="N284" s="167"/>
      <c r="O284" s="167"/>
      <c r="P284" s="167"/>
    </row>
    <row r="285" spans="1:16" x14ac:dyDescent="0.2">
      <c r="A285" s="58" t="str">
        <v/>
      </c>
      <c r="B285" s="144" t="str">
        <f>IFERROR(TIMEVALUE(DaqBook_RAW_Data!AG275),IFERROR(TIMEVALUE(DaqBook_RAW_Data!A275),""))</f>
        <v/>
      </c>
      <c r="C285" s="167"/>
      <c r="D285" s="167"/>
      <c r="E285" s="167"/>
      <c r="F285" s="167"/>
      <c r="G285" s="167"/>
      <c r="H285" s="167"/>
      <c r="I285" s="167"/>
      <c r="J285" s="167"/>
      <c r="K285" s="167"/>
      <c r="L285" s="167"/>
      <c r="M285" s="167"/>
      <c r="N285" s="167"/>
      <c r="O285" s="167"/>
      <c r="P285" s="167"/>
    </row>
    <row r="286" spans="1:16" x14ac:dyDescent="0.2">
      <c r="A286" s="58" t="str">
        <v/>
      </c>
      <c r="B286" s="144" t="str">
        <f>IFERROR(TIMEVALUE(DaqBook_RAW_Data!AG276),IFERROR(TIMEVALUE(DaqBook_RAW_Data!A276),""))</f>
        <v/>
      </c>
      <c r="C286" s="167"/>
      <c r="D286" s="167"/>
      <c r="E286" s="167"/>
      <c r="F286" s="167"/>
      <c r="G286" s="167"/>
      <c r="H286" s="167"/>
      <c r="I286" s="167"/>
      <c r="J286" s="167"/>
      <c r="K286" s="167"/>
      <c r="L286" s="167"/>
      <c r="M286" s="167"/>
      <c r="N286" s="167"/>
      <c r="O286" s="167"/>
      <c r="P286" s="167"/>
    </row>
    <row r="287" spans="1:16" x14ac:dyDescent="0.2">
      <c r="A287" s="58" t="str">
        <v/>
      </c>
      <c r="B287" s="144" t="str">
        <f>IFERROR(TIMEVALUE(DaqBook_RAW_Data!AG277),IFERROR(TIMEVALUE(DaqBook_RAW_Data!A277),""))</f>
        <v/>
      </c>
      <c r="C287" s="167"/>
      <c r="D287" s="167"/>
      <c r="E287" s="167"/>
      <c r="F287" s="167"/>
      <c r="G287" s="167"/>
      <c r="H287" s="167"/>
      <c r="I287" s="167"/>
      <c r="J287" s="167"/>
      <c r="K287" s="167"/>
      <c r="L287" s="167"/>
      <c r="M287" s="167"/>
      <c r="N287" s="167"/>
      <c r="O287" s="167"/>
      <c r="P287" s="167"/>
    </row>
    <row r="288" spans="1:16" x14ac:dyDescent="0.2">
      <c r="A288" s="58" t="str">
        <v/>
      </c>
      <c r="B288" s="144" t="str">
        <f>IFERROR(TIMEVALUE(DaqBook_RAW_Data!AG278),IFERROR(TIMEVALUE(DaqBook_RAW_Data!A278),""))</f>
        <v/>
      </c>
      <c r="C288" s="167"/>
      <c r="D288" s="167"/>
      <c r="E288" s="167"/>
      <c r="F288" s="167"/>
      <c r="G288" s="167"/>
      <c r="H288" s="167"/>
      <c r="I288" s="167"/>
      <c r="J288" s="167"/>
      <c r="K288" s="167"/>
      <c r="L288" s="167"/>
      <c r="M288" s="167"/>
      <c r="N288" s="167"/>
      <c r="O288" s="167"/>
      <c r="P288" s="167"/>
    </row>
    <row r="289" spans="1:16" x14ac:dyDescent="0.2">
      <c r="A289" s="58" t="str">
        <v/>
      </c>
      <c r="B289" s="144" t="str">
        <f>IFERROR(TIMEVALUE(DaqBook_RAW_Data!AG279),IFERROR(TIMEVALUE(DaqBook_RAW_Data!A279),""))</f>
        <v/>
      </c>
      <c r="C289" s="167"/>
      <c r="D289" s="167"/>
      <c r="E289" s="167"/>
      <c r="F289" s="167"/>
      <c r="G289" s="167"/>
      <c r="H289" s="167"/>
      <c r="I289" s="167"/>
      <c r="J289" s="167"/>
      <c r="K289" s="167"/>
      <c r="L289" s="167"/>
      <c r="M289" s="167"/>
      <c r="N289" s="167"/>
      <c r="O289" s="167"/>
      <c r="P289" s="167"/>
    </row>
    <row r="290" spans="1:16" x14ac:dyDescent="0.2">
      <c r="A290" s="58" t="str">
        <v/>
      </c>
      <c r="B290" s="144" t="str">
        <f>IFERROR(TIMEVALUE(DaqBook_RAW_Data!AG280),IFERROR(TIMEVALUE(DaqBook_RAW_Data!A280),""))</f>
        <v/>
      </c>
      <c r="C290" s="167"/>
      <c r="D290" s="167"/>
      <c r="E290" s="167"/>
      <c r="F290" s="167"/>
      <c r="G290" s="167"/>
      <c r="H290" s="167"/>
      <c r="I290" s="167"/>
      <c r="J290" s="167"/>
      <c r="K290" s="167"/>
      <c r="L290" s="167"/>
      <c r="M290" s="167"/>
      <c r="N290" s="167"/>
      <c r="O290" s="167"/>
      <c r="P290" s="167"/>
    </row>
    <row r="291" spans="1:16" x14ac:dyDescent="0.2">
      <c r="A291" s="58" t="str">
        <v/>
      </c>
      <c r="B291" s="144" t="str">
        <f>IFERROR(TIMEVALUE(DaqBook_RAW_Data!AG281),IFERROR(TIMEVALUE(DaqBook_RAW_Data!A281),""))</f>
        <v/>
      </c>
      <c r="C291" s="167"/>
      <c r="D291" s="167"/>
      <c r="E291" s="167"/>
      <c r="F291" s="167"/>
      <c r="G291" s="167"/>
      <c r="H291" s="167"/>
      <c r="I291" s="167"/>
      <c r="J291" s="167"/>
      <c r="K291" s="167"/>
      <c r="L291" s="167"/>
      <c r="M291" s="167"/>
      <c r="N291" s="167"/>
      <c r="O291" s="167"/>
      <c r="P291" s="167"/>
    </row>
    <row r="292" spans="1:16" x14ac:dyDescent="0.2">
      <c r="A292" s="58" t="str">
        <v/>
      </c>
      <c r="B292" s="144" t="str">
        <f>IFERROR(TIMEVALUE(DaqBook_RAW_Data!AG282),IFERROR(TIMEVALUE(DaqBook_RAW_Data!A282),""))</f>
        <v/>
      </c>
      <c r="C292" s="167"/>
      <c r="D292" s="167"/>
      <c r="E292" s="167"/>
      <c r="F292" s="167"/>
      <c r="G292" s="167"/>
      <c r="H292" s="167"/>
      <c r="I292" s="167"/>
      <c r="J292" s="167"/>
      <c r="K292" s="167"/>
      <c r="L292" s="167"/>
      <c r="M292" s="167"/>
      <c r="N292" s="167"/>
      <c r="O292" s="167"/>
      <c r="P292" s="167"/>
    </row>
    <row r="293" spans="1:16" x14ac:dyDescent="0.2">
      <c r="A293" s="58" t="str">
        <v/>
      </c>
      <c r="B293" s="144" t="str">
        <f>IFERROR(TIMEVALUE(DaqBook_RAW_Data!AG283),IFERROR(TIMEVALUE(DaqBook_RAW_Data!A283),""))</f>
        <v/>
      </c>
      <c r="C293" s="167"/>
      <c r="D293" s="167"/>
      <c r="E293" s="167"/>
      <c r="F293" s="167"/>
      <c r="G293" s="167"/>
      <c r="H293" s="167"/>
      <c r="I293" s="167"/>
      <c r="J293" s="167"/>
      <c r="K293" s="167"/>
      <c r="L293" s="167"/>
      <c r="M293" s="167"/>
      <c r="N293" s="167"/>
      <c r="O293" s="167"/>
      <c r="P293" s="167"/>
    </row>
    <row r="294" spans="1:16" x14ac:dyDescent="0.2">
      <c r="A294" s="58" t="str">
        <v/>
      </c>
      <c r="B294" s="144" t="str">
        <f>IFERROR(TIMEVALUE(DaqBook_RAW_Data!AG284),IFERROR(TIMEVALUE(DaqBook_RAW_Data!A284),""))</f>
        <v/>
      </c>
      <c r="C294" s="167"/>
      <c r="D294" s="167"/>
      <c r="E294" s="167"/>
      <c r="F294" s="167"/>
      <c r="G294" s="167"/>
      <c r="H294" s="167"/>
      <c r="I294" s="167"/>
      <c r="J294" s="167"/>
      <c r="K294" s="167"/>
      <c r="L294" s="167"/>
      <c r="M294" s="167"/>
      <c r="N294" s="167"/>
      <c r="O294" s="167"/>
      <c r="P294" s="167"/>
    </row>
    <row r="295" spans="1:16" x14ac:dyDescent="0.2">
      <c r="A295" s="58" t="str">
        <v/>
      </c>
      <c r="B295" s="144" t="str">
        <f>IFERROR(TIMEVALUE(DaqBook_RAW_Data!AG285),IFERROR(TIMEVALUE(DaqBook_RAW_Data!A285),""))</f>
        <v/>
      </c>
      <c r="C295" s="167"/>
      <c r="D295" s="167"/>
      <c r="E295" s="167"/>
      <c r="F295" s="167"/>
      <c r="G295" s="167"/>
      <c r="H295" s="167"/>
      <c r="I295" s="167"/>
      <c r="J295" s="167"/>
      <c r="K295" s="167"/>
      <c r="L295" s="167"/>
      <c r="M295" s="167"/>
      <c r="N295" s="167"/>
      <c r="O295" s="167"/>
      <c r="P295" s="167"/>
    </row>
    <row r="296" spans="1:16" x14ac:dyDescent="0.2">
      <c r="A296" s="58" t="str">
        <v/>
      </c>
      <c r="B296" s="144" t="str">
        <f>IFERROR(TIMEVALUE(DaqBook_RAW_Data!AG286),IFERROR(TIMEVALUE(DaqBook_RAW_Data!A286),""))</f>
        <v/>
      </c>
      <c r="C296" s="167"/>
      <c r="D296" s="167"/>
      <c r="E296" s="167"/>
      <c r="F296" s="167"/>
      <c r="G296" s="167"/>
      <c r="H296" s="167"/>
      <c r="I296" s="167"/>
      <c r="J296" s="167"/>
      <c r="K296" s="167"/>
      <c r="L296" s="167"/>
      <c r="M296" s="167"/>
      <c r="N296" s="167"/>
      <c r="O296" s="167"/>
      <c r="P296" s="167"/>
    </row>
    <row r="297" spans="1:16" x14ac:dyDescent="0.2">
      <c r="A297" s="58" t="str">
        <v/>
      </c>
      <c r="B297" s="144" t="str">
        <f>IFERROR(TIMEVALUE(DaqBook_RAW_Data!AG287),IFERROR(TIMEVALUE(DaqBook_RAW_Data!A287),""))</f>
        <v/>
      </c>
      <c r="C297" s="167"/>
      <c r="D297" s="167"/>
      <c r="E297" s="167"/>
      <c r="F297" s="167"/>
      <c r="G297" s="167"/>
      <c r="H297" s="167"/>
      <c r="I297" s="167"/>
      <c r="J297" s="167"/>
      <c r="K297" s="167"/>
      <c r="L297" s="167"/>
      <c r="M297" s="167"/>
      <c r="N297" s="167"/>
      <c r="O297" s="167"/>
      <c r="P297" s="167"/>
    </row>
    <row r="298" spans="1:16" x14ac:dyDescent="0.2">
      <c r="A298" s="58" t="str">
        <v/>
      </c>
      <c r="B298" s="144" t="str">
        <f>IFERROR(TIMEVALUE(DaqBook_RAW_Data!AG288),IFERROR(TIMEVALUE(DaqBook_RAW_Data!A288),""))</f>
        <v/>
      </c>
      <c r="C298" s="167"/>
      <c r="D298" s="167"/>
      <c r="E298" s="167"/>
      <c r="F298" s="167"/>
      <c r="G298" s="167"/>
      <c r="H298" s="167"/>
      <c r="I298" s="167"/>
      <c r="J298" s="167"/>
      <c r="K298" s="167"/>
      <c r="L298" s="167"/>
      <c r="M298" s="167"/>
      <c r="N298" s="167"/>
      <c r="O298" s="167"/>
      <c r="P298" s="167"/>
    </row>
    <row r="299" spans="1:16" x14ac:dyDescent="0.2">
      <c r="A299" s="58" t="str">
        <v/>
      </c>
      <c r="B299" s="144" t="str">
        <f>IFERROR(TIMEVALUE(DaqBook_RAW_Data!AG289),IFERROR(TIMEVALUE(DaqBook_RAW_Data!A289),""))</f>
        <v/>
      </c>
      <c r="C299" s="167"/>
      <c r="D299" s="167"/>
      <c r="E299" s="167"/>
      <c r="F299" s="167"/>
      <c r="G299" s="167"/>
      <c r="H299" s="167"/>
      <c r="I299" s="167"/>
      <c r="J299" s="167"/>
      <c r="K299" s="167"/>
      <c r="L299" s="167"/>
      <c r="M299" s="167"/>
      <c r="N299" s="167"/>
      <c r="O299" s="167"/>
      <c r="P299" s="167"/>
    </row>
    <row r="300" spans="1:16" x14ac:dyDescent="0.2">
      <c r="A300" s="58" t="str">
        <v/>
      </c>
      <c r="B300" s="144" t="str">
        <f>IFERROR(TIMEVALUE(DaqBook_RAW_Data!AG290),IFERROR(TIMEVALUE(DaqBook_RAW_Data!A290),""))</f>
        <v/>
      </c>
      <c r="C300" s="167"/>
      <c r="D300" s="167"/>
      <c r="E300" s="167"/>
      <c r="F300" s="167"/>
      <c r="G300" s="167"/>
      <c r="H300" s="167"/>
      <c r="I300" s="167"/>
      <c r="J300" s="167"/>
      <c r="K300" s="167"/>
      <c r="L300" s="167"/>
      <c r="M300" s="167"/>
      <c r="N300" s="167"/>
      <c r="O300" s="167"/>
      <c r="P300" s="167"/>
    </row>
    <row r="301" spans="1:16" x14ac:dyDescent="0.2">
      <c r="A301" s="58" t="str">
        <v/>
      </c>
      <c r="B301" s="144" t="str">
        <f>IFERROR(TIMEVALUE(DaqBook_RAW_Data!AG291),IFERROR(TIMEVALUE(DaqBook_RAW_Data!A291),""))</f>
        <v/>
      </c>
      <c r="C301" s="167"/>
      <c r="D301" s="167"/>
      <c r="E301" s="167"/>
      <c r="F301" s="167"/>
      <c r="G301" s="167"/>
      <c r="H301" s="167"/>
      <c r="I301" s="167"/>
      <c r="J301" s="167"/>
      <c r="K301" s="167"/>
      <c r="L301" s="167"/>
      <c r="M301" s="167"/>
      <c r="N301" s="167"/>
      <c r="O301" s="167"/>
      <c r="P301" s="167"/>
    </row>
    <row r="302" spans="1:16" x14ac:dyDescent="0.2">
      <c r="A302" s="58" t="str">
        <v/>
      </c>
      <c r="B302" s="144" t="str">
        <f>IFERROR(TIMEVALUE(DaqBook_RAW_Data!AG292),IFERROR(TIMEVALUE(DaqBook_RAW_Data!A292),""))</f>
        <v/>
      </c>
      <c r="C302" s="167"/>
      <c r="D302" s="167"/>
      <c r="E302" s="167"/>
      <c r="F302" s="167"/>
      <c r="G302" s="167"/>
      <c r="H302" s="167"/>
      <c r="I302" s="167"/>
      <c r="J302" s="167"/>
      <c r="K302" s="167"/>
      <c r="L302" s="167"/>
      <c r="M302" s="167"/>
      <c r="N302" s="167"/>
      <c r="O302" s="167"/>
      <c r="P302" s="167"/>
    </row>
    <row r="303" spans="1:16" x14ac:dyDescent="0.2">
      <c r="A303" s="58" t="str">
        <v/>
      </c>
      <c r="B303" s="144" t="str">
        <f>IFERROR(TIMEVALUE(DaqBook_RAW_Data!AG293),IFERROR(TIMEVALUE(DaqBook_RAW_Data!A293),""))</f>
        <v/>
      </c>
      <c r="C303" s="167"/>
      <c r="D303" s="167"/>
      <c r="E303" s="167"/>
      <c r="F303" s="167"/>
      <c r="G303" s="167"/>
      <c r="H303" s="167"/>
      <c r="I303" s="167"/>
      <c r="J303" s="167"/>
      <c r="K303" s="167"/>
      <c r="L303" s="167"/>
      <c r="M303" s="167"/>
      <c r="N303" s="167"/>
      <c r="O303" s="167"/>
      <c r="P303" s="167"/>
    </row>
    <row r="304" spans="1:16" x14ac:dyDescent="0.2">
      <c r="A304" s="58" t="str">
        <v/>
      </c>
      <c r="B304" s="144" t="str">
        <f>IFERROR(TIMEVALUE(DaqBook_RAW_Data!AG294),IFERROR(TIMEVALUE(DaqBook_RAW_Data!A294),""))</f>
        <v/>
      </c>
      <c r="C304" s="167"/>
      <c r="D304" s="167"/>
      <c r="E304" s="167"/>
      <c r="F304" s="167"/>
      <c r="G304" s="167"/>
      <c r="H304" s="167"/>
      <c r="I304" s="167"/>
      <c r="J304" s="167"/>
      <c r="K304" s="167"/>
      <c r="L304" s="167"/>
      <c r="M304" s="167"/>
      <c r="N304" s="167"/>
      <c r="O304" s="167"/>
      <c r="P304" s="167"/>
    </row>
    <row r="305" spans="1:16" x14ac:dyDescent="0.2">
      <c r="A305" s="58" t="str">
        <v/>
      </c>
      <c r="B305" s="144" t="str">
        <f>IFERROR(TIMEVALUE(DaqBook_RAW_Data!AG295),IFERROR(TIMEVALUE(DaqBook_RAW_Data!A295),""))</f>
        <v/>
      </c>
      <c r="C305" s="167"/>
      <c r="D305" s="167"/>
      <c r="E305" s="167"/>
      <c r="F305" s="167"/>
      <c r="G305" s="167"/>
      <c r="H305" s="167"/>
      <c r="I305" s="167"/>
      <c r="J305" s="167"/>
      <c r="K305" s="167"/>
      <c r="L305" s="167"/>
      <c r="M305" s="167"/>
      <c r="N305" s="167"/>
      <c r="O305" s="167"/>
      <c r="P305" s="167"/>
    </row>
    <row r="306" spans="1:16" x14ac:dyDescent="0.2">
      <c r="A306" s="58" t="str">
        <v/>
      </c>
      <c r="B306" s="144" t="str">
        <f>IFERROR(TIMEVALUE(DaqBook_RAW_Data!AG296),IFERROR(TIMEVALUE(DaqBook_RAW_Data!A296),""))</f>
        <v/>
      </c>
      <c r="C306" s="167"/>
      <c r="D306" s="167"/>
      <c r="E306" s="167"/>
      <c r="F306" s="167"/>
      <c r="G306" s="167"/>
      <c r="H306" s="167"/>
      <c r="I306" s="167"/>
      <c r="J306" s="167"/>
      <c r="K306" s="167"/>
      <c r="L306" s="167"/>
      <c r="M306" s="167"/>
      <c r="N306" s="167"/>
      <c r="O306" s="167"/>
      <c r="P306" s="167"/>
    </row>
    <row r="307" spans="1:16" x14ac:dyDescent="0.2">
      <c r="A307" s="58" t="str">
        <v/>
      </c>
      <c r="B307" s="144" t="str">
        <f>IFERROR(TIMEVALUE(DaqBook_RAW_Data!AG297),IFERROR(TIMEVALUE(DaqBook_RAW_Data!A297),""))</f>
        <v/>
      </c>
      <c r="C307" s="167"/>
      <c r="D307" s="167"/>
      <c r="E307" s="167"/>
      <c r="F307" s="167"/>
      <c r="G307" s="167"/>
      <c r="H307" s="167"/>
      <c r="I307" s="167"/>
      <c r="J307" s="167"/>
      <c r="K307" s="167"/>
      <c r="L307" s="167"/>
      <c r="M307" s="167"/>
      <c r="N307" s="167"/>
      <c r="O307" s="167"/>
      <c r="P307" s="167"/>
    </row>
    <row r="308" spans="1:16" x14ac:dyDescent="0.2">
      <c r="A308" s="58" t="str">
        <v/>
      </c>
      <c r="B308" s="144" t="str">
        <f>IFERROR(TIMEVALUE(DaqBook_RAW_Data!AG298),IFERROR(TIMEVALUE(DaqBook_RAW_Data!A298),""))</f>
        <v/>
      </c>
      <c r="C308" s="167"/>
      <c r="D308" s="167"/>
      <c r="E308" s="167"/>
      <c r="F308" s="167"/>
      <c r="G308" s="167"/>
      <c r="H308" s="167"/>
      <c r="I308" s="167"/>
      <c r="J308" s="167"/>
      <c r="K308" s="167"/>
      <c r="L308" s="167"/>
      <c r="M308" s="167"/>
      <c r="N308" s="167"/>
      <c r="O308" s="167"/>
      <c r="P308" s="167"/>
    </row>
    <row r="309" spans="1:16" x14ac:dyDescent="0.2">
      <c r="A309" s="58" t="str">
        <v/>
      </c>
      <c r="B309" s="144" t="str">
        <f>IFERROR(TIMEVALUE(DaqBook_RAW_Data!AG299),IFERROR(TIMEVALUE(DaqBook_RAW_Data!A299),""))</f>
        <v/>
      </c>
      <c r="C309" s="167"/>
      <c r="D309" s="167"/>
      <c r="E309" s="167"/>
      <c r="F309" s="167"/>
      <c r="G309" s="167"/>
      <c r="H309" s="167"/>
      <c r="I309" s="167"/>
      <c r="J309" s="167"/>
      <c r="K309" s="167"/>
      <c r="L309" s="167"/>
      <c r="M309" s="167"/>
      <c r="N309" s="167"/>
      <c r="O309" s="167"/>
      <c r="P309" s="167"/>
    </row>
    <row r="310" spans="1:16" x14ac:dyDescent="0.2">
      <c r="A310" s="58" t="str">
        <v/>
      </c>
      <c r="B310" s="144" t="str">
        <f>IFERROR(TIMEVALUE(DaqBook_RAW_Data!AG300),IFERROR(TIMEVALUE(DaqBook_RAW_Data!A300),""))</f>
        <v/>
      </c>
      <c r="C310" s="167"/>
      <c r="D310" s="167"/>
      <c r="E310" s="167"/>
      <c r="F310" s="167"/>
      <c r="G310" s="167"/>
      <c r="H310" s="167"/>
      <c r="I310" s="167"/>
      <c r="J310" s="167"/>
      <c r="K310" s="167"/>
      <c r="L310" s="167"/>
      <c r="M310" s="167"/>
      <c r="N310" s="167"/>
      <c r="O310" s="167"/>
      <c r="P310" s="167"/>
    </row>
    <row r="311" spans="1:16" x14ac:dyDescent="0.2">
      <c r="A311" s="58" t="str">
        <v/>
      </c>
      <c r="B311" s="144" t="str">
        <f>IFERROR(TIMEVALUE(DaqBook_RAW_Data!AG301),IFERROR(TIMEVALUE(DaqBook_RAW_Data!A301),""))</f>
        <v/>
      </c>
      <c r="C311" s="167"/>
      <c r="D311" s="167"/>
      <c r="E311" s="167"/>
      <c r="F311" s="167"/>
      <c r="G311" s="167"/>
      <c r="H311" s="167"/>
      <c r="I311" s="167"/>
      <c r="J311" s="167"/>
      <c r="K311" s="167"/>
      <c r="L311" s="167"/>
      <c r="M311" s="167"/>
      <c r="N311" s="167"/>
      <c r="O311" s="167"/>
      <c r="P311" s="167"/>
    </row>
    <row r="312" spans="1:16" x14ac:dyDescent="0.2">
      <c r="A312" s="58" t="str">
        <v/>
      </c>
      <c r="B312" s="144" t="str">
        <f>IFERROR(TIMEVALUE(DaqBook_RAW_Data!AG302),IFERROR(TIMEVALUE(DaqBook_RAW_Data!A302),""))</f>
        <v/>
      </c>
      <c r="C312" s="167"/>
      <c r="D312" s="167"/>
      <c r="E312" s="167"/>
      <c r="F312" s="167"/>
      <c r="G312" s="167"/>
      <c r="H312" s="167"/>
      <c r="I312" s="167"/>
      <c r="J312" s="167"/>
      <c r="K312" s="167"/>
      <c r="L312" s="167"/>
      <c r="M312" s="167"/>
      <c r="N312" s="167"/>
      <c r="O312" s="167"/>
      <c r="P312" s="167"/>
    </row>
    <row r="313" spans="1:16" x14ac:dyDescent="0.2">
      <c r="A313" s="58" t="str">
        <v/>
      </c>
      <c r="B313" s="144" t="str">
        <f>IFERROR(TIMEVALUE(DaqBook_RAW_Data!AG303),IFERROR(TIMEVALUE(DaqBook_RAW_Data!A303),""))</f>
        <v/>
      </c>
      <c r="C313" s="167"/>
      <c r="D313" s="167"/>
      <c r="E313" s="167"/>
      <c r="F313" s="167"/>
      <c r="G313" s="167"/>
      <c r="H313" s="167"/>
      <c r="I313" s="167"/>
      <c r="J313" s="167"/>
      <c r="K313" s="167"/>
      <c r="L313" s="167"/>
      <c r="M313" s="167"/>
      <c r="N313" s="167"/>
      <c r="O313" s="167"/>
      <c r="P313" s="167"/>
    </row>
    <row r="314" spans="1:16" x14ac:dyDescent="0.2">
      <c r="A314" s="58" t="str">
        <v/>
      </c>
      <c r="B314" s="144" t="str">
        <f>IFERROR(TIMEVALUE(DaqBook_RAW_Data!AG304),IFERROR(TIMEVALUE(DaqBook_RAW_Data!A304),""))</f>
        <v/>
      </c>
      <c r="C314" s="167"/>
      <c r="D314" s="167"/>
      <c r="E314" s="167"/>
      <c r="F314" s="167"/>
      <c r="G314" s="167"/>
      <c r="H314" s="167"/>
      <c r="I314" s="167"/>
      <c r="J314" s="167"/>
      <c r="K314" s="167"/>
      <c r="L314" s="167"/>
      <c r="M314" s="167"/>
      <c r="N314" s="167"/>
      <c r="O314" s="167"/>
      <c r="P314" s="167"/>
    </row>
    <row r="315" spans="1:16" x14ac:dyDescent="0.2">
      <c r="A315" s="58" t="str">
        <v/>
      </c>
      <c r="B315" s="144" t="str">
        <f>IFERROR(TIMEVALUE(DaqBook_RAW_Data!AG305),IFERROR(TIMEVALUE(DaqBook_RAW_Data!A305),""))</f>
        <v/>
      </c>
      <c r="C315" s="167"/>
      <c r="D315" s="167"/>
      <c r="E315" s="167"/>
      <c r="F315" s="167"/>
      <c r="G315" s="167"/>
      <c r="H315" s="167"/>
      <c r="I315" s="167"/>
      <c r="J315" s="167"/>
      <c r="K315" s="167"/>
      <c r="L315" s="167"/>
      <c r="M315" s="167"/>
      <c r="N315" s="167"/>
      <c r="O315" s="167"/>
      <c r="P315" s="167"/>
    </row>
    <row r="316" spans="1:16" x14ac:dyDescent="0.2">
      <c r="A316" s="58" t="str">
        <v/>
      </c>
      <c r="B316" s="144" t="str">
        <f>IFERROR(TIMEVALUE(DaqBook_RAW_Data!AG306),IFERROR(TIMEVALUE(DaqBook_RAW_Data!A306),""))</f>
        <v/>
      </c>
      <c r="C316" s="167"/>
      <c r="D316" s="167"/>
      <c r="E316" s="167"/>
      <c r="F316" s="167"/>
      <c r="G316" s="167"/>
      <c r="H316" s="167"/>
      <c r="I316" s="167"/>
      <c r="J316" s="167"/>
      <c r="K316" s="167"/>
      <c r="L316" s="167"/>
      <c r="M316" s="167"/>
      <c r="N316" s="167"/>
      <c r="O316" s="167"/>
      <c r="P316" s="167"/>
    </row>
    <row r="317" spans="1:16" x14ac:dyDescent="0.2">
      <c r="A317" s="58" t="str">
        <v/>
      </c>
      <c r="B317" s="144" t="str">
        <f>IFERROR(TIMEVALUE(DaqBook_RAW_Data!AG307),IFERROR(TIMEVALUE(DaqBook_RAW_Data!A307),""))</f>
        <v/>
      </c>
      <c r="C317" s="167"/>
      <c r="D317" s="167"/>
      <c r="E317" s="167"/>
      <c r="F317" s="167"/>
      <c r="G317" s="167"/>
      <c r="H317" s="167"/>
      <c r="I317" s="167"/>
      <c r="J317" s="167"/>
      <c r="K317" s="167"/>
      <c r="L317" s="167"/>
      <c r="M317" s="167"/>
      <c r="N317" s="167"/>
      <c r="O317" s="167"/>
      <c r="P317" s="167"/>
    </row>
    <row r="318" spans="1:16" x14ac:dyDescent="0.2">
      <c r="A318" s="58" t="str">
        <v/>
      </c>
      <c r="B318" s="144" t="str">
        <f>IFERROR(TIMEVALUE(DaqBook_RAW_Data!AG308),IFERROR(TIMEVALUE(DaqBook_RAW_Data!A308),""))</f>
        <v/>
      </c>
      <c r="C318" s="167"/>
      <c r="D318" s="167"/>
      <c r="E318" s="167"/>
      <c r="F318" s="167"/>
      <c r="G318" s="167"/>
      <c r="H318" s="167"/>
      <c r="I318" s="167"/>
      <c r="J318" s="167"/>
      <c r="K318" s="167"/>
      <c r="L318" s="167"/>
      <c r="M318" s="167"/>
      <c r="N318" s="167"/>
      <c r="O318" s="167"/>
      <c r="P318" s="167"/>
    </row>
    <row r="319" spans="1:16" x14ac:dyDescent="0.2">
      <c r="A319" s="58" t="str">
        <v/>
      </c>
      <c r="B319" s="144" t="str">
        <f>IFERROR(TIMEVALUE(DaqBook_RAW_Data!AG309),IFERROR(TIMEVALUE(DaqBook_RAW_Data!A309),""))</f>
        <v/>
      </c>
      <c r="C319" s="167"/>
      <c r="D319" s="167"/>
      <c r="E319" s="167"/>
      <c r="F319" s="167"/>
      <c r="G319" s="167"/>
      <c r="H319" s="167"/>
      <c r="I319" s="167"/>
      <c r="J319" s="167"/>
      <c r="K319" s="167"/>
      <c r="L319" s="167"/>
      <c r="M319" s="167"/>
      <c r="N319" s="167"/>
      <c r="O319" s="167"/>
      <c r="P319" s="167"/>
    </row>
    <row r="320" spans="1:16" x14ac:dyDescent="0.2">
      <c r="A320" s="58" t="str">
        <v/>
      </c>
      <c r="B320" s="144" t="str">
        <f>IFERROR(TIMEVALUE(DaqBook_RAW_Data!AG310),IFERROR(TIMEVALUE(DaqBook_RAW_Data!A310),""))</f>
        <v/>
      </c>
      <c r="C320" s="167"/>
      <c r="D320" s="167"/>
      <c r="E320" s="167"/>
      <c r="F320" s="167"/>
      <c r="G320" s="167"/>
      <c r="H320" s="167"/>
      <c r="I320" s="167"/>
      <c r="J320" s="167"/>
      <c r="K320" s="167"/>
      <c r="L320" s="167"/>
      <c r="M320" s="167"/>
      <c r="N320" s="167"/>
      <c r="O320" s="167"/>
      <c r="P320" s="167"/>
    </row>
    <row r="321" spans="1:16" x14ac:dyDescent="0.2">
      <c r="A321" s="58" t="str">
        <v/>
      </c>
      <c r="B321" s="144" t="str">
        <f>IFERROR(TIMEVALUE(DaqBook_RAW_Data!AG311),IFERROR(TIMEVALUE(DaqBook_RAW_Data!A311),""))</f>
        <v/>
      </c>
      <c r="C321" s="167"/>
      <c r="D321" s="167"/>
      <c r="E321" s="167"/>
      <c r="F321" s="167"/>
      <c r="G321" s="167"/>
      <c r="H321" s="167"/>
      <c r="I321" s="167"/>
      <c r="J321" s="167"/>
      <c r="K321" s="167"/>
      <c r="L321" s="167"/>
      <c r="M321" s="167"/>
      <c r="N321" s="167"/>
      <c r="O321" s="167"/>
      <c r="P321" s="167"/>
    </row>
    <row r="322" spans="1:16" x14ac:dyDescent="0.2">
      <c r="A322" s="58" t="str">
        <v/>
      </c>
      <c r="B322" s="144" t="str">
        <f>IFERROR(TIMEVALUE(DaqBook_RAW_Data!AG312),IFERROR(TIMEVALUE(DaqBook_RAW_Data!A312),""))</f>
        <v/>
      </c>
      <c r="C322" s="167"/>
      <c r="D322" s="167"/>
      <c r="E322" s="167"/>
      <c r="F322" s="167"/>
      <c r="G322" s="167"/>
      <c r="H322" s="167"/>
      <c r="I322" s="167"/>
      <c r="J322" s="167"/>
      <c r="K322" s="167"/>
      <c r="L322" s="167"/>
      <c r="M322" s="167"/>
      <c r="N322" s="167"/>
      <c r="O322" s="167"/>
      <c r="P322" s="167"/>
    </row>
    <row r="323" spans="1:16" x14ac:dyDescent="0.2">
      <c r="A323" s="58" t="str">
        <v/>
      </c>
      <c r="B323" s="144" t="str">
        <f>IFERROR(TIMEVALUE(DaqBook_RAW_Data!AG313),IFERROR(TIMEVALUE(DaqBook_RAW_Data!A313),""))</f>
        <v/>
      </c>
      <c r="C323" s="167"/>
      <c r="D323" s="167"/>
      <c r="E323" s="167"/>
      <c r="F323" s="167"/>
      <c r="G323" s="167"/>
      <c r="H323" s="167"/>
      <c r="I323" s="167"/>
      <c r="J323" s="167"/>
      <c r="K323" s="167"/>
      <c r="L323" s="167"/>
      <c r="M323" s="167"/>
      <c r="N323" s="167"/>
      <c r="O323" s="167"/>
      <c r="P323" s="167"/>
    </row>
    <row r="324" spans="1:16" x14ac:dyDescent="0.2">
      <c r="A324" s="58" t="str">
        <v/>
      </c>
      <c r="B324" s="144" t="str">
        <f>IFERROR(TIMEVALUE(DaqBook_RAW_Data!AG314),IFERROR(TIMEVALUE(DaqBook_RAW_Data!A314),""))</f>
        <v/>
      </c>
      <c r="C324" s="167"/>
      <c r="D324" s="167"/>
      <c r="E324" s="167"/>
      <c r="F324" s="167"/>
      <c r="G324" s="167"/>
      <c r="H324" s="167"/>
      <c r="I324" s="167"/>
      <c r="J324" s="167"/>
      <c r="K324" s="167"/>
      <c r="L324" s="167"/>
      <c r="M324" s="167"/>
      <c r="N324" s="167"/>
      <c r="O324" s="167"/>
      <c r="P324" s="167"/>
    </row>
    <row r="325" spans="1:16" x14ac:dyDescent="0.2">
      <c r="A325" s="58" t="str">
        <v/>
      </c>
      <c r="B325" s="144" t="str">
        <f>IFERROR(TIMEVALUE(DaqBook_RAW_Data!AG315),IFERROR(TIMEVALUE(DaqBook_RAW_Data!A315),""))</f>
        <v/>
      </c>
      <c r="C325" s="167"/>
      <c r="D325" s="167"/>
      <c r="E325" s="167"/>
      <c r="F325" s="167"/>
      <c r="G325" s="167"/>
      <c r="H325" s="167"/>
      <c r="I325" s="167"/>
      <c r="J325" s="167"/>
      <c r="K325" s="167"/>
      <c r="L325" s="167"/>
      <c r="M325" s="167"/>
      <c r="N325" s="167"/>
      <c r="O325" s="167"/>
      <c r="P325" s="167"/>
    </row>
    <row r="326" spans="1:16" x14ac:dyDescent="0.2">
      <c r="A326" s="58" t="str">
        <v/>
      </c>
      <c r="B326" s="144" t="str">
        <f>IFERROR(TIMEVALUE(DaqBook_RAW_Data!AG316),IFERROR(TIMEVALUE(DaqBook_RAW_Data!A316),""))</f>
        <v/>
      </c>
      <c r="C326" s="167"/>
      <c r="D326" s="167"/>
      <c r="E326" s="167"/>
      <c r="F326" s="167"/>
      <c r="G326" s="167"/>
      <c r="H326" s="167"/>
      <c r="I326" s="167"/>
      <c r="J326" s="167"/>
      <c r="K326" s="167"/>
      <c r="L326" s="167"/>
      <c r="M326" s="167"/>
      <c r="N326" s="167"/>
      <c r="O326" s="167"/>
      <c r="P326" s="167"/>
    </row>
    <row r="327" spans="1:16" x14ac:dyDescent="0.2">
      <c r="A327" s="58" t="str">
        <v/>
      </c>
      <c r="B327" s="144" t="str">
        <f>IFERROR(TIMEVALUE(DaqBook_RAW_Data!AG317),IFERROR(TIMEVALUE(DaqBook_RAW_Data!A317),""))</f>
        <v/>
      </c>
      <c r="C327" s="167"/>
      <c r="D327" s="167"/>
      <c r="E327" s="167"/>
      <c r="F327" s="167"/>
      <c r="G327" s="167"/>
      <c r="H327" s="167"/>
      <c r="I327" s="167"/>
      <c r="J327" s="167"/>
      <c r="K327" s="167"/>
      <c r="L327" s="167"/>
      <c r="M327" s="167"/>
      <c r="N327" s="167"/>
      <c r="O327" s="167"/>
      <c r="P327" s="167"/>
    </row>
    <row r="328" spans="1:16" x14ac:dyDescent="0.2">
      <c r="A328" s="58" t="str">
        <v/>
      </c>
      <c r="B328" s="144" t="str">
        <f>IFERROR(TIMEVALUE(DaqBook_RAW_Data!AG318),IFERROR(TIMEVALUE(DaqBook_RAW_Data!A318),""))</f>
        <v/>
      </c>
      <c r="C328" s="167"/>
      <c r="D328" s="167"/>
      <c r="E328" s="167"/>
      <c r="F328" s="167"/>
      <c r="G328" s="167"/>
      <c r="H328" s="167"/>
      <c r="I328" s="167"/>
      <c r="J328" s="167"/>
      <c r="K328" s="167"/>
      <c r="L328" s="167"/>
      <c r="M328" s="167"/>
      <c r="N328" s="167"/>
      <c r="O328" s="167"/>
      <c r="P328" s="167"/>
    </row>
    <row r="329" spans="1:16" x14ac:dyDescent="0.2">
      <c r="A329" s="58" t="str">
        <v/>
      </c>
      <c r="B329" s="144" t="str">
        <f>IFERROR(TIMEVALUE(DaqBook_RAW_Data!AG319),IFERROR(TIMEVALUE(DaqBook_RAW_Data!A319),""))</f>
        <v/>
      </c>
      <c r="C329" s="167"/>
      <c r="D329" s="167"/>
      <c r="E329" s="167"/>
      <c r="F329" s="167"/>
      <c r="G329" s="167"/>
      <c r="H329" s="167"/>
      <c r="I329" s="167"/>
      <c r="J329" s="167"/>
      <c r="K329" s="167"/>
      <c r="L329" s="167"/>
      <c r="M329" s="167"/>
      <c r="N329" s="167"/>
      <c r="O329" s="167"/>
      <c r="P329" s="167"/>
    </row>
    <row r="330" spans="1:16" x14ac:dyDescent="0.2">
      <c r="A330" s="58" t="str">
        <v/>
      </c>
      <c r="B330" s="144" t="str">
        <f>IFERROR(TIMEVALUE(DaqBook_RAW_Data!AG320),IFERROR(TIMEVALUE(DaqBook_RAW_Data!A320),""))</f>
        <v/>
      </c>
      <c r="C330" s="167"/>
      <c r="D330" s="167"/>
      <c r="E330" s="167"/>
      <c r="F330" s="167"/>
      <c r="G330" s="167"/>
      <c r="H330" s="167"/>
      <c r="I330" s="167"/>
      <c r="J330" s="167"/>
      <c r="K330" s="167"/>
      <c r="L330" s="167"/>
      <c r="M330" s="167"/>
      <c r="N330" s="167"/>
      <c r="O330" s="167"/>
      <c r="P330" s="167"/>
    </row>
    <row r="331" spans="1:16" x14ac:dyDescent="0.2">
      <c r="A331" s="58" t="str">
        <v/>
      </c>
      <c r="B331" s="144" t="str">
        <f>IFERROR(TIMEVALUE(DaqBook_RAW_Data!AG321),IFERROR(TIMEVALUE(DaqBook_RAW_Data!A321),""))</f>
        <v/>
      </c>
      <c r="C331" s="167"/>
      <c r="D331" s="167"/>
      <c r="E331" s="167"/>
      <c r="F331" s="167"/>
      <c r="G331" s="167"/>
      <c r="H331" s="167"/>
      <c r="I331" s="167"/>
      <c r="J331" s="167"/>
      <c r="K331" s="167"/>
      <c r="L331" s="167"/>
      <c r="M331" s="167"/>
      <c r="N331" s="167"/>
      <c r="O331" s="167"/>
      <c r="P331" s="167"/>
    </row>
    <row r="332" spans="1:16" x14ac:dyDescent="0.2">
      <c r="A332" s="58" t="str">
        <v/>
      </c>
      <c r="B332" s="144" t="str">
        <f>IFERROR(TIMEVALUE(DaqBook_RAW_Data!AG322),IFERROR(TIMEVALUE(DaqBook_RAW_Data!A322),""))</f>
        <v/>
      </c>
      <c r="C332" s="167"/>
      <c r="D332" s="167"/>
      <c r="E332" s="167"/>
      <c r="F332" s="167"/>
      <c r="G332" s="167"/>
      <c r="H332" s="167"/>
      <c r="I332" s="167"/>
      <c r="J332" s="167"/>
      <c r="K332" s="167"/>
      <c r="L332" s="167"/>
      <c r="M332" s="167"/>
      <c r="N332" s="167"/>
      <c r="O332" s="167"/>
      <c r="P332" s="167"/>
    </row>
    <row r="333" spans="1:16" x14ac:dyDescent="0.2">
      <c r="A333" s="58" t="str">
        <v/>
      </c>
      <c r="B333" s="144" t="str">
        <f>IFERROR(TIMEVALUE(DaqBook_RAW_Data!AG323),IFERROR(TIMEVALUE(DaqBook_RAW_Data!A323),""))</f>
        <v/>
      </c>
      <c r="C333" s="167"/>
      <c r="D333" s="167"/>
      <c r="E333" s="167"/>
      <c r="F333" s="167"/>
      <c r="G333" s="167"/>
      <c r="H333" s="167"/>
      <c r="I333" s="167"/>
      <c r="J333" s="167"/>
      <c r="K333" s="167"/>
      <c r="L333" s="167"/>
      <c r="M333" s="167"/>
      <c r="N333" s="167"/>
      <c r="O333" s="167"/>
      <c r="P333" s="167"/>
    </row>
    <row r="334" spans="1:16" x14ac:dyDescent="0.2">
      <c r="A334" s="58" t="str">
        <v/>
      </c>
      <c r="B334" s="144" t="str">
        <f>IFERROR(TIMEVALUE(DaqBook_RAW_Data!AG324),IFERROR(TIMEVALUE(DaqBook_RAW_Data!A324),""))</f>
        <v/>
      </c>
      <c r="C334" s="167"/>
      <c r="D334" s="167"/>
      <c r="E334" s="167"/>
      <c r="F334" s="167"/>
      <c r="G334" s="167"/>
      <c r="H334" s="167"/>
      <c r="I334" s="167"/>
      <c r="J334" s="167"/>
      <c r="K334" s="167"/>
      <c r="L334" s="167"/>
      <c r="M334" s="167"/>
      <c r="N334" s="167"/>
      <c r="O334" s="167"/>
      <c r="P334" s="167"/>
    </row>
    <row r="335" spans="1:16" x14ac:dyDescent="0.2">
      <c r="A335" s="58" t="str">
        <v/>
      </c>
      <c r="B335" s="144" t="str">
        <f>IFERROR(TIMEVALUE(DaqBook_RAW_Data!AG325),IFERROR(TIMEVALUE(DaqBook_RAW_Data!A325),""))</f>
        <v/>
      </c>
      <c r="C335" s="167"/>
      <c r="D335" s="167"/>
      <c r="E335" s="167"/>
      <c r="F335" s="167"/>
      <c r="G335" s="167"/>
      <c r="H335" s="167"/>
      <c r="I335" s="167"/>
      <c r="J335" s="167"/>
      <c r="K335" s="167"/>
      <c r="L335" s="167"/>
      <c r="M335" s="167"/>
      <c r="N335" s="167"/>
      <c r="O335" s="167"/>
      <c r="P335" s="167"/>
    </row>
    <row r="336" spans="1:16" x14ac:dyDescent="0.2">
      <c r="A336" s="58" t="str">
        <v/>
      </c>
      <c r="B336" s="144" t="str">
        <f>IFERROR(TIMEVALUE(DaqBook_RAW_Data!AG326),IFERROR(TIMEVALUE(DaqBook_RAW_Data!A326),""))</f>
        <v/>
      </c>
      <c r="C336" s="167"/>
      <c r="D336" s="167"/>
      <c r="E336" s="167"/>
      <c r="F336" s="167"/>
      <c r="G336" s="167"/>
      <c r="H336" s="167"/>
      <c r="I336" s="167"/>
      <c r="J336" s="167"/>
      <c r="K336" s="167"/>
      <c r="L336" s="167"/>
      <c r="M336" s="167"/>
      <c r="N336" s="167"/>
      <c r="O336" s="167"/>
      <c r="P336" s="167"/>
    </row>
    <row r="337" spans="1:16" x14ac:dyDescent="0.2">
      <c r="A337" s="58" t="str">
        <v/>
      </c>
      <c r="B337" s="144" t="str">
        <f>IFERROR(TIMEVALUE(DaqBook_RAW_Data!AG327),IFERROR(TIMEVALUE(DaqBook_RAW_Data!A327),""))</f>
        <v/>
      </c>
      <c r="C337" s="167"/>
      <c r="D337" s="167"/>
      <c r="E337" s="167"/>
      <c r="F337" s="167"/>
      <c r="G337" s="167"/>
      <c r="H337" s="167"/>
      <c r="I337" s="167"/>
      <c r="J337" s="167"/>
      <c r="K337" s="167"/>
      <c r="L337" s="167"/>
      <c r="M337" s="167"/>
      <c r="N337" s="167"/>
      <c r="O337" s="167"/>
      <c r="P337" s="167"/>
    </row>
    <row r="338" spans="1:16" x14ac:dyDescent="0.2">
      <c r="A338" s="58" t="str">
        <v/>
      </c>
      <c r="B338" s="144" t="str">
        <f>IFERROR(TIMEVALUE(DaqBook_RAW_Data!AG328),IFERROR(TIMEVALUE(DaqBook_RAW_Data!A328),""))</f>
        <v/>
      </c>
      <c r="C338" s="167"/>
      <c r="D338" s="167"/>
      <c r="E338" s="167"/>
      <c r="F338" s="167"/>
      <c r="G338" s="167"/>
      <c r="H338" s="167"/>
      <c r="I338" s="167"/>
      <c r="J338" s="167"/>
      <c r="K338" s="167"/>
      <c r="L338" s="167"/>
      <c r="M338" s="167"/>
      <c r="N338" s="167"/>
      <c r="O338" s="167"/>
      <c r="P338" s="167"/>
    </row>
    <row r="339" spans="1:16" x14ac:dyDescent="0.2">
      <c r="A339" s="58" t="str">
        <v/>
      </c>
      <c r="B339" s="144" t="str">
        <f>IFERROR(TIMEVALUE(DaqBook_RAW_Data!AG329),IFERROR(TIMEVALUE(DaqBook_RAW_Data!A329),""))</f>
        <v/>
      </c>
      <c r="C339" s="167"/>
      <c r="D339" s="167"/>
      <c r="E339" s="167"/>
      <c r="F339" s="167"/>
      <c r="G339" s="167"/>
      <c r="H339" s="167"/>
      <c r="I339" s="167"/>
      <c r="J339" s="167"/>
      <c r="K339" s="167"/>
      <c r="L339" s="167"/>
      <c r="M339" s="167"/>
      <c r="N339" s="167"/>
      <c r="O339" s="167"/>
      <c r="P339" s="167"/>
    </row>
    <row r="340" spans="1:16" x14ac:dyDescent="0.2">
      <c r="A340" s="58" t="str">
        <v/>
      </c>
      <c r="B340" s="144" t="str">
        <f>IFERROR(TIMEVALUE(DaqBook_RAW_Data!AG330),IFERROR(TIMEVALUE(DaqBook_RAW_Data!A330),""))</f>
        <v/>
      </c>
      <c r="C340" s="167"/>
      <c r="D340" s="167"/>
      <c r="E340" s="167"/>
      <c r="F340" s="167"/>
      <c r="G340" s="167"/>
      <c r="H340" s="167"/>
      <c r="I340" s="167"/>
      <c r="J340" s="167"/>
      <c r="K340" s="167"/>
      <c r="L340" s="167"/>
      <c r="M340" s="167"/>
      <c r="N340" s="167"/>
      <c r="O340" s="167"/>
      <c r="P340" s="167"/>
    </row>
    <row r="341" spans="1:16" x14ac:dyDescent="0.2">
      <c r="A341" s="58" t="str">
        <v/>
      </c>
      <c r="B341" s="144" t="str">
        <f>IFERROR(TIMEVALUE(DaqBook_RAW_Data!AG331),IFERROR(TIMEVALUE(DaqBook_RAW_Data!A331),""))</f>
        <v/>
      </c>
      <c r="C341" s="167"/>
      <c r="D341" s="167"/>
      <c r="E341" s="167"/>
      <c r="F341" s="167"/>
      <c r="G341" s="167"/>
      <c r="H341" s="167"/>
      <c r="I341" s="167"/>
      <c r="J341" s="167"/>
      <c r="K341" s="167"/>
      <c r="L341" s="167"/>
      <c r="M341" s="167"/>
      <c r="N341" s="167"/>
      <c r="O341" s="167"/>
      <c r="P341" s="167"/>
    </row>
    <row r="342" spans="1:16" x14ac:dyDescent="0.2">
      <c r="A342" s="58" t="str">
        <v/>
      </c>
      <c r="B342" s="144" t="str">
        <f>IFERROR(TIMEVALUE(DaqBook_RAW_Data!AG332),IFERROR(TIMEVALUE(DaqBook_RAW_Data!A332),""))</f>
        <v/>
      </c>
      <c r="C342" s="167"/>
      <c r="D342" s="167"/>
      <c r="E342" s="167"/>
      <c r="F342" s="167"/>
      <c r="G342" s="167"/>
      <c r="H342" s="167"/>
      <c r="I342" s="167"/>
      <c r="J342" s="167"/>
      <c r="K342" s="167"/>
      <c r="L342" s="167"/>
      <c r="M342" s="167"/>
      <c r="N342" s="167"/>
      <c r="O342" s="167"/>
      <c r="P342" s="167"/>
    </row>
    <row r="343" spans="1:16" x14ac:dyDescent="0.2">
      <c r="A343" s="58" t="str">
        <v/>
      </c>
      <c r="B343" s="144" t="str">
        <f>IFERROR(TIMEVALUE(DaqBook_RAW_Data!AG333),IFERROR(TIMEVALUE(DaqBook_RAW_Data!A333),""))</f>
        <v/>
      </c>
      <c r="C343" s="167"/>
      <c r="D343" s="167"/>
      <c r="E343" s="167"/>
      <c r="F343" s="167"/>
      <c r="G343" s="167"/>
      <c r="H343" s="167"/>
      <c r="I343" s="167"/>
      <c r="J343" s="167"/>
      <c r="K343" s="167"/>
      <c r="L343" s="167"/>
      <c r="M343" s="167"/>
      <c r="N343" s="167"/>
      <c r="O343" s="167"/>
      <c r="P343" s="167"/>
    </row>
    <row r="344" spans="1:16" x14ac:dyDescent="0.2">
      <c r="A344" s="58" t="str">
        <v/>
      </c>
      <c r="B344" s="144" t="str">
        <f>IFERROR(TIMEVALUE(DaqBook_RAW_Data!AG334),IFERROR(TIMEVALUE(DaqBook_RAW_Data!A334),""))</f>
        <v/>
      </c>
      <c r="C344" s="167"/>
      <c r="D344" s="167"/>
      <c r="E344" s="167"/>
      <c r="F344" s="167"/>
      <c r="G344" s="167"/>
      <c r="H344" s="167"/>
      <c r="I344" s="167"/>
      <c r="J344" s="167"/>
      <c r="K344" s="167"/>
      <c r="L344" s="167"/>
      <c r="M344" s="167"/>
      <c r="N344" s="167"/>
      <c r="O344" s="167"/>
      <c r="P344" s="167"/>
    </row>
    <row r="345" spans="1:16" x14ac:dyDescent="0.2">
      <c r="A345" s="58" t="str">
        <v/>
      </c>
      <c r="B345" s="144" t="str">
        <f>IFERROR(TIMEVALUE(DaqBook_RAW_Data!AG335),IFERROR(TIMEVALUE(DaqBook_RAW_Data!A335),""))</f>
        <v/>
      </c>
      <c r="C345" s="167"/>
      <c r="D345" s="167"/>
      <c r="E345" s="167"/>
      <c r="F345" s="167"/>
      <c r="G345" s="167"/>
      <c r="H345" s="167"/>
      <c r="I345" s="167"/>
      <c r="J345" s="167"/>
      <c r="K345" s="167"/>
      <c r="L345" s="167"/>
      <c r="M345" s="167"/>
      <c r="N345" s="167"/>
      <c r="O345" s="167"/>
      <c r="P345" s="167"/>
    </row>
    <row r="346" spans="1:16" x14ac:dyDescent="0.2">
      <c r="A346" s="58" t="str">
        <v/>
      </c>
      <c r="B346" s="144" t="str">
        <f>IFERROR(TIMEVALUE(DaqBook_RAW_Data!AG336),IFERROR(TIMEVALUE(DaqBook_RAW_Data!A336),""))</f>
        <v/>
      </c>
      <c r="C346" s="167"/>
      <c r="D346" s="167"/>
      <c r="E346" s="167"/>
      <c r="F346" s="167"/>
      <c r="G346" s="167"/>
      <c r="H346" s="167"/>
      <c r="I346" s="167"/>
      <c r="J346" s="167"/>
      <c r="K346" s="167"/>
      <c r="L346" s="167"/>
      <c r="M346" s="167"/>
      <c r="N346" s="167"/>
      <c r="O346" s="167"/>
      <c r="P346" s="167"/>
    </row>
    <row r="347" spans="1:16" x14ac:dyDescent="0.2">
      <c r="A347" s="58" t="str">
        <v/>
      </c>
      <c r="B347" s="144" t="str">
        <f>IFERROR(TIMEVALUE(DaqBook_RAW_Data!AG337),IFERROR(TIMEVALUE(DaqBook_RAW_Data!A337),""))</f>
        <v/>
      </c>
      <c r="C347" s="167"/>
      <c r="D347" s="167"/>
      <c r="E347" s="167"/>
      <c r="F347" s="167"/>
      <c r="G347" s="167"/>
      <c r="H347" s="167"/>
      <c r="I347" s="167"/>
      <c r="J347" s="167"/>
      <c r="K347" s="167"/>
      <c r="L347" s="167"/>
      <c r="M347" s="167"/>
      <c r="N347" s="167"/>
      <c r="O347" s="167"/>
      <c r="P347" s="167"/>
    </row>
    <row r="348" spans="1:16" x14ac:dyDescent="0.2">
      <c r="A348" s="58" t="str">
        <v/>
      </c>
      <c r="B348" s="144" t="str">
        <f>IFERROR(TIMEVALUE(DaqBook_RAW_Data!AG338),IFERROR(TIMEVALUE(DaqBook_RAW_Data!A338),""))</f>
        <v/>
      </c>
      <c r="C348" s="167"/>
      <c r="D348" s="167"/>
      <c r="E348" s="167"/>
      <c r="F348" s="167"/>
      <c r="G348" s="167"/>
      <c r="H348" s="167"/>
      <c r="I348" s="167"/>
      <c r="J348" s="167"/>
      <c r="K348" s="167"/>
      <c r="L348" s="167"/>
      <c r="M348" s="167"/>
      <c r="N348" s="167"/>
      <c r="O348" s="167"/>
      <c r="P348" s="167"/>
    </row>
    <row r="349" spans="1:16" x14ac:dyDescent="0.2">
      <c r="A349" s="58" t="str">
        <v/>
      </c>
      <c r="B349" s="144" t="str">
        <f>IFERROR(TIMEVALUE(DaqBook_RAW_Data!AG339),IFERROR(TIMEVALUE(DaqBook_RAW_Data!A339),""))</f>
        <v/>
      </c>
      <c r="C349" s="167"/>
      <c r="D349" s="167"/>
      <c r="E349" s="167"/>
      <c r="F349" s="167"/>
      <c r="G349" s="167"/>
      <c r="H349" s="167"/>
      <c r="I349" s="167"/>
      <c r="J349" s="167"/>
      <c r="K349" s="167"/>
      <c r="L349" s="167"/>
      <c r="M349" s="167"/>
      <c r="N349" s="167"/>
      <c r="O349" s="167"/>
      <c r="P349" s="167"/>
    </row>
    <row r="350" spans="1:16" x14ac:dyDescent="0.2">
      <c r="A350" s="58" t="str">
        <v/>
      </c>
      <c r="B350" s="144" t="str">
        <f>IFERROR(TIMEVALUE(DaqBook_RAW_Data!AG340),IFERROR(TIMEVALUE(DaqBook_RAW_Data!A340),""))</f>
        <v/>
      </c>
      <c r="C350" s="167"/>
      <c r="D350" s="167"/>
      <c r="E350" s="167"/>
      <c r="F350" s="167"/>
      <c r="G350" s="167"/>
      <c r="H350" s="167"/>
      <c r="I350" s="167"/>
      <c r="J350" s="167"/>
      <c r="K350" s="167"/>
      <c r="L350" s="167"/>
      <c r="M350" s="167"/>
      <c r="N350" s="167"/>
      <c r="O350" s="167"/>
      <c r="P350" s="167"/>
    </row>
    <row r="351" spans="1:16" x14ac:dyDescent="0.2">
      <c r="A351" s="58" t="str">
        <v/>
      </c>
      <c r="B351" s="144" t="str">
        <f>IFERROR(TIMEVALUE(DaqBook_RAW_Data!AG341),IFERROR(TIMEVALUE(DaqBook_RAW_Data!A341),""))</f>
        <v/>
      </c>
      <c r="C351" s="167"/>
      <c r="D351" s="167"/>
      <c r="E351" s="167"/>
      <c r="F351" s="167"/>
      <c r="G351" s="167"/>
      <c r="H351" s="167"/>
      <c r="I351" s="167"/>
      <c r="J351" s="167"/>
      <c r="K351" s="167"/>
      <c r="L351" s="167"/>
      <c r="M351" s="167"/>
      <c r="N351" s="167"/>
      <c r="O351" s="167"/>
      <c r="P351" s="167"/>
    </row>
    <row r="352" spans="1:16" x14ac:dyDescent="0.2">
      <c r="A352" s="58" t="str">
        <v/>
      </c>
      <c r="B352" s="144" t="str">
        <f>IFERROR(TIMEVALUE(DaqBook_RAW_Data!AG342),IFERROR(TIMEVALUE(DaqBook_RAW_Data!A342),""))</f>
        <v/>
      </c>
      <c r="C352" s="167"/>
      <c r="D352" s="167"/>
      <c r="E352" s="167"/>
      <c r="F352" s="167"/>
      <c r="G352" s="167"/>
      <c r="H352" s="167"/>
      <c r="I352" s="167"/>
      <c r="J352" s="167"/>
      <c r="K352" s="167"/>
      <c r="L352" s="167"/>
      <c r="M352" s="167"/>
      <c r="N352" s="167"/>
      <c r="O352" s="167"/>
      <c r="P352" s="167"/>
    </row>
    <row r="353" spans="1:16" x14ac:dyDescent="0.2">
      <c r="A353" s="58" t="str">
        <v/>
      </c>
      <c r="B353" s="144" t="str">
        <f>IFERROR(TIMEVALUE(DaqBook_RAW_Data!AG343),IFERROR(TIMEVALUE(DaqBook_RAW_Data!A343),""))</f>
        <v/>
      </c>
      <c r="C353" s="167"/>
      <c r="D353" s="167"/>
      <c r="E353" s="167"/>
      <c r="F353" s="167"/>
      <c r="G353" s="167"/>
      <c r="H353" s="167"/>
      <c r="I353" s="167"/>
      <c r="J353" s="167"/>
      <c r="K353" s="167"/>
      <c r="L353" s="167"/>
      <c r="M353" s="167"/>
      <c r="N353" s="167"/>
      <c r="O353" s="167"/>
      <c r="P353" s="167"/>
    </row>
    <row r="354" spans="1:16" x14ac:dyDescent="0.2">
      <c r="A354" s="58" t="str">
        <v/>
      </c>
      <c r="B354" s="144" t="str">
        <f>IFERROR(TIMEVALUE(DaqBook_RAW_Data!AG344),IFERROR(TIMEVALUE(DaqBook_RAW_Data!A344),""))</f>
        <v/>
      </c>
      <c r="C354" s="167"/>
      <c r="D354" s="167"/>
      <c r="E354" s="167"/>
      <c r="F354" s="167"/>
      <c r="G354" s="167"/>
      <c r="H354" s="167"/>
      <c r="I354" s="167"/>
      <c r="J354" s="167"/>
      <c r="K354" s="167"/>
      <c r="L354" s="167"/>
      <c r="M354" s="167"/>
      <c r="N354" s="167"/>
      <c r="O354" s="167"/>
      <c r="P354" s="167"/>
    </row>
    <row r="355" spans="1:16" x14ac:dyDescent="0.2">
      <c r="A355" s="58" t="str">
        <v/>
      </c>
      <c r="B355" s="144" t="str">
        <f>IFERROR(TIMEVALUE(DaqBook_RAW_Data!AG345),IFERROR(TIMEVALUE(DaqBook_RAW_Data!A345),""))</f>
        <v/>
      </c>
      <c r="C355" s="167"/>
      <c r="D355" s="167"/>
      <c r="E355" s="167"/>
      <c r="F355" s="167"/>
      <c r="G355" s="167"/>
      <c r="H355" s="167"/>
      <c r="I355" s="167"/>
      <c r="J355" s="167"/>
      <c r="K355" s="167"/>
      <c r="L355" s="167"/>
      <c r="M355" s="167"/>
      <c r="N355" s="167"/>
      <c r="O355" s="167"/>
      <c r="P355" s="167"/>
    </row>
    <row r="356" spans="1:16" x14ac:dyDescent="0.2">
      <c r="A356" s="58" t="str">
        <v/>
      </c>
      <c r="B356" s="144" t="str">
        <f>IFERROR(TIMEVALUE(DaqBook_RAW_Data!AG346),IFERROR(TIMEVALUE(DaqBook_RAW_Data!A346),""))</f>
        <v/>
      </c>
      <c r="C356" s="167"/>
      <c r="D356" s="167"/>
      <c r="E356" s="167"/>
      <c r="F356" s="167"/>
      <c r="G356" s="167"/>
      <c r="H356" s="167"/>
      <c r="I356" s="167"/>
      <c r="J356" s="167"/>
      <c r="K356" s="167"/>
      <c r="L356" s="167"/>
      <c r="M356" s="167"/>
      <c r="N356" s="167"/>
      <c r="O356" s="167"/>
      <c r="P356" s="167"/>
    </row>
    <row r="357" spans="1:16" x14ac:dyDescent="0.2">
      <c r="A357" s="58" t="str">
        <v/>
      </c>
      <c r="B357" s="144" t="str">
        <f>IFERROR(TIMEVALUE(DaqBook_RAW_Data!AG347),IFERROR(TIMEVALUE(DaqBook_RAW_Data!A347),""))</f>
        <v/>
      </c>
      <c r="C357" s="167"/>
      <c r="D357" s="167"/>
      <c r="E357" s="167"/>
      <c r="F357" s="167"/>
      <c r="G357" s="167"/>
      <c r="H357" s="167"/>
      <c r="I357" s="167"/>
      <c r="J357" s="167"/>
      <c r="K357" s="167"/>
      <c r="L357" s="167"/>
      <c r="M357" s="167"/>
      <c r="N357" s="167"/>
      <c r="O357" s="167"/>
      <c r="P357" s="167"/>
    </row>
    <row r="358" spans="1:16" x14ac:dyDescent="0.2">
      <c r="A358" s="58" t="str">
        <v/>
      </c>
      <c r="B358" s="144" t="str">
        <f>IFERROR(TIMEVALUE(DaqBook_RAW_Data!AG348),IFERROR(TIMEVALUE(DaqBook_RAW_Data!A348),""))</f>
        <v/>
      </c>
      <c r="C358" s="167"/>
      <c r="D358" s="167"/>
      <c r="E358" s="167"/>
      <c r="F358" s="167"/>
      <c r="G358" s="167"/>
      <c r="H358" s="167"/>
      <c r="I358" s="167"/>
      <c r="J358" s="167"/>
      <c r="K358" s="167"/>
      <c r="L358" s="167"/>
      <c r="M358" s="167"/>
      <c r="N358" s="167"/>
      <c r="O358" s="167"/>
      <c r="P358" s="167"/>
    </row>
    <row r="359" spans="1:16" x14ac:dyDescent="0.2">
      <c r="A359" s="58" t="str">
        <v/>
      </c>
      <c r="B359" s="144" t="str">
        <f>IFERROR(TIMEVALUE(DaqBook_RAW_Data!AG349),IFERROR(TIMEVALUE(DaqBook_RAW_Data!A349),""))</f>
        <v/>
      </c>
      <c r="C359" s="167"/>
      <c r="D359" s="167"/>
      <c r="E359" s="167"/>
      <c r="F359" s="167"/>
      <c r="G359" s="167"/>
      <c r="H359" s="167"/>
      <c r="I359" s="167"/>
      <c r="J359" s="167"/>
      <c r="K359" s="167"/>
      <c r="L359" s="167"/>
      <c r="M359" s="167"/>
      <c r="N359" s="167"/>
      <c r="O359" s="167"/>
      <c r="P359" s="167"/>
    </row>
    <row r="360" spans="1:16" x14ac:dyDescent="0.2">
      <c r="A360" s="58" t="str">
        <v/>
      </c>
      <c r="B360" s="144" t="str">
        <f>IFERROR(TIMEVALUE(DaqBook_RAW_Data!AG350),IFERROR(TIMEVALUE(DaqBook_RAW_Data!A350),""))</f>
        <v/>
      </c>
      <c r="C360" s="167"/>
      <c r="D360" s="167"/>
      <c r="E360" s="167"/>
      <c r="F360" s="167"/>
      <c r="G360" s="167"/>
      <c r="H360" s="167"/>
      <c r="I360" s="167"/>
      <c r="J360" s="167"/>
      <c r="K360" s="167"/>
      <c r="L360" s="167"/>
      <c r="M360" s="167"/>
      <c r="N360" s="167"/>
      <c r="O360" s="167"/>
      <c r="P360" s="167"/>
    </row>
    <row r="361" spans="1:16" x14ac:dyDescent="0.2">
      <c r="A361" s="58" t="str">
        <v/>
      </c>
      <c r="B361" s="144" t="str">
        <f>IFERROR(TIMEVALUE(DaqBook_RAW_Data!AG351),IFERROR(TIMEVALUE(DaqBook_RAW_Data!A351),""))</f>
        <v/>
      </c>
      <c r="C361" s="167"/>
      <c r="D361" s="167"/>
      <c r="E361" s="167"/>
      <c r="F361" s="167"/>
      <c r="G361" s="167"/>
      <c r="H361" s="167"/>
      <c r="I361" s="167"/>
      <c r="J361" s="167"/>
      <c r="K361" s="167"/>
      <c r="L361" s="167"/>
      <c r="M361" s="167"/>
      <c r="N361" s="167"/>
      <c r="O361" s="167"/>
      <c r="P361" s="167"/>
    </row>
    <row r="362" spans="1:16" x14ac:dyDescent="0.2">
      <c r="A362" s="58" t="str">
        <v/>
      </c>
      <c r="B362" s="144" t="str">
        <f>IFERROR(TIMEVALUE(DaqBook_RAW_Data!AG352),IFERROR(TIMEVALUE(DaqBook_RAW_Data!A352),""))</f>
        <v/>
      </c>
      <c r="C362" s="167"/>
      <c r="D362" s="167"/>
      <c r="E362" s="167"/>
      <c r="F362" s="167"/>
      <c r="G362" s="167"/>
      <c r="H362" s="167"/>
      <c r="I362" s="167"/>
      <c r="J362" s="167"/>
      <c r="K362" s="167"/>
      <c r="L362" s="167"/>
      <c r="M362" s="167"/>
      <c r="N362" s="167"/>
      <c r="O362" s="167"/>
      <c r="P362" s="167"/>
    </row>
    <row r="363" spans="1:16" x14ac:dyDescent="0.2">
      <c r="A363" s="58" t="str">
        <v/>
      </c>
      <c r="B363" s="144" t="str">
        <f>IFERROR(TIMEVALUE(DaqBook_RAW_Data!AG353),IFERROR(TIMEVALUE(DaqBook_RAW_Data!A353),""))</f>
        <v/>
      </c>
      <c r="C363" s="167"/>
      <c r="D363" s="167"/>
      <c r="E363" s="167"/>
      <c r="F363" s="167"/>
      <c r="G363" s="167"/>
      <c r="H363" s="167"/>
      <c r="I363" s="167"/>
      <c r="J363" s="167"/>
      <c r="K363" s="167"/>
      <c r="L363" s="167"/>
      <c r="M363" s="167"/>
      <c r="N363" s="167"/>
      <c r="O363" s="167"/>
      <c r="P363" s="167"/>
    </row>
    <row r="364" spans="1:16" x14ac:dyDescent="0.2">
      <c r="A364" s="58" t="str">
        <v/>
      </c>
      <c r="B364" s="144" t="str">
        <f>IFERROR(TIMEVALUE(DaqBook_RAW_Data!AG354),IFERROR(TIMEVALUE(DaqBook_RAW_Data!A354),""))</f>
        <v/>
      </c>
      <c r="C364" s="167"/>
      <c r="D364" s="167"/>
      <c r="E364" s="167"/>
      <c r="F364" s="167"/>
      <c r="G364" s="167"/>
      <c r="H364" s="167"/>
      <c r="I364" s="167"/>
      <c r="J364" s="167"/>
      <c r="K364" s="167"/>
      <c r="L364" s="167"/>
      <c r="M364" s="167"/>
      <c r="N364" s="167"/>
      <c r="O364" s="167"/>
      <c r="P364" s="167"/>
    </row>
    <row r="365" spans="1:16" x14ac:dyDescent="0.2">
      <c r="A365" s="58" t="str">
        <v/>
      </c>
      <c r="B365" s="144" t="str">
        <f>IFERROR(TIMEVALUE(DaqBook_RAW_Data!AG355),IFERROR(TIMEVALUE(DaqBook_RAW_Data!A355),""))</f>
        <v/>
      </c>
      <c r="C365" s="167"/>
      <c r="D365" s="167"/>
      <c r="E365" s="167"/>
      <c r="F365" s="167"/>
      <c r="G365" s="167"/>
      <c r="H365" s="167"/>
      <c r="I365" s="167"/>
      <c r="J365" s="167"/>
      <c r="K365" s="167"/>
      <c r="L365" s="167"/>
      <c r="M365" s="167"/>
      <c r="N365" s="167"/>
      <c r="O365" s="167"/>
      <c r="P365" s="167"/>
    </row>
    <row r="366" spans="1:16" x14ac:dyDescent="0.2">
      <c r="A366" s="58" t="str">
        <v/>
      </c>
      <c r="B366" s="144" t="str">
        <f>IFERROR(TIMEVALUE(DaqBook_RAW_Data!AG356),IFERROR(TIMEVALUE(DaqBook_RAW_Data!A356),""))</f>
        <v/>
      </c>
      <c r="C366" s="167"/>
      <c r="D366" s="167"/>
      <c r="E366" s="167"/>
      <c r="F366" s="167"/>
      <c r="G366" s="167"/>
      <c r="H366" s="167"/>
      <c r="I366" s="167"/>
      <c r="J366" s="167"/>
      <c r="K366" s="167"/>
      <c r="L366" s="167"/>
      <c r="M366" s="167"/>
      <c r="N366" s="167"/>
      <c r="O366" s="167"/>
      <c r="P366" s="167"/>
    </row>
    <row r="367" spans="1:16" x14ac:dyDescent="0.2">
      <c r="A367" s="58" t="str">
        <v/>
      </c>
      <c r="B367" s="144" t="str">
        <f>IFERROR(TIMEVALUE(DaqBook_RAW_Data!AG357),IFERROR(TIMEVALUE(DaqBook_RAW_Data!A357),""))</f>
        <v/>
      </c>
      <c r="C367" s="167"/>
      <c r="D367" s="167"/>
      <c r="E367" s="167"/>
      <c r="F367" s="167"/>
      <c r="G367" s="167"/>
      <c r="H367" s="167"/>
      <c r="I367" s="167"/>
      <c r="J367" s="167"/>
      <c r="K367" s="167"/>
      <c r="L367" s="167"/>
      <c r="M367" s="167"/>
      <c r="N367" s="167"/>
      <c r="O367" s="167"/>
      <c r="P367" s="167"/>
    </row>
    <row r="368" spans="1:16" x14ac:dyDescent="0.2">
      <c r="A368" s="58" t="str">
        <v/>
      </c>
      <c r="B368" s="144" t="str">
        <f>IFERROR(TIMEVALUE(DaqBook_RAW_Data!AG358),IFERROR(TIMEVALUE(DaqBook_RAW_Data!A358),""))</f>
        <v/>
      </c>
      <c r="C368" s="167"/>
      <c r="D368" s="167"/>
      <c r="E368" s="167"/>
      <c r="F368" s="167"/>
      <c r="G368" s="167"/>
      <c r="H368" s="167"/>
      <c r="I368" s="167"/>
      <c r="J368" s="167"/>
      <c r="K368" s="167"/>
      <c r="L368" s="167"/>
      <c r="M368" s="167"/>
      <c r="N368" s="167"/>
      <c r="O368" s="167"/>
      <c r="P368" s="167"/>
    </row>
    <row r="369" spans="1:16" x14ac:dyDescent="0.2">
      <c r="A369" s="58" t="str">
        <v/>
      </c>
      <c r="B369" s="144" t="str">
        <f>IFERROR(TIMEVALUE(DaqBook_RAW_Data!AG359),IFERROR(TIMEVALUE(DaqBook_RAW_Data!A359),""))</f>
        <v/>
      </c>
      <c r="C369" s="167"/>
      <c r="D369" s="167"/>
      <c r="E369" s="167"/>
      <c r="F369" s="167"/>
      <c r="G369" s="167"/>
      <c r="H369" s="167"/>
      <c r="I369" s="167"/>
      <c r="J369" s="167"/>
      <c r="K369" s="167"/>
      <c r="L369" s="167"/>
      <c r="M369" s="167"/>
      <c r="N369" s="167"/>
      <c r="O369" s="167"/>
      <c r="P369" s="167"/>
    </row>
    <row r="370" spans="1:16" x14ac:dyDescent="0.2">
      <c r="A370" s="58" t="str">
        <v/>
      </c>
      <c r="B370" s="144" t="str">
        <f>IFERROR(TIMEVALUE(DaqBook_RAW_Data!AG360),IFERROR(TIMEVALUE(DaqBook_RAW_Data!A360),""))</f>
        <v/>
      </c>
      <c r="C370" s="167"/>
      <c r="D370" s="167"/>
      <c r="E370" s="167"/>
      <c r="F370" s="167"/>
      <c r="G370" s="167"/>
      <c r="H370" s="167"/>
      <c r="I370" s="167"/>
      <c r="J370" s="167"/>
      <c r="K370" s="167"/>
      <c r="L370" s="167"/>
      <c r="M370" s="167"/>
      <c r="N370" s="167"/>
      <c r="O370" s="167"/>
      <c r="P370" s="167"/>
    </row>
    <row r="371" spans="1:16" x14ac:dyDescent="0.2">
      <c r="A371" s="58" t="str">
        <v/>
      </c>
      <c r="B371" s="144" t="str">
        <f>IFERROR(TIMEVALUE(DaqBook_RAW_Data!AG361),IFERROR(TIMEVALUE(DaqBook_RAW_Data!A361),""))</f>
        <v/>
      </c>
      <c r="C371" s="167"/>
      <c r="D371" s="167"/>
      <c r="E371" s="167"/>
      <c r="F371" s="167"/>
      <c r="G371" s="167"/>
      <c r="H371" s="167"/>
      <c r="I371" s="167"/>
      <c r="J371" s="167"/>
      <c r="K371" s="167"/>
      <c r="L371" s="167"/>
      <c r="M371" s="167"/>
      <c r="N371" s="167"/>
      <c r="O371" s="167"/>
      <c r="P371" s="167"/>
    </row>
    <row r="372" spans="1:16" x14ac:dyDescent="0.2">
      <c r="A372" s="58" t="str">
        <v/>
      </c>
      <c r="B372" s="144" t="str">
        <f>IFERROR(TIMEVALUE(DaqBook_RAW_Data!AG362),IFERROR(TIMEVALUE(DaqBook_RAW_Data!A362),""))</f>
        <v/>
      </c>
      <c r="C372" s="167"/>
      <c r="D372" s="167"/>
      <c r="E372" s="167"/>
      <c r="F372" s="167"/>
      <c r="G372" s="167"/>
      <c r="H372" s="167"/>
      <c r="I372" s="167"/>
      <c r="J372" s="167"/>
      <c r="K372" s="167"/>
      <c r="L372" s="167"/>
      <c r="M372" s="167"/>
      <c r="N372" s="167"/>
      <c r="O372" s="167"/>
      <c r="P372" s="167"/>
    </row>
    <row r="373" spans="1:16" x14ac:dyDescent="0.2">
      <c r="A373" s="58" t="str">
        <v/>
      </c>
      <c r="B373" s="144" t="str">
        <f>IFERROR(TIMEVALUE(DaqBook_RAW_Data!AG363),IFERROR(TIMEVALUE(DaqBook_RAW_Data!A363),""))</f>
        <v/>
      </c>
      <c r="C373" s="167"/>
      <c r="D373" s="167"/>
      <c r="E373" s="167"/>
      <c r="F373" s="167"/>
      <c r="G373" s="167"/>
      <c r="H373" s="167"/>
      <c r="I373" s="167"/>
      <c r="J373" s="167"/>
      <c r="K373" s="167"/>
      <c r="L373" s="167"/>
      <c r="M373" s="167"/>
      <c r="N373" s="167"/>
      <c r="O373" s="167"/>
      <c r="P373" s="167"/>
    </row>
    <row r="374" spans="1:16" x14ac:dyDescent="0.2">
      <c r="A374" s="58" t="str">
        <v/>
      </c>
      <c r="B374" s="144" t="str">
        <f>IFERROR(TIMEVALUE(DaqBook_RAW_Data!AG364),IFERROR(TIMEVALUE(DaqBook_RAW_Data!A364),""))</f>
        <v/>
      </c>
      <c r="C374" s="167"/>
      <c r="D374" s="167"/>
      <c r="E374" s="167"/>
      <c r="F374" s="167"/>
      <c r="G374" s="167"/>
      <c r="H374" s="167"/>
      <c r="I374" s="167"/>
      <c r="J374" s="167"/>
      <c r="K374" s="167"/>
      <c r="L374" s="167"/>
      <c r="M374" s="167"/>
      <c r="N374" s="167"/>
      <c r="O374" s="167"/>
      <c r="P374" s="167"/>
    </row>
    <row r="375" spans="1:16" x14ac:dyDescent="0.2">
      <c r="A375" s="58" t="str">
        <v/>
      </c>
      <c r="B375" s="144" t="str">
        <f>IFERROR(TIMEVALUE(DaqBook_RAW_Data!AG365),IFERROR(TIMEVALUE(DaqBook_RAW_Data!A365),""))</f>
        <v/>
      </c>
      <c r="C375" s="167"/>
      <c r="D375" s="167"/>
      <c r="E375" s="167"/>
      <c r="F375" s="167"/>
      <c r="G375" s="167"/>
      <c r="H375" s="167"/>
      <c r="I375" s="167"/>
      <c r="J375" s="167"/>
      <c r="K375" s="167"/>
      <c r="L375" s="167"/>
      <c r="M375" s="167"/>
      <c r="N375" s="167"/>
      <c r="O375" s="167"/>
      <c r="P375" s="167"/>
    </row>
    <row r="376" spans="1:16" x14ac:dyDescent="0.2">
      <c r="A376" s="58" t="str">
        <v/>
      </c>
      <c r="B376" s="144" t="str">
        <f>IFERROR(TIMEVALUE(DaqBook_RAW_Data!AG366),IFERROR(TIMEVALUE(DaqBook_RAW_Data!A366),""))</f>
        <v/>
      </c>
      <c r="C376" s="167"/>
      <c r="D376" s="167"/>
      <c r="E376" s="167"/>
      <c r="F376" s="167"/>
      <c r="G376" s="167"/>
      <c r="H376" s="167"/>
      <c r="I376" s="167"/>
      <c r="J376" s="167"/>
      <c r="K376" s="167"/>
      <c r="L376" s="167"/>
      <c r="M376" s="167"/>
      <c r="N376" s="167"/>
      <c r="O376" s="167"/>
      <c r="P376" s="167"/>
    </row>
    <row r="377" spans="1:16" x14ac:dyDescent="0.2">
      <c r="A377" s="58" t="str">
        <v/>
      </c>
      <c r="B377" s="144" t="str">
        <f>IFERROR(TIMEVALUE(DaqBook_RAW_Data!AG367),IFERROR(TIMEVALUE(DaqBook_RAW_Data!A367),""))</f>
        <v/>
      </c>
      <c r="C377" s="167"/>
      <c r="D377" s="167"/>
      <c r="E377" s="167"/>
      <c r="F377" s="167"/>
      <c r="G377" s="167"/>
      <c r="H377" s="167"/>
      <c r="I377" s="167"/>
      <c r="J377" s="167"/>
      <c r="K377" s="167"/>
      <c r="L377" s="167"/>
      <c r="M377" s="167"/>
      <c r="N377" s="167"/>
      <c r="O377" s="167"/>
      <c r="P377" s="167"/>
    </row>
    <row r="378" spans="1:16" x14ac:dyDescent="0.2">
      <c r="A378" s="58" t="str">
        <v/>
      </c>
      <c r="B378" s="144" t="str">
        <f>IFERROR(TIMEVALUE(DaqBook_RAW_Data!AG368),IFERROR(TIMEVALUE(DaqBook_RAW_Data!A368),""))</f>
        <v/>
      </c>
      <c r="C378" s="167"/>
      <c r="D378" s="167"/>
      <c r="E378" s="167"/>
      <c r="F378" s="167"/>
      <c r="G378" s="167"/>
      <c r="H378" s="167"/>
      <c r="I378" s="167"/>
      <c r="J378" s="167"/>
      <c r="K378" s="167"/>
      <c r="L378" s="167"/>
      <c r="M378" s="167"/>
      <c r="N378" s="167"/>
      <c r="O378" s="167"/>
      <c r="P378" s="167"/>
    </row>
    <row r="379" spans="1:16" x14ac:dyDescent="0.2">
      <c r="A379" s="58" t="str">
        <v/>
      </c>
      <c r="B379" s="144" t="str">
        <f>IFERROR(TIMEVALUE(DaqBook_RAW_Data!AG369),IFERROR(TIMEVALUE(DaqBook_RAW_Data!A369),""))</f>
        <v/>
      </c>
      <c r="C379" s="167"/>
      <c r="D379" s="167"/>
      <c r="E379" s="167"/>
      <c r="F379" s="167"/>
      <c r="G379" s="167"/>
      <c r="H379" s="167"/>
      <c r="I379" s="167"/>
      <c r="J379" s="167"/>
      <c r="K379" s="167"/>
      <c r="L379" s="167"/>
      <c r="M379" s="167"/>
      <c r="N379" s="167"/>
      <c r="O379" s="167"/>
      <c r="P379" s="167"/>
    </row>
    <row r="380" spans="1:16" x14ac:dyDescent="0.2">
      <c r="A380" s="58" t="str">
        <v/>
      </c>
      <c r="B380" s="144" t="str">
        <f>IFERROR(TIMEVALUE(DaqBook_RAW_Data!AG370),IFERROR(TIMEVALUE(DaqBook_RAW_Data!A370),""))</f>
        <v/>
      </c>
      <c r="C380" s="167"/>
      <c r="D380" s="167"/>
      <c r="E380" s="167"/>
      <c r="F380" s="167"/>
      <c r="G380" s="167"/>
      <c r="H380" s="167"/>
      <c r="I380" s="167"/>
      <c r="J380" s="167"/>
      <c r="K380" s="167"/>
      <c r="L380" s="167"/>
      <c r="M380" s="167"/>
      <c r="N380" s="167"/>
      <c r="O380" s="167"/>
      <c r="P380" s="167"/>
    </row>
    <row r="381" spans="1:16" x14ac:dyDescent="0.2">
      <c r="A381" s="58" t="str">
        <v/>
      </c>
      <c r="B381" s="144" t="str">
        <f>IFERROR(TIMEVALUE(DaqBook_RAW_Data!AG371),IFERROR(TIMEVALUE(DaqBook_RAW_Data!A371),""))</f>
        <v/>
      </c>
      <c r="C381" s="167"/>
      <c r="D381" s="167"/>
      <c r="E381" s="167"/>
      <c r="F381" s="167"/>
      <c r="G381" s="167"/>
      <c r="H381" s="167"/>
      <c r="I381" s="167"/>
      <c r="J381" s="167"/>
      <c r="K381" s="167"/>
      <c r="L381" s="167"/>
      <c r="M381" s="167"/>
      <c r="N381" s="167"/>
      <c r="O381" s="167"/>
      <c r="P381" s="167"/>
    </row>
    <row r="382" spans="1:16" x14ac:dyDescent="0.2">
      <c r="A382" s="58" t="str">
        <v/>
      </c>
      <c r="B382" s="144" t="str">
        <f>IFERROR(TIMEVALUE(DaqBook_RAW_Data!AG372),IFERROR(TIMEVALUE(DaqBook_RAW_Data!A372),""))</f>
        <v/>
      </c>
      <c r="C382" s="167"/>
      <c r="D382" s="167"/>
      <c r="E382" s="167"/>
      <c r="F382" s="167"/>
      <c r="G382" s="167"/>
      <c r="H382" s="167"/>
      <c r="I382" s="167"/>
      <c r="J382" s="167"/>
      <c r="K382" s="167"/>
      <c r="L382" s="167"/>
      <c r="M382" s="167"/>
      <c r="N382" s="167"/>
      <c r="O382" s="167"/>
      <c r="P382" s="167"/>
    </row>
    <row r="383" spans="1:16" x14ac:dyDescent="0.2">
      <c r="A383" s="58" t="str">
        <v/>
      </c>
      <c r="B383" s="144" t="str">
        <f>IFERROR(TIMEVALUE(DaqBook_RAW_Data!AG373),IFERROR(TIMEVALUE(DaqBook_RAW_Data!A373),""))</f>
        <v/>
      </c>
      <c r="C383" s="167"/>
      <c r="D383" s="167"/>
      <c r="E383" s="167"/>
      <c r="F383" s="167"/>
      <c r="G383" s="167"/>
      <c r="H383" s="167"/>
      <c r="I383" s="167"/>
      <c r="J383" s="167"/>
      <c r="K383" s="167"/>
      <c r="L383" s="167"/>
      <c r="M383" s="167"/>
      <c r="N383" s="167"/>
      <c r="O383" s="167"/>
      <c r="P383" s="167"/>
    </row>
    <row r="384" spans="1:16" x14ac:dyDescent="0.2">
      <c r="A384" s="58" t="str">
        <v/>
      </c>
      <c r="B384" s="144" t="str">
        <f>IFERROR(TIMEVALUE(DaqBook_RAW_Data!AG374),IFERROR(TIMEVALUE(DaqBook_RAW_Data!A374),""))</f>
        <v/>
      </c>
      <c r="C384" s="167"/>
      <c r="D384" s="167"/>
      <c r="E384" s="167"/>
      <c r="F384" s="167"/>
      <c r="G384" s="167"/>
      <c r="H384" s="167"/>
      <c r="I384" s="167"/>
      <c r="J384" s="167"/>
      <c r="K384" s="167"/>
      <c r="L384" s="167"/>
      <c r="M384" s="167"/>
      <c r="N384" s="167"/>
      <c r="O384" s="167"/>
      <c r="P384" s="167"/>
    </row>
    <row r="385" spans="1:16" x14ac:dyDescent="0.2">
      <c r="A385" s="58" t="str">
        <v/>
      </c>
      <c r="B385" s="144" t="str">
        <f>IFERROR(TIMEVALUE(DaqBook_RAW_Data!AG375),IFERROR(TIMEVALUE(DaqBook_RAW_Data!A375),""))</f>
        <v/>
      </c>
      <c r="C385" s="167"/>
      <c r="D385" s="167"/>
      <c r="E385" s="167"/>
      <c r="F385" s="167"/>
      <c r="G385" s="167"/>
      <c r="H385" s="167"/>
      <c r="I385" s="167"/>
      <c r="J385" s="167"/>
      <c r="K385" s="167"/>
      <c r="L385" s="167"/>
      <c r="M385" s="167"/>
      <c r="N385" s="167"/>
      <c r="O385" s="167"/>
      <c r="P385" s="167"/>
    </row>
    <row r="386" spans="1:16" x14ac:dyDescent="0.2">
      <c r="A386" s="58" t="str">
        <v/>
      </c>
      <c r="B386" s="144" t="str">
        <f>IFERROR(TIMEVALUE(DaqBook_RAW_Data!AG376),IFERROR(TIMEVALUE(DaqBook_RAW_Data!A376),""))</f>
        <v/>
      </c>
      <c r="C386" s="167"/>
      <c r="D386" s="167"/>
      <c r="E386" s="167"/>
      <c r="F386" s="167"/>
      <c r="G386" s="167"/>
      <c r="H386" s="167"/>
      <c r="I386" s="167"/>
      <c r="J386" s="167"/>
      <c r="K386" s="167"/>
      <c r="L386" s="167"/>
      <c r="M386" s="167"/>
      <c r="N386" s="167"/>
      <c r="O386" s="167"/>
      <c r="P386" s="167"/>
    </row>
    <row r="387" spans="1:16" x14ac:dyDescent="0.2">
      <c r="A387" s="58" t="str">
        <v/>
      </c>
      <c r="B387" s="144" t="str">
        <f>IFERROR(TIMEVALUE(DaqBook_RAW_Data!AG377),IFERROR(TIMEVALUE(DaqBook_RAW_Data!A377),""))</f>
        <v/>
      </c>
      <c r="C387" s="167"/>
      <c r="D387" s="167"/>
      <c r="E387" s="167"/>
      <c r="F387" s="167"/>
      <c r="G387" s="167"/>
      <c r="H387" s="167"/>
      <c r="I387" s="167"/>
      <c r="J387" s="167"/>
      <c r="K387" s="167"/>
      <c r="L387" s="167"/>
      <c r="M387" s="167"/>
      <c r="N387" s="167"/>
      <c r="O387" s="167"/>
      <c r="P387" s="167"/>
    </row>
    <row r="388" spans="1:16" x14ac:dyDescent="0.2">
      <c r="A388" s="58" t="str">
        <v/>
      </c>
      <c r="B388" s="144" t="str">
        <f>IFERROR(TIMEVALUE(DaqBook_RAW_Data!AG378),IFERROR(TIMEVALUE(DaqBook_RAW_Data!A378),""))</f>
        <v/>
      </c>
      <c r="C388" s="167"/>
      <c r="D388" s="167"/>
      <c r="E388" s="167"/>
      <c r="F388" s="167"/>
      <c r="G388" s="167"/>
      <c r="H388" s="167"/>
      <c r="I388" s="167"/>
      <c r="J388" s="167"/>
      <c r="K388" s="167"/>
      <c r="L388" s="167"/>
      <c r="M388" s="167"/>
      <c r="N388" s="167"/>
      <c r="O388" s="167"/>
      <c r="P388" s="167"/>
    </row>
    <row r="389" spans="1:16" x14ac:dyDescent="0.2">
      <c r="A389" s="58" t="str">
        <v/>
      </c>
      <c r="B389" s="144" t="str">
        <f>IFERROR(TIMEVALUE(DaqBook_RAW_Data!AG379),IFERROR(TIMEVALUE(DaqBook_RAW_Data!A379),""))</f>
        <v/>
      </c>
      <c r="C389" s="167"/>
      <c r="D389" s="167"/>
      <c r="E389" s="167"/>
      <c r="F389" s="167"/>
      <c r="G389" s="167"/>
      <c r="H389" s="167"/>
      <c r="I389" s="167"/>
      <c r="J389" s="167"/>
      <c r="K389" s="167"/>
      <c r="L389" s="167"/>
      <c r="M389" s="167"/>
      <c r="N389" s="167"/>
      <c r="O389" s="167"/>
      <c r="P389" s="167"/>
    </row>
    <row r="390" spans="1:16" x14ac:dyDescent="0.2">
      <c r="A390" s="58" t="str">
        <v/>
      </c>
      <c r="B390" s="144" t="str">
        <f>IFERROR(TIMEVALUE(DaqBook_RAW_Data!AG380),IFERROR(TIMEVALUE(DaqBook_RAW_Data!A380),""))</f>
        <v/>
      </c>
      <c r="C390" s="167"/>
      <c r="D390" s="167"/>
      <c r="E390" s="167"/>
      <c r="F390" s="167"/>
      <c r="G390" s="167"/>
      <c r="H390" s="167"/>
      <c r="I390" s="167"/>
      <c r="J390" s="167"/>
      <c r="K390" s="167"/>
      <c r="L390" s="167"/>
      <c r="M390" s="167"/>
      <c r="N390" s="167"/>
      <c r="O390" s="167"/>
      <c r="P390" s="167"/>
    </row>
    <row r="391" spans="1:16" x14ac:dyDescent="0.2">
      <c r="A391" s="58" t="str">
        <v/>
      </c>
      <c r="B391" s="144" t="str">
        <f>IFERROR(TIMEVALUE(DaqBook_RAW_Data!AG381),IFERROR(TIMEVALUE(DaqBook_RAW_Data!A381),""))</f>
        <v/>
      </c>
      <c r="C391" s="167"/>
      <c r="D391" s="167"/>
      <c r="E391" s="167"/>
      <c r="F391" s="167"/>
      <c r="G391" s="167"/>
      <c r="H391" s="167"/>
      <c r="I391" s="167"/>
      <c r="J391" s="167"/>
      <c r="K391" s="167"/>
      <c r="L391" s="167"/>
      <c r="M391" s="167"/>
      <c r="N391" s="167"/>
      <c r="O391" s="167"/>
      <c r="P391" s="167"/>
    </row>
    <row r="392" spans="1:16" x14ac:dyDescent="0.2">
      <c r="A392" s="58" t="str">
        <v/>
      </c>
      <c r="B392" s="144" t="str">
        <f>IFERROR(TIMEVALUE(DaqBook_RAW_Data!AG382),IFERROR(TIMEVALUE(DaqBook_RAW_Data!A382),""))</f>
        <v/>
      </c>
      <c r="C392" s="167"/>
      <c r="D392" s="167"/>
      <c r="E392" s="167"/>
      <c r="F392" s="167"/>
      <c r="G392" s="167"/>
      <c r="H392" s="167"/>
      <c r="I392" s="167"/>
      <c r="J392" s="167"/>
      <c r="K392" s="167"/>
      <c r="L392" s="167"/>
      <c r="M392" s="167"/>
      <c r="N392" s="167"/>
      <c r="O392" s="167"/>
      <c r="P392" s="167"/>
    </row>
    <row r="393" spans="1:16" x14ac:dyDescent="0.2">
      <c r="A393" s="58" t="str">
        <v/>
      </c>
      <c r="B393" s="144" t="str">
        <f>IFERROR(TIMEVALUE(DaqBook_RAW_Data!AG383),IFERROR(TIMEVALUE(DaqBook_RAW_Data!A383),""))</f>
        <v/>
      </c>
      <c r="C393" s="167"/>
      <c r="D393" s="167"/>
      <c r="E393" s="167"/>
      <c r="F393" s="167"/>
      <c r="G393" s="167"/>
      <c r="H393" s="167"/>
      <c r="I393" s="167"/>
      <c r="J393" s="167"/>
      <c r="K393" s="167"/>
      <c r="L393" s="167"/>
      <c r="M393" s="167"/>
      <c r="N393" s="167"/>
      <c r="O393" s="167"/>
      <c r="P393" s="167"/>
    </row>
    <row r="394" spans="1:16" x14ac:dyDescent="0.2">
      <c r="A394" s="58" t="str">
        <v/>
      </c>
      <c r="B394" s="144" t="str">
        <f>IFERROR(TIMEVALUE(DaqBook_RAW_Data!AG384),IFERROR(TIMEVALUE(DaqBook_RAW_Data!A384),""))</f>
        <v/>
      </c>
      <c r="C394" s="167"/>
      <c r="D394" s="167"/>
      <c r="E394" s="167"/>
      <c r="F394" s="167"/>
      <c r="G394" s="167"/>
      <c r="H394" s="167"/>
      <c r="I394" s="167"/>
      <c r="J394" s="167"/>
      <c r="K394" s="167"/>
      <c r="L394" s="167"/>
      <c r="M394" s="167"/>
      <c r="N394" s="167"/>
      <c r="O394" s="167"/>
      <c r="P394" s="167"/>
    </row>
    <row r="395" spans="1:16" x14ac:dyDescent="0.2">
      <c r="A395" s="58" t="str">
        <v/>
      </c>
      <c r="B395" s="144" t="str">
        <f>IFERROR(TIMEVALUE(DaqBook_RAW_Data!AG385),IFERROR(TIMEVALUE(DaqBook_RAW_Data!A385),""))</f>
        <v/>
      </c>
      <c r="C395" s="167"/>
      <c r="D395" s="167"/>
      <c r="E395" s="167"/>
      <c r="F395" s="167"/>
      <c r="G395" s="167"/>
      <c r="H395" s="167"/>
      <c r="I395" s="167"/>
      <c r="J395" s="167"/>
      <c r="K395" s="167"/>
      <c r="L395" s="167"/>
      <c r="M395" s="167"/>
      <c r="N395" s="167"/>
      <c r="O395" s="167"/>
      <c r="P395" s="167"/>
    </row>
    <row r="396" spans="1:16" x14ac:dyDescent="0.2">
      <c r="A396" s="58" t="str">
        <v/>
      </c>
      <c r="B396" s="144" t="str">
        <f>IFERROR(TIMEVALUE(DaqBook_RAW_Data!AG386),IFERROR(TIMEVALUE(DaqBook_RAW_Data!A386),""))</f>
        <v/>
      </c>
      <c r="C396" s="167"/>
      <c r="D396" s="167"/>
      <c r="E396" s="167"/>
      <c r="F396" s="167"/>
      <c r="G396" s="167"/>
      <c r="H396" s="167"/>
      <c r="I396" s="167"/>
      <c r="J396" s="167"/>
      <c r="K396" s="167"/>
      <c r="L396" s="167"/>
      <c r="M396" s="167"/>
      <c r="N396" s="167"/>
      <c r="O396" s="167"/>
      <c r="P396" s="167"/>
    </row>
    <row r="397" spans="1:16" x14ac:dyDescent="0.2">
      <c r="A397" s="58" t="str">
        <v/>
      </c>
      <c r="B397" s="144" t="str">
        <f>IFERROR(TIMEVALUE(DaqBook_RAW_Data!AG387),IFERROR(TIMEVALUE(DaqBook_RAW_Data!A387),""))</f>
        <v/>
      </c>
      <c r="C397" s="167"/>
      <c r="D397" s="167"/>
      <c r="E397" s="167"/>
      <c r="F397" s="167"/>
      <c r="G397" s="167"/>
      <c r="H397" s="167"/>
      <c r="I397" s="167"/>
      <c r="J397" s="167"/>
      <c r="K397" s="167"/>
      <c r="L397" s="167"/>
      <c r="M397" s="167"/>
      <c r="N397" s="167"/>
      <c r="O397" s="167"/>
      <c r="P397" s="167"/>
    </row>
    <row r="398" spans="1:16" x14ac:dyDescent="0.2">
      <c r="A398" s="58" t="str">
        <v/>
      </c>
      <c r="B398" s="144" t="str">
        <f>IFERROR(TIMEVALUE(DaqBook_RAW_Data!AG388),IFERROR(TIMEVALUE(DaqBook_RAW_Data!A388),""))</f>
        <v/>
      </c>
      <c r="C398" s="167"/>
      <c r="D398" s="167"/>
      <c r="E398" s="167"/>
      <c r="F398" s="167"/>
      <c r="G398" s="167"/>
      <c r="H398" s="167"/>
      <c r="I398" s="167"/>
      <c r="J398" s="167"/>
      <c r="K398" s="167"/>
      <c r="L398" s="167"/>
      <c r="M398" s="167"/>
      <c r="N398" s="167"/>
      <c r="O398" s="167"/>
      <c r="P398" s="167"/>
    </row>
    <row r="399" spans="1:16" x14ac:dyDescent="0.2">
      <c r="A399" s="58" t="str">
        <v/>
      </c>
      <c r="B399" s="144" t="str">
        <f>IFERROR(TIMEVALUE(DaqBook_RAW_Data!AG389),IFERROR(TIMEVALUE(DaqBook_RAW_Data!A389),""))</f>
        <v/>
      </c>
      <c r="C399" s="167"/>
      <c r="D399" s="167"/>
      <c r="E399" s="167"/>
      <c r="F399" s="167"/>
      <c r="G399" s="167"/>
      <c r="H399" s="167"/>
      <c r="I399" s="167"/>
      <c r="J399" s="167"/>
      <c r="K399" s="167"/>
      <c r="L399" s="167"/>
      <c r="M399" s="167"/>
      <c r="N399" s="167"/>
      <c r="O399" s="167"/>
      <c r="P399" s="167"/>
    </row>
    <row r="400" spans="1:16" x14ac:dyDescent="0.2">
      <c r="A400" s="58" t="str">
        <v/>
      </c>
      <c r="B400" s="144" t="str">
        <f>IFERROR(TIMEVALUE(DaqBook_RAW_Data!AG390),IFERROR(TIMEVALUE(DaqBook_RAW_Data!A390),""))</f>
        <v/>
      </c>
      <c r="C400" s="167"/>
      <c r="D400" s="167"/>
      <c r="E400" s="167"/>
      <c r="F400" s="167"/>
      <c r="G400" s="167"/>
      <c r="H400" s="167"/>
      <c r="I400" s="167"/>
      <c r="J400" s="167"/>
      <c r="K400" s="167"/>
      <c r="L400" s="167"/>
      <c r="M400" s="167"/>
      <c r="N400" s="167"/>
      <c r="O400" s="167"/>
      <c r="P400" s="167"/>
    </row>
    <row r="401" spans="1:16" x14ac:dyDescent="0.2">
      <c r="A401" s="58" t="str">
        <v/>
      </c>
      <c r="B401" s="144" t="str">
        <f>IFERROR(TIMEVALUE(DaqBook_RAW_Data!AG391),IFERROR(TIMEVALUE(DaqBook_RAW_Data!A391),""))</f>
        <v/>
      </c>
      <c r="C401" s="167"/>
      <c r="D401" s="167"/>
      <c r="E401" s="167"/>
      <c r="F401" s="167"/>
      <c r="G401" s="167"/>
      <c r="H401" s="167"/>
      <c r="I401" s="167"/>
      <c r="J401" s="167"/>
      <c r="K401" s="167"/>
      <c r="L401" s="167"/>
      <c r="M401" s="167"/>
      <c r="N401" s="167"/>
      <c r="O401" s="167"/>
      <c r="P401" s="167"/>
    </row>
    <row r="402" spans="1:16" x14ac:dyDescent="0.2">
      <c r="A402" s="58" t="str">
        <v/>
      </c>
      <c r="B402" s="144" t="str">
        <f>IFERROR(TIMEVALUE(DaqBook_RAW_Data!AG392),IFERROR(TIMEVALUE(DaqBook_RAW_Data!A392),""))</f>
        <v/>
      </c>
      <c r="C402" s="167"/>
      <c r="D402" s="167"/>
      <c r="E402" s="167"/>
      <c r="F402" s="167"/>
      <c r="G402" s="167"/>
      <c r="H402" s="167"/>
      <c r="I402" s="167"/>
      <c r="J402" s="167"/>
      <c r="K402" s="167"/>
      <c r="L402" s="167"/>
      <c r="M402" s="167"/>
      <c r="N402" s="167"/>
      <c r="O402" s="167"/>
      <c r="P402" s="167"/>
    </row>
    <row r="403" spans="1:16" x14ac:dyDescent="0.2">
      <c r="A403" s="58" t="str">
        <v/>
      </c>
      <c r="B403" s="144" t="str">
        <f>IFERROR(TIMEVALUE(DaqBook_RAW_Data!AG393),IFERROR(TIMEVALUE(DaqBook_RAW_Data!A393),""))</f>
        <v/>
      </c>
      <c r="C403" s="167"/>
      <c r="D403" s="167"/>
      <c r="E403" s="167"/>
      <c r="F403" s="167"/>
      <c r="G403" s="167"/>
      <c r="H403" s="167"/>
      <c r="I403" s="167"/>
      <c r="J403" s="167"/>
      <c r="K403" s="167"/>
      <c r="L403" s="167"/>
      <c r="M403" s="167"/>
      <c r="N403" s="167"/>
      <c r="O403" s="167"/>
      <c r="P403" s="167"/>
    </row>
    <row r="404" spans="1:16" x14ac:dyDescent="0.2">
      <c r="A404" s="58" t="str">
        <v/>
      </c>
      <c r="B404" s="144" t="str">
        <f>IFERROR(TIMEVALUE(DaqBook_RAW_Data!AG394),IFERROR(TIMEVALUE(DaqBook_RAW_Data!A394),""))</f>
        <v/>
      </c>
      <c r="C404" s="167"/>
      <c r="D404" s="167"/>
      <c r="E404" s="167"/>
      <c r="F404" s="167"/>
      <c r="G404" s="167"/>
      <c r="H404" s="167"/>
      <c r="I404" s="167"/>
      <c r="J404" s="167"/>
      <c r="K404" s="167"/>
      <c r="L404" s="167"/>
      <c r="M404" s="167"/>
      <c r="N404" s="167"/>
      <c r="O404" s="167"/>
      <c r="P404" s="167"/>
    </row>
    <row r="405" spans="1:16" x14ac:dyDescent="0.2">
      <c r="A405" s="58" t="str">
        <v/>
      </c>
      <c r="B405" s="144" t="str">
        <f>IFERROR(TIMEVALUE(DaqBook_RAW_Data!AG395),IFERROR(TIMEVALUE(DaqBook_RAW_Data!A395),""))</f>
        <v/>
      </c>
      <c r="C405" s="167"/>
      <c r="D405" s="167"/>
      <c r="E405" s="167"/>
      <c r="F405" s="167"/>
      <c r="G405" s="167"/>
      <c r="H405" s="167"/>
      <c r="I405" s="167"/>
      <c r="J405" s="167"/>
      <c r="K405" s="167"/>
      <c r="L405" s="167"/>
      <c r="M405" s="167"/>
      <c r="N405" s="167"/>
      <c r="O405" s="167"/>
      <c r="P405" s="167"/>
    </row>
    <row r="406" spans="1:16" x14ac:dyDescent="0.2">
      <c r="A406" s="58" t="str">
        <v/>
      </c>
      <c r="B406" s="144" t="str">
        <f>IFERROR(TIMEVALUE(DaqBook_RAW_Data!AG396),IFERROR(TIMEVALUE(DaqBook_RAW_Data!A396),""))</f>
        <v/>
      </c>
      <c r="C406" s="167"/>
      <c r="D406" s="167"/>
      <c r="E406" s="167"/>
      <c r="F406" s="167"/>
      <c r="G406" s="167"/>
      <c r="H406" s="167"/>
      <c r="I406" s="167"/>
      <c r="J406" s="167"/>
      <c r="K406" s="167"/>
      <c r="L406" s="167"/>
      <c r="M406" s="167"/>
      <c r="N406" s="167"/>
      <c r="O406" s="167"/>
      <c r="P406" s="167"/>
    </row>
    <row r="407" spans="1:16" x14ac:dyDescent="0.2">
      <c r="A407" s="58" t="str">
        <v/>
      </c>
      <c r="B407" s="144" t="str">
        <f>IFERROR(TIMEVALUE(DaqBook_RAW_Data!AG397),IFERROR(TIMEVALUE(DaqBook_RAW_Data!A397),""))</f>
        <v/>
      </c>
      <c r="C407" s="167"/>
      <c r="D407" s="167"/>
      <c r="E407" s="167"/>
      <c r="F407" s="167"/>
      <c r="G407" s="167"/>
      <c r="H407" s="167"/>
      <c r="I407" s="167"/>
      <c r="J407" s="167"/>
      <c r="K407" s="167"/>
      <c r="L407" s="167"/>
      <c r="M407" s="167"/>
      <c r="N407" s="167"/>
      <c r="O407" s="167"/>
      <c r="P407" s="167"/>
    </row>
    <row r="408" spans="1:16" x14ac:dyDescent="0.2">
      <c r="A408" s="58" t="str">
        <v/>
      </c>
      <c r="B408" s="144" t="str">
        <f>IFERROR(TIMEVALUE(DaqBook_RAW_Data!AG398),IFERROR(TIMEVALUE(DaqBook_RAW_Data!A398),""))</f>
        <v/>
      </c>
      <c r="C408" s="167"/>
      <c r="D408" s="167"/>
      <c r="E408" s="167"/>
      <c r="F408" s="167"/>
      <c r="G408" s="167"/>
      <c r="H408" s="167"/>
      <c r="I408" s="167"/>
      <c r="J408" s="167"/>
      <c r="K408" s="167"/>
      <c r="L408" s="167"/>
      <c r="M408" s="167"/>
      <c r="N408" s="167"/>
      <c r="O408" s="167"/>
      <c r="P408" s="167"/>
    </row>
    <row r="409" spans="1:16" x14ac:dyDescent="0.2">
      <c r="A409" s="58" t="str">
        <v/>
      </c>
      <c r="B409" s="144" t="str">
        <f>IFERROR(TIMEVALUE(DaqBook_RAW_Data!AG399),IFERROR(TIMEVALUE(DaqBook_RAW_Data!A399),""))</f>
        <v/>
      </c>
      <c r="C409" s="167"/>
      <c r="D409" s="167"/>
      <c r="E409" s="167"/>
      <c r="F409" s="167"/>
      <c r="G409" s="167"/>
      <c r="H409" s="167"/>
      <c r="I409" s="167"/>
      <c r="J409" s="167"/>
      <c r="K409" s="167"/>
      <c r="L409" s="167"/>
      <c r="M409" s="167"/>
      <c r="N409" s="167"/>
      <c r="O409" s="167"/>
      <c r="P409" s="167"/>
    </row>
    <row r="410" spans="1:16" x14ac:dyDescent="0.2">
      <c r="A410" s="58" t="str">
        <v/>
      </c>
      <c r="B410" s="144" t="str">
        <f>IFERROR(TIMEVALUE(DaqBook_RAW_Data!AG400),IFERROR(TIMEVALUE(DaqBook_RAW_Data!A400),""))</f>
        <v/>
      </c>
      <c r="C410" s="167"/>
      <c r="D410" s="167"/>
      <c r="E410" s="167"/>
      <c r="F410" s="167"/>
      <c r="G410" s="167"/>
      <c r="H410" s="167"/>
      <c r="I410" s="167"/>
      <c r="J410" s="167"/>
      <c r="K410" s="167"/>
      <c r="L410" s="167"/>
      <c r="M410" s="167"/>
      <c r="N410" s="167"/>
      <c r="O410" s="167"/>
      <c r="P410" s="167"/>
    </row>
    <row r="411" spans="1:16" x14ac:dyDescent="0.2">
      <c r="A411" s="58" t="str">
        <v/>
      </c>
      <c r="B411" s="144" t="str">
        <f>IFERROR(TIMEVALUE(DaqBook_RAW_Data!AG401),IFERROR(TIMEVALUE(DaqBook_RAW_Data!A401),""))</f>
        <v/>
      </c>
      <c r="C411" s="167"/>
      <c r="D411" s="167"/>
      <c r="E411" s="167"/>
      <c r="F411" s="167"/>
      <c r="G411" s="167"/>
      <c r="H411" s="167"/>
      <c r="I411" s="167"/>
      <c r="J411" s="167"/>
      <c r="K411" s="167"/>
      <c r="L411" s="167"/>
      <c r="M411" s="167"/>
      <c r="N411" s="167"/>
      <c r="O411" s="167"/>
      <c r="P411" s="167"/>
    </row>
    <row r="412" spans="1:16" x14ac:dyDescent="0.2">
      <c r="A412" s="58" t="str">
        <v/>
      </c>
      <c r="B412" s="144" t="str">
        <f>IFERROR(TIMEVALUE(DaqBook_RAW_Data!AG402),IFERROR(TIMEVALUE(DaqBook_RAW_Data!A402),""))</f>
        <v/>
      </c>
      <c r="C412" s="167"/>
      <c r="D412" s="167"/>
      <c r="E412" s="167"/>
      <c r="F412" s="167"/>
      <c r="G412" s="167"/>
      <c r="H412" s="167"/>
      <c r="I412" s="167"/>
      <c r="J412" s="167"/>
      <c r="K412" s="167"/>
      <c r="L412" s="167"/>
      <c r="M412" s="167"/>
      <c r="N412" s="167"/>
      <c r="O412" s="167"/>
      <c r="P412" s="167"/>
    </row>
    <row r="413" spans="1:16" x14ac:dyDescent="0.2">
      <c r="A413" s="58" t="str">
        <v/>
      </c>
      <c r="B413" s="144" t="str">
        <f>IFERROR(TIMEVALUE(DaqBook_RAW_Data!AG403),IFERROR(TIMEVALUE(DaqBook_RAW_Data!A403),""))</f>
        <v/>
      </c>
      <c r="C413" s="167"/>
      <c r="D413" s="167"/>
      <c r="E413" s="167"/>
      <c r="F413" s="167"/>
      <c r="G413" s="167"/>
      <c r="H413" s="167"/>
      <c r="I413" s="167"/>
      <c r="J413" s="167"/>
      <c r="K413" s="167"/>
      <c r="L413" s="167"/>
      <c r="M413" s="167"/>
      <c r="N413" s="167"/>
      <c r="O413" s="167"/>
      <c r="P413" s="167"/>
    </row>
    <row r="414" spans="1:16" x14ac:dyDescent="0.2">
      <c r="A414" s="58" t="str">
        <v/>
      </c>
      <c r="B414" s="144" t="str">
        <f>IFERROR(TIMEVALUE(DaqBook_RAW_Data!AG404),IFERROR(TIMEVALUE(DaqBook_RAW_Data!A404),""))</f>
        <v/>
      </c>
      <c r="C414" s="167"/>
      <c r="D414" s="167"/>
      <c r="E414" s="167"/>
      <c r="F414" s="167"/>
      <c r="G414" s="167"/>
      <c r="H414" s="167"/>
      <c r="I414" s="167"/>
      <c r="J414" s="167"/>
      <c r="K414" s="167"/>
      <c r="L414" s="167"/>
      <c r="M414" s="167"/>
      <c r="N414" s="167"/>
      <c r="O414" s="167"/>
      <c r="P414" s="167"/>
    </row>
    <row r="415" spans="1:16" x14ac:dyDescent="0.2">
      <c r="A415" s="58" t="str">
        <v/>
      </c>
      <c r="B415" s="144" t="str">
        <f>IFERROR(TIMEVALUE(DaqBook_RAW_Data!AG405),IFERROR(TIMEVALUE(DaqBook_RAW_Data!A405),""))</f>
        <v/>
      </c>
      <c r="C415" s="167"/>
      <c r="D415" s="167"/>
      <c r="E415" s="167"/>
      <c r="F415" s="167"/>
      <c r="G415" s="167"/>
      <c r="H415" s="167"/>
      <c r="I415" s="167"/>
      <c r="J415" s="167"/>
      <c r="K415" s="167"/>
      <c r="L415" s="167"/>
      <c r="M415" s="167"/>
      <c r="N415" s="167"/>
      <c r="O415" s="167"/>
      <c r="P415" s="167"/>
    </row>
    <row r="416" spans="1:16" x14ac:dyDescent="0.2">
      <c r="A416" s="58" t="str">
        <v/>
      </c>
      <c r="B416" s="144" t="str">
        <f>IFERROR(TIMEVALUE(DaqBook_RAW_Data!AG406),IFERROR(TIMEVALUE(DaqBook_RAW_Data!A406),""))</f>
        <v/>
      </c>
      <c r="C416" s="167"/>
      <c r="D416" s="167"/>
      <c r="E416" s="167"/>
      <c r="F416" s="167"/>
      <c r="G416" s="167"/>
      <c r="H416" s="167"/>
      <c r="I416" s="167"/>
      <c r="J416" s="167"/>
      <c r="K416" s="167"/>
      <c r="L416" s="167"/>
      <c r="M416" s="167"/>
      <c r="N416" s="167"/>
      <c r="O416" s="167"/>
      <c r="P416" s="167"/>
    </row>
    <row r="417" spans="1:16" x14ac:dyDescent="0.2">
      <c r="A417" s="58" t="str">
        <v/>
      </c>
      <c r="B417" s="144" t="str">
        <f>IFERROR(TIMEVALUE(DaqBook_RAW_Data!AG407),IFERROR(TIMEVALUE(DaqBook_RAW_Data!A407),""))</f>
        <v/>
      </c>
      <c r="C417" s="167"/>
      <c r="D417" s="167"/>
      <c r="E417" s="167"/>
      <c r="F417" s="167"/>
      <c r="G417" s="167"/>
      <c r="H417" s="167"/>
      <c r="I417" s="167"/>
      <c r="J417" s="167"/>
      <c r="K417" s="167"/>
      <c r="L417" s="167"/>
      <c r="M417" s="167"/>
      <c r="N417" s="167"/>
      <c r="O417" s="167"/>
      <c r="P417" s="167"/>
    </row>
    <row r="418" spans="1:16" x14ac:dyDescent="0.2">
      <c r="A418" s="58" t="str">
        <v/>
      </c>
      <c r="B418" s="144" t="str">
        <f>IFERROR(TIMEVALUE(DaqBook_RAW_Data!AG408),IFERROR(TIMEVALUE(DaqBook_RAW_Data!A408),""))</f>
        <v/>
      </c>
      <c r="C418" s="167"/>
      <c r="D418" s="167"/>
      <c r="E418" s="167"/>
      <c r="F418" s="167"/>
      <c r="G418" s="167"/>
      <c r="H418" s="167"/>
      <c r="I418" s="167"/>
      <c r="J418" s="167"/>
      <c r="K418" s="167"/>
      <c r="L418" s="167"/>
      <c r="M418" s="167"/>
      <c r="N418" s="167"/>
      <c r="O418" s="167"/>
      <c r="P418" s="167"/>
    </row>
    <row r="419" spans="1:16" x14ac:dyDescent="0.2">
      <c r="A419" s="58" t="str">
        <v/>
      </c>
      <c r="B419" s="144" t="str">
        <f>IFERROR(TIMEVALUE(DaqBook_RAW_Data!AG409),IFERROR(TIMEVALUE(DaqBook_RAW_Data!A409),""))</f>
        <v/>
      </c>
      <c r="C419" s="167"/>
      <c r="D419" s="167"/>
      <c r="E419" s="167"/>
      <c r="F419" s="167"/>
      <c r="G419" s="167"/>
      <c r="H419" s="167"/>
      <c r="I419" s="167"/>
      <c r="J419" s="167"/>
      <c r="K419" s="167"/>
      <c r="L419" s="167"/>
      <c r="M419" s="167"/>
      <c r="N419" s="167"/>
      <c r="O419" s="167"/>
      <c r="P419" s="167"/>
    </row>
    <row r="420" spans="1:16" x14ac:dyDescent="0.2">
      <c r="A420" s="58" t="str">
        <v/>
      </c>
      <c r="B420" s="144" t="str">
        <f>IFERROR(TIMEVALUE(DaqBook_RAW_Data!AG410),IFERROR(TIMEVALUE(DaqBook_RAW_Data!A410),""))</f>
        <v/>
      </c>
      <c r="C420" s="167"/>
      <c r="D420" s="167"/>
      <c r="E420" s="167"/>
      <c r="F420" s="167"/>
      <c r="G420" s="167"/>
      <c r="H420" s="167"/>
      <c r="I420" s="167"/>
      <c r="J420" s="167"/>
      <c r="K420" s="167"/>
      <c r="L420" s="167"/>
      <c r="M420" s="167"/>
      <c r="N420" s="167"/>
      <c r="O420" s="167"/>
      <c r="P420" s="167"/>
    </row>
    <row r="421" spans="1:16" x14ac:dyDescent="0.2">
      <c r="A421" s="58" t="str">
        <v/>
      </c>
      <c r="B421" s="144" t="str">
        <f>IFERROR(TIMEVALUE(DaqBook_RAW_Data!AG411),IFERROR(TIMEVALUE(DaqBook_RAW_Data!A411),""))</f>
        <v/>
      </c>
      <c r="C421" s="167"/>
      <c r="D421" s="167"/>
      <c r="E421" s="167"/>
      <c r="F421" s="167"/>
      <c r="G421" s="167"/>
      <c r="H421" s="167"/>
      <c r="I421" s="167"/>
      <c r="J421" s="167"/>
      <c r="K421" s="167"/>
      <c r="L421" s="167"/>
      <c r="M421" s="167"/>
      <c r="N421" s="167"/>
      <c r="O421" s="167"/>
      <c r="P421" s="167"/>
    </row>
    <row r="422" spans="1:16" x14ac:dyDescent="0.2">
      <c r="A422" s="58" t="str">
        <v/>
      </c>
      <c r="B422" s="144" t="str">
        <f>IFERROR(TIMEVALUE(DaqBook_RAW_Data!AG412),IFERROR(TIMEVALUE(DaqBook_RAW_Data!A412),""))</f>
        <v/>
      </c>
      <c r="C422" s="167"/>
      <c r="D422" s="167"/>
      <c r="E422" s="167"/>
      <c r="F422" s="167"/>
      <c r="G422" s="167"/>
      <c r="H422" s="167"/>
      <c r="I422" s="167"/>
      <c r="J422" s="167"/>
      <c r="K422" s="167"/>
      <c r="L422" s="167"/>
      <c r="M422" s="167"/>
      <c r="N422" s="167"/>
      <c r="O422" s="167"/>
      <c r="P422" s="167"/>
    </row>
    <row r="423" spans="1:16" x14ac:dyDescent="0.2">
      <c r="A423" s="58" t="str">
        <v/>
      </c>
      <c r="B423" s="144" t="str">
        <f>IFERROR(TIMEVALUE(DaqBook_RAW_Data!AG413),IFERROR(TIMEVALUE(DaqBook_RAW_Data!A413),""))</f>
        <v/>
      </c>
      <c r="C423" s="167"/>
      <c r="D423" s="167"/>
      <c r="E423" s="167"/>
      <c r="F423" s="167"/>
      <c r="G423" s="167"/>
      <c r="H423" s="167"/>
      <c r="I423" s="167"/>
      <c r="J423" s="167"/>
      <c r="K423" s="167"/>
      <c r="L423" s="167"/>
      <c r="M423" s="167"/>
      <c r="N423" s="167"/>
      <c r="O423" s="167"/>
      <c r="P423" s="167"/>
    </row>
    <row r="424" spans="1:16" x14ac:dyDescent="0.2">
      <c r="A424" s="58" t="str">
        <v/>
      </c>
      <c r="B424" s="144" t="str">
        <f>IFERROR(TIMEVALUE(DaqBook_RAW_Data!AG414),IFERROR(TIMEVALUE(DaqBook_RAW_Data!A414),""))</f>
        <v/>
      </c>
      <c r="C424" s="167"/>
      <c r="D424" s="167"/>
      <c r="E424" s="167"/>
      <c r="F424" s="167"/>
      <c r="G424" s="167"/>
      <c r="H424" s="167"/>
      <c r="I424" s="167"/>
      <c r="J424" s="167"/>
      <c r="K424" s="167"/>
      <c r="L424" s="167"/>
      <c r="M424" s="167"/>
      <c r="N424" s="167"/>
      <c r="O424" s="167"/>
      <c r="P424" s="167"/>
    </row>
    <row r="425" spans="1:16" x14ac:dyDescent="0.2">
      <c r="A425" s="58" t="str">
        <v/>
      </c>
      <c r="B425" s="144" t="str">
        <f>IFERROR(TIMEVALUE(DaqBook_RAW_Data!AG415),IFERROR(TIMEVALUE(DaqBook_RAW_Data!A415),""))</f>
        <v/>
      </c>
      <c r="C425" s="167"/>
      <c r="D425" s="167"/>
      <c r="E425" s="167"/>
      <c r="F425" s="167"/>
      <c r="G425" s="167"/>
      <c r="H425" s="167"/>
      <c r="I425" s="167"/>
      <c r="J425" s="167"/>
      <c r="K425" s="167"/>
      <c r="L425" s="167"/>
      <c r="M425" s="167"/>
      <c r="N425" s="167"/>
      <c r="O425" s="167"/>
      <c r="P425" s="167"/>
    </row>
    <row r="426" spans="1:16" x14ac:dyDescent="0.2">
      <c r="A426" s="58" t="str">
        <v/>
      </c>
      <c r="B426" s="144" t="str">
        <f>IFERROR(TIMEVALUE(DaqBook_RAW_Data!AG416),IFERROR(TIMEVALUE(DaqBook_RAW_Data!A416),""))</f>
        <v/>
      </c>
      <c r="C426" s="167"/>
      <c r="D426" s="167"/>
      <c r="E426" s="167"/>
      <c r="F426" s="167"/>
      <c r="G426" s="167"/>
      <c r="H426" s="167"/>
      <c r="I426" s="167"/>
      <c r="J426" s="167"/>
      <c r="K426" s="167"/>
      <c r="L426" s="167"/>
      <c r="M426" s="167"/>
      <c r="N426" s="167"/>
      <c r="O426" s="167"/>
      <c r="P426" s="167"/>
    </row>
    <row r="427" spans="1:16" x14ac:dyDescent="0.2">
      <c r="A427" s="58" t="str">
        <v/>
      </c>
      <c r="B427" s="144" t="str">
        <f>IFERROR(TIMEVALUE(DaqBook_RAW_Data!AG417),IFERROR(TIMEVALUE(DaqBook_RAW_Data!A417),""))</f>
        <v/>
      </c>
      <c r="C427" s="167"/>
      <c r="D427" s="167"/>
      <c r="E427" s="167"/>
      <c r="F427" s="167"/>
      <c r="G427" s="167"/>
      <c r="H427" s="167"/>
      <c r="I427" s="167"/>
      <c r="J427" s="167"/>
      <c r="K427" s="167"/>
      <c r="L427" s="167"/>
      <c r="M427" s="167"/>
      <c r="N427" s="167"/>
      <c r="O427" s="167"/>
      <c r="P427" s="167"/>
    </row>
    <row r="428" spans="1:16" x14ac:dyDescent="0.2">
      <c r="A428" s="58" t="str">
        <v/>
      </c>
      <c r="B428" s="144" t="str">
        <f>IFERROR(TIMEVALUE(DaqBook_RAW_Data!AG418),IFERROR(TIMEVALUE(DaqBook_RAW_Data!A418),""))</f>
        <v/>
      </c>
      <c r="C428" s="167"/>
      <c r="D428" s="167"/>
      <c r="E428" s="167"/>
      <c r="F428" s="167"/>
      <c r="G428" s="167"/>
      <c r="H428" s="167"/>
      <c r="I428" s="167"/>
      <c r="J428" s="167"/>
      <c r="K428" s="167"/>
      <c r="L428" s="167"/>
      <c r="M428" s="167"/>
      <c r="N428" s="167"/>
      <c r="O428" s="167"/>
      <c r="P428" s="167"/>
    </row>
    <row r="429" spans="1:16" x14ac:dyDescent="0.2">
      <c r="A429" s="58" t="str">
        <v/>
      </c>
      <c r="B429" s="144" t="str">
        <f>IFERROR(TIMEVALUE(DaqBook_RAW_Data!AG419),IFERROR(TIMEVALUE(DaqBook_RAW_Data!A419),""))</f>
        <v/>
      </c>
      <c r="C429" s="167"/>
      <c r="D429" s="167"/>
      <c r="E429" s="167"/>
      <c r="F429" s="167"/>
      <c r="G429" s="167"/>
      <c r="H429" s="167"/>
      <c r="I429" s="167"/>
      <c r="J429" s="167"/>
      <c r="K429" s="167"/>
      <c r="L429" s="167"/>
      <c r="M429" s="167"/>
      <c r="N429" s="167"/>
      <c r="O429" s="167"/>
      <c r="P429" s="167"/>
    </row>
    <row r="430" spans="1:16" x14ac:dyDescent="0.2">
      <c r="A430" s="58" t="str">
        <v/>
      </c>
      <c r="B430" s="144" t="str">
        <f>IFERROR(TIMEVALUE(DaqBook_RAW_Data!AG420),IFERROR(TIMEVALUE(DaqBook_RAW_Data!A420),""))</f>
        <v/>
      </c>
      <c r="C430" s="167"/>
      <c r="D430" s="167"/>
      <c r="E430" s="167"/>
      <c r="F430" s="167"/>
      <c r="G430" s="167"/>
      <c r="H430" s="167"/>
      <c r="I430" s="167"/>
      <c r="J430" s="167"/>
      <c r="K430" s="167"/>
      <c r="L430" s="167"/>
      <c r="M430" s="167"/>
      <c r="N430" s="167"/>
      <c r="O430" s="167"/>
      <c r="P430" s="167"/>
    </row>
    <row r="431" spans="1:16" x14ac:dyDescent="0.2">
      <c r="A431" s="58" t="str">
        <v/>
      </c>
      <c r="B431" s="144" t="str">
        <f>IFERROR(TIMEVALUE(DaqBook_RAW_Data!AG421),IFERROR(TIMEVALUE(DaqBook_RAW_Data!A421),""))</f>
        <v/>
      </c>
      <c r="C431" s="167"/>
      <c r="D431" s="167"/>
      <c r="E431" s="167"/>
      <c r="F431" s="167"/>
      <c r="G431" s="167"/>
      <c r="H431" s="167"/>
      <c r="I431" s="167"/>
      <c r="J431" s="167"/>
      <c r="K431" s="167"/>
      <c r="L431" s="167"/>
      <c r="M431" s="167"/>
      <c r="N431" s="167"/>
      <c r="O431" s="167"/>
      <c r="P431" s="167"/>
    </row>
    <row r="432" spans="1:16" x14ac:dyDescent="0.2">
      <c r="A432" s="58" t="str">
        <v/>
      </c>
      <c r="B432" s="144" t="str">
        <f>IFERROR(TIMEVALUE(DaqBook_RAW_Data!AG422),IFERROR(TIMEVALUE(DaqBook_RAW_Data!A422),""))</f>
        <v/>
      </c>
      <c r="C432" s="167"/>
      <c r="D432" s="167"/>
      <c r="E432" s="167"/>
      <c r="F432" s="167"/>
      <c r="G432" s="167"/>
      <c r="H432" s="167"/>
      <c r="I432" s="167"/>
      <c r="J432" s="167"/>
      <c r="K432" s="167"/>
      <c r="L432" s="167"/>
      <c r="M432" s="167"/>
      <c r="N432" s="167"/>
      <c r="O432" s="167"/>
      <c r="P432" s="167"/>
    </row>
    <row r="433" spans="1:16" x14ac:dyDescent="0.2">
      <c r="A433" s="58" t="str">
        <v/>
      </c>
      <c r="B433" s="144" t="str">
        <f>IFERROR(TIMEVALUE(DaqBook_RAW_Data!AG423),IFERROR(TIMEVALUE(DaqBook_RAW_Data!A423),""))</f>
        <v/>
      </c>
      <c r="C433" s="167"/>
      <c r="D433" s="167"/>
      <c r="E433" s="167"/>
      <c r="F433" s="167"/>
      <c r="G433" s="167"/>
      <c r="H433" s="167"/>
      <c r="I433" s="167"/>
      <c r="J433" s="167"/>
      <c r="K433" s="167"/>
      <c r="L433" s="167"/>
      <c r="M433" s="167"/>
      <c r="N433" s="167"/>
      <c r="O433" s="167"/>
      <c r="P433" s="167"/>
    </row>
    <row r="434" spans="1:16" x14ac:dyDescent="0.2">
      <c r="A434" s="58" t="str">
        <v/>
      </c>
      <c r="B434" s="144" t="str">
        <f>IFERROR(TIMEVALUE(DaqBook_RAW_Data!AG424),IFERROR(TIMEVALUE(DaqBook_RAW_Data!A424),""))</f>
        <v/>
      </c>
      <c r="C434" s="167"/>
      <c r="D434" s="167"/>
      <c r="E434" s="167"/>
      <c r="F434" s="167"/>
      <c r="G434" s="167"/>
      <c r="H434" s="167"/>
      <c r="I434" s="167"/>
      <c r="J434" s="167"/>
      <c r="K434" s="167"/>
      <c r="L434" s="167"/>
      <c r="M434" s="167"/>
      <c r="N434" s="167"/>
      <c r="O434" s="167"/>
      <c r="P434" s="167"/>
    </row>
    <row r="435" spans="1:16" x14ac:dyDescent="0.2">
      <c r="A435" s="58" t="str">
        <v/>
      </c>
      <c r="B435" s="144" t="str">
        <f>IFERROR(TIMEVALUE(DaqBook_RAW_Data!AG425),IFERROR(TIMEVALUE(DaqBook_RAW_Data!A425),""))</f>
        <v/>
      </c>
      <c r="C435" s="167"/>
      <c r="D435" s="167"/>
      <c r="E435" s="167"/>
      <c r="F435" s="167"/>
      <c r="G435" s="167"/>
      <c r="H435" s="167"/>
      <c r="I435" s="167"/>
      <c r="J435" s="167"/>
      <c r="K435" s="167"/>
      <c r="L435" s="167"/>
      <c r="M435" s="167"/>
      <c r="N435" s="167"/>
      <c r="O435" s="167"/>
      <c r="P435" s="167"/>
    </row>
    <row r="436" spans="1:16" x14ac:dyDescent="0.2">
      <c r="A436" s="58" t="str">
        <v/>
      </c>
      <c r="B436" s="144" t="str">
        <f>IFERROR(TIMEVALUE(DaqBook_RAW_Data!AG426),IFERROR(TIMEVALUE(DaqBook_RAW_Data!A426),""))</f>
        <v/>
      </c>
      <c r="C436" s="167"/>
      <c r="D436" s="167"/>
      <c r="E436" s="167"/>
      <c r="F436" s="167"/>
      <c r="G436" s="167"/>
      <c r="H436" s="167"/>
      <c r="I436" s="167"/>
      <c r="J436" s="167"/>
      <c r="K436" s="167"/>
      <c r="L436" s="167"/>
      <c r="M436" s="167"/>
      <c r="N436" s="167"/>
      <c r="O436" s="167"/>
      <c r="P436" s="167"/>
    </row>
    <row r="437" spans="1:16" x14ac:dyDescent="0.2">
      <c r="A437" s="58" t="str">
        <v/>
      </c>
      <c r="B437" s="144" t="str">
        <f>IFERROR(TIMEVALUE(DaqBook_RAW_Data!AG427),IFERROR(TIMEVALUE(DaqBook_RAW_Data!A427),""))</f>
        <v/>
      </c>
      <c r="C437" s="167"/>
      <c r="D437" s="167"/>
      <c r="E437" s="167"/>
      <c r="F437" s="167"/>
      <c r="G437" s="167"/>
      <c r="H437" s="167"/>
      <c r="I437" s="167"/>
      <c r="J437" s="167"/>
      <c r="K437" s="167"/>
      <c r="L437" s="167"/>
      <c r="M437" s="167"/>
      <c r="N437" s="167"/>
      <c r="O437" s="167"/>
      <c r="P437" s="167"/>
    </row>
    <row r="438" spans="1:16" x14ac:dyDescent="0.2">
      <c r="A438" s="58" t="str">
        <v/>
      </c>
      <c r="B438" s="144" t="str">
        <f>IFERROR(TIMEVALUE(DaqBook_RAW_Data!AG428),IFERROR(TIMEVALUE(DaqBook_RAW_Data!A428),""))</f>
        <v/>
      </c>
      <c r="C438" s="167"/>
      <c r="D438" s="167"/>
      <c r="E438" s="167"/>
      <c r="F438" s="167"/>
      <c r="G438" s="167"/>
      <c r="H438" s="167"/>
      <c r="I438" s="167"/>
      <c r="J438" s="167"/>
      <c r="K438" s="167"/>
      <c r="L438" s="167"/>
      <c r="M438" s="167"/>
      <c r="N438" s="167"/>
      <c r="O438" s="167"/>
      <c r="P438" s="167"/>
    </row>
    <row r="439" spans="1:16" x14ac:dyDescent="0.2">
      <c r="A439" s="58" t="str">
        <v/>
      </c>
      <c r="B439" s="144" t="str">
        <f>IFERROR(TIMEVALUE(DaqBook_RAW_Data!AG429),IFERROR(TIMEVALUE(DaqBook_RAW_Data!A429),""))</f>
        <v/>
      </c>
      <c r="C439" s="167"/>
      <c r="D439" s="167"/>
      <c r="E439" s="167"/>
      <c r="F439" s="167"/>
      <c r="G439" s="167"/>
      <c r="H439" s="167"/>
      <c r="I439" s="167"/>
      <c r="J439" s="167"/>
      <c r="K439" s="167"/>
      <c r="L439" s="167"/>
      <c r="M439" s="167"/>
      <c r="N439" s="167"/>
      <c r="O439" s="167"/>
      <c r="P439" s="167"/>
    </row>
    <row r="440" spans="1:16" x14ac:dyDescent="0.2">
      <c r="A440" s="58" t="str">
        <v/>
      </c>
      <c r="B440" s="144" t="str">
        <f>IFERROR(TIMEVALUE(DaqBook_RAW_Data!AG430),IFERROR(TIMEVALUE(DaqBook_RAW_Data!A430),""))</f>
        <v/>
      </c>
      <c r="C440" s="167"/>
      <c r="D440" s="167"/>
      <c r="E440" s="167"/>
      <c r="F440" s="167"/>
      <c r="G440" s="167"/>
      <c r="H440" s="167"/>
      <c r="I440" s="167"/>
      <c r="J440" s="167"/>
      <c r="K440" s="167"/>
      <c r="L440" s="167"/>
      <c r="M440" s="167"/>
      <c r="N440" s="167"/>
      <c r="O440" s="167"/>
      <c r="P440" s="167"/>
    </row>
    <row r="441" spans="1:16" x14ac:dyDescent="0.2">
      <c r="A441" s="58" t="str">
        <v/>
      </c>
      <c r="B441" s="144" t="str">
        <f>IFERROR(TIMEVALUE(DaqBook_RAW_Data!AG431),IFERROR(TIMEVALUE(DaqBook_RAW_Data!A431),""))</f>
        <v/>
      </c>
      <c r="C441" s="167"/>
      <c r="D441" s="167"/>
      <c r="E441" s="167"/>
      <c r="F441" s="167"/>
      <c r="G441" s="167"/>
      <c r="H441" s="167"/>
      <c r="I441" s="167"/>
      <c r="J441" s="167"/>
      <c r="K441" s="167"/>
      <c r="L441" s="167"/>
      <c r="M441" s="167"/>
      <c r="N441" s="167"/>
      <c r="O441" s="167"/>
      <c r="P441" s="167"/>
    </row>
    <row r="442" spans="1:16" x14ac:dyDescent="0.2">
      <c r="A442" s="58" t="str">
        <v/>
      </c>
      <c r="B442" s="144" t="str">
        <f>IFERROR(TIMEVALUE(DaqBook_RAW_Data!AG432),IFERROR(TIMEVALUE(DaqBook_RAW_Data!A432),""))</f>
        <v/>
      </c>
      <c r="C442" s="167"/>
      <c r="D442" s="167"/>
      <c r="E442" s="167"/>
      <c r="F442" s="167"/>
      <c r="G442" s="167"/>
      <c r="H442" s="167"/>
      <c r="I442" s="167"/>
      <c r="J442" s="167"/>
      <c r="K442" s="167"/>
      <c r="L442" s="167"/>
      <c r="M442" s="167"/>
      <c r="N442" s="167"/>
      <c r="O442" s="167"/>
      <c r="P442" s="167"/>
    </row>
    <row r="443" spans="1:16" x14ac:dyDescent="0.2">
      <c r="A443" s="58" t="str">
        <v/>
      </c>
      <c r="B443" s="144" t="str">
        <f>IFERROR(TIMEVALUE(DaqBook_RAW_Data!AG433),IFERROR(TIMEVALUE(DaqBook_RAW_Data!A433),""))</f>
        <v/>
      </c>
      <c r="C443" s="167"/>
      <c r="D443" s="167"/>
      <c r="E443" s="167"/>
      <c r="F443" s="167"/>
      <c r="G443" s="167"/>
      <c r="H443" s="167"/>
      <c r="I443" s="167"/>
      <c r="J443" s="167"/>
      <c r="K443" s="167"/>
      <c r="L443" s="167"/>
      <c r="M443" s="167"/>
      <c r="N443" s="167"/>
      <c r="O443" s="167"/>
      <c r="P443" s="167"/>
    </row>
    <row r="444" spans="1:16" x14ac:dyDescent="0.2">
      <c r="A444" s="58" t="str">
        <v/>
      </c>
      <c r="B444" s="144" t="str">
        <f>IFERROR(TIMEVALUE(DaqBook_RAW_Data!AG434),IFERROR(TIMEVALUE(DaqBook_RAW_Data!A434),""))</f>
        <v/>
      </c>
      <c r="C444" s="167"/>
      <c r="D444" s="167"/>
      <c r="E444" s="167"/>
      <c r="F444" s="167"/>
      <c r="G444" s="167"/>
      <c r="H444" s="167"/>
      <c r="I444" s="167"/>
      <c r="J444" s="167"/>
      <c r="K444" s="167"/>
      <c r="L444" s="167"/>
      <c r="M444" s="167"/>
      <c r="N444" s="167"/>
      <c r="O444" s="167"/>
      <c r="P444" s="167"/>
    </row>
    <row r="445" spans="1:16" x14ac:dyDescent="0.2">
      <c r="A445" s="58" t="str">
        <v/>
      </c>
      <c r="B445" s="144" t="str">
        <f>IFERROR(TIMEVALUE(DaqBook_RAW_Data!AG435),IFERROR(TIMEVALUE(DaqBook_RAW_Data!A435),""))</f>
        <v/>
      </c>
      <c r="C445" s="167"/>
      <c r="D445" s="167"/>
      <c r="E445" s="167"/>
      <c r="F445" s="167"/>
      <c r="G445" s="167"/>
      <c r="H445" s="167"/>
      <c r="I445" s="167"/>
      <c r="J445" s="167"/>
      <c r="K445" s="167"/>
      <c r="L445" s="167"/>
      <c r="M445" s="167"/>
      <c r="N445" s="167"/>
      <c r="O445" s="167"/>
      <c r="P445" s="167"/>
    </row>
    <row r="446" spans="1:16" x14ac:dyDescent="0.2">
      <c r="A446" s="58" t="str">
        <v/>
      </c>
      <c r="B446" s="144" t="str">
        <f>IFERROR(TIMEVALUE(DaqBook_RAW_Data!AG436),IFERROR(TIMEVALUE(DaqBook_RAW_Data!A436),""))</f>
        <v/>
      </c>
      <c r="C446" s="167"/>
      <c r="D446" s="167"/>
      <c r="E446" s="167"/>
      <c r="F446" s="167"/>
      <c r="G446" s="167"/>
      <c r="H446" s="167"/>
      <c r="I446" s="167"/>
      <c r="J446" s="167"/>
      <c r="K446" s="167"/>
      <c r="L446" s="167"/>
      <c r="M446" s="167"/>
      <c r="N446" s="167"/>
      <c r="O446" s="167"/>
      <c r="P446" s="167"/>
    </row>
    <row r="447" spans="1:16" x14ac:dyDescent="0.2">
      <c r="A447" s="58" t="str">
        <v/>
      </c>
      <c r="B447" s="144" t="str">
        <f>IFERROR(TIMEVALUE(DaqBook_RAW_Data!AG437),IFERROR(TIMEVALUE(DaqBook_RAW_Data!A437),""))</f>
        <v/>
      </c>
      <c r="C447" s="167"/>
      <c r="D447" s="167"/>
      <c r="E447" s="167"/>
      <c r="F447" s="167"/>
      <c r="G447" s="167"/>
      <c r="H447" s="167"/>
      <c r="I447" s="167"/>
      <c r="J447" s="167"/>
      <c r="K447" s="167"/>
      <c r="L447" s="167"/>
      <c r="M447" s="167"/>
      <c r="N447" s="167"/>
      <c r="O447" s="167"/>
      <c r="P447" s="167"/>
    </row>
    <row r="448" spans="1:16" x14ac:dyDescent="0.2">
      <c r="A448" s="58" t="str">
        <v/>
      </c>
      <c r="B448" s="144" t="str">
        <f>IFERROR(TIMEVALUE(DaqBook_RAW_Data!AG438),IFERROR(TIMEVALUE(DaqBook_RAW_Data!A438),""))</f>
        <v/>
      </c>
      <c r="C448" s="167"/>
      <c r="D448" s="167"/>
      <c r="E448" s="167"/>
      <c r="F448" s="167"/>
      <c r="G448" s="167"/>
      <c r="H448" s="167"/>
      <c r="I448" s="167"/>
      <c r="J448" s="167"/>
      <c r="K448" s="167"/>
      <c r="L448" s="167"/>
      <c r="M448" s="167"/>
      <c r="N448" s="167"/>
      <c r="O448" s="167"/>
      <c r="P448" s="167"/>
    </row>
    <row r="449" spans="1:16" x14ac:dyDescent="0.2">
      <c r="A449" s="58" t="str">
        <v/>
      </c>
      <c r="B449" s="144" t="str">
        <f>IFERROR(TIMEVALUE(DaqBook_RAW_Data!AG439),IFERROR(TIMEVALUE(DaqBook_RAW_Data!A439),""))</f>
        <v/>
      </c>
      <c r="C449" s="167"/>
      <c r="D449" s="167"/>
      <c r="E449" s="167"/>
      <c r="F449" s="167"/>
      <c r="G449" s="167"/>
      <c r="H449" s="167"/>
      <c r="I449" s="167"/>
      <c r="J449" s="167"/>
      <c r="K449" s="167"/>
      <c r="L449" s="167"/>
      <c r="M449" s="167"/>
      <c r="N449" s="167"/>
      <c r="O449" s="167"/>
      <c r="P449" s="167"/>
    </row>
    <row r="450" spans="1:16" x14ac:dyDescent="0.2">
      <c r="A450" s="58" t="str">
        <v/>
      </c>
      <c r="B450" s="144" t="str">
        <f>IFERROR(TIMEVALUE(DaqBook_RAW_Data!AG440),IFERROR(TIMEVALUE(DaqBook_RAW_Data!A440),""))</f>
        <v/>
      </c>
      <c r="C450" s="167"/>
      <c r="D450" s="167"/>
      <c r="E450" s="167"/>
      <c r="F450" s="167"/>
      <c r="G450" s="167"/>
      <c r="H450" s="167"/>
      <c r="I450" s="167"/>
      <c r="J450" s="167"/>
      <c r="K450" s="167"/>
      <c r="L450" s="167"/>
      <c r="M450" s="167"/>
      <c r="N450" s="167"/>
      <c r="O450" s="167"/>
      <c r="P450" s="167"/>
    </row>
    <row r="451" spans="1:16" x14ac:dyDescent="0.2">
      <c r="A451" s="58" t="str">
        <v/>
      </c>
      <c r="B451" s="144" t="str">
        <f>IFERROR(TIMEVALUE(DaqBook_RAW_Data!AG441),IFERROR(TIMEVALUE(DaqBook_RAW_Data!A441),""))</f>
        <v/>
      </c>
      <c r="C451" s="167"/>
      <c r="D451" s="167"/>
      <c r="E451" s="167"/>
      <c r="F451" s="167"/>
      <c r="G451" s="167"/>
      <c r="H451" s="167"/>
      <c r="I451" s="167"/>
      <c r="J451" s="167"/>
      <c r="K451" s="167"/>
      <c r="L451" s="167"/>
      <c r="M451" s="167"/>
      <c r="N451" s="167"/>
      <c r="O451" s="167"/>
      <c r="P451" s="167"/>
    </row>
    <row r="452" spans="1:16" x14ac:dyDescent="0.2">
      <c r="A452" s="58" t="str">
        <v/>
      </c>
      <c r="B452" s="144" t="str">
        <f>IFERROR(TIMEVALUE(DaqBook_RAW_Data!AG442),IFERROR(TIMEVALUE(DaqBook_RAW_Data!A442),""))</f>
        <v/>
      </c>
      <c r="C452" s="167"/>
      <c r="D452" s="167"/>
      <c r="E452" s="167"/>
      <c r="F452" s="167"/>
      <c r="G452" s="167"/>
      <c r="H452" s="167"/>
      <c r="I452" s="167"/>
      <c r="J452" s="167"/>
      <c r="K452" s="167"/>
      <c r="L452" s="167"/>
      <c r="M452" s="167"/>
      <c r="N452" s="167"/>
      <c r="O452" s="167"/>
      <c r="P452" s="167"/>
    </row>
    <row r="453" spans="1:16" x14ac:dyDescent="0.2">
      <c r="A453" s="58" t="str">
        <v/>
      </c>
      <c r="B453" s="144" t="str">
        <f>IFERROR(TIMEVALUE(DaqBook_RAW_Data!AG443),IFERROR(TIMEVALUE(DaqBook_RAW_Data!A443),""))</f>
        <v/>
      </c>
      <c r="C453" s="167"/>
      <c r="D453" s="167"/>
      <c r="E453" s="167"/>
      <c r="F453" s="167"/>
      <c r="G453" s="167"/>
      <c r="H453" s="167"/>
      <c r="I453" s="167"/>
      <c r="J453" s="167"/>
      <c r="K453" s="167"/>
      <c r="L453" s="167"/>
      <c r="M453" s="167"/>
      <c r="N453" s="167"/>
      <c r="O453" s="167"/>
      <c r="P453" s="167"/>
    </row>
    <row r="454" spans="1:16" x14ac:dyDescent="0.2">
      <c r="A454" s="58" t="str">
        <v/>
      </c>
      <c r="B454" s="144" t="str">
        <f>IFERROR(TIMEVALUE(DaqBook_RAW_Data!AG444),IFERROR(TIMEVALUE(DaqBook_RAW_Data!A444),""))</f>
        <v/>
      </c>
      <c r="C454" s="167"/>
      <c r="D454" s="167"/>
      <c r="E454" s="167"/>
      <c r="F454" s="167"/>
      <c r="G454" s="167"/>
      <c r="H454" s="167"/>
      <c r="I454" s="167"/>
      <c r="J454" s="167"/>
      <c r="K454" s="167"/>
      <c r="L454" s="167"/>
      <c r="M454" s="167"/>
      <c r="N454" s="167"/>
      <c r="O454" s="167"/>
      <c r="P454" s="167"/>
    </row>
    <row r="455" spans="1:16" x14ac:dyDescent="0.2">
      <c r="A455" s="58" t="str">
        <v/>
      </c>
      <c r="B455" s="144" t="str">
        <f>IFERROR(TIMEVALUE(DaqBook_RAW_Data!AG445),IFERROR(TIMEVALUE(DaqBook_RAW_Data!A445),""))</f>
        <v/>
      </c>
      <c r="C455" s="167"/>
      <c r="D455" s="167"/>
      <c r="E455" s="167"/>
      <c r="F455" s="167"/>
      <c r="G455" s="167"/>
      <c r="H455" s="167"/>
      <c r="I455" s="167"/>
      <c r="J455" s="167"/>
      <c r="K455" s="167"/>
      <c r="L455" s="167"/>
      <c r="M455" s="167"/>
      <c r="N455" s="167"/>
      <c r="O455" s="167"/>
      <c r="P455" s="167"/>
    </row>
    <row r="456" spans="1:16" x14ac:dyDescent="0.2">
      <c r="A456" s="58" t="str">
        <v/>
      </c>
      <c r="B456" s="144" t="str">
        <f>IFERROR(TIMEVALUE(DaqBook_RAW_Data!AG446),IFERROR(TIMEVALUE(DaqBook_RAW_Data!A446),""))</f>
        <v/>
      </c>
      <c r="C456" s="167"/>
      <c r="D456" s="167"/>
      <c r="E456" s="167"/>
      <c r="F456" s="167"/>
      <c r="G456" s="167"/>
      <c r="H456" s="167"/>
      <c r="I456" s="167"/>
      <c r="J456" s="167"/>
      <c r="K456" s="167"/>
      <c r="L456" s="167"/>
      <c r="M456" s="167"/>
      <c r="N456" s="167"/>
      <c r="O456" s="167"/>
      <c r="P456" s="167"/>
    </row>
    <row r="457" spans="1:16" x14ac:dyDescent="0.2">
      <c r="A457" s="58" t="str">
        <v/>
      </c>
      <c r="B457" s="144" t="str">
        <f>IFERROR(TIMEVALUE(DaqBook_RAW_Data!AG447),IFERROR(TIMEVALUE(DaqBook_RAW_Data!A447),""))</f>
        <v/>
      </c>
      <c r="C457" s="167"/>
      <c r="D457" s="167"/>
      <c r="E457" s="167"/>
      <c r="F457" s="167"/>
      <c r="G457" s="167"/>
      <c r="H457" s="167"/>
      <c r="I457" s="167"/>
      <c r="J457" s="167"/>
      <c r="K457" s="167"/>
      <c r="L457" s="167"/>
      <c r="M457" s="167"/>
      <c r="N457" s="167"/>
      <c r="O457" s="167"/>
      <c r="P457" s="167"/>
    </row>
    <row r="458" spans="1:16" x14ac:dyDescent="0.2">
      <c r="A458" s="58" t="str">
        <v/>
      </c>
      <c r="B458" s="144" t="str">
        <f>IFERROR(TIMEVALUE(DaqBook_RAW_Data!AG448),IFERROR(TIMEVALUE(DaqBook_RAW_Data!A448),""))</f>
        <v/>
      </c>
      <c r="C458" s="167"/>
      <c r="D458" s="167"/>
      <c r="E458" s="167"/>
      <c r="F458" s="167"/>
      <c r="G458" s="167"/>
      <c r="H458" s="167"/>
      <c r="I458" s="167"/>
      <c r="J458" s="167"/>
      <c r="K458" s="167"/>
      <c r="L458" s="167"/>
      <c r="M458" s="167"/>
      <c r="N458" s="167"/>
      <c r="O458" s="167"/>
      <c r="P458" s="167"/>
    </row>
    <row r="459" spans="1:16" x14ac:dyDescent="0.2">
      <c r="A459" s="58" t="str">
        <v/>
      </c>
      <c r="B459" s="144" t="str">
        <f>IFERROR(TIMEVALUE(DaqBook_RAW_Data!AG449),IFERROR(TIMEVALUE(DaqBook_RAW_Data!A449),""))</f>
        <v/>
      </c>
      <c r="C459" s="167"/>
      <c r="D459" s="167"/>
      <c r="E459" s="167"/>
      <c r="F459" s="167"/>
      <c r="G459" s="167"/>
      <c r="H459" s="167"/>
      <c r="I459" s="167"/>
      <c r="J459" s="167"/>
      <c r="K459" s="167"/>
      <c r="L459" s="167"/>
      <c r="M459" s="167"/>
      <c r="N459" s="167"/>
      <c r="O459" s="167"/>
      <c r="P459" s="167"/>
    </row>
    <row r="460" spans="1:16" x14ac:dyDescent="0.2">
      <c r="A460" s="58" t="str">
        <v/>
      </c>
      <c r="B460" s="144" t="str">
        <f>IFERROR(TIMEVALUE(DaqBook_RAW_Data!AG450),IFERROR(TIMEVALUE(DaqBook_RAW_Data!A450),""))</f>
        <v/>
      </c>
      <c r="C460" s="167"/>
      <c r="D460" s="167"/>
      <c r="E460" s="167"/>
      <c r="F460" s="167"/>
      <c r="G460" s="167"/>
      <c r="H460" s="167"/>
      <c r="I460" s="167"/>
      <c r="J460" s="167"/>
      <c r="K460" s="167"/>
      <c r="L460" s="167"/>
      <c r="M460" s="167"/>
      <c r="N460" s="167"/>
      <c r="O460" s="167"/>
      <c r="P460" s="167"/>
    </row>
    <row r="461" spans="1:16" x14ac:dyDescent="0.2">
      <c r="A461" s="58" t="str">
        <v/>
      </c>
      <c r="B461" s="144" t="str">
        <f>IFERROR(TIMEVALUE(DaqBook_RAW_Data!AG451),IFERROR(TIMEVALUE(DaqBook_RAW_Data!A451),""))</f>
        <v/>
      </c>
      <c r="C461" s="167"/>
      <c r="D461" s="167"/>
      <c r="E461" s="167"/>
      <c r="F461" s="167"/>
      <c r="G461" s="167"/>
      <c r="H461" s="167"/>
      <c r="I461" s="167"/>
      <c r="J461" s="167"/>
      <c r="K461" s="167"/>
      <c r="L461" s="167"/>
      <c r="M461" s="167"/>
      <c r="N461" s="167"/>
      <c r="O461" s="167"/>
      <c r="P461" s="167"/>
    </row>
    <row r="462" spans="1:16" x14ac:dyDescent="0.2">
      <c r="A462" s="58" t="str">
        <v/>
      </c>
      <c r="B462" s="144" t="str">
        <f>IFERROR(TIMEVALUE(DaqBook_RAW_Data!AG452),IFERROR(TIMEVALUE(DaqBook_RAW_Data!A452),""))</f>
        <v/>
      </c>
      <c r="C462" s="167"/>
      <c r="D462" s="167"/>
      <c r="E462" s="167"/>
      <c r="F462" s="167"/>
      <c r="G462" s="167"/>
      <c r="H462" s="167"/>
      <c r="I462" s="167"/>
      <c r="J462" s="167"/>
      <c r="K462" s="167"/>
      <c r="L462" s="167"/>
      <c r="M462" s="167"/>
      <c r="N462" s="167"/>
      <c r="O462" s="167"/>
      <c r="P462" s="167"/>
    </row>
    <row r="463" spans="1:16" x14ac:dyDescent="0.2">
      <c r="A463" s="58" t="str">
        <v/>
      </c>
      <c r="B463" s="144" t="str">
        <f>IFERROR(TIMEVALUE(DaqBook_RAW_Data!AG453),IFERROR(TIMEVALUE(DaqBook_RAW_Data!A453),""))</f>
        <v/>
      </c>
      <c r="C463" s="167"/>
      <c r="D463" s="167"/>
      <c r="E463" s="167"/>
      <c r="F463" s="167"/>
      <c r="G463" s="167"/>
      <c r="H463" s="167"/>
      <c r="I463" s="167"/>
      <c r="J463" s="167"/>
      <c r="K463" s="167"/>
      <c r="L463" s="167"/>
      <c r="M463" s="167"/>
      <c r="N463" s="167"/>
      <c r="O463" s="167"/>
      <c r="P463" s="167"/>
    </row>
    <row r="464" spans="1:16" x14ac:dyDescent="0.2">
      <c r="A464" s="58" t="str">
        <v/>
      </c>
      <c r="B464" s="144" t="str">
        <f>IFERROR(TIMEVALUE(DaqBook_RAW_Data!AG454),IFERROR(TIMEVALUE(DaqBook_RAW_Data!A454),""))</f>
        <v/>
      </c>
      <c r="C464" s="167"/>
      <c r="D464" s="167"/>
      <c r="E464" s="167"/>
      <c r="F464" s="167"/>
      <c r="G464" s="167"/>
      <c r="H464" s="167"/>
      <c r="I464" s="167"/>
      <c r="J464" s="167"/>
      <c r="K464" s="167"/>
      <c r="L464" s="167"/>
      <c r="M464" s="167"/>
      <c r="N464" s="167"/>
      <c r="O464" s="167"/>
      <c r="P464" s="167"/>
    </row>
    <row r="465" spans="1:16" x14ac:dyDescent="0.2">
      <c r="A465" s="58" t="str">
        <v/>
      </c>
      <c r="B465" s="144" t="str">
        <f>IFERROR(TIMEVALUE(DaqBook_RAW_Data!AG455),IFERROR(TIMEVALUE(DaqBook_RAW_Data!A455),""))</f>
        <v/>
      </c>
      <c r="C465" s="167"/>
      <c r="D465" s="167"/>
      <c r="E465" s="167"/>
      <c r="F465" s="167"/>
      <c r="G465" s="167"/>
      <c r="H465" s="167"/>
      <c r="I465" s="167"/>
      <c r="J465" s="167"/>
      <c r="K465" s="167"/>
      <c r="L465" s="167"/>
      <c r="M465" s="167"/>
      <c r="N465" s="167"/>
      <c r="O465" s="167"/>
      <c r="P465" s="167"/>
    </row>
    <row r="466" spans="1:16" x14ac:dyDescent="0.2">
      <c r="A466" s="58" t="str">
        <v/>
      </c>
      <c r="B466" s="144" t="str">
        <f>IFERROR(TIMEVALUE(DaqBook_RAW_Data!AG456),IFERROR(TIMEVALUE(DaqBook_RAW_Data!A456),""))</f>
        <v/>
      </c>
      <c r="C466" s="167"/>
      <c r="D466" s="167"/>
      <c r="E466" s="167"/>
      <c r="F466" s="167"/>
      <c r="G466" s="167"/>
      <c r="H466" s="167"/>
      <c r="I466" s="167"/>
      <c r="J466" s="167"/>
      <c r="K466" s="167"/>
      <c r="L466" s="167"/>
      <c r="M466" s="167"/>
      <c r="N466" s="167"/>
      <c r="O466" s="167"/>
      <c r="P466" s="167"/>
    </row>
    <row r="467" spans="1:16" x14ac:dyDescent="0.2">
      <c r="A467" s="58" t="str">
        <v/>
      </c>
      <c r="B467" s="144" t="str">
        <f>IFERROR(TIMEVALUE(DaqBook_RAW_Data!AG457),IFERROR(TIMEVALUE(DaqBook_RAW_Data!A457),""))</f>
        <v/>
      </c>
      <c r="C467" s="167"/>
      <c r="D467" s="167"/>
      <c r="E467" s="167"/>
      <c r="F467" s="167"/>
      <c r="G467" s="167"/>
      <c r="H467" s="167"/>
      <c r="I467" s="167"/>
      <c r="J467" s="167"/>
      <c r="K467" s="167"/>
      <c r="L467" s="167"/>
      <c r="M467" s="167"/>
      <c r="N467" s="167"/>
      <c r="O467" s="167"/>
      <c r="P467" s="167"/>
    </row>
    <row r="468" spans="1:16" x14ac:dyDescent="0.2">
      <c r="A468" s="58" t="str">
        <v/>
      </c>
      <c r="B468" s="144" t="str">
        <f>IFERROR(TIMEVALUE(DaqBook_RAW_Data!AG458),IFERROR(TIMEVALUE(DaqBook_RAW_Data!A458),""))</f>
        <v/>
      </c>
      <c r="C468" s="167"/>
      <c r="D468" s="167"/>
      <c r="E468" s="167"/>
      <c r="F468" s="167"/>
      <c r="G468" s="167"/>
      <c r="H468" s="167"/>
      <c r="I468" s="167"/>
      <c r="J468" s="167"/>
      <c r="K468" s="167"/>
      <c r="L468" s="167"/>
      <c r="M468" s="167"/>
      <c r="N468" s="167"/>
      <c r="O468" s="167"/>
      <c r="P468" s="167"/>
    </row>
    <row r="469" spans="1:16" x14ac:dyDescent="0.2">
      <c r="A469" s="58" t="str">
        <v/>
      </c>
      <c r="B469" s="144" t="str">
        <f>IFERROR(TIMEVALUE(DaqBook_RAW_Data!AG459),IFERROR(TIMEVALUE(DaqBook_RAW_Data!A459),""))</f>
        <v/>
      </c>
      <c r="C469" s="167"/>
      <c r="D469" s="167"/>
      <c r="E469" s="167"/>
      <c r="F469" s="167"/>
      <c r="G469" s="167"/>
      <c r="H469" s="167"/>
      <c r="I469" s="167"/>
      <c r="J469" s="167"/>
      <c r="K469" s="167"/>
      <c r="L469" s="167"/>
      <c r="M469" s="167"/>
      <c r="N469" s="167"/>
      <c r="O469" s="167"/>
      <c r="P469" s="167"/>
    </row>
    <row r="470" spans="1:16" x14ac:dyDescent="0.2">
      <c r="A470" s="58" t="str">
        <v/>
      </c>
      <c r="B470" s="144" t="str">
        <f>IFERROR(TIMEVALUE(DaqBook_RAW_Data!AG460),IFERROR(TIMEVALUE(DaqBook_RAW_Data!A460),""))</f>
        <v/>
      </c>
      <c r="C470" s="167"/>
      <c r="D470" s="167"/>
      <c r="E470" s="167"/>
      <c r="F470" s="167"/>
      <c r="G470" s="167"/>
      <c r="H470" s="167"/>
      <c r="I470" s="167"/>
      <c r="J470" s="167"/>
      <c r="K470" s="167"/>
      <c r="L470" s="167"/>
      <c r="M470" s="167"/>
      <c r="N470" s="167"/>
      <c r="O470" s="167"/>
      <c r="P470" s="167"/>
    </row>
    <row r="471" spans="1:16" x14ac:dyDescent="0.2">
      <c r="A471" s="58" t="str">
        <v/>
      </c>
      <c r="B471" s="144" t="str">
        <f>IFERROR(TIMEVALUE(DaqBook_RAW_Data!AG461),IFERROR(TIMEVALUE(DaqBook_RAW_Data!A461),""))</f>
        <v/>
      </c>
      <c r="C471" s="167"/>
      <c r="D471" s="167"/>
      <c r="E471" s="167"/>
      <c r="F471" s="167"/>
      <c r="G471" s="167"/>
      <c r="H471" s="167"/>
      <c r="I471" s="167"/>
      <c r="J471" s="167"/>
      <c r="K471" s="167"/>
      <c r="L471" s="167"/>
      <c r="M471" s="167"/>
      <c r="N471" s="167"/>
      <c r="O471" s="167"/>
      <c r="P471" s="167"/>
    </row>
    <row r="472" spans="1:16" x14ac:dyDescent="0.2">
      <c r="A472" s="58" t="str">
        <v/>
      </c>
      <c r="B472" s="144" t="str">
        <f>IFERROR(TIMEVALUE(DaqBook_RAW_Data!AG462),IFERROR(TIMEVALUE(DaqBook_RAW_Data!A462),""))</f>
        <v/>
      </c>
      <c r="C472" s="167"/>
      <c r="D472" s="167"/>
      <c r="E472" s="167"/>
      <c r="F472" s="167"/>
      <c r="G472" s="167"/>
      <c r="H472" s="167"/>
      <c r="I472" s="167"/>
      <c r="J472" s="167"/>
      <c r="K472" s="167"/>
      <c r="L472" s="167"/>
      <c r="M472" s="167"/>
      <c r="N472" s="167"/>
      <c r="O472" s="167"/>
      <c r="P472" s="167"/>
    </row>
    <row r="473" spans="1:16" x14ac:dyDescent="0.2">
      <c r="A473" s="58" t="str">
        <v/>
      </c>
      <c r="B473" s="144" t="str">
        <f>IFERROR(TIMEVALUE(DaqBook_RAW_Data!AG463),IFERROR(TIMEVALUE(DaqBook_RAW_Data!A463),""))</f>
        <v/>
      </c>
      <c r="C473" s="167"/>
      <c r="D473" s="167"/>
      <c r="E473" s="167"/>
      <c r="F473" s="167"/>
      <c r="G473" s="167"/>
      <c r="H473" s="167"/>
      <c r="I473" s="167"/>
      <c r="J473" s="167"/>
      <c r="K473" s="167"/>
      <c r="L473" s="167"/>
      <c r="M473" s="167"/>
      <c r="N473" s="167"/>
      <c r="O473" s="167"/>
      <c r="P473" s="167"/>
    </row>
    <row r="474" spans="1:16" x14ac:dyDescent="0.2">
      <c r="A474" s="58" t="str">
        <v/>
      </c>
      <c r="B474" s="144" t="str">
        <f>IFERROR(TIMEVALUE(DaqBook_RAW_Data!AG464),IFERROR(TIMEVALUE(DaqBook_RAW_Data!A464),""))</f>
        <v/>
      </c>
      <c r="C474" s="167"/>
      <c r="D474" s="167"/>
      <c r="E474" s="167"/>
      <c r="F474" s="167"/>
      <c r="G474" s="167"/>
      <c r="H474" s="167"/>
      <c r="I474" s="167"/>
      <c r="J474" s="167"/>
      <c r="K474" s="167"/>
      <c r="L474" s="167"/>
      <c r="M474" s="167"/>
      <c r="N474" s="167"/>
      <c r="O474" s="167"/>
      <c r="P474" s="167"/>
    </row>
    <row r="475" spans="1:16" x14ac:dyDescent="0.2">
      <c r="A475" s="58" t="str">
        <v/>
      </c>
      <c r="B475" s="144" t="str">
        <f>IFERROR(TIMEVALUE(DaqBook_RAW_Data!AG465),IFERROR(TIMEVALUE(DaqBook_RAW_Data!A465),""))</f>
        <v/>
      </c>
      <c r="C475" s="167"/>
      <c r="D475" s="167"/>
      <c r="E475" s="167"/>
      <c r="F475" s="167"/>
      <c r="G475" s="167"/>
      <c r="H475" s="167"/>
      <c r="I475" s="167"/>
      <c r="J475" s="167"/>
      <c r="K475" s="167"/>
      <c r="L475" s="167"/>
      <c r="M475" s="167"/>
      <c r="N475" s="167"/>
      <c r="O475" s="167"/>
      <c r="P475" s="167"/>
    </row>
    <row r="476" spans="1:16" x14ac:dyDescent="0.2">
      <c r="A476" s="58" t="str">
        <v/>
      </c>
      <c r="B476" s="144" t="str">
        <f>IFERROR(TIMEVALUE(DaqBook_RAW_Data!AG466),IFERROR(TIMEVALUE(DaqBook_RAW_Data!A466),""))</f>
        <v/>
      </c>
      <c r="C476" s="167"/>
      <c r="D476" s="167"/>
      <c r="E476" s="167"/>
      <c r="F476" s="167"/>
      <c r="G476" s="167"/>
      <c r="H476" s="167"/>
      <c r="I476" s="167"/>
      <c r="J476" s="167"/>
      <c r="K476" s="167"/>
      <c r="L476" s="167"/>
      <c r="M476" s="167"/>
      <c r="N476" s="167"/>
      <c r="O476" s="167"/>
      <c r="P476" s="167"/>
    </row>
    <row r="477" spans="1:16" x14ac:dyDescent="0.2">
      <c r="A477" s="58" t="str">
        <v/>
      </c>
      <c r="B477" s="144" t="str">
        <f>IFERROR(TIMEVALUE(DaqBook_RAW_Data!AG467),IFERROR(TIMEVALUE(DaqBook_RAW_Data!A467),""))</f>
        <v/>
      </c>
      <c r="C477" s="167"/>
      <c r="D477" s="167"/>
      <c r="E477" s="167"/>
      <c r="F477" s="167"/>
      <c r="G477" s="167"/>
      <c r="H477" s="167"/>
      <c r="I477" s="167"/>
      <c r="J477" s="167"/>
      <c r="K477" s="167"/>
      <c r="L477" s="167"/>
      <c r="M477" s="167"/>
      <c r="N477" s="167"/>
      <c r="O477" s="167"/>
      <c r="P477" s="167"/>
    </row>
    <row r="478" spans="1:16" x14ac:dyDescent="0.2">
      <c r="A478" s="58" t="str">
        <v/>
      </c>
      <c r="B478" s="144" t="str">
        <f>IFERROR(TIMEVALUE(DaqBook_RAW_Data!AG468),IFERROR(TIMEVALUE(DaqBook_RAW_Data!A468),""))</f>
        <v/>
      </c>
      <c r="C478" s="167"/>
      <c r="D478" s="167"/>
      <c r="E478" s="167"/>
      <c r="F478" s="167"/>
      <c r="G478" s="167"/>
      <c r="H478" s="167"/>
      <c r="I478" s="167"/>
      <c r="J478" s="167"/>
      <c r="K478" s="167"/>
      <c r="L478" s="167"/>
      <c r="M478" s="167"/>
      <c r="N478" s="167"/>
      <c r="O478" s="167"/>
      <c r="P478" s="167"/>
    </row>
    <row r="479" spans="1:16" x14ac:dyDescent="0.2">
      <c r="A479" s="58" t="str">
        <v/>
      </c>
      <c r="B479" s="144" t="str">
        <f>IFERROR(TIMEVALUE(DaqBook_RAW_Data!AG469),IFERROR(TIMEVALUE(DaqBook_RAW_Data!A469),""))</f>
        <v/>
      </c>
      <c r="C479" s="167"/>
      <c r="D479" s="167"/>
      <c r="E479" s="167"/>
      <c r="F479" s="167"/>
      <c r="G479" s="167"/>
      <c r="H479" s="167"/>
      <c r="I479" s="167"/>
      <c r="J479" s="167"/>
      <c r="K479" s="167"/>
      <c r="L479" s="167"/>
      <c r="M479" s="167"/>
      <c r="N479" s="167"/>
      <c r="O479" s="167"/>
      <c r="P479" s="167"/>
    </row>
    <row r="480" spans="1:16" x14ac:dyDescent="0.2">
      <c r="A480" s="58" t="str">
        <v/>
      </c>
      <c r="B480" s="144" t="str">
        <f>IFERROR(TIMEVALUE(DaqBook_RAW_Data!AG470),IFERROR(TIMEVALUE(DaqBook_RAW_Data!A470),""))</f>
        <v/>
      </c>
      <c r="C480" s="167"/>
      <c r="D480" s="167"/>
      <c r="E480" s="167"/>
      <c r="F480" s="167"/>
      <c r="G480" s="167"/>
      <c r="H480" s="167"/>
      <c r="I480" s="167"/>
      <c r="J480" s="167"/>
      <c r="K480" s="167"/>
      <c r="L480" s="167"/>
      <c r="M480" s="167"/>
      <c r="N480" s="167"/>
      <c r="O480" s="167"/>
      <c r="P480" s="167"/>
    </row>
    <row r="481" spans="1:16" x14ac:dyDescent="0.2">
      <c r="A481" s="58" t="str">
        <v/>
      </c>
      <c r="B481" s="144" t="str">
        <f>IFERROR(TIMEVALUE(DaqBook_RAW_Data!AG471),IFERROR(TIMEVALUE(DaqBook_RAW_Data!A471),""))</f>
        <v/>
      </c>
      <c r="C481" s="167"/>
      <c r="D481" s="167"/>
      <c r="E481" s="167"/>
      <c r="F481" s="167"/>
      <c r="G481" s="167"/>
      <c r="H481" s="167"/>
      <c r="I481" s="167"/>
      <c r="J481" s="167"/>
      <c r="K481" s="167"/>
      <c r="L481" s="167"/>
      <c r="M481" s="167"/>
      <c r="N481" s="167"/>
      <c r="O481" s="167"/>
      <c r="P481" s="167"/>
    </row>
    <row r="482" spans="1:16" x14ac:dyDescent="0.2">
      <c r="A482" s="58" t="str">
        <v/>
      </c>
      <c r="B482" s="144" t="str">
        <f>IFERROR(TIMEVALUE(DaqBook_RAW_Data!AG472),IFERROR(TIMEVALUE(DaqBook_RAW_Data!A472),""))</f>
        <v/>
      </c>
      <c r="C482" s="167"/>
      <c r="D482" s="167"/>
      <c r="E482" s="167"/>
      <c r="F482" s="167"/>
      <c r="G482" s="167"/>
      <c r="H482" s="167"/>
      <c r="I482" s="167"/>
      <c r="J482" s="167"/>
      <c r="K482" s="167"/>
      <c r="L482" s="167"/>
      <c r="M482" s="167"/>
      <c r="N482" s="167"/>
      <c r="O482" s="167"/>
      <c r="P482" s="167"/>
    </row>
    <row r="483" spans="1:16" x14ac:dyDescent="0.2">
      <c r="A483" s="58" t="str">
        <v/>
      </c>
      <c r="B483" s="144" t="str">
        <f>IFERROR(TIMEVALUE(DaqBook_RAW_Data!AG473),IFERROR(TIMEVALUE(DaqBook_RAW_Data!A473),""))</f>
        <v/>
      </c>
      <c r="C483" s="167"/>
      <c r="D483" s="167"/>
      <c r="E483" s="167"/>
      <c r="F483" s="167"/>
      <c r="G483" s="167"/>
      <c r="H483" s="167"/>
      <c r="I483" s="167"/>
      <c r="J483" s="167"/>
      <c r="K483" s="167"/>
      <c r="L483" s="167"/>
      <c r="M483" s="167"/>
      <c r="N483" s="167"/>
      <c r="O483" s="167"/>
      <c r="P483" s="167"/>
    </row>
    <row r="484" spans="1:16" x14ac:dyDescent="0.2">
      <c r="A484" s="58" t="str">
        <v/>
      </c>
      <c r="B484" s="144" t="str">
        <f>IFERROR(TIMEVALUE(DaqBook_RAW_Data!AG474),IFERROR(TIMEVALUE(DaqBook_RAW_Data!A474),""))</f>
        <v/>
      </c>
      <c r="C484" s="167"/>
      <c r="D484" s="167"/>
      <c r="E484" s="167"/>
      <c r="F484" s="167"/>
      <c r="G484" s="167"/>
      <c r="H484" s="167"/>
      <c r="I484" s="167"/>
      <c r="J484" s="167"/>
      <c r="K484" s="167"/>
      <c r="L484" s="167"/>
      <c r="M484" s="167"/>
      <c r="N484" s="167"/>
      <c r="O484" s="167"/>
      <c r="P484" s="167"/>
    </row>
    <row r="485" spans="1:16" x14ac:dyDescent="0.2">
      <c r="A485" s="58" t="str">
        <v/>
      </c>
      <c r="B485" s="144" t="str">
        <f>IFERROR(TIMEVALUE(DaqBook_RAW_Data!AG475),IFERROR(TIMEVALUE(DaqBook_RAW_Data!A475),""))</f>
        <v/>
      </c>
      <c r="C485" s="167"/>
      <c r="D485" s="167"/>
      <c r="E485" s="167"/>
      <c r="F485" s="167"/>
      <c r="G485" s="167"/>
      <c r="H485" s="167"/>
      <c r="I485" s="167"/>
      <c r="J485" s="167"/>
      <c r="K485" s="167"/>
      <c r="L485" s="167"/>
      <c r="M485" s="167"/>
      <c r="N485" s="167"/>
      <c r="O485" s="167"/>
      <c r="P485" s="167"/>
    </row>
    <row r="486" spans="1:16" x14ac:dyDescent="0.2">
      <c r="A486" s="58" t="str">
        <v/>
      </c>
      <c r="B486" s="144" t="str">
        <f>IFERROR(TIMEVALUE(DaqBook_RAW_Data!AG476),IFERROR(TIMEVALUE(DaqBook_RAW_Data!A476),""))</f>
        <v/>
      </c>
      <c r="C486" s="167"/>
      <c r="D486" s="167"/>
      <c r="E486" s="167"/>
      <c r="F486" s="167"/>
      <c r="G486" s="167"/>
      <c r="H486" s="167"/>
      <c r="I486" s="167"/>
      <c r="J486" s="167"/>
      <c r="K486" s="167"/>
      <c r="L486" s="167"/>
      <c r="M486" s="167"/>
      <c r="N486" s="167"/>
      <c r="O486" s="167"/>
      <c r="P486" s="167"/>
    </row>
    <row r="487" spans="1:16" x14ac:dyDescent="0.2">
      <c r="A487" s="58" t="str">
        <v/>
      </c>
      <c r="B487" s="144" t="str">
        <f>IFERROR(TIMEVALUE(DaqBook_RAW_Data!AG477),IFERROR(TIMEVALUE(DaqBook_RAW_Data!A477),""))</f>
        <v/>
      </c>
      <c r="C487" s="167"/>
      <c r="D487" s="167"/>
      <c r="E487" s="167"/>
      <c r="F487" s="167"/>
      <c r="G487" s="167"/>
      <c r="H487" s="167"/>
      <c r="I487" s="167"/>
      <c r="J487" s="167"/>
      <c r="K487" s="167"/>
      <c r="L487" s="167"/>
      <c r="M487" s="167"/>
      <c r="N487" s="167"/>
      <c r="O487" s="167"/>
      <c r="P487" s="167"/>
    </row>
    <row r="488" spans="1:16" x14ac:dyDescent="0.2">
      <c r="A488" s="58" t="str">
        <v/>
      </c>
      <c r="B488" s="144" t="str">
        <f>IFERROR(TIMEVALUE(DaqBook_RAW_Data!AG478),IFERROR(TIMEVALUE(DaqBook_RAW_Data!A478),""))</f>
        <v/>
      </c>
      <c r="C488" s="167"/>
      <c r="D488" s="167"/>
      <c r="E488" s="167"/>
      <c r="F488" s="167"/>
      <c r="G488" s="167"/>
      <c r="H488" s="167"/>
      <c r="I488" s="167"/>
      <c r="J488" s="167"/>
      <c r="K488" s="167"/>
      <c r="L488" s="167"/>
      <c r="M488" s="167"/>
      <c r="N488" s="167"/>
      <c r="O488" s="167"/>
      <c r="P488" s="167"/>
    </row>
    <row r="489" spans="1:16" x14ac:dyDescent="0.2">
      <c r="A489" s="58" t="str">
        <v/>
      </c>
      <c r="B489" s="144" t="str">
        <f>IFERROR(TIMEVALUE(DaqBook_RAW_Data!AG479),IFERROR(TIMEVALUE(DaqBook_RAW_Data!A479),""))</f>
        <v/>
      </c>
      <c r="C489" s="167"/>
      <c r="D489" s="167"/>
      <c r="E489" s="167"/>
      <c r="F489" s="167"/>
      <c r="G489" s="167"/>
      <c r="H489" s="167"/>
      <c r="I489" s="167"/>
      <c r="J489" s="167"/>
      <c r="K489" s="167"/>
      <c r="L489" s="167"/>
      <c r="M489" s="167"/>
      <c r="N489" s="167"/>
      <c r="O489" s="167"/>
      <c r="P489" s="167"/>
    </row>
    <row r="490" spans="1:16" x14ac:dyDescent="0.2">
      <c r="A490" s="58" t="str">
        <v/>
      </c>
      <c r="B490" s="144" t="str">
        <f>IFERROR(TIMEVALUE(DaqBook_RAW_Data!AG480),IFERROR(TIMEVALUE(DaqBook_RAW_Data!A480),""))</f>
        <v/>
      </c>
      <c r="C490" s="167"/>
      <c r="D490" s="167"/>
      <c r="E490" s="167"/>
      <c r="F490" s="167"/>
      <c r="G490" s="167"/>
      <c r="H490" s="167"/>
      <c r="I490" s="167"/>
      <c r="J490" s="167"/>
      <c r="K490" s="167"/>
      <c r="L490" s="167"/>
      <c r="M490" s="167"/>
      <c r="N490" s="167"/>
      <c r="O490" s="167"/>
      <c r="P490" s="167"/>
    </row>
    <row r="491" spans="1:16" x14ac:dyDescent="0.2">
      <c r="A491" s="58" t="str">
        <v/>
      </c>
      <c r="B491" s="144" t="str">
        <f>IFERROR(TIMEVALUE(DaqBook_RAW_Data!AG481),IFERROR(TIMEVALUE(DaqBook_RAW_Data!A481),""))</f>
        <v/>
      </c>
      <c r="C491" s="167"/>
      <c r="D491" s="167"/>
      <c r="E491" s="167"/>
      <c r="F491" s="167"/>
      <c r="G491" s="167"/>
      <c r="H491" s="167"/>
      <c r="I491" s="167"/>
      <c r="J491" s="167"/>
      <c r="K491" s="167"/>
      <c r="L491" s="167"/>
      <c r="M491" s="167"/>
      <c r="N491" s="167"/>
      <c r="O491" s="167"/>
      <c r="P491" s="167"/>
    </row>
    <row r="492" spans="1:16" x14ac:dyDescent="0.2">
      <c r="A492" s="58" t="str">
        <v/>
      </c>
      <c r="B492" s="144" t="str">
        <f>IFERROR(TIMEVALUE(DaqBook_RAW_Data!AG482),IFERROR(TIMEVALUE(DaqBook_RAW_Data!A482),""))</f>
        <v/>
      </c>
      <c r="C492" s="167"/>
      <c r="D492" s="167"/>
      <c r="E492" s="167"/>
      <c r="F492" s="167"/>
      <c r="G492" s="167"/>
      <c r="H492" s="167"/>
      <c r="I492" s="167"/>
      <c r="J492" s="167"/>
      <c r="K492" s="167"/>
      <c r="L492" s="167"/>
      <c r="M492" s="167"/>
      <c r="N492" s="167"/>
      <c r="O492" s="167"/>
      <c r="P492" s="167"/>
    </row>
    <row r="493" spans="1:16" x14ac:dyDescent="0.2">
      <c r="A493" s="58" t="str">
        <v/>
      </c>
      <c r="B493" s="144" t="str">
        <f>IFERROR(TIMEVALUE(DaqBook_RAW_Data!AG483),IFERROR(TIMEVALUE(DaqBook_RAW_Data!A483),""))</f>
        <v/>
      </c>
      <c r="C493" s="167"/>
      <c r="D493" s="167"/>
      <c r="E493" s="167"/>
      <c r="F493" s="167"/>
      <c r="G493" s="167"/>
      <c r="H493" s="167"/>
      <c r="I493" s="167"/>
      <c r="J493" s="167"/>
      <c r="K493" s="167"/>
      <c r="L493" s="167"/>
      <c r="M493" s="167"/>
      <c r="N493" s="167"/>
      <c r="O493" s="167"/>
      <c r="P493" s="167"/>
    </row>
    <row r="494" spans="1:16" x14ac:dyDescent="0.2">
      <c r="A494" s="58" t="str">
        <v/>
      </c>
      <c r="B494" s="144" t="str">
        <f>IFERROR(TIMEVALUE(DaqBook_RAW_Data!AG484),IFERROR(TIMEVALUE(DaqBook_RAW_Data!A484),""))</f>
        <v/>
      </c>
      <c r="C494" s="167"/>
      <c r="D494" s="167"/>
      <c r="E494" s="167"/>
      <c r="F494" s="167"/>
      <c r="G494" s="167"/>
      <c r="H494" s="167"/>
      <c r="I494" s="167"/>
      <c r="J494" s="167"/>
      <c r="K494" s="167"/>
      <c r="L494" s="167"/>
      <c r="M494" s="167"/>
      <c r="N494" s="167"/>
      <c r="O494" s="167"/>
      <c r="P494" s="167"/>
    </row>
    <row r="495" spans="1:16" x14ac:dyDescent="0.2">
      <c r="A495" s="58" t="str">
        <v/>
      </c>
      <c r="B495" s="144" t="str">
        <f>IFERROR(TIMEVALUE(DaqBook_RAW_Data!AG485),IFERROR(TIMEVALUE(DaqBook_RAW_Data!A485),""))</f>
        <v/>
      </c>
      <c r="C495" s="167"/>
      <c r="D495" s="167"/>
      <c r="E495" s="167"/>
      <c r="F495" s="167"/>
      <c r="G495" s="167"/>
      <c r="H495" s="167"/>
      <c r="I495" s="167"/>
      <c r="J495" s="167"/>
      <c r="K495" s="167"/>
      <c r="L495" s="167"/>
      <c r="M495" s="167"/>
      <c r="N495" s="167"/>
      <c r="O495" s="167"/>
      <c r="P495" s="167"/>
    </row>
    <row r="496" spans="1:16" x14ac:dyDescent="0.2">
      <c r="A496" s="58" t="str">
        <v/>
      </c>
      <c r="B496" s="144" t="str">
        <f>IFERROR(TIMEVALUE(DaqBook_RAW_Data!AG486),IFERROR(TIMEVALUE(DaqBook_RAW_Data!A486),""))</f>
        <v/>
      </c>
      <c r="C496" s="167"/>
      <c r="D496" s="167"/>
      <c r="E496" s="167"/>
      <c r="F496" s="167"/>
      <c r="G496" s="167"/>
      <c r="H496" s="167"/>
      <c r="I496" s="167"/>
      <c r="J496" s="167"/>
      <c r="K496" s="167"/>
      <c r="L496" s="167"/>
      <c r="M496" s="167"/>
      <c r="N496" s="167"/>
      <c r="O496" s="167"/>
      <c r="P496" s="167"/>
    </row>
    <row r="497" spans="1:16" x14ac:dyDescent="0.2">
      <c r="A497" s="58" t="str">
        <v/>
      </c>
      <c r="B497" s="144" t="str">
        <f>IFERROR(TIMEVALUE(DaqBook_RAW_Data!AG487),IFERROR(TIMEVALUE(DaqBook_RAW_Data!A487),""))</f>
        <v/>
      </c>
      <c r="C497" s="167"/>
      <c r="D497" s="167"/>
      <c r="E497" s="167"/>
      <c r="F497" s="167"/>
      <c r="G497" s="167"/>
      <c r="H497" s="167"/>
      <c r="I497" s="167"/>
      <c r="J497" s="167"/>
      <c r="K497" s="167"/>
      <c r="L497" s="167"/>
      <c r="M497" s="167"/>
      <c r="N497" s="167"/>
      <c r="O497" s="167"/>
      <c r="P497" s="167"/>
    </row>
    <row r="498" spans="1:16" x14ac:dyDescent="0.2">
      <c r="A498" s="58" t="str">
        <v/>
      </c>
      <c r="B498" s="144" t="str">
        <f>IFERROR(TIMEVALUE(DaqBook_RAW_Data!AG488),IFERROR(TIMEVALUE(DaqBook_RAW_Data!A488),""))</f>
        <v/>
      </c>
      <c r="C498" s="167"/>
      <c r="D498" s="167"/>
      <c r="E498" s="167"/>
      <c r="F498" s="167"/>
      <c r="G498" s="167"/>
      <c r="H498" s="167"/>
      <c r="I498" s="167"/>
      <c r="J498" s="167"/>
      <c r="K498" s="167"/>
      <c r="L498" s="167"/>
      <c r="M498" s="167"/>
      <c r="N498" s="167"/>
      <c r="O498" s="167"/>
      <c r="P498" s="167"/>
    </row>
    <row r="499" spans="1:16" x14ac:dyDescent="0.2">
      <c r="A499" s="58" t="str">
        <v/>
      </c>
      <c r="B499" s="144" t="str">
        <f>IFERROR(TIMEVALUE(DaqBook_RAW_Data!AG489),IFERROR(TIMEVALUE(DaqBook_RAW_Data!A489),""))</f>
        <v/>
      </c>
      <c r="C499" s="167"/>
      <c r="D499" s="167"/>
      <c r="E499" s="167"/>
      <c r="F499" s="167"/>
      <c r="G499" s="167"/>
      <c r="H499" s="167"/>
      <c r="I499" s="167"/>
      <c r="J499" s="167"/>
      <c r="K499" s="167"/>
      <c r="L499" s="167"/>
      <c r="M499" s="167"/>
      <c r="N499" s="167"/>
      <c r="O499" s="167"/>
      <c r="P499" s="167"/>
    </row>
    <row r="500" spans="1:16" x14ac:dyDescent="0.2">
      <c r="A500" s="58" t="str">
        <v/>
      </c>
      <c r="B500" s="144" t="str">
        <f>IFERROR(TIMEVALUE(DaqBook_RAW_Data!AG490),IFERROR(TIMEVALUE(DaqBook_RAW_Data!A490),""))</f>
        <v/>
      </c>
      <c r="C500" s="167"/>
      <c r="D500" s="167"/>
      <c r="E500" s="167"/>
      <c r="F500" s="167"/>
      <c r="G500" s="167"/>
      <c r="H500" s="167"/>
      <c r="I500" s="167"/>
      <c r="J500" s="167"/>
      <c r="K500" s="167"/>
      <c r="L500" s="167"/>
      <c r="M500" s="167"/>
      <c r="N500" s="167"/>
      <c r="O500" s="167"/>
      <c r="P500" s="167"/>
    </row>
    <row r="501" spans="1:16" x14ac:dyDescent="0.2">
      <c r="A501" s="58" t="str">
        <v/>
      </c>
      <c r="B501" s="144" t="str">
        <f>IFERROR(TIMEVALUE(DaqBook_RAW_Data!AG491),IFERROR(TIMEVALUE(DaqBook_RAW_Data!A491),""))</f>
        <v/>
      </c>
      <c r="C501" s="167"/>
      <c r="D501" s="167"/>
      <c r="E501" s="167"/>
      <c r="F501" s="167"/>
      <c r="G501" s="167"/>
      <c r="H501" s="167"/>
      <c r="I501" s="167"/>
      <c r="J501" s="167"/>
      <c r="K501" s="167"/>
      <c r="L501" s="167"/>
      <c r="M501" s="167"/>
      <c r="N501" s="167"/>
      <c r="O501" s="44"/>
      <c r="P501" s="44"/>
    </row>
    <row r="502" spans="1:16" x14ac:dyDescent="0.2">
      <c r="A502" s="58" t="str">
        <v/>
      </c>
      <c r="B502" s="144" t="str">
        <f>IFERROR(TIMEVALUE(DaqBook_RAW_Data!AG492),IFERROR(TIMEVALUE(DaqBook_RAW_Data!A492),""))</f>
        <v/>
      </c>
      <c r="C502" s="167"/>
      <c r="D502" s="167"/>
      <c r="E502" s="167"/>
      <c r="F502" s="167"/>
      <c r="G502" s="167"/>
      <c r="H502" s="167"/>
      <c r="I502" s="167"/>
      <c r="J502" s="167"/>
      <c r="K502" s="167"/>
      <c r="L502" s="167"/>
      <c r="M502" s="167"/>
      <c r="N502" s="167"/>
      <c r="O502" s="44"/>
      <c r="P502" s="44"/>
    </row>
    <row r="503" spans="1:16" x14ac:dyDescent="0.2">
      <c r="A503" s="58" t="str">
        <v/>
      </c>
      <c r="B503" s="144" t="str">
        <f>IFERROR(TIMEVALUE(DaqBook_RAW_Data!AG493),IFERROR(TIMEVALUE(DaqBook_RAW_Data!A493),""))</f>
        <v/>
      </c>
      <c r="C503" s="167"/>
      <c r="D503" s="167"/>
      <c r="E503" s="167"/>
      <c r="F503" s="167"/>
      <c r="G503" s="167"/>
      <c r="H503" s="167"/>
      <c r="I503" s="167"/>
      <c r="J503" s="167"/>
      <c r="K503" s="167"/>
      <c r="L503" s="167"/>
      <c r="M503" s="167"/>
      <c r="N503" s="167"/>
      <c r="O503" s="44"/>
      <c r="P503" s="44"/>
    </row>
    <row r="504" spans="1:16" x14ac:dyDescent="0.2">
      <c r="A504" s="58" t="str">
        <v/>
      </c>
      <c r="B504" s="144" t="str">
        <f>IFERROR(TIMEVALUE(DaqBook_RAW_Data!AG494),IFERROR(TIMEVALUE(DaqBook_RAW_Data!A494),""))</f>
        <v/>
      </c>
      <c r="C504" s="167"/>
      <c r="D504" s="167"/>
      <c r="E504" s="167"/>
      <c r="F504" s="167"/>
      <c r="G504" s="167"/>
      <c r="H504" s="167"/>
      <c r="I504" s="167"/>
      <c r="J504" s="167"/>
      <c r="K504" s="167"/>
      <c r="L504" s="167"/>
      <c r="M504" s="167"/>
      <c r="N504" s="167"/>
      <c r="O504" s="44"/>
      <c r="P504" s="44"/>
    </row>
    <row r="505" spans="1:16" x14ac:dyDescent="0.2">
      <c r="A505" s="58" t="str">
        <v/>
      </c>
      <c r="B505" s="144" t="str">
        <f>IFERROR(TIMEVALUE(DaqBook_RAW_Data!AG495),IFERROR(TIMEVALUE(DaqBook_RAW_Data!A495),""))</f>
        <v/>
      </c>
      <c r="C505" s="167"/>
      <c r="D505" s="167"/>
      <c r="E505" s="167"/>
      <c r="F505" s="167"/>
      <c r="G505" s="167"/>
      <c r="H505" s="167"/>
      <c r="I505" s="167"/>
      <c r="J505" s="167"/>
      <c r="K505" s="167"/>
      <c r="L505" s="167"/>
      <c r="M505" s="167"/>
      <c r="N505" s="167"/>
      <c r="O505" s="44"/>
      <c r="P505" s="44"/>
    </row>
    <row r="506" spans="1:16" x14ac:dyDescent="0.2">
      <c r="A506" s="58" t="str">
        <v/>
      </c>
      <c r="B506" s="144" t="str">
        <f>IFERROR(TIMEVALUE(DaqBook_RAW_Data!AG496),IFERROR(TIMEVALUE(DaqBook_RAW_Data!A496),""))</f>
        <v/>
      </c>
      <c r="C506" s="167"/>
      <c r="D506" s="167"/>
      <c r="E506" s="167"/>
      <c r="F506" s="167"/>
      <c r="G506" s="167"/>
      <c r="H506" s="167"/>
      <c r="I506" s="167"/>
      <c r="J506" s="167"/>
      <c r="K506" s="167"/>
      <c r="L506" s="167"/>
      <c r="M506" s="167"/>
      <c r="N506" s="167"/>
      <c r="O506" s="44"/>
      <c r="P506" s="44"/>
    </row>
    <row r="507" spans="1:16" x14ac:dyDescent="0.2">
      <c r="A507" s="58" t="str">
        <v/>
      </c>
      <c r="B507" s="144" t="str">
        <f>IFERROR(TIMEVALUE(DaqBook_RAW_Data!AG497),IFERROR(TIMEVALUE(DaqBook_RAW_Data!A497),""))</f>
        <v/>
      </c>
      <c r="C507" s="167"/>
      <c r="D507" s="167"/>
      <c r="E507" s="167"/>
      <c r="F507" s="167"/>
      <c r="G507" s="167"/>
      <c r="H507" s="167"/>
      <c r="I507" s="167"/>
      <c r="J507" s="167"/>
      <c r="K507" s="167"/>
      <c r="L507" s="167"/>
      <c r="M507" s="167"/>
      <c r="N507" s="167"/>
      <c r="O507" s="44"/>
      <c r="P507" s="44"/>
    </row>
    <row r="508" spans="1:16" x14ac:dyDescent="0.2">
      <c r="A508" s="58" t="str">
        <v/>
      </c>
      <c r="B508" s="144" t="str">
        <f>IFERROR(TIMEVALUE(DaqBook_RAW_Data!AG498),IFERROR(TIMEVALUE(DaqBook_RAW_Data!A498),""))</f>
        <v/>
      </c>
      <c r="C508" s="167"/>
      <c r="D508" s="167"/>
      <c r="E508" s="167"/>
      <c r="F508" s="167"/>
      <c r="G508" s="167"/>
      <c r="H508" s="167"/>
      <c r="I508" s="167"/>
      <c r="J508" s="167"/>
      <c r="K508" s="167"/>
      <c r="L508" s="167"/>
      <c r="M508" s="167"/>
      <c r="N508" s="167"/>
      <c r="O508" s="44"/>
      <c r="P508" s="44"/>
    </row>
    <row r="509" spans="1:16" x14ac:dyDescent="0.2">
      <c r="A509" s="58" t="str">
        <v/>
      </c>
      <c r="B509" s="144" t="str">
        <f>IFERROR(TIMEVALUE(DaqBook_RAW_Data!AG499),IFERROR(TIMEVALUE(DaqBook_RAW_Data!A499),""))</f>
        <v/>
      </c>
      <c r="C509" s="167"/>
      <c r="D509" s="167"/>
      <c r="E509" s="167"/>
      <c r="F509" s="167"/>
      <c r="G509" s="167"/>
      <c r="H509" s="167"/>
      <c r="I509" s="167"/>
      <c r="J509" s="167"/>
      <c r="K509" s="167"/>
      <c r="L509" s="167"/>
      <c r="M509" s="167"/>
      <c r="N509" s="167"/>
      <c r="O509" s="44"/>
      <c r="P509" s="44"/>
    </row>
    <row r="510" spans="1:16" x14ac:dyDescent="0.2">
      <c r="A510" s="58" t="str">
        <v/>
      </c>
      <c r="B510" s="144" t="str">
        <f>IFERROR(TIMEVALUE(DaqBook_RAW_Data!AG500),IFERROR(TIMEVALUE(DaqBook_RAW_Data!A500),""))</f>
        <v/>
      </c>
      <c r="C510" s="167"/>
      <c r="D510" s="167"/>
      <c r="E510" s="167"/>
      <c r="F510" s="167"/>
      <c r="G510" s="167"/>
      <c r="H510" s="167"/>
      <c r="I510" s="167"/>
      <c r="J510" s="167"/>
      <c r="K510" s="167"/>
      <c r="L510" s="167"/>
      <c r="M510" s="167"/>
      <c r="N510" s="167"/>
      <c r="O510" s="44"/>
      <c r="P510" s="44"/>
    </row>
    <row r="511" spans="1:16" x14ac:dyDescent="0.2">
      <c r="A511" s="58" t="str">
        <v/>
      </c>
      <c r="B511" s="144" t="str">
        <f>IFERROR(TIMEVALUE(DaqBook_RAW_Data!AG501),IFERROR(TIMEVALUE(DaqBook_RAW_Data!A501),""))</f>
        <v/>
      </c>
      <c r="C511" s="167"/>
      <c r="D511" s="167"/>
      <c r="E511" s="167"/>
      <c r="F511" s="167"/>
      <c r="G511" s="167"/>
      <c r="H511" s="167"/>
      <c r="I511" s="167"/>
      <c r="J511" s="167"/>
      <c r="K511" s="167"/>
      <c r="L511" s="167"/>
      <c r="M511" s="167"/>
      <c r="N511" s="167"/>
      <c r="O511" s="44"/>
      <c r="P511" s="44"/>
    </row>
    <row r="512" spans="1:16" x14ac:dyDescent="0.2">
      <c r="A512" s="58" t="str">
        <v/>
      </c>
      <c r="B512" s="144" t="str">
        <f>IFERROR(TIMEVALUE(DaqBook_RAW_Data!AG502),IFERROR(TIMEVALUE(DaqBook_RAW_Data!A502),""))</f>
        <v/>
      </c>
      <c r="C512" s="167"/>
      <c r="D512" s="167"/>
      <c r="E512" s="167"/>
      <c r="F512" s="167"/>
      <c r="G512" s="167"/>
      <c r="H512" s="167"/>
      <c r="I512" s="167"/>
      <c r="J512" s="167"/>
      <c r="K512" s="167"/>
      <c r="L512" s="167"/>
      <c r="M512" s="167"/>
      <c r="N512" s="167"/>
      <c r="O512" s="44"/>
      <c r="P512" s="44"/>
    </row>
    <row r="513" spans="1:16" x14ac:dyDescent="0.2">
      <c r="A513" s="58" t="str">
        <v/>
      </c>
      <c r="B513" s="144" t="str">
        <f>IFERROR(TIMEVALUE(DaqBook_RAW_Data!AG503),IFERROR(TIMEVALUE(DaqBook_RAW_Data!A503),""))</f>
        <v/>
      </c>
      <c r="C513" s="167"/>
      <c r="D513" s="167"/>
      <c r="E513" s="167"/>
      <c r="F513" s="167"/>
      <c r="G513" s="167"/>
      <c r="H513" s="167"/>
      <c r="I513" s="167"/>
      <c r="J513" s="167"/>
      <c r="K513" s="167"/>
      <c r="L513" s="167"/>
      <c r="M513" s="167"/>
      <c r="N513" s="167"/>
      <c r="O513" s="44"/>
      <c r="P513" s="44"/>
    </row>
    <row r="514" spans="1:16" x14ac:dyDescent="0.2">
      <c r="A514" s="58" t="str">
        <v/>
      </c>
      <c r="B514" s="144" t="str">
        <f>IFERROR(TIMEVALUE(DaqBook_RAW_Data!AG504),IFERROR(TIMEVALUE(DaqBook_RAW_Data!A504),""))</f>
        <v/>
      </c>
      <c r="C514" s="167"/>
      <c r="D514" s="167"/>
      <c r="E514" s="167"/>
      <c r="F514" s="167"/>
      <c r="G514" s="167"/>
      <c r="H514" s="167"/>
      <c r="I514" s="167"/>
      <c r="J514" s="167"/>
      <c r="K514" s="167"/>
      <c r="L514" s="167"/>
      <c r="M514" s="167"/>
      <c r="N514" s="167"/>
      <c r="O514" s="44"/>
      <c r="P514" s="44"/>
    </row>
    <row r="515" spans="1:16" x14ac:dyDescent="0.2">
      <c r="A515" s="58" t="str">
        <v/>
      </c>
      <c r="B515" s="144" t="str">
        <f>IFERROR(TIMEVALUE(DaqBook_RAW_Data!AG505),IFERROR(TIMEVALUE(DaqBook_RAW_Data!A505),""))</f>
        <v/>
      </c>
      <c r="C515" s="167"/>
      <c r="D515" s="167"/>
      <c r="E515" s="167"/>
      <c r="F515" s="167"/>
      <c r="G515" s="167"/>
      <c r="H515" s="167"/>
      <c r="I515" s="167"/>
      <c r="J515" s="167"/>
      <c r="K515" s="167"/>
      <c r="L515" s="167"/>
      <c r="M515" s="167"/>
      <c r="N515" s="167"/>
      <c r="O515" s="44"/>
      <c r="P515" s="44"/>
    </row>
    <row r="516" spans="1:16" x14ac:dyDescent="0.2">
      <c r="A516" s="58" t="str">
        <v/>
      </c>
      <c r="B516" s="144" t="str">
        <f>IFERROR(TIMEVALUE(DaqBook_RAW_Data!AG506),IFERROR(TIMEVALUE(DaqBook_RAW_Data!A506),""))</f>
        <v/>
      </c>
      <c r="C516" s="167"/>
      <c r="D516" s="167"/>
      <c r="E516" s="167"/>
      <c r="F516" s="167"/>
      <c r="G516" s="167"/>
      <c r="H516" s="167"/>
      <c r="I516" s="167"/>
      <c r="J516" s="167"/>
      <c r="K516" s="167"/>
      <c r="L516" s="167"/>
      <c r="M516" s="167"/>
      <c r="N516" s="167"/>
      <c r="O516" s="44"/>
      <c r="P516" s="44"/>
    </row>
    <row r="517" spans="1:16" x14ac:dyDescent="0.2">
      <c r="A517" s="58" t="str">
        <v/>
      </c>
      <c r="B517" s="144" t="str">
        <f>IFERROR(TIMEVALUE(DaqBook_RAW_Data!AG507),IFERROR(TIMEVALUE(DaqBook_RAW_Data!A507),""))</f>
        <v/>
      </c>
      <c r="C517" s="167"/>
      <c r="D517" s="167"/>
      <c r="E517" s="167"/>
      <c r="F517" s="167"/>
      <c r="G517" s="167"/>
      <c r="H517" s="167"/>
      <c r="I517" s="167"/>
      <c r="J517" s="167"/>
      <c r="K517" s="167"/>
      <c r="L517" s="167"/>
      <c r="M517" s="167"/>
      <c r="N517" s="167"/>
      <c r="O517" s="44"/>
      <c r="P517" s="44"/>
    </row>
    <row r="518" spans="1:16" x14ac:dyDescent="0.2">
      <c r="A518" s="58" t="str">
        <v/>
      </c>
      <c r="B518" s="144" t="str">
        <f>IFERROR(TIMEVALUE(DaqBook_RAW_Data!AG508),IFERROR(TIMEVALUE(DaqBook_RAW_Data!A508),""))</f>
        <v/>
      </c>
      <c r="C518" s="167"/>
      <c r="D518" s="167"/>
      <c r="E518" s="167"/>
      <c r="F518" s="167"/>
      <c r="G518" s="167"/>
      <c r="H518" s="167"/>
      <c r="I518" s="167"/>
      <c r="J518" s="167"/>
      <c r="K518" s="167"/>
      <c r="L518" s="167"/>
      <c r="M518" s="167"/>
      <c r="N518" s="167"/>
      <c r="O518" s="44"/>
      <c r="P518" s="44"/>
    </row>
    <row r="519" spans="1:16" x14ac:dyDescent="0.2">
      <c r="A519" s="58" t="str">
        <v/>
      </c>
      <c r="B519" s="144" t="str">
        <f>IFERROR(TIMEVALUE(DaqBook_RAW_Data!AG509),IFERROR(TIMEVALUE(DaqBook_RAW_Data!A509),""))</f>
        <v/>
      </c>
      <c r="C519" s="167"/>
      <c r="D519" s="167"/>
      <c r="E519" s="167"/>
      <c r="F519" s="167"/>
      <c r="G519" s="167"/>
      <c r="H519" s="167"/>
      <c r="I519" s="167"/>
      <c r="J519" s="167"/>
      <c r="K519" s="167"/>
      <c r="L519" s="167"/>
      <c r="M519" s="167"/>
      <c r="N519" s="167"/>
      <c r="O519" s="44"/>
      <c r="P519" s="44"/>
    </row>
    <row r="520" spans="1:16" x14ac:dyDescent="0.2">
      <c r="A520" s="58" t="str">
        <v/>
      </c>
      <c r="B520" s="144" t="str">
        <f>IFERROR(TIMEVALUE(DaqBook_RAW_Data!AG510),IFERROR(TIMEVALUE(DaqBook_RAW_Data!A510),""))</f>
        <v/>
      </c>
      <c r="C520" s="167"/>
      <c r="D520" s="167"/>
      <c r="E520" s="167"/>
      <c r="F520" s="167"/>
      <c r="G520" s="167"/>
      <c r="H520" s="167"/>
      <c r="I520" s="167"/>
      <c r="J520" s="167"/>
      <c r="K520" s="167"/>
      <c r="L520" s="167"/>
      <c r="M520" s="167"/>
      <c r="N520" s="167"/>
      <c r="O520" s="44"/>
      <c r="P520" s="44"/>
    </row>
    <row r="521" spans="1:16" x14ac:dyDescent="0.2">
      <c r="A521" s="58" t="str">
        <v/>
      </c>
      <c r="B521" s="144" t="str">
        <f>IFERROR(TIMEVALUE(DaqBook_RAW_Data!AG511),IFERROR(TIMEVALUE(DaqBook_RAW_Data!A511),""))</f>
        <v/>
      </c>
      <c r="C521" s="167"/>
      <c r="D521" s="167"/>
      <c r="E521" s="167"/>
      <c r="F521" s="167"/>
      <c r="G521" s="167"/>
      <c r="H521" s="167"/>
      <c r="I521" s="167"/>
      <c r="J521" s="167"/>
      <c r="K521" s="167"/>
      <c r="L521" s="167"/>
      <c r="M521" s="167"/>
      <c r="N521" s="167"/>
      <c r="O521" s="44"/>
      <c r="P521" s="44"/>
    </row>
    <row r="522" spans="1:16" x14ac:dyDescent="0.2">
      <c r="A522" s="58" t="str">
        <v/>
      </c>
      <c r="B522" s="144" t="str">
        <f>IFERROR(TIMEVALUE(DaqBook_RAW_Data!AG512),IFERROR(TIMEVALUE(DaqBook_RAW_Data!A512),""))</f>
        <v/>
      </c>
      <c r="C522" s="167"/>
      <c r="D522" s="167"/>
      <c r="E522" s="167"/>
      <c r="F522" s="167"/>
      <c r="G522" s="167"/>
      <c r="H522" s="167"/>
      <c r="I522" s="167"/>
      <c r="J522" s="167"/>
      <c r="K522" s="167"/>
      <c r="L522" s="167"/>
      <c r="M522" s="167"/>
      <c r="N522" s="167"/>
      <c r="O522" s="44"/>
      <c r="P522" s="44"/>
    </row>
    <row r="523" spans="1:16" x14ac:dyDescent="0.2">
      <c r="A523" s="58" t="str">
        <v/>
      </c>
      <c r="B523" s="144" t="str">
        <f>IFERROR(TIMEVALUE(DaqBook_RAW_Data!AG513),IFERROR(TIMEVALUE(DaqBook_RAW_Data!A513),""))</f>
        <v/>
      </c>
      <c r="C523" s="167"/>
      <c r="D523" s="167"/>
      <c r="E523" s="167"/>
      <c r="F523" s="167"/>
      <c r="G523" s="167"/>
      <c r="H523" s="167"/>
      <c r="I523" s="167"/>
      <c r="J523" s="167"/>
      <c r="K523" s="167"/>
      <c r="L523" s="167"/>
      <c r="M523" s="167"/>
      <c r="N523" s="167"/>
      <c r="O523" s="44"/>
      <c r="P523" s="44"/>
    </row>
    <row r="524" spans="1:16" x14ac:dyDescent="0.2">
      <c r="A524" s="58" t="str">
        <v/>
      </c>
      <c r="B524" s="144" t="str">
        <f>IFERROR(TIMEVALUE(DaqBook_RAW_Data!AG514),IFERROR(TIMEVALUE(DaqBook_RAW_Data!A514),""))</f>
        <v/>
      </c>
      <c r="C524" s="167"/>
      <c r="D524" s="167"/>
      <c r="E524" s="167"/>
      <c r="F524" s="167"/>
      <c r="G524" s="167"/>
      <c r="H524" s="167"/>
      <c r="I524" s="167"/>
      <c r="J524" s="167"/>
      <c r="K524" s="167"/>
      <c r="L524" s="167"/>
      <c r="M524" s="167"/>
      <c r="N524" s="167"/>
      <c r="O524" s="44"/>
      <c r="P524" s="44"/>
    </row>
    <row r="525" spans="1:16" x14ac:dyDescent="0.2">
      <c r="A525" s="58" t="str">
        <v/>
      </c>
      <c r="B525" s="144" t="str">
        <f>IFERROR(TIMEVALUE(DaqBook_RAW_Data!AG515),IFERROR(TIMEVALUE(DaqBook_RAW_Data!A515),""))</f>
        <v/>
      </c>
      <c r="C525" s="167"/>
      <c r="D525" s="167"/>
      <c r="E525" s="167"/>
      <c r="F525" s="167"/>
      <c r="G525" s="167"/>
      <c r="H525" s="167"/>
      <c r="I525" s="167"/>
      <c r="J525" s="167"/>
      <c r="K525" s="167"/>
      <c r="L525" s="167"/>
      <c r="M525" s="167"/>
      <c r="N525" s="167"/>
      <c r="O525" s="44"/>
      <c r="P525" s="44"/>
    </row>
    <row r="526" spans="1:16" x14ac:dyDescent="0.2">
      <c r="A526" s="58" t="str">
        <v/>
      </c>
      <c r="B526" s="144" t="str">
        <f>IFERROR(TIMEVALUE(DaqBook_RAW_Data!AG516),IFERROR(TIMEVALUE(DaqBook_RAW_Data!A516),""))</f>
        <v/>
      </c>
      <c r="C526" s="167"/>
      <c r="D526" s="167"/>
      <c r="E526" s="167"/>
      <c r="F526" s="167"/>
      <c r="G526" s="167"/>
      <c r="H526" s="167"/>
      <c r="I526" s="167"/>
      <c r="J526" s="167"/>
      <c r="K526" s="167"/>
      <c r="L526" s="167"/>
      <c r="M526" s="167"/>
      <c r="N526" s="167"/>
      <c r="O526" s="44"/>
      <c r="P526" s="44"/>
    </row>
    <row r="527" spans="1:16" x14ac:dyDescent="0.2">
      <c r="A527" s="58" t="str">
        <v/>
      </c>
      <c r="B527" s="144" t="str">
        <f>IFERROR(TIMEVALUE(DaqBook_RAW_Data!AG517),IFERROR(TIMEVALUE(DaqBook_RAW_Data!A517),""))</f>
        <v/>
      </c>
      <c r="C527" s="167"/>
      <c r="D527" s="167"/>
      <c r="E527" s="167"/>
      <c r="F527" s="167"/>
      <c r="G527" s="167"/>
      <c r="H527" s="167"/>
      <c r="I527" s="167"/>
      <c r="J527" s="167"/>
      <c r="K527" s="167"/>
      <c r="L527" s="167"/>
      <c r="M527" s="167"/>
      <c r="N527" s="167"/>
      <c r="O527" s="44"/>
      <c r="P527" s="44"/>
    </row>
    <row r="528" spans="1:16" x14ac:dyDescent="0.2">
      <c r="A528" s="58" t="str">
        <v/>
      </c>
      <c r="B528" s="144" t="str">
        <f>IFERROR(TIMEVALUE(DaqBook_RAW_Data!AG518),IFERROR(TIMEVALUE(DaqBook_RAW_Data!A518),""))</f>
        <v/>
      </c>
      <c r="C528" s="167"/>
      <c r="D528" s="167"/>
      <c r="E528" s="167"/>
      <c r="F528" s="167"/>
      <c r="G528" s="167"/>
      <c r="H528" s="167"/>
      <c r="I528" s="167"/>
      <c r="J528" s="167"/>
      <c r="K528" s="167"/>
      <c r="L528" s="167"/>
      <c r="M528" s="167"/>
      <c r="N528" s="167"/>
      <c r="O528" s="44"/>
      <c r="P528" s="44"/>
    </row>
    <row r="529" spans="1:16" x14ac:dyDescent="0.2">
      <c r="A529" s="58" t="str">
        <v/>
      </c>
      <c r="B529" s="144" t="str">
        <f>IFERROR(TIMEVALUE(DaqBook_RAW_Data!AG519),IFERROR(TIMEVALUE(DaqBook_RAW_Data!A519),""))</f>
        <v/>
      </c>
      <c r="C529" s="167"/>
      <c r="D529" s="167"/>
      <c r="E529" s="167"/>
      <c r="F529" s="167"/>
      <c r="G529" s="167"/>
      <c r="H529" s="167"/>
      <c r="I529" s="167"/>
      <c r="J529" s="167"/>
      <c r="K529" s="167"/>
      <c r="L529" s="167"/>
      <c r="M529" s="167"/>
      <c r="N529" s="167"/>
      <c r="O529" s="44"/>
      <c r="P529" s="44"/>
    </row>
    <row r="530" spans="1:16" x14ac:dyDescent="0.2">
      <c r="A530" s="58" t="str">
        <v/>
      </c>
      <c r="B530" s="144" t="str">
        <f>IFERROR(TIMEVALUE(DaqBook_RAW_Data!AG520),IFERROR(TIMEVALUE(DaqBook_RAW_Data!A520),""))</f>
        <v/>
      </c>
      <c r="C530" s="167"/>
      <c r="D530" s="167"/>
      <c r="E530" s="167"/>
      <c r="F530" s="167"/>
      <c r="G530" s="167"/>
      <c r="H530" s="167"/>
      <c r="I530" s="167"/>
      <c r="J530" s="167"/>
      <c r="K530" s="167"/>
      <c r="L530" s="167"/>
      <c r="M530" s="167"/>
      <c r="N530" s="167"/>
      <c r="O530" s="44"/>
      <c r="P530" s="44"/>
    </row>
    <row r="531" spans="1:16" x14ac:dyDescent="0.2">
      <c r="A531" s="58" t="str">
        <v/>
      </c>
      <c r="B531" s="144" t="str">
        <f>IFERROR(TIMEVALUE(DaqBook_RAW_Data!AG521),IFERROR(TIMEVALUE(DaqBook_RAW_Data!A521),""))</f>
        <v/>
      </c>
      <c r="C531" s="167"/>
      <c r="D531" s="167"/>
      <c r="E531" s="167"/>
      <c r="F531" s="167"/>
      <c r="G531" s="167"/>
      <c r="H531" s="167"/>
      <c r="I531" s="167"/>
      <c r="J531" s="167"/>
      <c r="K531" s="167"/>
      <c r="L531" s="167"/>
      <c r="M531" s="167"/>
      <c r="N531" s="167"/>
      <c r="O531" s="44"/>
      <c r="P531" s="44"/>
    </row>
    <row r="532" spans="1:16" x14ac:dyDescent="0.2">
      <c r="A532" s="58" t="str">
        <v/>
      </c>
      <c r="B532" s="144" t="str">
        <f>IFERROR(TIMEVALUE(DaqBook_RAW_Data!AG522),IFERROR(TIMEVALUE(DaqBook_RAW_Data!A522),""))</f>
        <v/>
      </c>
      <c r="C532" s="167"/>
      <c r="D532" s="167"/>
      <c r="E532" s="167"/>
      <c r="F532" s="167"/>
      <c r="G532" s="167"/>
      <c r="H532" s="167"/>
      <c r="I532" s="167"/>
      <c r="J532" s="167"/>
      <c r="K532" s="167"/>
      <c r="L532" s="167"/>
      <c r="M532" s="167"/>
      <c r="N532" s="167"/>
      <c r="O532" s="44"/>
      <c r="P532" s="44"/>
    </row>
    <row r="533" spans="1:16" x14ac:dyDescent="0.2">
      <c r="A533" s="58" t="str">
        <v/>
      </c>
      <c r="B533" s="144" t="str">
        <f>IFERROR(TIMEVALUE(DaqBook_RAW_Data!AG523),IFERROR(TIMEVALUE(DaqBook_RAW_Data!A523),""))</f>
        <v/>
      </c>
      <c r="C533" s="167"/>
      <c r="D533" s="167"/>
      <c r="E533" s="167"/>
      <c r="F533" s="167"/>
      <c r="G533" s="167"/>
      <c r="H533" s="167"/>
      <c r="I533" s="167"/>
      <c r="J533" s="167"/>
      <c r="K533" s="167"/>
      <c r="L533" s="167"/>
      <c r="M533" s="167"/>
      <c r="N533" s="167"/>
      <c r="O533" s="44"/>
      <c r="P533" s="44"/>
    </row>
    <row r="534" spans="1:16" x14ac:dyDescent="0.2">
      <c r="A534" s="58" t="str">
        <v/>
      </c>
      <c r="B534" s="144" t="str">
        <f>IFERROR(TIMEVALUE(DaqBook_RAW_Data!AG524),IFERROR(TIMEVALUE(DaqBook_RAW_Data!A524),""))</f>
        <v/>
      </c>
      <c r="C534" s="167"/>
      <c r="D534" s="167"/>
      <c r="E534" s="167"/>
      <c r="F534" s="167"/>
      <c r="G534" s="167"/>
      <c r="H534" s="167"/>
      <c r="I534" s="167"/>
      <c r="J534" s="167"/>
      <c r="K534" s="167"/>
      <c r="L534" s="167"/>
      <c r="M534" s="167"/>
      <c r="N534" s="167"/>
      <c r="O534" s="44"/>
      <c r="P534" s="44"/>
    </row>
    <row r="535" spans="1:16" x14ac:dyDescent="0.2">
      <c r="A535" s="58" t="str">
        <v/>
      </c>
      <c r="B535" s="144" t="str">
        <f>IFERROR(TIMEVALUE(DaqBook_RAW_Data!AG525),IFERROR(TIMEVALUE(DaqBook_RAW_Data!A525),""))</f>
        <v/>
      </c>
      <c r="C535" s="167"/>
      <c r="D535" s="167"/>
      <c r="E535" s="167"/>
      <c r="F535" s="167"/>
      <c r="G535" s="167"/>
      <c r="H535" s="167"/>
      <c r="I535" s="167"/>
      <c r="J535" s="167"/>
      <c r="K535" s="167"/>
      <c r="L535" s="167"/>
      <c r="M535" s="167"/>
      <c r="N535" s="167"/>
      <c r="O535" s="44"/>
      <c r="P535" s="44"/>
    </row>
    <row r="536" spans="1:16" x14ac:dyDescent="0.2">
      <c r="A536" s="58" t="str">
        <v/>
      </c>
      <c r="B536" s="144" t="str">
        <f>IFERROR(TIMEVALUE(DaqBook_RAW_Data!AG526),IFERROR(TIMEVALUE(DaqBook_RAW_Data!A526),""))</f>
        <v/>
      </c>
      <c r="C536" s="167"/>
      <c r="D536" s="167"/>
      <c r="E536" s="167"/>
      <c r="F536" s="167"/>
      <c r="G536" s="167"/>
      <c r="H536" s="167"/>
      <c r="I536" s="167"/>
      <c r="J536" s="167"/>
      <c r="K536" s="167"/>
      <c r="L536" s="167"/>
      <c r="M536" s="167"/>
      <c r="N536" s="167"/>
      <c r="O536" s="44"/>
      <c r="P536" s="44"/>
    </row>
    <row r="537" spans="1:16" x14ac:dyDescent="0.2">
      <c r="A537" s="58" t="str">
        <v/>
      </c>
      <c r="B537" s="144" t="str">
        <f>IFERROR(TIMEVALUE(DaqBook_RAW_Data!AG527),IFERROR(TIMEVALUE(DaqBook_RAW_Data!A527),""))</f>
        <v/>
      </c>
      <c r="C537" s="167"/>
      <c r="D537" s="167"/>
      <c r="E537" s="167"/>
      <c r="F537" s="167"/>
      <c r="G537" s="167"/>
      <c r="H537" s="167"/>
      <c r="I537" s="167"/>
      <c r="J537" s="167"/>
      <c r="K537" s="167"/>
      <c r="L537" s="167"/>
      <c r="M537" s="167"/>
      <c r="N537" s="167"/>
      <c r="O537" s="44"/>
      <c r="P537" s="44"/>
    </row>
    <row r="538" spans="1:16" x14ac:dyDescent="0.2">
      <c r="A538" s="58" t="str">
        <v/>
      </c>
      <c r="B538" s="144" t="str">
        <f>IFERROR(TIMEVALUE(DaqBook_RAW_Data!AG528),IFERROR(TIMEVALUE(DaqBook_RAW_Data!A528),""))</f>
        <v/>
      </c>
      <c r="C538" s="167"/>
      <c r="D538" s="167"/>
      <c r="E538" s="167"/>
      <c r="F538" s="167"/>
      <c r="G538" s="167"/>
      <c r="H538" s="167"/>
      <c r="I538" s="167"/>
      <c r="J538" s="167"/>
      <c r="K538" s="167"/>
      <c r="L538" s="167"/>
      <c r="M538" s="167"/>
      <c r="N538" s="167"/>
      <c r="O538" s="44"/>
      <c r="P538" s="44"/>
    </row>
    <row r="539" spans="1:16" x14ac:dyDescent="0.2">
      <c r="A539" s="58" t="str">
        <v/>
      </c>
      <c r="B539" s="144" t="str">
        <f>IFERROR(TIMEVALUE(DaqBook_RAW_Data!AG529),IFERROR(TIMEVALUE(DaqBook_RAW_Data!A529),""))</f>
        <v/>
      </c>
      <c r="C539" s="167"/>
      <c r="D539" s="167"/>
      <c r="E539" s="167"/>
      <c r="F539" s="167"/>
      <c r="G539" s="167"/>
      <c r="H539" s="167"/>
      <c r="I539" s="167"/>
      <c r="J539" s="167"/>
      <c r="K539" s="167"/>
      <c r="L539" s="167"/>
      <c r="M539" s="167"/>
      <c r="N539" s="167"/>
      <c r="O539" s="44"/>
      <c r="P539" s="44"/>
    </row>
    <row r="540" spans="1:16" x14ac:dyDescent="0.2">
      <c r="A540" s="58" t="str">
        <v/>
      </c>
      <c r="B540" s="144" t="str">
        <f>IFERROR(TIMEVALUE(DaqBook_RAW_Data!AG530),IFERROR(TIMEVALUE(DaqBook_RAW_Data!A530),""))</f>
        <v/>
      </c>
      <c r="C540" s="167"/>
      <c r="D540" s="167"/>
      <c r="E540" s="167"/>
      <c r="F540" s="167"/>
      <c r="G540" s="167"/>
      <c r="H540" s="167"/>
      <c r="I540" s="167"/>
      <c r="J540" s="167"/>
      <c r="K540" s="167"/>
      <c r="L540" s="167"/>
      <c r="M540" s="167"/>
      <c r="N540" s="167"/>
      <c r="O540" s="44"/>
      <c r="P540" s="44"/>
    </row>
    <row r="541" spans="1:16" x14ac:dyDescent="0.2">
      <c r="A541" s="58" t="str">
        <v/>
      </c>
      <c r="B541" s="144" t="str">
        <f>IFERROR(TIMEVALUE(DaqBook_RAW_Data!AG531),IFERROR(TIMEVALUE(DaqBook_RAW_Data!A531),""))</f>
        <v/>
      </c>
      <c r="C541" s="167"/>
      <c r="D541" s="167"/>
      <c r="E541" s="167"/>
      <c r="F541" s="167"/>
      <c r="G541" s="167"/>
      <c r="H541" s="167"/>
      <c r="I541" s="167"/>
      <c r="J541" s="167"/>
      <c r="K541" s="167"/>
      <c r="L541" s="167"/>
      <c r="M541" s="167"/>
      <c r="N541" s="167"/>
      <c r="O541" s="44"/>
      <c r="P541" s="44"/>
    </row>
    <row r="542" spans="1:16" x14ac:dyDescent="0.2">
      <c r="A542" s="58" t="str">
        <v/>
      </c>
      <c r="B542" s="144" t="str">
        <f>IFERROR(TIMEVALUE(DaqBook_RAW_Data!AG532),IFERROR(TIMEVALUE(DaqBook_RAW_Data!A532),""))</f>
        <v/>
      </c>
      <c r="C542" s="167"/>
      <c r="D542" s="167"/>
      <c r="E542" s="167"/>
      <c r="F542" s="167"/>
      <c r="G542" s="167"/>
      <c r="H542" s="167"/>
      <c r="I542" s="167"/>
      <c r="J542" s="167"/>
      <c r="K542" s="167"/>
      <c r="L542" s="167"/>
      <c r="M542" s="167"/>
      <c r="N542" s="167"/>
      <c r="O542" s="44"/>
      <c r="P542" s="44"/>
    </row>
    <row r="543" spans="1:16" x14ac:dyDescent="0.2">
      <c r="A543" s="58" t="str">
        <v/>
      </c>
      <c r="B543" s="144" t="str">
        <f>IFERROR(TIMEVALUE(DaqBook_RAW_Data!AG533),IFERROR(TIMEVALUE(DaqBook_RAW_Data!A533),""))</f>
        <v/>
      </c>
      <c r="C543" s="167"/>
      <c r="D543" s="167"/>
      <c r="E543" s="167"/>
      <c r="F543" s="167"/>
      <c r="G543" s="167"/>
      <c r="H543" s="167"/>
      <c r="I543" s="167"/>
      <c r="J543" s="167"/>
      <c r="K543" s="167"/>
      <c r="L543" s="167"/>
      <c r="M543" s="167"/>
      <c r="N543" s="167"/>
      <c r="O543" s="44"/>
      <c r="P543" s="44"/>
    </row>
    <row r="544" spans="1:16" x14ac:dyDescent="0.2">
      <c r="A544" s="58" t="str">
        <v/>
      </c>
      <c r="B544" s="144" t="str">
        <f>IFERROR(TIMEVALUE(DaqBook_RAW_Data!AG534),IFERROR(TIMEVALUE(DaqBook_RAW_Data!A534),""))</f>
        <v/>
      </c>
      <c r="C544" s="167"/>
      <c r="D544" s="167"/>
      <c r="E544" s="167"/>
      <c r="F544" s="167"/>
      <c r="G544" s="167"/>
      <c r="H544" s="167"/>
      <c r="I544" s="167"/>
      <c r="J544" s="167"/>
      <c r="K544" s="167"/>
      <c r="L544" s="167"/>
      <c r="M544" s="167"/>
      <c r="N544" s="167"/>
      <c r="O544" s="44"/>
      <c r="P544" s="44"/>
    </row>
    <row r="545" spans="1:16" x14ac:dyDescent="0.2">
      <c r="A545" s="58" t="str">
        <v/>
      </c>
      <c r="B545" s="144" t="str">
        <f>IFERROR(TIMEVALUE(DaqBook_RAW_Data!AG535),IFERROR(TIMEVALUE(DaqBook_RAW_Data!A535),""))</f>
        <v/>
      </c>
      <c r="C545" s="167"/>
      <c r="D545" s="167"/>
      <c r="E545" s="167"/>
      <c r="F545" s="167"/>
      <c r="G545" s="167"/>
      <c r="H545" s="167"/>
      <c r="I545" s="167"/>
      <c r="J545" s="167"/>
      <c r="K545" s="167"/>
      <c r="L545" s="167"/>
      <c r="M545" s="167"/>
      <c r="N545" s="167"/>
      <c r="O545" s="44"/>
      <c r="P545" s="44"/>
    </row>
    <row r="546" spans="1:16" x14ac:dyDescent="0.2">
      <c r="A546" s="58" t="str">
        <v/>
      </c>
      <c r="B546" s="144" t="str">
        <f>IFERROR(TIMEVALUE(DaqBook_RAW_Data!AG536),IFERROR(TIMEVALUE(DaqBook_RAW_Data!A536),""))</f>
        <v/>
      </c>
      <c r="C546" s="167"/>
      <c r="D546" s="167"/>
      <c r="E546" s="167"/>
      <c r="F546" s="167"/>
      <c r="G546" s="167"/>
      <c r="H546" s="167"/>
      <c r="I546" s="167"/>
      <c r="J546" s="167"/>
      <c r="K546" s="167"/>
      <c r="L546" s="167"/>
      <c r="M546" s="167"/>
      <c r="N546" s="167"/>
      <c r="O546" s="44"/>
      <c r="P546" s="44"/>
    </row>
    <row r="547" spans="1:16" x14ac:dyDescent="0.2">
      <c r="A547" s="58" t="str">
        <v/>
      </c>
      <c r="B547" s="144" t="str">
        <f>IFERROR(TIMEVALUE(DaqBook_RAW_Data!AG537),IFERROR(TIMEVALUE(DaqBook_RAW_Data!A537),""))</f>
        <v/>
      </c>
      <c r="C547" s="167"/>
      <c r="D547" s="167"/>
      <c r="E547" s="167"/>
      <c r="F547" s="167"/>
      <c r="G547" s="167"/>
      <c r="H547" s="167"/>
      <c r="I547" s="167"/>
      <c r="J547" s="167"/>
      <c r="K547" s="167"/>
      <c r="L547" s="167"/>
      <c r="M547" s="167"/>
      <c r="N547" s="167"/>
      <c r="O547" s="44"/>
      <c r="P547" s="44"/>
    </row>
    <row r="548" spans="1:16" x14ac:dyDescent="0.2">
      <c r="A548" s="58" t="str">
        <v/>
      </c>
      <c r="B548" s="144" t="str">
        <f>IFERROR(TIMEVALUE(DaqBook_RAW_Data!AG538),IFERROR(TIMEVALUE(DaqBook_RAW_Data!A538),""))</f>
        <v/>
      </c>
      <c r="C548" s="167"/>
      <c r="D548" s="167"/>
      <c r="E548" s="167"/>
      <c r="F548" s="167"/>
      <c r="G548" s="167"/>
      <c r="H548" s="167"/>
      <c r="I548" s="167"/>
      <c r="J548" s="167"/>
      <c r="K548" s="167"/>
      <c r="L548" s="167"/>
      <c r="M548" s="167"/>
      <c r="N548" s="167"/>
      <c r="O548" s="44"/>
      <c r="P548" s="44"/>
    </row>
    <row r="549" spans="1:16" x14ac:dyDescent="0.2">
      <c r="A549" s="58" t="str">
        <v/>
      </c>
      <c r="B549" s="144" t="str">
        <f>IFERROR(TIMEVALUE(DaqBook_RAW_Data!AG539),IFERROR(TIMEVALUE(DaqBook_RAW_Data!A539),""))</f>
        <v/>
      </c>
      <c r="C549" s="167"/>
      <c r="D549" s="167"/>
      <c r="E549" s="167"/>
      <c r="F549" s="167"/>
      <c r="G549" s="167"/>
      <c r="H549" s="167"/>
      <c r="I549" s="167"/>
      <c r="J549" s="167"/>
      <c r="K549" s="167"/>
      <c r="L549" s="167"/>
      <c r="M549" s="167"/>
      <c r="N549" s="167"/>
      <c r="O549" s="44"/>
      <c r="P549" s="44"/>
    </row>
    <row r="550" spans="1:16" x14ac:dyDescent="0.2">
      <c r="A550" s="58" t="str">
        <v/>
      </c>
      <c r="B550" s="144" t="str">
        <f>IFERROR(TIMEVALUE(DaqBook_RAW_Data!AG540),IFERROR(TIMEVALUE(DaqBook_RAW_Data!A540),""))</f>
        <v/>
      </c>
      <c r="C550" s="167"/>
      <c r="D550" s="167"/>
      <c r="E550" s="167"/>
      <c r="F550" s="167"/>
      <c r="G550" s="167"/>
      <c r="H550" s="167"/>
      <c r="I550" s="167"/>
      <c r="J550" s="167"/>
      <c r="K550" s="167"/>
      <c r="L550" s="167"/>
      <c r="M550" s="167"/>
      <c r="N550" s="167"/>
      <c r="O550" s="44"/>
      <c r="P550" s="44"/>
    </row>
    <row r="551" spans="1:16" x14ac:dyDescent="0.2">
      <c r="A551" s="58" t="str">
        <v/>
      </c>
      <c r="B551" s="144" t="str">
        <f>IFERROR(TIMEVALUE(DaqBook_RAW_Data!AG541),IFERROR(TIMEVALUE(DaqBook_RAW_Data!A541),""))</f>
        <v/>
      </c>
      <c r="C551" s="167"/>
      <c r="D551" s="167"/>
      <c r="E551" s="167"/>
      <c r="F551" s="167"/>
      <c r="G551" s="167"/>
      <c r="H551" s="167"/>
      <c r="I551" s="167"/>
      <c r="J551" s="167"/>
      <c r="K551" s="167"/>
      <c r="L551" s="167"/>
      <c r="M551" s="167"/>
      <c r="N551" s="167"/>
      <c r="O551" s="44"/>
      <c r="P551" s="44"/>
    </row>
    <row r="552" spans="1:16" x14ac:dyDescent="0.2">
      <c r="A552" s="58" t="str">
        <v/>
      </c>
      <c r="B552" s="144" t="str">
        <f>IFERROR(TIMEVALUE(DaqBook_RAW_Data!AG542),IFERROR(TIMEVALUE(DaqBook_RAW_Data!A542),""))</f>
        <v/>
      </c>
      <c r="C552" s="167"/>
      <c r="D552" s="167"/>
      <c r="E552" s="167"/>
      <c r="F552" s="167"/>
      <c r="G552" s="167"/>
      <c r="H552" s="167"/>
      <c r="I552" s="167"/>
      <c r="J552" s="167"/>
      <c r="K552" s="167"/>
      <c r="L552" s="167"/>
      <c r="M552" s="167"/>
      <c r="N552" s="167"/>
      <c r="O552" s="44"/>
      <c r="P552" s="44"/>
    </row>
    <row r="553" spans="1:16" x14ac:dyDescent="0.2">
      <c r="A553" s="58" t="str">
        <v/>
      </c>
      <c r="B553" s="144" t="str">
        <f>IFERROR(TIMEVALUE(DaqBook_RAW_Data!AG543),IFERROR(TIMEVALUE(DaqBook_RAW_Data!A543),""))</f>
        <v/>
      </c>
      <c r="C553" s="167"/>
      <c r="D553" s="167"/>
      <c r="E553" s="167"/>
      <c r="F553" s="167"/>
      <c r="G553" s="167"/>
      <c r="H553" s="167"/>
      <c r="I553" s="167"/>
      <c r="J553" s="167"/>
      <c r="K553" s="167"/>
      <c r="L553" s="167"/>
      <c r="M553" s="167"/>
      <c r="N553" s="167"/>
      <c r="O553" s="44"/>
      <c r="P553" s="44"/>
    </row>
    <row r="554" spans="1:16" x14ac:dyDescent="0.2">
      <c r="A554" s="58" t="str">
        <v/>
      </c>
      <c r="B554" s="144" t="str">
        <f>IFERROR(TIMEVALUE(DaqBook_RAW_Data!AG544),IFERROR(TIMEVALUE(DaqBook_RAW_Data!A544),""))</f>
        <v/>
      </c>
      <c r="C554" s="167"/>
      <c r="D554" s="167"/>
      <c r="E554" s="167"/>
      <c r="F554" s="167"/>
      <c r="G554" s="167"/>
      <c r="H554" s="167"/>
      <c r="I554" s="167"/>
      <c r="J554" s="167"/>
      <c r="K554" s="167"/>
      <c r="L554" s="167"/>
      <c r="M554" s="167"/>
      <c r="N554" s="167"/>
      <c r="O554" s="44"/>
      <c r="P554" s="44"/>
    </row>
    <row r="555" spans="1:16" x14ac:dyDescent="0.2">
      <c r="A555" s="58" t="str">
        <v/>
      </c>
      <c r="B555" s="144" t="str">
        <f>IFERROR(TIMEVALUE(DaqBook_RAW_Data!AG545),IFERROR(TIMEVALUE(DaqBook_RAW_Data!A545),""))</f>
        <v/>
      </c>
      <c r="C555" s="167"/>
      <c r="D555" s="167"/>
      <c r="E555" s="167"/>
      <c r="F555" s="167"/>
      <c r="G555" s="167"/>
      <c r="H555" s="167"/>
      <c r="I555" s="167"/>
      <c r="J555" s="167"/>
      <c r="K555" s="167"/>
      <c r="L555" s="167"/>
      <c r="M555" s="167"/>
      <c r="N555" s="167"/>
      <c r="O555" s="44"/>
      <c r="P555" s="44"/>
    </row>
    <row r="556" spans="1:16" x14ac:dyDescent="0.2">
      <c r="A556" s="58" t="str">
        <v/>
      </c>
      <c r="B556" s="144" t="str">
        <f>IFERROR(TIMEVALUE(DaqBook_RAW_Data!AG546),IFERROR(TIMEVALUE(DaqBook_RAW_Data!A546),""))</f>
        <v/>
      </c>
      <c r="C556" s="167"/>
      <c r="D556" s="167"/>
      <c r="E556" s="167"/>
      <c r="F556" s="167"/>
      <c r="G556" s="167"/>
      <c r="H556" s="167"/>
      <c r="I556" s="167"/>
      <c r="J556" s="167"/>
      <c r="K556" s="167"/>
      <c r="L556" s="167"/>
      <c r="M556" s="167"/>
      <c r="N556" s="167"/>
      <c r="O556" s="44"/>
      <c r="P556" s="44"/>
    </row>
    <row r="557" spans="1:16" x14ac:dyDescent="0.2">
      <c r="A557" s="58" t="str">
        <v/>
      </c>
      <c r="B557" s="144" t="str">
        <f>IFERROR(TIMEVALUE(DaqBook_RAW_Data!AG547),IFERROR(TIMEVALUE(DaqBook_RAW_Data!A547),""))</f>
        <v/>
      </c>
      <c r="C557" s="167"/>
      <c r="D557" s="167"/>
      <c r="E557" s="167"/>
      <c r="F557" s="167"/>
      <c r="G557" s="167"/>
      <c r="H557" s="167"/>
      <c r="I557" s="167"/>
      <c r="J557" s="167"/>
      <c r="K557" s="167"/>
      <c r="L557" s="167"/>
      <c r="M557" s="167"/>
      <c r="N557" s="167"/>
      <c r="O557" s="44"/>
      <c r="P557" s="44"/>
    </row>
    <row r="558" spans="1:16" x14ac:dyDescent="0.2">
      <c r="A558" s="58" t="str">
        <v/>
      </c>
      <c r="B558" s="144" t="str">
        <f>IFERROR(TIMEVALUE(DaqBook_RAW_Data!AG548),IFERROR(TIMEVALUE(DaqBook_RAW_Data!A548),""))</f>
        <v/>
      </c>
      <c r="C558" s="167"/>
      <c r="D558" s="167"/>
      <c r="E558" s="167"/>
      <c r="F558" s="167"/>
      <c r="G558" s="167"/>
      <c r="H558" s="167"/>
      <c r="I558" s="167"/>
      <c r="J558" s="167"/>
      <c r="K558" s="167"/>
      <c r="L558" s="167"/>
      <c r="M558" s="167"/>
      <c r="N558" s="167"/>
      <c r="O558" s="44"/>
      <c r="P558" s="44"/>
    </row>
    <row r="559" spans="1:16" x14ac:dyDescent="0.2">
      <c r="A559" s="58" t="str">
        <v/>
      </c>
      <c r="B559" s="144" t="str">
        <f>IFERROR(TIMEVALUE(DaqBook_RAW_Data!AG549),IFERROR(TIMEVALUE(DaqBook_RAW_Data!A549),""))</f>
        <v/>
      </c>
      <c r="C559" s="167"/>
      <c r="D559" s="167"/>
      <c r="E559" s="167"/>
      <c r="F559" s="167"/>
      <c r="G559" s="167"/>
      <c r="H559" s="167"/>
      <c r="I559" s="167"/>
      <c r="J559" s="167"/>
      <c r="K559" s="167"/>
      <c r="L559" s="167"/>
      <c r="M559" s="167"/>
      <c r="N559" s="167"/>
      <c r="O559" s="44"/>
      <c r="P559" s="44"/>
    </row>
    <row r="560" spans="1:16" x14ac:dyDescent="0.2">
      <c r="A560" s="58" t="str">
        <v/>
      </c>
      <c r="B560" s="144" t="str">
        <f>IFERROR(TIMEVALUE(DaqBook_RAW_Data!AG550),IFERROR(TIMEVALUE(DaqBook_RAW_Data!A550),""))</f>
        <v/>
      </c>
      <c r="C560" s="167"/>
      <c r="D560" s="167"/>
      <c r="E560" s="167"/>
      <c r="F560" s="167"/>
      <c r="G560" s="167"/>
      <c r="H560" s="167"/>
      <c r="I560" s="167"/>
      <c r="J560" s="167"/>
      <c r="K560" s="167"/>
      <c r="L560" s="167"/>
      <c r="M560" s="167"/>
      <c r="N560" s="167"/>
      <c r="O560" s="44"/>
      <c r="P560" s="44"/>
    </row>
    <row r="561" spans="1:16" x14ac:dyDescent="0.2">
      <c r="A561" s="58" t="str">
        <v/>
      </c>
      <c r="B561" s="144" t="str">
        <f>IFERROR(TIMEVALUE(DaqBook_RAW_Data!AG551),IFERROR(TIMEVALUE(DaqBook_RAW_Data!A551),""))</f>
        <v/>
      </c>
      <c r="C561" s="167"/>
      <c r="D561" s="167"/>
      <c r="E561" s="167"/>
      <c r="F561" s="167"/>
      <c r="G561" s="167"/>
      <c r="H561" s="167"/>
      <c r="I561" s="167"/>
      <c r="J561" s="167"/>
      <c r="K561" s="167"/>
      <c r="L561" s="167"/>
      <c r="M561" s="167"/>
      <c r="N561" s="167"/>
      <c r="O561" s="44"/>
      <c r="P561" s="44"/>
    </row>
    <row r="562" spans="1:16" x14ac:dyDescent="0.2">
      <c r="A562" s="58" t="str">
        <v/>
      </c>
      <c r="B562" s="144" t="str">
        <f>IFERROR(TIMEVALUE(DaqBook_RAW_Data!AG552),IFERROR(TIMEVALUE(DaqBook_RAW_Data!A552),""))</f>
        <v/>
      </c>
      <c r="C562" s="167"/>
      <c r="D562" s="167"/>
      <c r="E562" s="167"/>
      <c r="F562" s="167"/>
      <c r="G562" s="167"/>
      <c r="H562" s="167"/>
      <c r="I562" s="167"/>
      <c r="J562" s="167"/>
      <c r="K562" s="167"/>
      <c r="L562" s="167"/>
      <c r="M562" s="167"/>
      <c r="N562" s="167"/>
      <c r="O562" s="44"/>
      <c r="P562" s="44"/>
    </row>
    <row r="563" spans="1:16" x14ac:dyDescent="0.2">
      <c r="A563" s="58" t="str">
        <v/>
      </c>
      <c r="B563" s="144" t="str">
        <f>IFERROR(TIMEVALUE(DaqBook_RAW_Data!AG553),IFERROR(TIMEVALUE(DaqBook_RAW_Data!A553),""))</f>
        <v/>
      </c>
      <c r="C563" s="167"/>
      <c r="D563" s="167"/>
      <c r="E563" s="167"/>
      <c r="F563" s="167"/>
      <c r="G563" s="167"/>
      <c r="H563" s="167"/>
      <c r="I563" s="167"/>
      <c r="J563" s="167"/>
      <c r="K563" s="167"/>
      <c r="L563" s="167"/>
      <c r="M563" s="167"/>
      <c r="N563" s="167"/>
      <c r="O563" s="44"/>
      <c r="P563" s="44"/>
    </row>
    <row r="564" spans="1:16" x14ac:dyDescent="0.2">
      <c r="A564" s="58" t="str">
        <v/>
      </c>
      <c r="B564" s="144" t="str">
        <f>IFERROR(TIMEVALUE(DaqBook_RAW_Data!AG554),IFERROR(TIMEVALUE(DaqBook_RAW_Data!A554),""))</f>
        <v/>
      </c>
      <c r="C564" s="167"/>
      <c r="D564" s="167"/>
      <c r="E564" s="167"/>
      <c r="F564" s="167"/>
      <c r="G564" s="167"/>
      <c r="H564" s="167"/>
      <c r="I564" s="167"/>
      <c r="J564" s="167"/>
      <c r="K564" s="167"/>
      <c r="L564" s="167"/>
      <c r="M564" s="167"/>
      <c r="N564" s="167"/>
      <c r="O564" s="44"/>
      <c r="P564" s="44"/>
    </row>
    <row r="565" spans="1:16" x14ac:dyDescent="0.2">
      <c r="A565" s="58" t="str">
        <v/>
      </c>
      <c r="B565" s="144" t="str">
        <f>IFERROR(TIMEVALUE(DaqBook_RAW_Data!AG555),IFERROR(TIMEVALUE(DaqBook_RAW_Data!A555),""))</f>
        <v/>
      </c>
      <c r="C565" s="167"/>
      <c r="D565" s="167"/>
      <c r="E565" s="167"/>
      <c r="F565" s="167"/>
      <c r="G565" s="167"/>
      <c r="H565" s="167"/>
      <c r="I565" s="167"/>
      <c r="J565" s="167"/>
      <c r="K565" s="167"/>
      <c r="L565" s="167"/>
      <c r="M565" s="167"/>
      <c r="N565" s="167"/>
      <c r="O565" s="44"/>
      <c r="P565" s="44"/>
    </row>
    <row r="566" spans="1:16" x14ac:dyDescent="0.2">
      <c r="A566" s="58" t="str">
        <v/>
      </c>
      <c r="B566" s="144" t="str">
        <f>IFERROR(TIMEVALUE(DaqBook_RAW_Data!AG556),IFERROR(TIMEVALUE(DaqBook_RAW_Data!A556),""))</f>
        <v/>
      </c>
      <c r="C566" s="167"/>
      <c r="D566" s="167"/>
      <c r="E566" s="167"/>
      <c r="F566" s="167"/>
      <c r="G566" s="167"/>
      <c r="H566" s="167"/>
      <c r="I566" s="167"/>
      <c r="J566" s="167"/>
      <c r="K566" s="167"/>
      <c r="L566" s="167"/>
      <c r="M566" s="167"/>
      <c r="N566" s="167"/>
      <c r="O566" s="44"/>
      <c r="P566" s="44"/>
    </row>
    <row r="567" spans="1:16" x14ac:dyDescent="0.2">
      <c r="A567" s="58" t="str">
        <v/>
      </c>
      <c r="B567" s="144" t="str">
        <f>IFERROR(TIMEVALUE(DaqBook_RAW_Data!AG557),IFERROR(TIMEVALUE(DaqBook_RAW_Data!A557),""))</f>
        <v/>
      </c>
      <c r="C567" s="167"/>
      <c r="D567" s="167"/>
      <c r="E567" s="167"/>
      <c r="F567" s="167"/>
      <c r="G567" s="167"/>
      <c r="H567" s="167"/>
      <c r="I567" s="167"/>
      <c r="J567" s="167"/>
      <c r="K567" s="167"/>
      <c r="L567" s="167"/>
      <c r="M567" s="167"/>
      <c r="N567" s="167"/>
      <c r="O567" s="44"/>
      <c r="P567" s="44"/>
    </row>
    <row r="568" spans="1:16" x14ac:dyDescent="0.2">
      <c r="A568" s="58" t="str">
        <v/>
      </c>
      <c r="B568" s="144" t="str">
        <f>IFERROR(TIMEVALUE(DaqBook_RAW_Data!AG558),IFERROR(TIMEVALUE(DaqBook_RAW_Data!A558),""))</f>
        <v/>
      </c>
      <c r="C568" s="167"/>
      <c r="D568" s="167"/>
      <c r="E568" s="167"/>
      <c r="F568" s="167"/>
      <c r="G568" s="167"/>
      <c r="H568" s="167"/>
      <c r="I568" s="167"/>
      <c r="J568" s="167"/>
      <c r="K568" s="167"/>
      <c r="L568" s="167"/>
      <c r="M568" s="167"/>
      <c r="N568" s="167"/>
      <c r="O568" s="44"/>
      <c r="P568" s="44"/>
    </row>
    <row r="569" spans="1:16" x14ac:dyDescent="0.2">
      <c r="A569" s="58" t="str">
        <v/>
      </c>
      <c r="B569" s="144" t="str">
        <f>IFERROR(TIMEVALUE(DaqBook_RAW_Data!AG559),IFERROR(TIMEVALUE(DaqBook_RAW_Data!A559),""))</f>
        <v/>
      </c>
      <c r="C569" s="167"/>
      <c r="D569" s="167"/>
      <c r="E569" s="167"/>
      <c r="F569" s="167"/>
      <c r="G569" s="167"/>
      <c r="H569" s="167"/>
      <c r="I569" s="167"/>
      <c r="J569" s="167"/>
      <c r="K569" s="167"/>
      <c r="L569" s="167"/>
      <c r="M569" s="167"/>
      <c r="N569" s="167"/>
      <c r="O569" s="44"/>
      <c r="P569" s="44"/>
    </row>
    <row r="570" spans="1:16" x14ac:dyDescent="0.2">
      <c r="A570" s="58" t="str">
        <v/>
      </c>
      <c r="B570" s="144" t="str">
        <f>IFERROR(TIMEVALUE(DaqBook_RAW_Data!AG560),IFERROR(TIMEVALUE(DaqBook_RAW_Data!A560),""))</f>
        <v/>
      </c>
      <c r="C570" s="167"/>
      <c r="D570" s="167"/>
      <c r="E570" s="167"/>
      <c r="F570" s="167"/>
      <c r="G570" s="167"/>
      <c r="H570" s="167"/>
      <c r="I570" s="167"/>
      <c r="J570" s="167"/>
      <c r="K570" s="167"/>
      <c r="L570" s="167"/>
      <c r="M570" s="167"/>
      <c r="N570" s="167"/>
      <c r="O570" s="44"/>
      <c r="P570" s="44"/>
    </row>
    <row r="571" spans="1:16" x14ac:dyDescent="0.2">
      <c r="A571" s="58" t="str">
        <v/>
      </c>
      <c r="B571" s="144" t="str">
        <f>IFERROR(TIMEVALUE(DaqBook_RAW_Data!AG561),IFERROR(TIMEVALUE(DaqBook_RAW_Data!A561),""))</f>
        <v/>
      </c>
      <c r="C571" s="167"/>
      <c r="D571" s="167"/>
      <c r="E571" s="167"/>
      <c r="F571" s="167"/>
      <c r="G571" s="167"/>
      <c r="H571" s="167"/>
      <c r="I571" s="167"/>
      <c r="J571" s="167"/>
      <c r="K571" s="167"/>
      <c r="L571" s="167"/>
      <c r="M571" s="167"/>
      <c r="N571" s="167"/>
      <c r="O571" s="44"/>
      <c r="P571" s="44"/>
    </row>
    <row r="572" spans="1:16" x14ac:dyDescent="0.2">
      <c r="A572" s="58" t="str">
        <v/>
      </c>
      <c r="B572" s="144" t="str">
        <f>IFERROR(TIMEVALUE(DaqBook_RAW_Data!AG562),IFERROR(TIMEVALUE(DaqBook_RAW_Data!A562),""))</f>
        <v/>
      </c>
      <c r="C572" s="167"/>
      <c r="D572" s="167"/>
      <c r="E572" s="167"/>
      <c r="F572" s="167"/>
      <c r="G572" s="167"/>
      <c r="H572" s="167"/>
      <c r="I572" s="167"/>
      <c r="J572" s="167"/>
      <c r="K572" s="167"/>
      <c r="L572" s="167"/>
      <c r="M572" s="167"/>
      <c r="N572" s="167"/>
      <c r="O572" s="44"/>
      <c r="P572" s="44"/>
    </row>
    <row r="573" spans="1:16" x14ac:dyDescent="0.2">
      <c r="A573" s="58" t="str">
        <v/>
      </c>
      <c r="B573" s="144" t="str">
        <f>IFERROR(TIMEVALUE(DaqBook_RAW_Data!AG563),IFERROR(TIMEVALUE(DaqBook_RAW_Data!A563),""))</f>
        <v/>
      </c>
      <c r="C573" s="167"/>
      <c r="D573" s="167"/>
      <c r="E573" s="167"/>
      <c r="F573" s="167"/>
      <c r="G573" s="167"/>
      <c r="H573" s="167"/>
      <c r="I573" s="167"/>
      <c r="J573" s="167"/>
      <c r="K573" s="167"/>
      <c r="L573" s="167"/>
      <c r="M573" s="167"/>
      <c r="N573" s="167"/>
      <c r="O573" s="44"/>
      <c r="P573" s="44"/>
    </row>
    <row r="574" spans="1:16" x14ac:dyDescent="0.2">
      <c r="A574" s="58" t="str">
        <v/>
      </c>
      <c r="B574" s="144" t="str">
        <f>IFERROR(TIMEVALUE(DaqBook_RAW_Data!AG564),IFERROR(TIMEVALUE(DaqBook_RAW_Data!A564),""))</f>
        <v/>
      </c>
      <c r="C574" s="167"/>
      <c r="D574" s="167"/>
      <c r="E574" s="167"/>
      <c r="F574" s="167"/>
      <c r="G574" s="167"/>
      <c r="H574" s="167"/>
      <c r="I574" s="167"/>
      <c r="J574" s="167"/>
      <c r="K574" s="167"/>
      <c r="L574" s="167"/>
      <c r="M574" s="167"/>
      <c r="N574" s="167"/>
      <c r="O574" s="44"/>
      <c r="P574" s="44"/>
    </row>
    <row r="575" spans="1:16" x14ac:dyDescent="0.2">
      <c r="A575" s="58" t="str">
        <v/>
      </c>
      <c r="B575" s="144" t="str">
        <f>IFERROR(TIMEVALUE(DaqBook_RAW_Data!AG565),IFERROR(TIMEVALUE(DaqBook_RAW_Data!A565),""))</f>
        <v/>
      </c>
      <c r="C575" s="167"/>
      <c r="D575" s="167"/>
      <c r="E575" s="167"/>
      <c r="F575" s="167"/>
      <c r="G575" s="167"/>
      <c r="H575" s="167"/>
      <c r="I575" s="167"/>
      <c r="J575" s="167"/>
      <c r="K575" s="167"/>
      <c r="L575" s="167"/>
      <c r="M575" s="167"/>
      <c r="N575" s="167"/>
      <c r="O575" s="44"/>
      <c r="P575" s="44"/>
    </row>
    <row r="576" spans="1:16" x14ac:dyDescent="0.2">
      <c r="A576" s="58" t="str">
        <v/>
      </c>
      <c r="B576" s="144" t="str">
        <f>IFERROR(TIMEVALUE(DaqBook_RAW_Data!AG566),IFERROR(TIMEVALUE(DaqBook_RAW_Data!A566),""))</f>
        <v/>
      </c>
      <c r="C576" s="167"/>
      <c r="D576" s="167"/>
      <c r="E576" s="167"/>
      <c r="F576" s="167"/>
      <c r="G576" s="167"/>
      <c r="H576" s="167"/>
      <c r="I576" s="167"/>
      <c r="J576" s="167"/>
      <c r="K576" s="167"/>
      <c r="L576" s="167"/>
      <c r="M576" s="167"/>
      <c r="N576" s="167"/>
      <c r="O576" s="44"/>
      <c r="P576" s="44"/>
    </row>
    <row r="577" spans="1:16" x14ac:dyDescent="0.2">
      <c r="A577" s="58" t="str">
        <v/>
      </c>
      <c r="B577" s="144" t="str">
        <f>IFERROR(TIMEVALUE(DaqBook_RAW_Data!AG567),IFERROR(TIMEVALUE(DaqBook_RAW_Data!A567),""))</f>
        <v/>
      </c>
      <c r="C577" s="167"/>
      <c r="D577" s="167"/>
      <c r="E577" s="167"/>
      <c r="F577" s="167"/>
      <c r="G577" s="167"/>
      <c r="H577" s="167"/>
      <c r="I577" s="167"/>
      <c r="J577" s="167"/>
      <c r="K577" s="167"/>
      <c r="L577" s="167"/>
      <c r="M577" s="167"/>
      <c r="N577" s="167"/>
      <c r="O577" s="44"/>
      <c r="P577" s="44"/>
    </row>
    <row r="578" spans="1:16" x14ac:dyDescent="0.2">
      <c r="A578" s="58" t="str">
        <v/>
      </c>
      <c r="B578" s="144" t="str">
        <f>IFERROR(TIMEVALUE(DaqBook_RAW_Data!AG568),IFERROR(TIMEVALUE(DaqBook_RAW_Data!A568),""))</f>
        <v/>
      </c>
      <c r="C578" s="167"/>
      <c r="D578" s="167"/>
      <c r="E578" s="167"/>
      <c r="F578" s="167"/>
      <c r="G578" s="167"/>
      <c r="H578" s="167"/>
      <c r="I578" s="167"/>
      <c r="J578" s="167"/>
      <c r="K578" s="167"/>
      <c r="L578" s="167"/>
      <c r="M578" s="167"/>
      <c r="N578" s="167"/>
      <c r="O578" s="44"/>
      <c r="P578" s="44"/>
    </row>
    <row r="579" spans="1:16" x14ac:dyDescent="0.2">
      <c r="A579" s="58" t="str">
        <v/>
      </c>
      <c r="B579" s="144" t="str">
        <f>IFERROR(TIMEVALUE(DaqBook_RAW_Data!AG569),IFERROR(TIMEVALUE(DaqBook_RAW_Data!A569),""))</f>
        <v/>
      </c>
      <c r="C579" s="167"/>
      <c r="D579" s="167"/>
      <c r="E579" s="167"/>
      <c r="F579" s="167"/>
      <c r="G579" s="167"/>
      <c r="H579" s="167"/>
      <c r="I579" s="167"/>
      <c r="J579" s="167"/>
      <c r="K579" s="167"/>
      <c r="L579" s="167"/>
      <c r="M579" s="167"/>
      <c r="N579" s="167"/>
      <c r="O579" s="44"/>
      <c r="P579" s="44"/>
    </row>
    <row r="580" spans="1:16" x14ac:dyDescent="0.2">
      <c r="A580" s="58" t="str">
        <v/>
      </c>
      <c r="B580" s="144" t="str">
        <f>IFERROR(TIMEVALUE(DaqBook_RAW_Data!AG570),IFERROR(TIMEVALUE(DaqBook_RAW_Data!A570),""))</f>
        <v/>
      </c>
      <c r="C580" s="167"/>
      <c r="D580" s="167"/>
      <c r="E580" s="167"/>
      <c r="F580" s="167"/>
      <c r="G580" s="167"/>
      <c r="H580" s="167"/>
      <c r="I580" s="167"/>
      <c r="J580" s="167"/>
      <c r="K580" s="167"/>
      <c r="L580" s="167"/>
      <c r="M580" s="167"/>
      <c r="N580" s="167"/>
      <c r="O580" s="44"/>
      <c r="P580" s="44"/>
    </row>
    <row r="581" spans="1:16" x14ac:dyDescent="0.2">
      <c r="A581" s="58" t="str">
        <v/>
      </c>
      <c r="B581" s="144" t="str">
        <f>IFERROR(TIMEVALUE(DaqBook_RAW_Data!AG571),IFERROR(TIMEVALUE(DaqBook_RAW_Data!A571),""))</f>
        <v/>
      </c>
      <c r="C581" s="167"/>
      <c r="D581" s="167"/>
      <c r="E581" s="167"/>
      <c r="F581" s="167"/>
      <c r="G581" s="167"/>
      <c r="H581" s="167"/>
      <c r="I581" s="167"/>
      <c r="J581" s="167"/>
      <c r="K581" s="167"/>
      <c r="L581" s="167"/>
      <c r="M581" s="167"/>
      <c r="N581" s="167"/>
      <c r="O581" s="44"/>
      <c r="P581" s="44"/>
    </row>
    <row r="582" spans="1:16" x14ac:dyDescent="0.2">
      <c r="A582" s="58" t="str">
        <v/>
      </c>
      <c r="B582" s="144" t="str">
        <f>IFERROR(TIMEVALUE(DaqBook_RAW_Data!AG572),IFERROR(TIMEVALUE(DaqBook_RAW_Data!A572),""))</f>
        <v/>
      </c>
      <c r="C582" s="167"/>
      <c r="D582" s="167"/>
      <c r="E582" s="167"/>
      <c r="F582" s="167"/>
      <c r="G582" s="167"/>
      <c r="H582" s="167"/>
      <c r="I582" s="167"/>
      <c r="J582" s="167"/>
      <c r="K582" s="167"/>
      <c r="L582" s="167"/>
      <c r="M582" s="167"/>
      <c r="N582" s="167"/>
      <c r="O582" s="44"/>
      <c r="P582" s="44"/>
    </row>
    <row r="583" spans="1:16" x14ac:dyDescent="0.2">
      <c r="A583" s="58" t="str">
        <v/>
      </c>
      <c r="B583" s="144" t="str">
        <f>IFERROR(TIMEVALUE(DaqBook_RAW_Data!AG573),IFERROR(TIMEVALUE(DaqBook_RAW_Data!A573),""))</f>
        <v/>
      </c>
      <c r="C583" s="167"/>
      <c r="D583" s="167"/>
      <c r="E583" s="167"/>
      <c r="F583" s="167"/>
      <c r="G583" s="167"/>
      <c r="H583" s="167"/>
      <c r="I583" s="167"/>
      <c r="J583" s="167"/>
      <c r="K583" s="167"/>
      <c r="L583" s="167"/>
      <c r="M583" s="167"/>
      <c r="N583" s="167"/>
      <c r="O583" s="44"/>
      <c r="P583" s="44"/>
    </row>
    <row r="584" spans="1:16" x14ac:dyDescent="0.2">
      <c r="A584" s="58" t="str">
        <v/>
      </c>
      <c r="B584" s="144" t="str">
        <f>IFERROR(TIMEVALUE(DaqBook_RAW_Data!AG574),IFERROR(TIMEVALUE(DaqBook_RAW_Data!A574),""))</f>
        <v/>
      </c>
      <c r="C584" s="167"/>
      <c r="D584" s="167"/>
      <c r="E584" s="167"/>
      <c r="F584" s="167"/>
      <c r="G584" s="167"/>
      <c r="H584" s="167"/>
      <c r="I584" s="167"/>
      <c r="J584" s="167"/>
      <c r="K584" s="167"/>
      <c r="L584" s="167"/>
      <c r="M584" s="167"/>
      <c r="N584" s="167"/>
      <c r="O584" s="44"/>
      <c r="P584" s="44"/>
    </row>
    <row r="585" spans="1:16" x14ac:dyDescent="0.2">
      <c r="A585" s="58" t="str">
        <v/>
      </c>
      <c r="B585" s="144" t="str">
        <f>IFERROR(TIMEVALUE(DaqBook_RAW_Data!AG575),IFERROR(TIMEVALUE(DaqBook_RAW_Data!A575),""))</f>
        <v/>
      </c>
      <c r="C585" s="167"/>
      <c r="D585" s="167"/>
      <c r="E585" s="167"/>
      <c r="F585" s="167"/>
      <c r="G585" s="167"/>
      <c r="H585" s="167"/>
      <c r="I585" s="167"/>
      <c r="J585" s="167"/>
      <c r="K585" s="167"/>
      <c r="L585" s="167"/>
      <c r="M585" s="167"/>
      <c r="N585" s="167"/>
      <c r="O585" s="44"/>
      <c r="P585" s="44"/>
    </row>
    <row r="586" spans="1:16" x14ac:dyDescent="0.2">
      <c r="A586" s="58" t="str">
        <v/>
      </c>
      <c r="B586" s="144" t="str">
        <f>IFERROR(TIMEVALUE(DaqBook_RAW_Data!AG576),IFERROR(TIMEVALUE(DaqBook_RAW_Data!A576),""))</f>
        <v/>
      </c>
      <c r="C586" s="167"/>
      <c r="D586" s="167"/>
      <c r="E586" s="167"/>
      <c r="F586" s="167"/>
      <c r="G586" s="167"/>
      <c r="H586" s="167"/>
      <c r="I586" s="167"/>
      <c r="J586" s="167"/>
      <c r="K586" s="167"/>
      <c r="L586" s="167"/>
      <c r="M586" s="167"/>
      <c r="N586" s="167"/>
      <c r="O586" s="44"/>
      <c r="P586" s="44"/>
    </row>
    <row r="587" spans="1:16" x14ac:dyDescent="0.2">
      <c r="A587" s="58" t="str">
        <v/>
      </c>
      <c r="B587" s="144" t="str">
        <f>IFERROR(TIMEVALUE(DaqBook_RAW_Data!AG577),IFERROR(TIMEVALUE(DaqBook_RAW_Data!A577),""))</f>
        <v/>
      </c>
      <c r="C587" s="167"/>
      <c r="D587" s="167"/>
      <c r="E587" s="167"/>
      <c r="F587" s="167"/>
      <c r="G587" s="167"/>
      <c r="H587" s="167"/>
      <c r="I587" s="167"/>
      <c r="J587" s="167"/>
      <c r="K587" s="167"/>
      <c r="L587" s="167"/>
      <c r="M587" s="167"/>
      <c r="N587" s="167"/>
      <c r="O587" s="44"/>
      <c r="P587" s="44"/>
    </row>
    <row r="588" spans="1:16" x14ac:dyDescent="0.2">
      <c r="A588" s="58" t="str">
        <v/>
      </c>
      <c r="B588" s="144" t="str">
        <f>IFERROR(TIMEVALUE(DaqBook_RAW_Data!AG578),IFERROR(TIMEVALUE(DaqBook_RAW_Data!A578),""))</f>
        <v/>
      </c>
      <c r="C588" s="167"/>
      <c r="D588" s="167"/>
      <c r="E588" s="167"/>
      <c r="F588" s="167"/>
      <c r="G588" s="167"/>
      <c r="H588" s="167"/>
      <c r="I588" s="167"/>
      <c r="J588" s="167"/>
      <c r="K588" s="167"/>
      <c r="L588" s="167"/>
      <c r="M588" s="167"/>
      <c r="N588" s="167"/>
      <c r="O588" s="44"/>
      <c r="P588" s="44"/>
    </row>
    <row r="589" spans="1:16" x14ac:dyDescent="0.2">
      <c r="A589" s="58" t="str">
        <v/>
      </c>
      <c r="B589" s="144" t="str">
        <f>IFERROR(TIMEVALUE(DaqBook_RAW_Data!AG579),IFERROR(TIMEVALUE(DaqBook_RAW_Data!A579),""))</f>
        <v/>
      </c>
      <c r="C589" s="167"/>
      <c r="D589" s="167"/>
      <c r="E589" s="167"/>
      <c r="F589" s="167"/>
      <c r="G589" s="167"/>
      <c r="H589" s="167"/>
      <c r="I589" s="167"/>
      <c r="J589" s="167"/>
      <c r="K589" s="167"/>
      <c r="L589" s="167"/>
      <c r="M589" s="167"/>
      <c r="N589" s="167"/>
      <c r="O589" s="44"/>
      <c r="P589" s="44"/>
    </row>
    <row r="590" spans="1:16" x14ac:dyDescent="0.2">
      <c r="A590" s="58" t="str">
        <v/>
      </c>
      <c r="B590" s="144" t="str">
        <f>IFERROR(TIMEVALUE(DaqBook_RAW_Data!AG580),IFERROR(TIMEVALUE(DaqBook_RAW_Data!A580),""))</f>
        <v/>
      </c>
      <c r="C590" s="167"/>
      <c r="D590" s="167"/>
      <c r="E590" s="167"/>
      <c r="F590" s="167"/>
      <c r="G590" s="167"/>
      <c r="H590" s="167"/>
      <c r="I590" s="167"/>
      <c r="J590" s="167"/>
      <c r="K590" s="167"/>
      <c r="L590" s="167"/>
      <c r="M590" s="167"/>
      <c r="N590" s="167"/>
      <c r="O590" s="44"/>
      <c r="P590" s="44"/>
    </row>
    <row r="591" spans="1:16" x14ac:dyDescent="0.2">
      <c r="A591" s="58" t="str">
        <v/>
      </c>
      <c r="B591" s="144" t="str">
        <f>IFERROR(TIMEVALUE(DaqBook_RAW_Data!AG581),IFERROR(TIMEVALUE(DaqBook_RAW_Data!A581),""))</f>
        <v/>
      </c>
      <c r="C591" s="167"/>
      <c r="D591" s="167"/>
      <c r="E591" s="167"/>
      <c r="F591" s="167"/>
      <c r="G591" s="167"/>
      <c r="H591" s="167"/>
      <c r="I591" s="167"/>
      <c r="J591" s="167"/>
      <c r="K591" s="167"/>
      <c r="L591" s="167"/>
      <c r="M591" s="167"/>
      <c r="N591" s="167"/>
      <c r="O591" s="44"/>
      <c r="P591" s="44"/>
    </row>
    <row r="592" spans="1:16" x14ac:dyDescent="0.2">
      <c r="A592" s="58" t="str">
        <v/>
      </c>
      <c r="B592" s="144" t="str">
        <f>IFERROR(TIMEVALUE(DaqBook_RAW_Data!AG582),IFERROR(TIMEVALUE(DaqBook_RAW_Data!A582),""))</f>
        <v/>
      </c>
      <c r="C592" s="167"/>
      <c r="D592" s="167"/>
      <c r="E592" s="167"/>
      <c r="F592" s="167"/>
      <c r="G592" s="167"/>
      <c r="H592" s="167"/>
      <c r="I592" s="167"/>
      <c r="J592" s="167"/>
      <c r="K592" s="167"/>
      <c r="L592" s="167"/>
      <c r="M592" s="167"/>
      <c r="N592" s="167"/>
      <c r="O592" s="44"/>
      <c r="P592" s="44"/>
    </row>
    <row r="593" spans="1:16" x14ac:dyDescent="0.2">
      <c r="A593" s="58" t="str">
        <v/>
      </c>
      <c r="B593" s="144" t="str">
        <f>IFERROR(TIMEVALUE(DaqBook_RAW_Data!AG583),IFERROR(TIMEVALUE(DaqBook_RAW_Data!A583),""))</f>
        <v/>
      </c>
      <c r="C593" s="167"/>
      <c r="D593" s="167"/>
      <c r="E593" s="167"/>
      <c r="F593" s="167"/>
      <c r="G593" s="167"/>
      <c r="H593" s="167"/>
      <c r="I593" s="167"/>
      <c r="J593" s="167"/>
      <c r="K593" s="167"/>
      <c r="L593" s="167"/>
      <c r="M593" s="167"/>
      <c r="N593" s="167"/>
      <c r="O593" s="44"/>
      <c r="P593" s="44"/>
    </row>
    <row r="594" spans="1:16" x14ac:dyDescent="0.2">
      <c r="A594" s="58" t="str">
        <v/>
      </c>
      <c r="B594" s="144" t="str">
        <f>IFERROR(TIMEVALUE(DaqBook_RAW_Data!AG584),IFERROR(TIMEVALUE(DaqBook_RAW_Data!A584),""))</f>
        <v/>
      </c>
      <c r="C594" s="167"/>
      <c r="D594" s="167"/>
      <c r="E594" s="167"/>
      <c r="F594" s="167"/>
      <c r="G594" s="167"/>
      <c r="H594" s="167"/>
      <c r="I594" s="167"/>
      <c r="J594" s="167"/>
      <c r="K594" s="167"/>
      <c r="L594" s="167"/>
      <c r="M594" s="167"/>
      <c r="N594" s="167"/>
      <c r="O594" s="44"/>
      <c r="P594" s="44"/>
    </row>
    <row r="595" spans="1:16" x14ac:dyDescent="0.2">
      <c r="A595" s="58" t="str">
        <v/>
      </c>
      <c r="B595" s="144" t="str">
        <f>IFERROR(TIMEVALUE(DaqBook_RAW_Data!AG585),IFERROR(TIMEVALUE(DaqBook_RAW_Data!A585),""))</f>
        <v/>
      </c>
      <c r="C595" s="167"/>
      <c r="D595" s="167"/>
      <c r="E595" s="167"/>
      <c r="F595" s="167"/>
      <c r="G595" s="167"/>
      <c r="H595" s="167"/>
      <c r="I595" s="167"/>
      <c r="J595" s="167"/>
      <c r="K595" s="167"/>
      <c r="L595" s="167"/>
      <c r="M595" s="167"/>
      <c r="N595" s="167"/>
      <c r="O595" s="44"/>
      <c r="P595" s="44"/>
    </row>
    <row r="596" spans="1:16" x14ac:dyDescent="0.2">
      <c r="A596" s="58" t="str">
        <v/>
      </c>
      <c r="B596" s="144" t="str">
        <f>IFERROR(TIMEVALUE(DaqBook_RAW_Data!AG586),IFERROR(TIMEVALUE(DaqBook_RAW_Data!A586),""))</f>
        <v/>
      </c>
      <c r="C596" s="167"/>
      <c r="D596" s="167"/>
      <c r="E596" s="167"/>
      <c r="F596" s="167"/>
      <c r="G596" s="167"/>
      <c r="H596" s="167"/>
      <c r="I596" s="167"/>
      <c r="J596" s="167"/>
      <c r="K596" s="167"/>
      <c r="L596" s="167"/>
      <c r="M596" s="167"/>
      <c r="N596" s="167"/>
      <c r="O596" s="44"/>
      <c r="P596" s="44"/>
    </row>
    <row r="597" spans="1:16" x14ac:dyDescent="0.2">
      <c r="A597" s="58" t="str">
        <v/>
      </c>
      <c r="B597" s="144" t="str">
        <f>IFERROR(TIMEVALUE(DaqBook_RAW_Data!AG587),IFERROR(TIMEVALUE(DaqBook_RAW_Data!A587),""))</f>
        <v/>
      </c>
      <c r="C597" s="167"/>
      <c r="D597" s="167"/>
      <c r="E597" s="167"/>
      <c r="F597" s="167"/>
      <c r="G597" s="167"/>
      <c r="H597" s="167"/>
      <c r="I597" s="167"/>
      <c r="J597" s="167"/>
      <c r="K597" s="167"/>
      <c r="L597" s="167"/>
      <c r="M597" s="167"/>
      <c r="N597" s="167"/>
      <c r="O597" s="44"/>
      <c r="P597" s="44"/>
    </row>
    <row r="598" spans="1:16" x14ac:dyDescent="0.2">
      <c r="A598" s="58" t="str">
        <v/>
      </c>
      <c r="B598" s="144" t="str">
        <f>IFERROR(TIMEVALUE(DaqBook_RAW_Data!AG588),IFERROR(TIMEVALUE(DaqBook_RAW_Data!A588),""))</f>
        <v/>
      </c>
      <c r="C598" s="167"/>
      <c r="D598" s="167"/>
      <c r="E598" s="167"/>
      <c r="F598" s="167"/>
      <c r="G598" s="167"/>
      <c r="H598" s="167"/>
      <c r="I598" s="167"/>
      <c r="J598" s="167"/>
      <c r="K598" s="167"/>
      <c r="L598" s="167"/>
      <c r="M598" s="167"/>
      <c r="N598" s="167"/>
      <c r="O598" s="44"/>
      <c r="P598" s="44"/>
    </row>
    <row r="599" spans="1:16" x14ac:dyDescent="0.2">
      <c r="A599" s="58" t="str">
        <v/>
      </c>
      <c r="B599" s="144" t="str">
        <f>IFERROR(TIMEVALUE(DaqBook_RAW_Data!AG589),IFERROR(TIMEVALUE(DaqBook_RAW_Data!A589),""))</f>
        <v/>
      </c>
      <c r="C599" s="167"/>
      <c r="D599" s="167"/>
      <c r="E599" s="167"/>
      <c r="F599" s="167"/>
      <c r="G599" s="167"/>
      <c r="H599" s="167"/>
      <c r="I599" s="167"/>
      <c r="J599" s="167"/>
      <c r="K599" s="167"/>
      <c r="L599" s="167"/>
      <c r="M599" s="167"/>
      <c r="N599" s="167"/>
      <c r="O599" s="44"/>
      <c r="P599" s="44"/>
    </row>
    <row r="600" spans="1:16" x14ac:dyDescent="0.2">
      <c r="A600" s="58" t="str">
        <v/>
      </c>
      <c r="B600" s="144" t="str">
        <f>IFERROR(TIMEVALUE(DaqBook_RAW_Data!AG590),IFERROR(TIMEVALUE(DaqBook_RAW_Data!A590),""))</f>
        <v/>
      </c>
      <c r="C600" s="167"/>
      <c r="D600" s="167"/>
      <c r="E600" s="167"/>
      <c r="F600" s="167"/>
      <c r="G600" s="167"/>
      <c r="H600" s="167"/>
      <c r="I600" s="167"/>
      <c r="J600" s="167"/>
      <c r="K600" s="167"/>
      <c r="L600" s="167"/>
      <c r="M600" s="167"/>
      <c r="N600" s="167"/>
      <c r="O600" s="44"/>
      <c r="P600" s="44"/>
    </row>
    <row r="601" spans="1:16" x14ac:dyDescent="0.2">
      <c r="A601" s="58" t="str">
        <v/>
      </c>
      <c r="B601" s="144" t="str">
        <f>IFERROR(TIMEVALUE(DaqBook_RAW_Data!AG591),IFERROR(TIMEVALUE(DaqBook_RAW_Data!A591),""))</f>
        <v/>
      </c>
      <c r="C601" s="167"/>
      <c r="D601" s="167"/>
      <c r="E601" s="167"/>
      <c r="F601" s="167"/>
      <c r="G601" s="167"/>
      <c r="H601" s="167"/>
      <c r="I601" s="167"/>
      <c r="J601" s="167"/>
      <c r="K601" s="167"/>
      <c r="L601" s="167"/>
      <c r="M601" s="167"/>
      <c r="N601" s="167"/>
      <c r="O601" s="44"/>
      <c r="P601" s="44"/>
    </row>
    <row r="602" spans="1:16" x14ac:dyDescent="0.2">
      <c r="A602" s="58" t="str">
        <v/>
      </c>
      <c r="B602" s="144" t="str">
        <f>IFERROR(TIMEVALUE(DaqBook_RAW_Data!AG592),IFERROR(TIMEVALUE(DaqBook_RAW_Data!A592),""))</f>
        <v/>
      </c>
      <c r="C602" s="167"/>
      <c r="D602" s="167"/>
      <c r="E602" s="167"/>
      <c r="F602" s="167"/>
      <c r="G602" s="167"/>
      <c r="H602" s="167"/>
      <c r="I602" s="167"/>
      <c r="J602" s="167"/>
      <c r="K602" s="167"/>
      <c r="L602" s="167"/>
      <c r="M602" s="167"/>
      <c r="N602" s="167"/>
      <c r="O602" s="44"/>
      <c r="P602" s="44"/>
    </row>
    <row r="603" spans="1:16" x14ac:dyDescent="0.2">
      <c r="A603" s="58" t="str">
        <v/>
      </c>
      <c r="B603" s="144" t="str">
        <f>IFERROR(TIMEVALUE(DaqBook_RAW_Data!AG593),IFERROR(TIMEVALUE(DaqBook_RAW_Data!A593),""))</f>
        <v/>
      </c>
      <c r="C603" s="167"/>
      <c r="D603" s="167"/>
      <c r="E603" s="167"/>
      <c r="F603" s="167"/>
      <c r="G603" s="167"/>
      <c r="H603" s="167"/>
      <c r="I603" s="167"/>
      <c r="J603" s="167"/>
      <c r="K603" s="167"/>
      <c r="L603" s="167"/>
      <c r="M603" s="167"/>
      <c r="N603" s="167"/>
      <c r="O603" s="44"/>
      <c r="P603" s="44"/>
    </row>
    <row r="604" spans="1:16" x14ac:dyDescent="0.2">
      <c r="A604" s="58" t="str">
        <v/>
      </c>
      <c r="B604" s="144" t="str">
        <f>IFERROR(TIMEVALUE(DaqBook_RAW_Data!AG594),IFERROR(TIMEVALUE(DaqBook_RAW_Data!A594),""))</f>
        <v/>
      </c>
      <c r="C604" s="167"/>
      <c r="D604" s="167"/>
      <c r="E604" s="167"/>
      <c r="F604" s="167"/>
      <c r="G604" s="167"/>
      <c r="H604" s="167"/>
      <c r="I604" s="167"/>
      <c r="J604" s="167"/>
      <c r="K604" s="167"/>
      <c r="L604" s="167"/>
      <c r="M604" s="167"/>
      <c r="N604" s="167"/>
      <c r="O604" s="44"/>
      <c r="P604" s="44"/>
    </row>
    <row r="605" spans="1:16" x14ac:dyDescent="0.2">
      <c r="A605" s="58" t="str">
        <v/>
      </c>
      <c r="B605" s="144" t="str">
        <f>IFERROR(TIMEVALUE(DaqBook_RAW_Data!AG595),IFERROR(TIMEVALUE(DaqBook_RAW_Data!A595),""))</f>
        <v/>
      </c>
      <c r="C605" s="167"/>
      <c r="D605" s="167"/>
      <c r="E605" s="167"/>
      <c r="F605" s="167"/>
      <c r="G605" s="167"/>
      <c r="H605" s="167"/>
      <c r="I605" s="167"/>
      <c r="J605" s="167"/>
      <c r="K605" s="167"/>
      <c r="L605" s="167"/>
      <c r="M605" s="167"/>
      <c r="N605" s="167"/>
      <c r="O605" s="44"/>
      <c r="P605" s="44"/>
    </row>
    <row r="606" spans="1:16" x14ac:dyDescent="0.2">
      <c r="A606" s="58" t="str">
        <v/>
      </c>
      <c r="B606" s="144" t="str">
        <f>IFERROR(TIMEVALUE(DaqBook_RAW_Data!AG596),IFERROR(TIMEVALUE(DaqBook_RAW_Data!A596),""))</f>
        <v/>
      </c>
      <c r="C606" s="167"/>
      <c r="D606" s="167"/>
      <c r="E606" s="167"/>
      <c r="F606" s="167"/>
      <c r="G606" s="167"/>
      <c r="H606" s="167"/>
      <c r="I606" s="167"/>
      <c r="J606" s="167"/>
      <c r="K606" s="167"/>
      <c r="L606" s="167"/>
      <c r="M606" s="167"/>
      <c r="N606" s="167"/>
      <c r="O606" s="44"/>
      <c r="P606" s="44"/>
    </row>
    <row r="607" spans="1:16" x14ac:dyDescent="0.2">
      <c r="A607" s="58" t="str">
        <v/>
      </c>
      <c r="B607" s="144" t="str">
        <f>IFERROR(TIMEVALUE(DaqBook_RAW_Data!AG597),IFERROR(TIMEVALUE(DaqBook_RAW_Data!A597),""))</f>
        <v/>
      </c>
      <c r="C607" s="167"/>
      <c r="D607" s="167"/>
      <c r="E607" s="167"/>
      <c r="F607" s="167"/>
      <c r="G607" s="167"/>
      <c r="H607" s="167"/>
      <c r="I607" s="167"/>
      <c r="J607" s="167"/>
      <c r="K607" s="167"/>
      <c r="L607" s="167"/>
      <c r="M607" s="167"/>
      <c r="N607" s="167"/>
      <c r="O607" s="44"/>
      <c r="P607" s="44"/>
    </row>
    <row r="608" spans="1:16" x14ac:dyDescent="0.2">
      <c r="A608" s="58" t="str">
        <v/>
      </c>
      <c r="B608" s="144" t="str">
        <f>IFERROR(TIMEVALUE(DaqBook_RAW_Data!AG598),IFERROR(TIMEVALUE(DaqBook_RAW_Data!A598),""))</f>
        <v/>
      </c>
      <c r="C608" s="167"/>
      <c r="D608" s="167"/>
      <c r="E608" s="167"/>
      <c r="F608" s="167"/>
      <c r="G608" s="167"/>
      <c r="H608" s="167"/>
      <c r="I608" s="167"/>
      <c r="J608" s="167"/>
      <c r="K608" s="167"/>
      <c r="L608" s="167"/>
      <c r="M608" s="167"/>
      <c r="N608" s="167"/>
      <c r="O608" s="44"/>
      <c r="P608" s="44"/>
    </row>
    <row r="609" spans="1:16" x14ac:dyDescent="0.2">
      <c r="A609" s="58" t="str">
        <v/>
      </c>
      <c r="B609" s="144" t="str">
        <f>IFERROR(TIMEVALUE(DaqBook_RAW_Data!AG599),IFERROR(TIMEVALUE(DaqBook_RAW_Data!A599),""))</f>
        <v/>
      </c>
      <c r="C609" s="167"/>
      <c r="D609" s="167"/>
      <c r="E609" s="167"/>
      <c r="F609" s="167"/>
      <c r="G609" s="167"/>
      <c r="H609" s="167"/>
      <c r="I609" s="167"/>
      <c r="J609" s="167"/>
      <c r="K609" s="167"/>
      <c r="L609" s="167"/>
      <c r="M609" s="167"/>
      <c r="N609" s="167"/>
      <c r="O609" s="44"/>
      <c r="P609" s="44"/>
    </row>
    <row r="610" spans="1:16" x14ac:dyDescent="0.2">
      <c r="A610" s="58" t="str">
        <v/>
      </c>
      <c r="B610" s="144" t="str">
        <f>IFERROR(TIMEVALUE(DaqBook_RAW_Data!AG600),IFERROR(TIMEVALUE(DaqBook_RAW_Data!A600),""))</f>
        <v/>
      </c>
      <c r="C610" s="167"/>
      <c r="D610" s="167"/>
      <c r="E610" s="167"/>
      <c r="F610" s="167"/>
      <c r="G610" s="167"/>
      <c r="H610" s="167"/>
      <c r="I610" s="167"/>
      <c r="J610" s="167"/>
      <c r="K610" s="167"/>
      <c r="L610" s="167"/>
      <c r="M610" s="167"/>
      <c r="N610" s="167"/>
      <c r="O610" s="44"/>
      <c r="P610" s="44"/>
    </row>
    <row r="611" spans="1:16" x14ac:dyDescent="0.2">
      <c r="A611" s="58" t="str">
        <v/>
      </c>
      <c r="B611" s="144" t="str">
        <f>IFERROR(TIMEVALUE(DaqBook_RAW_Data!AG601),IFERROR(TIMEVALUE(DaqBook_RAW_Data!A601),""))</f>
        <v/>
      </c>
      <c r="C611" s="167"/>
      <c r="D611" s="167"/>
      <c r="E611" s="167"/>
      <c r="F611" s="167"/>
      <c r="G611" s="167"/>
      <c r="H611" s="167"/>
      <c r="I611" s="167"/>
      <c r="J611" s="167"/>
      <c r="K611" s="167"/>
      <c r="L611" s="167"/>
      <c r="M611" s="167"/>
      <c r="N611" s="167"/>
      <c r="O611" s="44"/>
      <c r="P611" s="44"/>
    </row>
    <row r="612" spans="1:16" x14ac:dyDescent="0.2">
      <c r="A612" s="58" t="str">
        <v/>
      </c>
      <c r="B612" s="144" t="str">
        <f>IFERROR(TIMEVALUE(DaqBook_RAW_Data!AG602),IFERROR(TIMEVALUE(DaqBook_RAW_Data!A602),""))</f>
        <v/>
      </c>
      <c r="C612" s="167"/>
      <c r="D612" s="167"/>
      <c r="E612" s="167"/>
      <c r="F612" s="167"/>
      <c r="G612" s="167"/>
      <c r="H612" s="167"/>
      <c r="I612" s="167"/>
      <c r="J612" s="167"/>
      <c r="K612" s="167"/>
      <c r="L612" s="167"/>
      <c r="M612" s="167"/>
      <c r="N612" s="167"/>
      <c r="O612" s="44"/>
      <c r="P612" s="44"/>
    </row>
    <row r="613" spans="1:16" x14ac:dyDescent="0.2">
      <c r="A613" s="58" t="str">
        <v/>
      </c>
      <c r="B613" s="144" t="str">
        <f>IFERROR(TIMEVALUE(DaqBook_RAW_Data!AG603),IFERROR(TIMEVALUE(DaqBook_RAW_Data!A603),""))</f>
        <v/>
      </c>
      <c r="C613" s="167"/>
      <c r="D613" s="167"/>
      <c r="E613" s="167"/>
      <c r="F613" s="167"/>
      <c r="G613" s="167"/>
      <c r="H613" s="167"/>
      <c r="I613" s="167"/>
      <c r="J613" s="167"/>
      <c r="K613" s="167"/>
      <c r="L613" s="167"/>
      <c r="M613" s="167"/>
      <c r="N613" s="167"/>
      <c r="O613" s="44"/>
      <c r="P613" s="44"/>
    </row>
    <row r="614" spans="1:16" x14ac:dyDescent="0.2">
      <c r="A614" s="58" t="str">
        <v/>
      </c>
      <c r="B614" s="144" t="str">
        <f>IFERROR(TIMEVALUE(DaqBook_RAW_Data!AG604),IFERROR(TIMEVALUE(DaqBook_RAW_Data!A604),""))</f>
        <v/>
      </c>
      <c r="C614" s="167"/>
      <c r="D614" s="167"/>
      <c r="E614" s="167"/>
      <c r="F614" s="167"/>
      <c r="G614" s="167"/>
      <c r="H614" s="167"/>
      <c r="I614" s="167"/>
      <c r="J614" s="167"/>
      <c r="K614" s="167"/>
      <c r="L614" s="167"/>
      <c r="M614" s="167"/>
      <c r="N614" s="167"/>
      <c r="O614" s="44"/>
      <c r="P614" s="44"/>
    </row>
    <row r="615" spans="1:16" x14ac:dyDescent="0.2">
      <c r="A615" s="58" t="str">
        <v/>
      </c>
      <c r="B615" s="144" t="str">
        <f>IFERROR(TIMEVALUE(DaqBook_RAW_Data!AG605),IFERROR(TIMEVALUE(DaqBook_RAW_Data!A605),""))</f>
        <v/>
      </c>
      <c r="C615" s="167"/>
      <c r="D615" s="167"/>
      <c r="E615" s="167"/>
      <c r="F615" s="167"/>
      <c r="G615" s="167"/>
      <c r="H615" s="167"/>
      <c r="I615" s="167"/>
      <c r="J615" s="167"/>
      <c r="K615" s="167"/>
      <c r="L615" s="167"/>
      <c r="M615" s="167"/>
      <c r="N615" s="167"/>
      <c r="O615" s="44"/>
      <c r="P615" s="44"/>
    </row>
    <row r="616" spans="1:16" x14ac:dyDescent="0.2">
      <c r="A616" s="58" t="str">
        <v/>
      </c>
      <c r="B616" s="144" t="str">
        <f>IFERROR(TIMEVALUE(DaqBook_RAW_Data!AG606),IFERROR(TIMEVALUE(DaqBook_RAW_Data!A606),""))</f>
        <v/>
      </c>
      <c r="C616" s="167"/>
      <c r="D616" s="167"/>
      <c r="E616" s="167"/>
      <c r="F616" s="167"/>
      <c r="G616" s="167"/>
      <c r="H616" s="167"/>
      <c r="I616" s="167"/>
      <c r="J616" s="167"/>
      <c r="K616" s="167"/>
      <c r="L616" s="167"/>
      <c r="M616" s="167"/>
      <c r="N616" s="167"/>
      <c r="O616" s="44"/>
      <c r="P616" s="44"/>
    </row>
    <row r="617" spans="1:16" x14ac:dyDescent="0.2">
      <c r="A617" s="58" t="str">
        <v/>
      </c>
      <c r="B617" s="144" t="str">
        <f>IFERROR(TIMEVALUE(DaqBook_RAW_Data!AG607),IFERROR(TIMEVALUE(DaqBook_RAW_Data!A607),""))</f>
        <v/>
      </c>
      <c r="C617" s="167"/>
      <c r="D617" s="167"/>
      <c r="E617" s="167"/>
      <c r="F617" s="167"/>
      <c r="G617" s="167"/>
      <c r="H617" s="167"/>
      <c r="I617" s="167"/>
      <c r="J617" s="167"/>
      <c r="K617" s="167"/>
      <c r="L617" s="167"/>
      <c r="M617" s="167"/>
      <c r="N617" s="167"/>
      <c r="O617" s="44"/>
      <c r="P617" s="44"/>
    </row>
    <row r="618" spans="1:16" x14ac:dyDescent="0.2">
      <c r="A618" s="58" t="str">
        <v/>
      </c>
      <c r="B618" s="144" t="str">
        <f>IFERROR(TIMEVALUE(DaqBook_RAW_Data!AG608),IFERROR(TIMEVALUE(DaqBook_RAW_Data!A608),""))</f>
        <v/>
      </c>
      <c r="C618" s="167"/>
      <c r="D618" s="167"/>
      <c r="E618" s="167"/>
      <c r="F618" s="167"/>
      <c r="G618" s="167"/>
      <c r="H618" s="167"/>
      <c r="I618" s="167"/>
      <c r="J618" s="167"/>
      <c r="K618" s="167"/>
      <c r="L618" s="167"/>
      <c r="M618" s="167"/>
      <c r="N618" s="167"/>
      <c r="O618" s="44"/>
      <c r="P618" s="44"/>
    </row>
    <row r="619" spans="1:16" x14ac:dyDescent="0.2">
      <c r="A619" s="58" t="str">
        <v/>
      </c>
      <c r="B619" s="144" t="str">
        <f>IFERROR(TIMEVALUE(DaqBook_RAW_Data!AG609),IFERROR(TIMEVALUE(DaqBook_RAW_Data!A609),""))</f>
        <v/>
      </c>
      <c r="C619" s="167"/>
      <c r="D619" s="167"/>
      <c r="E619" s="167"/>
      <c r="F619" s="167"/>
      <c r="G619" s="167"/>
      <c r="H619" s="167"/>
      <c r="I619" s="167"/>
      <c r="J619" s="167"/>
      <c r="K619" s="167"/>
      <c r="L619" s="167"/>
      <c r="M619" s="167"/>
      <c r="N619" s="167"/>
      <c r="O619" s="44"/>
      <c r="P619" s="44"/>
    </row>
    <row r="620" spans="1:16" x14ac:dyDescent="0.2">
      <c r="A620" s="58" t="str">
        <v/>
      </c>
      <c r="B620" s="144" t="str">
        <f>IFERROR(TIMEVALUE(DaqBook_RAW_Data!AG610),IFERROR(TIMEVALUE(DaqBook_RAW_Data!A610),""))</f>
        <v/>
      </c>
      <c r="C620" s="167"/>
      <c r="D620" s="167"/>
      <c r="E620" s="167"/>
      <c r="F620" s="167"/>
      <c r="G620" s="167"/>
      <c r="H620" s="167"/>
      <c r="I620" s="167"/>
      <c r="J620" s="167"/>
      <c r="K620" s="167"/>
      <c r="L620" s="167"/>
      <c r="M620" s="167"/>
      <c r="N620" s="167"/>
      <c r="O620" s="44"/>
      <c r="P620" s="44"/>
    </row>
    <row r="621" spans="1:16" x14ac:dyDescent="0.2">
      <c r="A621" s="58" t="str">
        <v/>
      </c>
      <c r="B621" s="144" t="str">
        <f>IFERROR(TIMEVALUE(DaqBook_RAW_Data!AG611),IFERROR(TIMEVALUE(DaqBook_RAW_Data!A611),""))</f>
        <v/>
      </c>
      <c r="C621" s="167"/>
      <c r="D621" s="167"/>
      <c r="E621" s="167"/>
      <c r="F621" s="167"/>
      <c r="G621" s="167"/>
      <c r="H621" s="167"/>
      <c r="I621" s="167"/>
      <c r="J621" s="167"/>
      <c r="K621" s="167"/>
      <c r="L621" s="167"/>
      <c r="M621" s="167"/>
      <c r="N621" s="167"/>
      <c r="O621" s="44"/>
      <c r="P621" s="44"/>
    </row>
    <row r="622" spans="1:16" x14ac:dyDescent="0.2">
      <c r="A622" s="58" t="str">
        <v/>
      </c>
      <c r="B622" s="144" t="str">
        <f>IFERROR(TIMEVALUE(DaqBook_RAW_Data!AG612),IFERROR(TIMEVALUE(DaqBook_RAW_Data!A612),""))</f>
        <v/>
      </c>
      <c r="C622" s="167"/>
      <c r="D622" s="167"/>
      <c r="E622" s="167"/>
      <c r="F622" s="167"/>
      <c r="G622" s="167"/>
      <c r="H622" s="167"/>
      <c r="I622" s="167"/>
      <c r="J622" s="167"/>
      <c r="K622" s="167"/>
      <c r="L622" s="167"/>
      <c r="M622" s="167"/>
      <c r="N622" s="167"/>
      <c r="O622" s="44"/>
      <c r="P622" s="44"/>
    </row>
    <row r="623" spans="1:16" x14ac:dyDescent="0.2">
      <c r="A623" s="58" t="str">
        <v/>
      </c>
      <c r="B623" s="144" t="str">
        <f>IFERROR(TIMEVALUE(DaqBook_RAW_Data!AG613),IFERROR(TIMEVALUE(DaqBook_RAW_Data!A613),""))</f>
        <v/>
      </c>
      <c r="C623" s="167"/>
      <c r="D623" s="167"/>
      <c r="E623" s="167"/>
      <c r="F623" s="167"/>
      <c r="G623" s="167"/>
      <c r="H623" s="167"/>
      <c r="I623" s="167"/>
      <c r="J623" s="167"/>
      <c r="K623" s="167"/>
      <c r="L623" s="167"/>
      <c r="M623" s="167"/>
      <c r="N623" s="167"/>
      <c r="O623" s="44"/>
      <c r="P623" s="44"/>
    </row>
    <row r="624" spans="1:16" x14ac:dyDescent="0.2">
      <c r="A624" s="58" t="str">
        <v/>
      </c>
      <c r="B624" s="144" t="str">
        <f>IFERROR(TIMEVALUE(DaqBook_RAW_Data!AG614),IFERROR(TIMEVALUE(DaqBook_RAW_Data!A614),""))</f>
        <v/>
      </c>
      <c r="C624" s="167"/>
      <c r="D624" s="167"/>
      <c r="E624" s="167"/>
      <c r="F624" s="167"/>
      <c r="G624" s="167"/>
      <c r="H624" s="167"/>
      <c r="I624" s="167"/>
      <c r="J624" s="167"/>
      <c r="K624" s="167"/>
      <c r="L624" s="167"/>
      <c r="M624" s="167"/>
      <c r="N624" s="167"/>
      <c r="O624" s="44"/>
      <c r="P624" s="44"/>
    </row>
    <row r="625" spans="1:16" x14ac:dyDescent="0.2">
      <c r="A625" s="58" t="str">
        <v/>
      </c>
      <c r="B625" s="144" t="str">
        <f>IFERROR(TIMEVALUE(DaqBook_RAW_Data!AG615),IFERROR(TIMEVALUE(DaqBook_RAW_Data!A615),""))</f>
        <v/>
      </c>
      <c r="C625" s="167"/>
      <c r="D625" s="167"/>
      <c r="E625" s="167"/>
      <c r="F625" s="167"/>
      <c r="G625" s="167"/>
      <c r="H625" s="167"/>
      <c r="I625" s="167"/>
      <c r="J625" s="167"/>
      <c r="K625" s="167"/>
      <c r="L625" s="167"/>
      <c r="M625" s="167"/>
      <c r="N625" s="167"/>
      <c r="O625" s="44"/>
      <c r="P625" s="44"/>
    </row>
    <row r="626" spans="1:16" x14ac:dyDescent="0.2">
      <c r="A626" s="58" t="str">
        <v/>
      </c>
      <c r="B626" s="144" t="str">
        <f>IFERROR(TIMEVALUE(DaqBook_RAW_Data!AG616),IFERROR(TIMEVALUE(DaqBook_RAW_Data!A616),""))</f>
        <v/>
      </c>
      <c r="C626" s="167"/>
      <c r="D626" s="167"/>
      <c r="E626" s="167"/>
      <c r="F626" s="167"/>
      <c r="G626" s="167"/>
      <c r="H626" s="167"/>
      <c r="I626" s="167"/>
      <c r="J626" s="167"/>
      <c r="K626" s="167"/>
      <c r="L626" s="167"/>
      <c r="M626" s="167"/>
      <c r="N626" s="167"/>
      <c r="O626" s="44"/>
      <c r="P626" s="44"/>
    </row>
    <row r="627" spans="1:16" x14ac:dyDescent="0.2">
      <c r="A627" s="58" t="str">
        <v/>
      </c>
      <c r="B627" s="144" t="str">
        <f>IFERROR(TIMEVALUE(DaqBook_RAW_Data!AG617),IFERROR(TIMEVALUE(DaqBook_RAW_Data!A617),""))</f>
        <v/>
      </c>
      <c r="C627" s="167"/>
      <c r="D627" s="167"/>
      <c r="E627" s="167"/>
      <c r="F627" s="167"/>
      <c r="G627" s="167"/>
      <c r="H627" s="167"/>
      <c r="I627" s="167"/>
      <c r="J627" s="167"/>
      <c r="K627" s="167"/>
      <c r="L627" s="167"/>
      <c r="M627" s="167"/>
      <c r="N627" s="167"/>
      <c r="O627" s="44"/>
      <c r="P627" s="44"/>
    </row>
    <row r="628" spans="1:16" x14ac:dyDescent="0.2">
      <c r="A628" s="58" t="str">
        <v/>
      </c>
      <c r="B628" s="144" t="str">
        <f>IFERROR(TIMEVALUE(DaqBook_RAW_Data!AG618),IFERROR(TIMEVALUE(DaqBook_RAW_Data!A618),""))</f>
        <v/>
      </c>
      <c r="C628" s="167"/>
      <c r="D628" s="167"/>
      <c r="E628" s="167"/>
      <c r="F628" s="167"/>
      <c r="G628" s="167"/>
      <c r="H628" s="167"/>
      <c r="I628" s="167"/>
      <c r="J628" s="167"/>
      <c r="K628" s="167"/>
      <c r="L628" s="167"/>
      <c r="M628" s="167"/>
      <c r="N628" s="167"/>
      <c r="O628" s="44"/>
      <c r="P628" s="44"/>
    </row>
    <row r="629" spans="1:16" x14ac:dyDescent="0.2">
      <c r="A629" s="58" t="str">
        <v/>
      </c>
      <c r="B629" s="144" t="str">
        <f>IFERROR(TIMEVALUE(DaqBook_RAW_Data!AG619),IFERROR(TIMEVALUE(DaqBook_RAW_Data!A619),""))</f>
        <v/>
      </c>
      <c r="C629" s="167"/>
      <c r="D629" s="167"/>
      <c r="E629" s="167"/>
      <c r="F629" s="167"/>
      <c r="G629" s="167"/>
      <c r="H629" s="167"/>
      <c r="I629" s="167"/>
      <c r="J629" s="167"/>
      <c r="K629" s="167"/>
      <c r="L629" s="167"/>
      <c r="M629" s="167"/>
      <c r="N629" s="167"/>
      <c r="O629" s="44"/>
      <c r="P629" s="44"/>
    </row>
    <row r="630" spans="1:16" x14ac:dyDescent="0.2">
      <c r="A630" s="58" t="str">
        <v/>
      </c>
      <c r="B630" s="144" t="str">
        <f>IFERROR(TIMEVALUE(DaqBook_RAW_Data!AG620),IFERROR(TIMEVALUE(DaqBook_RAW_Data!A620),""))</f>
        <v/>
      </c>
      <c r="C630" s="167"/>
      <c r="D630" s="167"/>
      <c r="E630" s="167"/>
      <c r="F630" s="167"/>
      <c r="G630" s="167"/>
      <c r="H630" s="167"/>
      <c r="I630" s="167"/>
      <c r="J630" s="167"/>
      <c r="K630" s="167"/>
      <c r="L630" s="167"/>
      <c r="M630" s="167"/>
      <c r="N630" s="167"/>
      <c r="O630" s="44"/>
      <c r="P630" s="44"/>
    </row>
    <row r="631" spans="1:16" x14ac:dyDescent="0.2">
      <c r="A631" s="58" t="str">
        <v/>
      </c>
      <c r="B631" s="144" t="str">
        <f>IFERROR(TIMEVALUE(DaqBook_RAW_Data!AG621),IFERROR(TIMEVALUE(DaqBook_RAW_Data!A621),""))</f>
        <v/>
      </c>
      <c r="C631" s="167"/>
      <c r="D631" s="167"/>
      <c r="E631" s="167"/>
      <c r="F631" s="167"/>
      <c r="G631" s="167"/>
      <c r="H631" s="167"/>
      <c r="I631" s="167"/>
      <c r="J631" s="167"/>
      <c r="K631" s="167"/>
      <c r="L631" s="167"/>
      <c r="M631" s="167"/>
      <c r="N631" s="167"/>
      <c r="O631" s="44"/>
      <c r="P631" s="44"/>
    </row>
    <row r="632" spans="1:16" x14ac:dyDescent="0.2">
      <c r="A632" s="58" t="str">
        <v/>
      </c>
      <c r="B632" s="144" t="str">
        <f>IFERROR(TIMEVALUE(DaqBook_RAW_Data!AG622),IFERROR(TIMEVALUE(DaqBook_RAW_Data!A622),""))</f>
        <v/>
      </c>
      <c r="C632" s="167"/>
      <c r="D632" s="167"/>
      <c r="E632" s="167"/>
      <c r="F632" s="167"/>
      <c r="G632" s="167"/>
      <c r="H632" s="167"/>
      <c r="I632" s="167"/>
      <c r="J632" s="167"/>
      <c r="K632" s="167"/>
      <c r="L632" s="167"/>
      <c r="M632" s="167"/>
      <c r="N632" s="167"/>
      <c r="O632" s="44"/>
      <c r="P632" s="44"/>
    </row>
    <row r="633" spans="1:16" x14ac:dyDescent="0.2">
      <c r="A633" s="58" t="str">
        <v/>
      </c>
      <c r="B633" s="144" t="str">
        <f>IFERROR(TIMEVALUE(DaqBook_RAW_Data!AG623),IFERROR(TIMEVALUE(DaqBook_RAW_Data!A623),""))</f>
        <v/>
      </c>
      <c r="C633" s="167"/>
      <c r="D633" s="167"/>
      <c r="E633" s="167"/>
      <c r="F633" s="167"/>
      <c r="G633" s="167"/>
      <c r="H633" s="167"/>
      <c r="I633" s="167"/>
      <c r="J633" s="167"/>
      <c r="K633" s="167"/>
      <c r="L633" s="167"/>
      <c r="M633" s="167"/>
      <c r="N633" s="167"/>
      <c r="O633" s="44"/>
      <c r="P633" s="44"/>
    </row>
    <row r="634" spans="1:16" x14ac:dyDescent="0.2">
      <c r="A634" s="58" t="str">
        <v/>
      </c>
      <c r="B634" s="144" t="str">
        <f>IFERROR(TIMEVALUE(DaqBook_RAW_Data!AG624),IFERROR(TIMEVALUE(DaqBook_RAW_Data!A624),""))</f>
        <v/>
      </c>
      <c r="C634" s="167"/>
      <c r="D634" s="167"/>
      <c r="E634" s="167"/>
      <c r="F634" s="167"/>
      <c r="G634" s="167"/>
      <c r="H634" s="167"/>
      <c r="I634" s="167"/>
      <c r="J634" s="167"/>
      <c r="K634" s="167"/>
      <c r="L634" s="167"/>
      <c r="M634" s="167"/>
      <c r="N634" s="167"/>
      <c r="O634" s="44"/>
      <c r="P634" s="44"/>
    </row>
    <row r="635" spans="1:16" x14ac:dyDescent="0.2">
      <c r="A635" s="58" t="str">
        <v/>
      </c>
      <c r="B635" s="144" t="str">
        <f>IFERROR(TIMEVALUE(DaqBook_RAW_Data!AG625),IFERROR(TIMEVALUE(DaqBook_RAW_Data!A625),""))</f>
        <v/>
      </c>
      <c r="C635" s="167"/>
      <c r="D635" s="167"/>
      <c r="E635" s="167"/>
      <c r="F635" s="167"/>
      <c r="G635" s="167"/>
      <c r="H635" s="167"/>
      <c r="I635" s="167"/>
      <c r="J635" s="167"/>
      <c r="K635" s="167"/>
      <c r="L635" s="167"/>
      <c r="M635" s="167"/>
      <c r="N635" s="167"/>
      <c r="O635" s="44"/>
      <c r="P635" s="44"/>
    </row>
    <row r="636" spans="1:16" x14ac:dyDescent="0.2">
      <c r="A636" s="58" t="str">
        <v/>
      </c>
      <c r="B636" s="144" t="str">
        <f>IFERROR(TIMEVALUE(DaqBook_RAW_Data!AG626),IFERROR(TIMEVALUE(DaqBook_RAW_Data!A626),""))</f>
        <v/>
      </c>
      <c r="C636" s="167"/>
      <c r="D636" s="167"/>
      <c r="E636" s="167"/>
      <c r="F636" s="167"/>
      <c r="G636" s="167"/>
      <c r="H636" s="167"/>
      <c r="I636" s="167"/>
      <c r="J636" s="167"/>
      <c r="K636" s="167"/>
      <c r="L636" s="167"/>
      <c r="M636" s="167"/>
      <c r="N636" s="167"/>
      <c r="O636" s="44"/>
      <c r="P636" s="44"/>
    </row>
    <row r="637" spans="1:16" x14ac:dyDescent="0.2">
      <c r="A637" s="58" t="str">
        <v/>
      </c>
      <c r="B637" s="144" t="str">
        <f>IFERROR(TIMEVALUE(DaqBook_RAW_Data!AG627),IFERROR(TIMEVALUE(DaqBook_RAW_Data!A627),""))</f>
        <v/>
      </c>
      <c r="C637" s="167"/>
      <c r="D637" s="167"/>
      <c r="E637" s="167"/>
      <c r="F637" s="167"/>
      <c r="G637" s="167"/>
      <c r="H637" s="167"/>
      <c r="I637" s="167"/>
      <c r="J637" s="167"/>
      <c r="K637" s="167"/>
      <c r="L637" s="167"/>
      <c r="M637" s="167"/>
      <c r="N637" s="167"/>
      <c r="O637" s="44"/>
      <c r="P637" s="44"/>
    </row>
    <row r="638" spans="1:16" x14ac:dyDescent="0.2">
      <c r="A638" s="58" t="str">
        <v/>
      </c>
      <c r="B638" s="144" t="str">
        <f>IFERROR(TIMEVALUE(DaqBook_RAW_Data!AG628),IFERROR(TIMEVALUE(DaqBook_RAW_Data!A628),""))</f>
        <v/>
      </c>
      <c r="C638" s="167"/>
      <c r="D638" s="167"/>
      <c r="E638" s="167"/>
      <c r="F638" s="167"/>
      <c r="G638" s="167"/>
      <c r="H638" s="167"/>
      <c r="I638" s="167"/>
      <c r="J638" s="167"/>
      <c r="K638" s="167"/>
      <c r="L638" s="167"/>
      <c r="M638" s="167"/>
      <c r="N638" s="167"/>
      <c r="O638" s="44"/>
      <c r="P638" s="44"/>
    </row>
    <row r="639" spans="1:16" x14ac:dyDescent="0.2">
      <c r="A639" s="58" t="str">
        <v/>
      </c>
      <c r="B639" s="144" t="str">
        <f>IFERROR(TIMEVALUE(DaqBook_RAW_Data!AG629),IFERROR(TIMEVALUE(DaqBook_RAW_Data!A629),""))</f>
        <v/>
      </c>
      <c r="C639" s="167"/>
      <c r="D639" s="167"/>
      <c r="E639" s="167"/>
      <c r="F639" s="167"/>
      <c r="G639" s="167"/>
      <c r="H639" s="167"/>
      <c r="I639" s="167"/>
      <c r="J639" s="167"/>
      <c r="K639" s="167"/>
      <c r="L639" s="167"/>
      <c r="M639" s="167"/>
      <c r="N639" s="167"/>
      <c r="O639" s="44"/>
      <c r="P639" s="44"/>
    </row>
    <row r="640" spans="1:16" x14ac:dyDescent="0.2">
      <c r="A640" s="58" t="str">
        <v/>
      </c>
      <c r="B640" s="144" t="str">
        <f>IFERROR(TIMEVALUE(DaqBook_RAW_Data!AG630),IFERROR(TIMEVALUE(DaqBook_RAW_Data!A630),""))</f>
        <v/>
      </c>
      <c r="C640" s="167"/>
      <c r="D640" s="167"/>
      <c r="E640" s="167"/>
      <c r="F640" s="167"/>
      <c r="G640" s="167"/>
      <c r="H640" s="167"/>
      <c r="I640" s="167"/>
      <c r="J640" s="167"/>
      <c r="K640" s="167"/>
      <c r="L640" s="167"/>
      <c r="M640" s="167"/>
      <c r="N640" s="167"/>
      <c r="O640" s="44"/>
      <c r="P640" s="44"/>
    </row>
    <row r="641" spans="1:16" x14ac:dyDescent="0.2">
      <c r="A641" s="58" t="str">
        <v/>
      </c>
      <c r="B641" s="144" t="str">
        <f>IFERROR(TIMEVALUE(DaqBook_RAW_Data!AG631),IFERROR(TIMEVALUE(DaqBook_RAW_Data!A631),""))</f>
        <v/>
      </c>
      <c r="C641" s="167"/>
      <c r="D641" s="167"/>
      <c r="E641" s="167"/>
      <c r="F641" s="167"/>
      <c r="G641" s="167"/>
      <c r="H641" s="167"/>
      <c r="I641" s="167"/>
      <c r="J641" s="167"/>
      <c r="K641" s="167"/>
      <c r="L641" s="167"/>
      <c r="M641" s="167"/>
      <c r="N641" s="167"/>
      <c r="O641" s="44"/>
      <c r="P641" s="44"/>
    </row>
    <row r="642" spans="1:16" x14ac:dyDescent="0.2">
      <c r="A642" s="58" t="str">
        <v/>
      </c>
      <c r="B642" s="144" t="str">
        <f>IFERROR(TIMEVALUE(DaqBook_RAW_Data!AG632),IFERROR(TIMEVALUE(DaqBook_RAW_Data!A632),""))</f>
        <v/>
      </c>
      <c r="C642" s="167"/>
      <c r="D642" s="167"/>
      <c r="E642" s="167"/>
      <c r="F642" s="167"/>
      <c r="G642" s="167"/>
      <c r="H642" s="167"/>
      <c r="I642" s="167"/>
      <c r="J642" s="167"/>
      <c r="K642" s="167"/>
      <c r="L642" s="167"/>
      <c r="M642" s="167"/>
      <c r="N642" s="167"/>
      <c r="O642" s="44"/>
      <c r="P642" s="44"/>
    </row>
    <row r="643" spans="1:16" x14ac:dyDescent="0.2">
      <c r="A643" s="58" t="str">
        <v/>
      </c>
      <c r="B643" s="144" t="str">
        <f>IFERROR(TIMEVALUE(DaqBook_RAW_Data!AG633),IFERROR(TIMEVALUE(DaqBook_RAW_Data!A633),""))</f>
        <v/>
      </c>
      <c r="C643" s="167"/>
      <c r="D643" s="167"/>
      <c r="E643" s="167"/>
      <c r="F643" s="167"/>
      <c r="G643" s="167"/>
      <c r="H643" s="167"/>
      <c r="I643" s="167"/>
      <c r="J643" s="167"/>
      <c r="K643" s="167"/>
      <c r="L643" s="167"/>
      <c r="M643" s="167"/>
      <c r="N643" s="167"/>
      <c r="O643" s="44"/>
      <c r="P643" s="44"/>
    </row>
    <row r="644" spans="1:16" x14ac:dyDescent="0.2">
      <c r="A644" s="58" t="str">
        <v/>
      </c>
      <c r="B644" s="144" t="str">
        <f>IFERROR(TIMEVALUE(DaqBook_RAW_Data!AG634),IFERROR(TIMEVALUE(DaqBook_RAW_Data!A634),""))</f>
        <v/>
      </c>
      <c r="C644" s="167"/>
      <c r="D644" s="167"/>
      <c r="E644" s="167"/>
      <c r="F644" s="167"/>
      <c r="G644" s="167"/>
      <c r="H644" s="167"/>
      <c r="I644" s="167"/>
      <c r="J644" s="167"/>
      <c r="K644" s="167"/>
      <c r="L644" s="167"/>
      <c r="M644" s="167"/>
      <c r="N644" s="167"/>
      <c r="O644" s="44"/>
      <c r="P644" s="44"/>
    </row>
    <row r="645" spans="1:16" x14ac:dyDescent="0.2">
      <c r="A645" s="58" t="str">
        <v/>
      </c>
      <c r="B645" s="144" t="str">
        <f>IFERROR(TIMEVALUE(DaqBook_RAW_Data!AG635),IFERROR(TIMEVALUE(DaqBook_RAW_Data!A635),""))</f>
        <v/>
      </c>
      <c r="C645" s="167"/>
      <c r="D645" s="167"/>
      <c r="E645" s="167"/>
      <c r="F645" s="167"/>
      <c r="G645" s="167"/>
      <c r="H645" s="167"/>
      <c r="I645" s="167"/>
      <c r="J645" s="167"/>
      <c r="K645" s="167"/>
      <c r="L645" s="167"/>
      <c r="M645" s="167"/>
      <c r="N645" s="167"/>
      <c r="O645" s="44"/>
      <c r="P645" s="44"/>
    </row>
    <row r="646" spans="1:16" x14ac:dyDescent="0.2">
      <c r="A646" s="58" t="str">
        <v/>
      </c>
      <c r="B646" s="144" t="str">
        <f>IFERROR(TIMEVALUE(DaqBook_RAW_Data!AG636),IFERROR(TIMEVALUE(DaqBook_RAW_Data!A636),""))</f>
        <v/>
      </c>
      <c r="C646" s="167"/>
      <c r="D646" s="167"/>
      <c r="E646" s="167"/>
      <c r="F646" s="167"/>
      <c r="G646" s="167"/>
      <c r="H646" s="167"/>
      <c r="I646" s="167"/>
      <c r="J646" s="167"/>
      <c r="K646" s="167"/>
      <c r="L646" s="167"/>
      <c r="M646" s="167"/>
      <c r="N646" s="167"/>
      <c r="O646" s="44"/>
      <c r="P646" s="44"/>
    </row>
    <row r="647" spans="1:16" x14ac:dyDescent="0.2">
      <c r="A647" s="58" t="str">
        <v/>
      </c>
      <c r="B647" s="144" t="str">
        <f>IFERROR(TIMEVALUE(DaqBook_RAW_Data!AG637),IFERROR(TIMEVALUE(DaqBook_RAW_Data!A637),""))</f>
        <v/>
      </c>
      <c r="C647" s="167"/>
      <c r="D647" s="167"/>
      <c r="E647" s="167"/>
      <c r="F647" s="167"/>
      <c r="G647" s="167"/>
      <c r="H647" s="167"/>
      <c r="I647" s="167"/>
      <c r="J647" s="167"/>
      <c r="K647" s="167"/>
      <c r="L647" s="167"/>
      <c r="M647" s="167"/>
      <c r="N647" s="167"/>
      <c r="O647" s="44"/>
      <c r="P647" s="44"/>
    </row>
    <row r="648" spans="1:16" x14ac:dyDescent="0.2">
      <c r="A648" s="58" t="str">
        <v/>
      </c>
      <c r="B648" s="144" t="str">
        <f>IFERROR(TIMEVALUE(DaqBook_RAW_Data!AG638),IFERROR(TIMEVALUE(DaqBook_RAW_Data!A638),""))</f>
        <v/>
      </c>
      <c r="C648" s="167"/>
      <c r="D648" s="167"/>
      <c r="E648" s="167"/>
      <c r="F648" s="167"/>
      <c r="G648" s="167"/>
      <c r="H648" s="167"/>
      <c r="I648" s="167"/>
      <c r="J648" s="167"/>
      <c r="K648" s="167"/>
      <c r="L648" s="167"/>
      <c r="M648" s="167"/>
      <c r="N648" s="167"/>
      <c r="O648" s="44"/>
      <c r="P648" s="44"/>
    </row>
    <row r="649" spans="1:16" x14ac:dyDescent="0.2">
      <c r="A649" s="58" t="str">
        <v/>
      </c>
      <c r="B649" s="144" t="str">
        <f>IFERROR(TIMEVALUE(DaqBook_RAW_Data!AG639),IFERROR(TIMEVALUE(DaqBook_RAW_Data!A639),""))</f>
        <v/>
      </c>
      <c r="C649" s="167"/>
      <c r="D649" s="167"/>
      <c r="E649" s="167"/>
      <c r="F649" s="167"/>
      <c r="G649" s="167"/>
      <c r="H649" s="167"/>
      <c r="I649" s="167"/>
      <c r="J649" s="167"/>
      <c r="K649" s="167"/>
      <c r="L649" s="167"/>
      <c r="M649" s="167"/>
      <c r="N649" s="167"/>
      <c r="O649" s="44"/>
      <c r="P649" s="44"/>
    </row>
    <row r="650" spans="1:16" x14ac:dyDescent="0.2">
      <c r="A650" s="58" t="str">
        <v/>
      </c>
      <c r="B650" s="144" t="str">
        <f>IFERROR(TIMEVALUE(DaqBook_RAW_Data!AG640),IFERROR(TIMEVALUE(DaqBook_RAW_Data!A640),""))</f>
        <v/>
      </c>
      <c r="C650" s="167"/>
      <c r="D650" s="167"/>
      <c r="E650" s="167"/>
      <c r="F650" s="167"/>
      <c r="G650" s="167"/>
      <c r="H650" s="167"/>
      <c r="I650" s="167"/>
      <c r="J650" s="167"/>
      <c r="K650" s="167"/>
      <c r="L650" s="167"/>
      <c r="M650" s="167"/>
      <c r="N650" s="167"/>
      <c r="O650" s="44"/>
      <c r="P650" s="44"/>
    </row>
    <row r="651" spans="1:16" x14ac:dyDescent="0.2">
      <c r="A651" s="58" t="str">
        <v/>
      </c>
      <c r="B651" s="144" t="str">
        <f>IFERROR(TIMEVALUE(DaqBook_RAW_Data!AG641),IFERROR(TIMEVALUE(DaqBook_RAW_Data!A641),""))</f>
        <v/>
      </c>
      <c r="C651" s="167"/>
      <c r="D651" s="167"/>
      <c r="E651" s="167"/>
      <c r="F651" s="167"/>
      <c r="G651" s="167"/>
      <c r="H651" s="167"/>
      <c r="I651" s="167"/>
      <c r="J651" s="167"/>
      <c r="K651" s="167"/>
      <c r="L651" s="167"/>
      <c r="M651" s="167"/>
      <c r="N651" s="167"/>
      <c r="O651" s="44"/>
      <c r="P651" s="44"/>
    </row>
    <row r="652" spans="1:16" x14ac:dyDescent="0.2">
      <c r="A652" s="58" t="str">
        <v/>
      </c>
      <c r="B652" s="144" t="str">
        <f>IFERROR(TIMEVALUE(DaqBook_RAW_Data!AG642),IFERROR(TIMEVALUE(DaqBook_RAW_Data!A642),""))</f>
        <v/>
      </c>
      <c r="C652" s="167"/>
      <c r="D652" s="167"/>
      <c r="E652" s="167"/>
      <c r="F652" s="167"/>
      <c r="G652" s="167"/>
      <c r="H652" s="167"/>
      <c r="I652" s="167"/>
      <c r="J652" s="167"/>
      <c r="K652" s="167"/>
      <c r="L652" s="167"/>
      <c r="M652" s="167"/>
      <c r="N652" s="167"/>
      <c r="O652" s="44"/>
      <c r="P652" s="44"/>
    </row>
    <row r="653" spans="1:16" x14ac:dyDescent="0.2">
      <c r="A653" s="58" t="str">
        <v/>
      </c>
      <c r="B653" s="144" t="str">
        <f>IFERROR(TIMEVALUE(DaqBook_RAW_Data!AG643),IFERROR(TIMEVALUE(DaqBook_RAW_Data!A643),""))</f>
        <v/>
      </c>
      <c r="C653" s="167"/>
      <c r="D653" s="167"/>
      <c r="E653" s="167"/>
      <c r="F653" s="167"/>
      <c r="G653" s="167"/>
      <c r="H653" s="167"/>
      <c r="I653" s="167"/>
      <c r="J653" s="167"/>
      <c r="K653" s="167"/>
      <c r="L653" s="167"/>
      <c r="M653" s="167"/>
      <c r="N653" s="167"/>
      <c r="O653" s="44"/>
      <c r="P653" s="44"/>
    </row>
    <row r="654" spans="1:16" x14ac:dyDescent="0.2">
      <c r="A654" s="58" t="str">
        <v/>
      </c>
      <c r="B654" s="144" t="str">
        <f>IFERROR(TIMEVALUE(DaqBook_RAW_Data!AG644),IFERROR(TIMEVALUE(DaqBook_RAW_Data!A644),""))</f>
        <v/>
      </c>
      <c r="C654" s="167"/>
      <c r="D654" s="167"/>
      <c r="E654" s="167"/>
      <c r="F654" s="167"/>
      <c r="G654" s="167"/>
      <c r="H654" s="167"/>
      <c r="I654" s="167"/>
      <c r="J654" s="167"/>
      <c r="K654" s="167"/>
      <c r="L654" s="167"/>
      <c r="M654" s="167"/>
      <c r="N654" s="167"/>
      <c r="O654" s="44"/>
      <c r="P654" s="44"/>
    </row>
    <row r="655" spans="1:16" x14ac:dyDescent="0.2">
      <c r="A655" s="58" t="str">
        <v/>
      </c>
      <c r="B655" s="144" t="str">
        <f>IFERROR(TIMEVALUE(DaqBook_RAW_Data!AG645),IFERROR(TIMEVALUE(DaqBook_RAW_Data!A645),""))</f>
        <v/>
      </c>
      <c r="C655" s="167"/>
      <c r="D655" s="167"/>
      <c r="E655" s="167"/>
      <c r="F655" s="167"/>
      <c r="G655" s="167"/>
      <c r="H655" s="167"/>
      <c r="I655" s="167"/>
      <c r="J655" s="167"/>
      <c r="K655" s="167"/>
      <c r="L655" s="167"/>
      <c r="M655" s="167"/>
      <c r="N655" s="167"/>
      <c r="O655" s="44"/>
      <c r="P655" s="44"/>
    </row>
    <row r="656" spans="1:16" x14ac:dyDescent="0.2">
      <c r="A656" s="58" t="str">
        <v/>
      </c>
      <c r="B656" s="144" t="str">
        <f>IFERROR(TIMEVALUE(DaqBook_RAW_Data!AG646),IFERROR(TIMEVALUE(DaqBook_RAW_Data!A646),""))</f>
        <v/>
      </c>
      <c r="C656" s="167"/>
      <c r="D656" s="167"/>
      <c r="E656" s="167"/>
      <c r="F656" s="167"/>
      <c r="G656" s="167"/>
      <c r="H656" s="167"/>
      <c r="I656" s="167"/>
      <c r="J656" s="167"/>
      <c r="K656" s="167"/>
      <c r="L656" s="167"/>
      <c r="M656" s="167"/>
      <c r="N656" s="167"/>
      <c r="O656" s="44"/>
      <c r="P656" s="44"/>
    </row>
    <row r="657" spans="1:16" x14ac:dyDescent="0.2">
      <c r="A657" s="58" t="str">
        <v/>
      </c>
      <c r="B657" s="144" t="str">
        <f>IFERROR(TIMEVALUE(DaqBook_RAW_Data!AG647),IFERROR(TIMEVALUE(DaqBook_RAW_Data!A647),""))</f>
        <v/>
      </c>
      <c r="C657" s="167"/>
      <c r="D657" s="167"/>
      <c r="E657" s="167"/>
      <c r="F657" s="167"/>
      <c r="G657" s="167"/>
      <c r="H657" s="167"/>
      <c r="I657" s="167"/>
      <c r="J657" s="167"/>
      <c r="K657" s="167"/>
      <c r="L657" s="167"/>
      <c r="M657" s="167"/>
      <c r="N657" s="167"/>
      <c r="O657" s="44"/>
      <c r="P657" s="44"/>
    </row>
    <row r="658" spans="1:16" x14ac:dyDescent="0.2">
      <c r="A658" s="58" t="str">
        <v/>
      </c>
      <c r="B658" s="144" t="str">
        <f>IFERROR(TIMEVALUE(DaqBook_RAW_Data!AG648),IFERROR(TIMEVALUE(DaqBook_RAW_Data!A648),""))</f>
        <v/>
      </c>
      <c r="C658" s="167"/>
      <c r="D658" s="167"/>
      <c r="E658" s="167"/>
      <c r="F658" s="167"/>
      <c r="G658" s="167"/>
      <c r="H658" s="167"/>
      <c r="I658" s="167"/>
      <c r="J658" s="167"/>
      <c r="K658" s="167"/>
      <c r="L658" s="167"/>
      <c r="M658" s="167"/>
      <c r="N658" s="167"/>
      <c r="O658" s="44"/>
      <c r="P658" s="44"/>
    </row>
    <row r="659" spans="1:16" x14ac:dyDescent="0.2">
      <c r="A659" s="58" t="str">
        <v/>
      </c>
      <c r="B659" s="144" t="str">
        <f>IFERROR(TIMEVALUE(DaqBook_RAW_Data!AG649),IFERROR(TIMEVALUE(DaqBook_RAW_Data!A649),""))</f>
        <v/>
      </c>
      <c r="C659" s="167"/>
      <c r="D659" s="167"/>
      <c r="E659" s="167"/>
      <c r="F659" s="167"/>
      <c r="G659" s="167"/>
      <c r="H659" s="167"/>
      <c r="I659" s="167"/>
      <c r="J659" s="167"/>
      <c r="K659" s="167"/>
      <c r="L659" s="167"/>
      <c r="M659" s="167"/>
      <c r="N659" s="167"/>
      <c r="O659" s="44"/>
      <c r="P659" s="44"/>
    </row>
    <row r="660" spans="1:16" x14ac:dyDescent="0.2">
      <c r="A660" s="58" t="str">
        <v/>
      </c>
      <c r="B660" s="144" t="str">
        <f>IFERROR(TIMEVALUE(DaqBook_RAW_Data!AG650),IFERROR(TIMEVALUE(DaqBook_RAW_Data!A650),""))</f>
        <v/>
      </c>
      <c r="C660" s="167"/>
      <c r="D660" s="167"/>
      <c r="E660" s="167"/>
      <c r="F660" s="167"/>
      <c r="G660" s="167"/>
      <c r="H660" s="167"/>
      <c r="I660" s="167"/>
      <c r="J660" s="167"/>
      <c r="K660" s="167"/>
      <c r="L660" s="167"/>
      <c r="M660" s="167"/>
      <c r="N660" s="167"/>
      <c r="O660" s="44"/>
      <c r="P660" s="44"/>
    </row>
    <row r="661" spans="1:16" x14ac:dyDescent="0.2">
      <c r="A661" s="58" t="str">
        <v/>
      </c>
      <c r="B661" s="144" t="str">
        <f>IFERROR(TIMEVALUE(DaqBook_RAW_Data!AG651),IFERROR(TIMEVALUE(DaqBook_RAW_Data!A651),""))</f>
        <v/>
      </c>
      <c r="C661" s="167"/>
      <c r="D661" s="167"/>
      <c r="E661" s="167"/>
      <c r="F661" s="167"/>
      <c r="G661" s="167"/>
      <c r="H661" s="167"/>
      <c r="I661" s="167"/>
      <c r="J661" s="167"/>
      <c r="K661" s="167"/>
      <c r="L661" s="167"/>
      <c r="M661" s="167"/>
      <c r="N661" s="167"/>
      <c r="O661" s="44"/>
      <c r="P661" s="44"/>
    </row>
    <row r="662" spans="1:16" x14ac:dyDescent="0.2">
      <c r="A662" s="58" t="str">
        <v/>
      </c>
      <c r="B662" s="144" t="str">
        <f>IFERROR(TIMEVALUE(DaqBook_RAW_Data!AG652),IFERROR(TIMEVALUE(DaqBook_RAW_Data!A652),""))</f>
        <v/>
      </c>
      <c r="C662" s="167"/>
      <c r="D662" s="167"/>
      <c r="E662" s="167"/>
      <c r="F662" s="167"/>
      <c r="G662" s="167"/>
      <c r="H662" s="167"/>
      <c r="I662" s="167"/>
      <c r="J662" s="167"/>
      <c r="K662" s="167"/>
      <c r="L662" s="167"/>
      <c r="M662" s="167"/>
      <c r="N662" s="167"/>
      <c r="O662" s="44"/>
      <c r="P662" s="44"/>
    </row>
    <row r="663" spans="1:16" x14ac:dyDescent="0.2">
      <c r="A663" s="58" t="str">
        <v/>
      </c>
      <c r="B663" s="144" t="str">
        <f>IFERROR(TIMEVALUE(DaqBook_RAW_Data!AG653),IFERROR(TIMEVALUE(DaqBook_RAW_Data!A653),""))</f>
        <v/>
      </c>
      <c r="C663" s="167"/>
      <c r="D663" s="167"/>
      <c r="E663" s="167"/>
      <c r="F663" s="167"/>
      <c r="G663" s="167"/>
      <c r="H663" s="167"/>
      <c r="I663" s="167"/>
      <c r="J663" s="167"/>
      <c r="K663" s="167"/>
      <c r="L663" s="167"/>
      <c r="M663" s="167"/>
      <c r="N663" s="167"/>
      <c r="O663" s="44"/>
      <c r="P663" s="44"/>
    </row>
    <row r="664" spans="1:16" x14ac:dyDescent="0.2">
      <c r="A664" s="58" t="str">
        <v/>
      </c>
      <c r="B664" s="144" t="str">
        <f>IFERROR(TIMEVALUE(DaqBook_RAW_Data!AG654),IFERROR(TIMEVALUE(DaqBook_RAW_Data!A654),""))</f>
        <v/>
      </c>
      <c r="C664" s="167"/>
      <c r="D664" s="167"/>
      <c r="E664" s="167"/>
      <c r="F664" s="167"/>
      <c r="G664" s="167"/>
      <c r="H664" s="167"/>
      <c r="I664" s="167"/>
      <c r="J664" s="167"/>
      <c r="K664" s="167"/>
      <c r="L664" s="167"/>
      <c r="M664" s="167"/>
      <c r="N664" s="167"/>
      <c r="O664" s="44"/>
      <c r="P664" s="44"/>
    </row>
    <row r="665" spans="1:16" x14ac:dyDescent="0.2">
      <c r="A665" s="58" t="str">
        <v/>
      </c>
      <c r="B665" s="144" t="str">
        <f>IFERROR(TIMEVALUE(DaqBook_RAW_Data!AG655),IFERROR(TIMEVALUE(DaqBook_RAW_Data!A655),""))</f>
        <v/>
      </c>
      <c r="C665" s="167"/>
      <c r="D665" s="167"/>
      <c r="E665" s="167"/>
      <c r="F665" s="167"/>
      <c r="G665" s="167"/>
      <c r="H665" s="167"/>
      <c r="I665" s="167"/>
      <c r="J665" s="167"/>
      <c r="K665" s="167"/>
      <c r="L665" s="167"/>
      <c r="M665" s="167"/>
      <c r="N665" s="167"/>
      <c r="O665" s="44"/>
      <c r="P665" s="44"/>
    </row>
    <row r="666" spans="1:16" x14ac:dyDescent="0.2">
      <c r="A666" s="58" t="str">
        <v/>
      </c>
      <c r="B666" s="144" t="str">
        <f>IFERROR(TIMEVALUE(DaqBook_RAW_Data!AG656),IFERROR(TIMEVALUE(DaqBook_RAW_Data!A656),""))</f>
        <v/>
      </c>
      <c r="C666" s="167"/>
      <c r="D666" s="167"/>
      <c r="E666" s="167"/>
      <c r="F666" s="167"/>
      <c r="G666" s="167"/>
      <c r="H666" s="167"/>
      <c r="I666" s="167"/>
      <c r="J666" s="167"/>
      <c r="K666" s="167"/>
      <c r="L666" s="167"/>
      <c r="M666" s="167"/>
      <c r="N666" s="167"/>
      <c r="O666" s="44"/>
      <c r="P666" s="44"/>
    </row>
    <row r="667" spans="1:16" x14ac:dyDescent="0.2">
      <c r="A667" s="58" t="str">
        <v/>
      </c>
      <c r="B667" s="144" t="str">
        <f>IFERROR(TIMEVALUE(DaqBook_RAW_Data!AG657),IFERROR(TIMEVALUE(DaqBook_RAW_Data!A657),""))</f>
        <v/>
      </c>
      <c r="C667" s="167"/>
      <c r="D667" s="167"/>
      <c r="E667" s="167"/>
      <c r="F667" s="167"/>
      <c r="G667" s="167"/>
      <c r="H667" s="167"/>
      <c r="I667" s="167"/>
      <c r="J667" s="167"/>
      <c r="K667" s="167"/>
      <c r="L667" s="167"/>
      <c r="M667" s="167"/>
      <c r="N667" s="167"/>
      <c r="O667" s="44"/>
      <c r="P667" s="44"/>
    </row>
    <row r="668" spans="1:16" x14ac:dyDescent="0.2">
      <c r="A668" s="58" t="str">
        <v/>
      </c>
      <c r="B668" s="144" t="str">
        <f>IFERROR(TIMEVALUE(DaqBook_RAW_Data!AG658),IFERROR(TIMEVALUE(DaqBook_RAW_Data!A658),""))</f>
        <v/>
      </c>
      <c r="C668" s="167"/>
      <c r="D668" s="167"/>
      <c r="E668" s="167"/>
      <c r="F668" s="167"/>
      <c r="G668" s="167"/>
      <c r="H668" s="167"/>
      <c r="I668" s="167"/>
      <c r="J668" s="167"/>
      <c r="K668" s="167"/>
      <c r="L668" s="167"/>
      <c r="M668" s="167"/>
      <c r="N668" s="167"/>
      <c r="O668" s="44"/>
      <c r="P668" s="44"/>
    </row>
    <row r="669" spans="1:16" x14ac:dyDescent="0.2">
      <c r="A669" s="58" t="str">
        <v/>
      </c>
      <c r="B669" s="144" t="str">
        <f>IFERROR(TIMEVALUE(DaqBook_RAW_Data!AG659),IFERROR(TIMEVALUE(DaqBook_RAW_Data!A659),""))</f>
        <v/>
      </c>
      <c r="C669" s="167"/>
      <c r="D669" s="167"/>
      <c r="E669" s="167"/>
      <c r="F669" s="167"/>
      <c r="G669" s="167"/>
      <c r="H669" s="167"/>
      <c r="I669" s="167"/>
      <c r="J669" s="167"/>
      <c r="K669" s="167"/>
      <c r="L669" s="167"/>
      <c r="M669" s="167"/>
      <c r="N669" s="167"/>
      <c r="O669" s="44"/>
      <c r="P669" s="44"/>
    </row>
    <row r="670" spans="1:16" x14ac:dyDescent="0.2">
      <c r="A670" s="58" t="str">
        <v/>
      </c>
      <c r="B670" s="144" t="str">
        <f>IFERROR(TIMEVALUE(DaqBook_RAW_Data!AG660),IFERROR(TIMEVALUE(DaqBook_RAW_Data!A660),""))</f>
        <v/>
      </c>
      <c r="C670" s="167"/>
      <c r="D670" s="167"/>
      <c r="E670" s="167"/>
      <c r="F670" s="167"/>
      <c r="G670" s="167"/>
      <c r="H670" s="167"/>
      <c r="I670" s="167"/>
      <c r="J670" s="167"/>
      <c r="K670" s="167"/>
      <c r="L670" s="167"/>
      <c r="M670" s="167"/>
      <c r="N670" s="167"/>
      <c r="O670" s="44"/>
      <c r="P670" s="44"/>
    </row>
    <row r="671" spans="1:16" x14ac:dyDescent="0.2">
      <c r="A671" s="58" t="str">
        <v/>
      </c>
      <c r="B671" s="144" t="str">
        <f>IFERROR(TIMEVALUE(DaqBook_RAW_Data!AG661),IFERROR(TIMEVALUE(DaqBook_RAW_Data!A661),""))</f>
        <v/>
      </c>
      <c r="C671" s="167"/>
      <c r="D671" s="167"/>
      <c r="E671" s="167"/>
      <c r="F671" s="167"/>
      <c r="G671" s="167"/>
      <c r="H671" s="167"/>
      <c r="I671" s="167"/>
      <c r="J671" s="167"/>
      <c r="K671" s="167"/>
      <c r="L671" s="167"/>
      <c r="M671" s="167"/>
      <c r="N671" s="167"/>
      <c r="O671" s="44"/>
      <c r="P671" s="44"/>
    </row>
    <row r="672" spans="1:16" x14ac:dyDescent="0.2">
      <c r="A672" s="58" t="str">
        <v/>
      </c>
      <c r="B672" s="144" t="str">
        <f>IFERROR(TIMEVALUE(DaqBook_RAW_Data!AG662),IFERROR(TIMEVALUE(DaqBook_RAW_Data!A662),""))</f>
        <v/>
      </c>
      <c r="C672" s="167"/>
      <c r="D672" s="167"/>
      <c r="E672" s="167"/>
      <c r="F672" s="167"/>
      <c r="G672" s="167"/>
      <c r="H672" s="167"/>
      <c r="I672" s="167"/>
      <c r="J672" s="167"/>
      <c r="K672" s="167"/>
      <c r="L672" s="167"/>
      <c r="M672" s="167"/>
      <c r="N672" s="167"/>
      <c r="O672" s="44"/>
      <c r="P672" s="44"/>
    </row>
    <row r="673" spans="1:16" x14ac:dyDescent="0.2">
      <c r="A673" s="58" t="str">
        <v/>
      </c>
      <c r="B673" s="144" t="str">
        <f>IFERROR(TIMEVALUE(DaqBook_RAW_Data!AG663),IFERROR(TIMEVALUE(DaqBook_RAW_Data!A663),""))</f>
        <v/>
      </c>
      <c r="C673" s="167"/>
      <c r="D673" s="167"/>
      <c r="E673" s="167"/>
      <c r="F673" s="167"/>
      <c r="G673" s="167"/>
      <c r="H673" s="167"/>
      <c r="I673" s="167"/>
      <c r="J673" s="167"/>
      <c r="K673" s="167"/>
      <c r="L673" s="167"/>
      <c r="M673" s="167"/>
      <c r="N673" s="167"/>
      <c r="O673" s="44"/>
      <c r="P673" s="44"/>
    </row>
    <row r="674" spans="1:16" x14ac:dyDescent="0.2">
      <c r="A674" s="58" t="str">
        <v/>
      </c>
      <c r="B674" s="144" t="str">
        <f>IFERROR(TIMEVALUE(DaqBook_RAW_Data!AG664),IFERROR(TIMEVALUE(DaqBook_RAW_Data!A664),""))</f>
        <v/>
      </c>
      <c r="C674" s="167"/>
      <c r="D674" s="167"/>
      <c r="E674" s="167"/>
      <c r="F674" s="167"/>
      <c r="G674" s="167"/>
      <c r="H674" s="167"/>
      <c r="I674" s="167"/>
      <c r="J674" s="167"/>
      <c r="K674" s="167"/>
      <c r="L674" s="167"/>
      <c r="M674" s="167"/>
      <c r="N674" s="167"/>
      <c r="O674" s="44"/>
      <c r="P674" s="44"/>
    </row>
    <row r="675" spans="1:16" x14ac:dyDescent="0.2">
      <c r="A675" s="58" t="str">
        <v/>
      </c>
      <c r="B675" s="144" t="str">
        <f>IFERROR(TIMEVALUE(DaqBook_RAW_Data!AG665),IFERROR(TIMEVALUE(DaqBook_RAW_Data!A665),""))</f>
        <v/>
      </c>
      <c r="C675" s="167"/>
      <c r="D675" s="167"/>
      <c r="E675" s="167"/>
      <c r="F675" s="167"/>
      <c r="G675" s="167"/>
      <c r="H675" s="167"/>
      <c r="I675" s="167"/>
      <c r="J675" s="167"/>
      <c r="K675" s="167"/>
      <c r="L675" s="167"/>
      <c r="M675" s="167"/>
      <c r="N675" s="167"/>
      <c r="O675" s="44"/>
      <c r="P675" s="44"/>
    </row>
    <row r="676" spans="1:16" x14ac:dyDescent="0.2">
      <c r="A676" s="58" t="str">
        <v/>
      </c>
      <c r="B676" s="144" t="str">
        <f>IFERROR(TIMEVALUE(DaqBook_RAW_Data!AG666),IFERROR(TIMEVALUE(DaqBook_RAW_Data!A666),""))</f>
        <v/>
      </c>
      <c r="C676" s="167"/>
      <c r="D676" s="167"/>
      <c r="E676" s="167"/>
      <c r="F676" s="167"/>
      <c r="G676" s="167"/>
      <c r="H676" s="167"/>
      <c r="I676" s="167"/>
      <c r="J676" s="167"/>
      <c r="K676" s="167"/>
      <c r="L676" s="167"/>
      <c r="M676" s="167"/>
      <c r="N676" s="167"/>
      <c r="O676" s="44"/>
      <c r="P676" s="44"/>
    </row>
    <row r="677" spans="1:16" x14ac:dyDescent="0.2">
      <c r="A677" s="58" t="str">
        <v/>
      </c>
      <c r="B677" s="144" t="str">
        <f>IFERROR(TIMEVALUE(DaqBook_RAW_Data!AG667),IFERROR(TIMEVALUE(DaqBook_RAW_Data!A667),""))</f>
        <v/>
      </c>
      <c r="C677" s="167"/>
      <c r="D677" s="167"/>
      <c r="E677" s="167"/>
      <c r="F677" s="167"/>
      <c r="G677" s="167"/>
      <c r="H677" s="167"/>
      <c r="I677" s="167"/>
      <c r="J677" s="167"/>
      <c r="K677" s="167"/>
      <c r="L677" s="167"/>
      <c r="M677" s="167"/>
      <c r="N677" s="167"/>
      <c r="O677" s="44"/>
      <c r="P677" s="44"/>
    </row>
    <row r="678" spans="1:16" x14ac:dyDescent="0.2">
      <c r="A678" s="58" t="str">
        <v/>
      </c>
      <c r="B678" s="144" t="str">
        <f>IFERROR(TIMEVALUE(DaqBook_RAW_Data!AG668),IFERROR(TIMEVALUE(DaqBook_RAW_Data!A668),""))</f>
        <v/>
      </c>
      <c r="C678" s="167"/>
      <c r="D678" s="167"/>
      <c r="E678" s="167"/>
      <c r="F678" s="167"/>
      <c r="G678" s="167"/>
      <c r="H678" s="167"/>
      <c r="I678" s="167"/>
      <c r="J678" s="167"/>
      <c r="K678" s="167"/>
      <c r="L678" s="167"/>
      <c r="M678" s="167"/>
      <c r="N678" s="167"/>
      <c r="O678" s="44"/>
      <c r="P678" s="44"/>
    </row>
    <row r="679" spans="1:16" x14ac:dyDescent="0.2">
      <c r="A679" s="58" t="str">
        <v/>
      </c>
      <c r="B679" s="144" t="str">
        <f>IFERROR(TIMEVALUE(DaqBook_RAW_Data!AG669),IFERROR(TIMEVALUE(DaqBook_RAW_Data!A669),""))</f>
        <v/>
      </c>
      <c r="C679" s="167"/>
      <c r="D679" s="167"/>
      <c r="E679" s="167"/>
      <c r="F679" s="167"/>
      <c r="G679" s="167"/>
      <c r="H679" s="167"/>
      <c r="I679" s="167"/>
      <c r="J679" s="167"/>
      <c r="K679" s="167"/>
      <c r="L679" s="167"/>
      <c r="M679" s="167"/>
      <c r="N679" s="167"/>
      <c r="O679" s="44"/>
      <c r="P679" s="44"/>
    </row>
    <row r="680" spans="1:16" x14ac:dyDescent="0.2">
      <c r="A680" s="58" t="str">
        <v/>
      </c>
      <c r="B680" s="144" t="str">
        <f>IFERROR(TIMEVALUE(DaqBook_RAW_Data!AG670),IFERROR(TIMEVALUE(DaqBook_RAW_Data!A670),""))</f>
        <v/>
      </c>
      <c r="C680" s="167"/>
      <c r="D680" s="167"/>
      <c r="E680" s="167"/>
      <c r="F680" s="167"/>
      <c r="G680" s="167"/>
      <c r="H680" s="167"/>
      <c r="I680" s="167"/>
      <c r="J680" s="167"/>
      <c r="K680" s="167"/>
      <c r="L680" s="167"/>
      <c r="M680" s="167"/>
      <c r="N680" s="167"/>
      <c r="O680" s="44"/>
      <c r="P680" s="44"/>
    </row>
    <row r="681" spans="1:16" x14ac:dyDescent="0.2">
      <c r="A681" s="58" t="str">
        <v/>
      </c>
      <c r="B681" s="144" t="str">
        <f>IFERROR(TIMEVALUE(DaqBook_RAW_Data!AG671),IFERROR(TIMEVALUE(DaqBook_RAW_Data!A671),""))</f>
        <v/>
      </c>
      <c r="C681" s="167"/>
      <c r="D681" s="167"/>
      <c r="E681" s="167"/>
      <c r="F681" s="167"/>
      <c r="G681" s="167"/>
      <c r="H681" s="167"/>
      <c r="I681" s="167"/>
      <c r="J681" s="167"/>
      <c r="K681" s="167"/>
      <c r="L681" s="167"/>
      <c r="M681" s="167"/>
      <c r="N681" s="167"/>
      <c r="O681" s="44"/>
      <c r="P681" s="44"/>
    </row>
    <row r="682" spans="1:16" x14ac:dyDescent="0.2">
      <c r="A682" s="58" t="str">
        <v/>
      </c>
      <c r="B682" s="144" t="str">
        <f>IFERROR(TIMEVALUE(DaqBook_RAW_Data!AG672),IFERROR(TIMEVALUE(DaqBook_RAW_Data!A672),""))</f>
        <v/>
      </c>
      <c r="C682" s="167"/>
      <c r="D682" s="167"/>
      <c r="E682" s="167"/>
      <c r="F682" s="167"/>
      <c r="G682" s="167"/>
      <c r="H682" s="167"/>
      <c r="I682" s="167"/>
      <c r="J682" s="167"/>
      <c r="K682" s="167"/>
      <c r="L682" s="167"/>
      <c r="M682" s="167"/>
      <c r="N682" s="167"/>
      <c r="O682" s="44"/>
      <c r="P682" s="44"/>
    </row>
    <row r="683" spans="1:16" x14ac:dyDescent="0.2">
      <c r="A683" s="58" t="str">
        <v/>
      </c>
      <c r="B683" s="144" t="str">
        <f>IFERROR(TIMEVALUE(DaqBook_RAW_Data!AG673),IFERROR(TIMEVALUE(DaqBook_RAW_Data!A673),""))</f>
        <v/>
      </c>
      <c r="C683" s="167"/>
      <c r="D683" s="167"/>
      <c r="E683" s="167"/>
      <c r="F683" s="167"/>
      <c r="G683" s="167"/>
      <c r="H683" s="167"/>
      <c r="I683" s="167"/>
      <c r="J683" s="167"/>
      <c r="K683" s="167"/>
      <c r="L683" s="167"/>
      <c r="M683" s="167"/>
      <c r="N683" s="167"/>
      <c r="O683" s="44"/>
      <c r="P683" s="44"/>
    </row>
    <row r="684" spans="1:16" x14ac:dyDescent="0.2">
      <c r="A684" s="58" t="str">
        <v/>
      </c>
      <c r="B684" s="144" t="str">
        <f>IFERROR(TIMEVALUE(DaqBook_RAW_Data!AG674),IFERROR(TIMEVALUE(DaqBook_RAW_Data!A674),""))</f>
        <v/>
      </c>
      <c r="C684" s="167"/>
      <c r="D684" s="167"/>
      <c r="E684" s="167"/>
      <c r="F684" s="167"/>
      <c r="G684" s="167"/>
      <c r="H684" s="167"/>
      <c r="I684" s="167"/>
      <c r="J684" s="167"/>
      <c r="K684" s="167"/>
      <c r="L684" s="167"/>
      <c r="M684" s="167"/>
      <c r="N684" s="167"/>
      <c r="O684" s="44"/>
      <c r="P684" s="44"/>
    </row>
    <row r="685" spans="1:16" x14ac:dyDescent="0.2">
      <c r="A685" s="58" t="str">
        <v/>
      </c>
      <c r="B685" s="144" t="str">
        <f>IFERROR(TIMEVALUE(DaqBook_RAW_Data!AG675),IFERROR(TIMEVALUE(DaqBook_RAW_Data!A675),""))</f>
        <v/>
      </c>
      <c r="C685" s="167"/>
      <c r="D685" s="167"/>
      <c r="E685" s="167"/>
      <c r="F685" s="167"/>
      <c r="G685" s="167"/>
      <c r="H685" s="167"/>
      <c r="I685" s="167"/>
      <c r="J685" s="167"/>
      <c r="K685" s="167"/>
      <c r="L685" s="167"/>
      <c r="M685" s="167"/>
      <c r="N685" s="167"/>
      <c r="O685" s="44"/>
      <c r="P685" s="44"/>
    </row>
    <row r="686" spans="1:16" x14ac:dyDescent="0.2">
      <c r="A686" s="58" t="str">
        <v/>
      </c>
      <c r="B686" s="144" t="str">
        <f>IFERROR(TIMEVALUE(DaqBook_RAW_Data!AG676),IFERROR(TIMEVALUE(DaqBook_RAW_Data!A676),""))</f>
        <v/>
      </c>
      <c r="C686" s="167"/>
      <c r="D686" s="167"/>
      <c r="E686" s="167"/>
      <c r="F686" s="167"/>
      <c r="G686" s="167"/>
      <c r="H686" s="167"/>
      <c r="I686" s="167"/>
      <c r="J686" s="167"/>
      <c r="K686" s="167"/>
      <c r="L686" s="167"/>
      <c r="M686" s="167"/>
      <c r="N686" s="167"/>
      <c r="O686" s="44"/>
      <c r="P686" s="44"/>
    </row>
    <row r="687" spans="1:16" x14ac:dyDescent="0.2">
      <c r="A687" s="58" t="str">
        <v/>
      </c>
      <c r="B687" s="144" t="str">
        <f>IFERROR(TIMEVALUE(DaqBook_RAW_Data!AG677),IFERROR(TIMEVALUE(DaqBook_RAW_Data!A677),""))</f>
        <v/>
      </c>
      <c r="C687" s="167"/>
      <c r="D687" s="167"/>
      <c r="E687" s="167"/>
      <c r="F687" s="167"/>
      <c r="G687" s="167"/>
      <c r="H687" s="167"/>
      <c r="I687" s="167"/>
      <c r="J687" s="167"/>
      <c r="K687" s="167"/>
      <c r="L687" s="167"/>
      <c r="M687" s="167"/>
      <c r="N687" s="167"/>
      <c r="O687" s="44"/>
      <c r="P687" s="44"/>
    </row>
    <row r="688" spans="1:16" x14ac:dyDescent="0.2">
      <c r="A688" s="58" t="str">
        <v/>
      </c>
      <c r="B688" s="144" t="str">
        <f>IFERROR(TIMEVALUE(DaqBook_RAW_Data!AG678),IFERROR(TIMEVALUE(DaqBook_RAW_Data!A678),""))</f>
        <v/>
      </c>
      <c r="C688" s="167"/>
      <c r="D688" s="167"/>
      <c r="E688" s="167"/>
      <c r="F688" s="167"/>
      <c r="G688" s="167"/>
      <c r="H688" s="167"/>
      <c r="I688" s="167"/>
      <c r="J688" s="167"/>
      <c r="K688" s="167"/>
      <c r="L688" s="167"/>
      <c r="M688" s="167"/>
      <c r="N688" s="167"/>
      <c r="O688" s="44"/>
      <c r="P688" s="44"/>
    </row>
    <row r="689" spans="1:16" x14ac:dyDescent="0.2">
      <c r="A689" s="58" t="str">
        <v/>
      </c>
      <c r="B689" s="144" t="str">
        <f>IFERROR(TIMEVALUE(DaqBook_RAW_Data!AG679),IFERROR(TIMEVALUE(DaqBook_RAW_Data!A679),""))</f>
        <v/>
      </c>
      <c r="C689" s="167"/>
      <c r="D689" s="167"/>
      <c r="E689" s="167"/>
      <c r="F689" s="167"/>
      <c r="G689" s="167"/>
      <c r="H689" s="167"/>
      <c r="I689" s="167"/>
      <c r="J689" s="167"/>
      <c r="K689" s="167"/>
      <c r="L689" s="167"/>
      <c r="M689" s="167"/>
      <c r="N689" s="167"/>
      <c r="O689" s="44"/>
      <c r="P689" s="44"/>
    </row>
    <row r="690" spans="1:16" x14ac:dyDescent="0.2">
      <c r="A690" s="58" t="str">
        <v/>
      </c>
      <c r="B690" s="144" t="str">
        <f>IFERROR(TIMEVALUE(DaqBook_RAW_Data!AG680),IFERROR(TIMEVALUE(DaqBook_RAW_Data!A680),""))</f>
        <v/>
      </c>
      <c r="C690" s="167"/>
      <c r="D690" s="167"/>
      <c r="E690" s="167"/>
      <c r="F690" s="167"/>
      <c r="G690" s="167"/>
      <c r="H690" s="167"/>
      <c r="I690" s="167"/>
      <c r="J690" s="167"/>
      <c r="K690" s="167"/>
      <c r="L690" s="167"/>
      <c r="M690" s="167"/>
      <c r="N690" s="167"/>
      <c r="O690" s="44"/>
      <c r="P690" s="44"/>
    </row>
    <row r="691" spans="1:16" x14ac:dyDescent="0.2">
      <c r="A691" s="58" t="str">
        <v/>
      </c>
      <c r="B691" s="144" t="str">
        <f>IFERROR(TIMEVALUE(DaqBook_RAW_Data!AG681),IFERROR(TIMEVALUE(DaqBook_RAW_Data!A681),""))</f>
        <v/>
      </c>
      <c r="C691" s="167"/>
      <c r="D691" s="167"/>
      <c r="E691" s="167"/>
      <c r="F691" s="167"/>
      <c r="G691" s="167"/>
      <c r="H691" s="167"/>
      <c r="I691" s="167"/>
      <c r="J691" s="167"/>
      <c r="K691" s="167"/>
      <c r="L691" s="167"/>
      <c r="M691" s="167"/>
      <c r="N691" s="167"/>
      <c r="O691" s="44"/>
      <c r="P691" s="44"/>
    </row>
    <row r="692" spans="1:16" x14ac:dyDescent="0.2">
      <c r="A692" s="58" t="str">
        <v/>
      </c>
      <c r="B692" s="144" t="str">
        <f>IFERROR(TIMEVALUE(DaqBook_RAW_Data!AG682),IFERROR(TIMEVALUE(DaqBook_RAW_Data!A682),""))</f>
        <v/>
      </c>
      <c r="C692" s="167"/>
      <c r="D692" s="167"/>
      <c r="E692" s="167"/>
      <c r="F692" s="167"/>
      <c r="G692" s="167"/>
      <c r="H692" s="167"/>
      <c r="I692" s="167"/>
      <c r="J692" s="167"/>
      <c r="K692" s="167"/>
      <c r="L692" s="167"/>
      <c r="M692" s="167"/>
      <c r="N692" s="167"/>
      <c r="O692" s="44"/>
      <c r="P692" s="44"/>
    </row>
    <row r="693" spans="1:16" x14ac:dyDescent="0.2">
      <c r="A693" s="58" t="str">
        <v/>
      </c>
      <c r="B693" s="144" t="str">
        <f>IFERROR(TIMEVALUE(DaqBook_RAW_Data!AG683),IFERROR(TIMEVALUE(DaqBook_RAW_Data!A683),""))</f>
        <v/>
      </c>
      <c r="C693" s="167"/>
      <c r="D693" s="167"/>
      <c r="E693" s="167"/>
      <c r="F693" s="167"/>
      <c r="G693" s="167"/>
      <c r="H693" s="167"/>
      <c r="I693" s="167"/>
      <c r="J693" s="167"/>
      <c r="K693" s="167"/>
      <c r="L693" s="167"/>
      <c r="M693" s="167"/>
      <c r="N693" s="167"/>
      <c r="O693" s="44"/>
      <c r="P693" s="44"/>
    </row>
    <row r="694" spans="1:16" x14ac:dyDescent="0.2">
      <c r="A694" s="58" t="str">
        <v/>
      </c>
      <c r="B694" s="144" t="str">
        <f>IFERROR(TIMEVALUE(DaqBook_RAW_Data!AG684),IFERROR(TIMEVALUE(DaqBook_RAW_Data!A684),""))</f>
        <v/>
      </c>
      <c r="C694" s="167"/>
      <c r="D694" s="167"/>
      <c r="E694" s="167"/>
      <c r="F694" s="167"/>
      <c r="G694" s="167"/>
      <c r="H694" s="167"/>
      <c r="I694" s="167"/>
      <c r="J694" s="167"/>
      <c r="K694" s="167"/>
      <c r="L694" s="167"/>
      <c r="M694" s="167"/>
      <c r="N694" s="167"/>
      <c r="O694" s="44"/>
      <c r="P694" s="44"/>
    </row>
    <row r="695" spans="1:16" x14ac:dyDescent="0.2">
      <c r="A695" s="58" t="str">
        <v/>
      </c>
      <c r="B695" s="144" t="str">
        <f>IFERROR(TIMEVALUE(DaqBook_RAW_Data!AG685),IFERROR(TIMEVALUE(DaqBook_RAW_Data!A685),""))</f>
        <v/>
      </c>
      <c r="C695" s="167"/>
      <c r="D695" s="167"/>
      <c r="E695" s="167"/>
      <c r="F695" s="167"/>
      <c r="G695" s="167"/>
      <c r="H695" s="167"/>
      <c r="I695" s="167"/>
      <c r="J695" s="167"/>
      <c r="K695" s="167"/>
      <c r="L695" s="167"/>
      <c r="M695" s="167"/>
      <c r="N695" s="167"/>
      <c r="O695" s="44"/>
      <c r="P695" s="44"/>
    </row>
    <row r="696" spans="1:16" x14ac:dyDescent="0.2">
      <c r="A696" s="58" t="str">
        <v/>
      </c>
      <c r="B696" s="144" t="str">
        <f>IFERROR(TIMEVALUE(DaqBook_RAW_Data!AG686),IFERROR(TIMEVALUE(DaqBook_RAW_Data!A686),""))</f>
        <v/>
      </c>
      <c r="C696" s="167"/>
      <c r="D696" s="167"/>
      <c r="E696" s="167"/>
      <c r="F696" s="167"/>
      <c r="G696" s="167"/>
      <c r="H696" s="167"/>
      <c r="I696" s="167"/>
      <c r="J696" s="167"/>
      <c r="K696" s="167"/>
      <c r="L696" s="167"/>
      <c r="M696" s="167"/>
      <c r="N696" s="167"/>
      <c r="O696" s="44"/>
      <c r="P696" s="44"/>
    </row>
    <row r="697" spans="1:16" x14ac:dyDescent="0.2">
      <c r="A697" s="58" t="str">
        <v/>
      </c>
      <c r="B697" s="144" t="str">
        <f>IFERROR(TIMEVALUE(DaqBook_RAW_Data!AG687),IFERROR(TIMEVALUE(DaqBook_RAW_Data!A687),""))</f>
        <v/>
      </c>
      <c r="C697" s="167"/>
      <c r="D697" s="167"/>
      <c r="E697" s="167"/>
      <c r="F697" s="167"/>
      <c r="G697" s="167"/>
      <c r="H697" s="167"/>
      <c r="I697" s="167"/>
      <c r="J697" s="167"/>
      <c r="K697" s="167"/>
      <c r="L697" s="167"/>
      <c r="M697" s="167"/>
      <c r="N697" s="167"/>
      <c r="O697" s="44"/>
      <c r="P697" s="44"/>
    </row>
    <row r="698" spans="1:16" x14ac:dyDescent="0.2">
      <c r="A698" s="58" t="str">
        <v/>
      </c>
      <c r="B698" s="144" t="str">
        <f>IFERROR(TIMEVALUE(DaqBook_RAW_Data!AG688),IFERROR(TIMEVALUE(DaqBook_RAW_Data!A688),""))</f>
        <v/>
      </c>
      <c r="C698" s="167"/>
      <c r="D698" s="167"/>
      <c r="E698" s="167"/>
      <c r="F698" s="167"/>
      <c r="G698" s="167"/>
      <c r="H698" s="167"/>
      <c r="I698" s="167"/>
      <c r="J698" s="167"/>
      <c r="K698" s="167"/>
      <c r="L698" s="167"/>
      <c r="M698" s="167"/>
      <c r="N698" s="167"/>
      <c r="O698" s="44"/>
      <c r="P698" s="44"/>
    </row>
    <row r="699" spans="1:16" x14ac:dyDescent="0.2">
      <c r="A699" s="58" t="str">
        <v/>
      </c>
      <c r="B699" s="144" t="str">
        <f>IFERROR(TIMEVALUE(DaqBook_RAW_Data!AG689),IFERROR(TIMEVALUE(DaqBook_RAW_Data!A689),""))</f>
        <v/>
      </c>
      <c r="C699" s="167"/>
      <c r="D699" s="167"/>
      <c r="E699" s="167"/>
      <c r="F699" s="167"/>
      <c r="G699" s="167"/>
      <c r="H699" s="167"/>
      <c r="I699" s="167"/>
      <c r="J699" s="167"/>
      <c r="K699" s="167"/>
      <c r="L699" s="167"/>
      <c r="M699" s="167"/>
      <c r="N699" s="167"/>
      <c r="O699" s="44"/>
      <c r="P699" s="44"/>
    </row>
    <row r="700" spans="1:16" x14ac:dyDescent="0.2">
      <c r="A700" s="58" t="str">
        <v/>
      </c>
      <c r="B700" s="144" t="str">
        <f>IFERROR(TIMEVALUE(DaqBook_RAW_Data!AG690),IFERROR(TIMEVALUE(DaqBook_RAW_Data!A690),""))</f>
        <v/>
      </c>
      <c r="C700" s="167"/>
      <c r="D700" s="167"/>
      <c r="E700" s="167"/>
      <c r="F700" s="167"/>
      <c r="G700" s="167"/>
      <c r="H700" s="167"/>
      <c r="I700" s="167"/>
      <c r="J700" s="167"/>
      <c r="K700" s="167"/>
      <c r="L700" s="167"/>
      <c r="M700" s="167"/>
      <c r="N700" s="167"/>
      <c r="O700" s="44"/>
      <c r="P700" s="44"/>
    </row>
    <row r="701" spans="1:16" x14ac:dyDescent="0.2">
      <c r="A701" s="58" t="str">
        <v/>
      </c>
      <c r="B701" s="144" t="str">
        <f>IFERROR(TIMEVALUE(DaqBook_RAW_Data!AG691),IFERROR(TIMEVALUE(DaqBook_RAW_Data!A691),""))</f>
        <v/>
      </c>
      <c r="C701" s="167"/>
      <c r="D701" s="167"/>
      <c r="E701" s="167"/>
      <c r="F701" s="167"/>
      <c r="G701" s="167"/>
      <c r="H701" s="167"/>
      <c r="I701" s="167"/>
      <c r="J701" s="167"/>
      <c r="K701" s="167"/>
      <c r="L701" s="167"/>
      <c r="M701" s="167"/>
      <c r="N701" s="167"/>
      <c r="O701" s="44"/>
      <c r="P701" s="44"/>
    </row>
    <row r="702" spans="1:16" x14ac:dyDescent="0.2">
      <c r="A702" s="58" t="str">
        <v/>
      </c>
      <c r="B702" s="144" t="str">
        <f>IFERROR(TIMEVALUE(DaqBook_RAW_Data!AG692),IFERROR(TIMEVALUE(DaqBook_RAW_Data!A692),""))</f>
        <v/>
      </c>
      <c r="C702" s="167"/>
      <c r="D702" s="167"/>
      <c r="E702" s="167"/>
      <c r="F702" s="167"/>
      <c r="G702" s="167"/>
      <c r="H702" s="167"/>
      <c r="I702" s="167"/>
      <c r="J702" s="167"/>
      <c r="K702" s="167"/>
      <c r="L702" s="167"/>
      <c r="M702" s="167"/>
      <c r="N702" s="167"/>
      <c r="O702" s="44"/>
      <c r="P702" s="44"/>
    </row>
    <row r="703" spans="1:16" x14ac:dyDescent="0.2">
      <c r="A703" s="58" t="str">
        <v/>
      </c>
      <c r="B703" s="144" t="str">
        <f>IFERROR(TIMEVALUE(DaqBook_RAW_Data!AG693),IFERROR(TIMEVALUE(DaqBook_RAW_Data!A693),""))</f>
        <v/>
      </c>
      <c r="C703" s="167"/>
      <c r="D703" s="167"/>
      <c r="E703" s="167"/>
      <c r="F703" s="167"/>
      <c r="G703" s="167"/>
      <c r="H703" s="167"/>
      <c r="I703" s="167"/>
      <c r="J703" s="167"/>
      <c r="K703" s="167"/>
      <c r="L703" s="167"/>
      <c r="M703" s="167"/>
      <c r="N703" s="167"/>
      <c r="O703" s="44"/>
      <c r="P703" s="44"/>
    </row>
    <row r="704" spans="1:16" x14ac:dyDescent="0.2">
      <c r="A704" s="58" t="str">
        <v/>
      </c>
      <c r="B704" s="144" t="str">
        <f>IFERROR(TIMEVALUE(DaqBook_RAW_Data!AG694),IFERROR(TIMEVALUE(DaqBook_RAW_Data!A694),""))</f>
        <v/>
      </c>
      <c r="C704" s="167"/>
      <c r="D704" s="167"/>
      <c r="E704" s="167"/>
      <c r="F704" s="167"/>
      <c r="G704" s="167"/>
      <c r="H704" s="167"/>
      <c r="I704" s="167"/>
      <c r="J704" s="167"/>
      <c r="K704" s="167"/>
      <c r="L704" s="167"/>
      <c r="M704" s="167"/>
      <c r="N704" s="167"/>
      <c r="O704" s="44"/>
      <c r="P704" s="44"/>
    </row>
    <row r="705" spans="1:16" x14ac:dyDescent="0.2">
      <c r="A705" s="58" t="str">
        <v/>
      </c>
      <c r="B705" s="144" t="str">
        <f>IFERROR(TIMEVALUE(DaqBook_RAW_Data!AG695),IFERROR(TIMEVALUE(DaqBook_RAW_Data!A695),""))</f>
        <v/>
      </c>
      <c r="C705" s="167"/>
      <c r="D705" s="167"/>
      <c r="E705" s="167"/>
      <c r="F705" s="167"/>
      <c r="G705" s="167"/>
      <c r="H705" s="167"/>
      <c r="I705" s="167"/>
      <c r="J705" s="167"/>
      <c r="K705" s="167"/>
      <c r="L705" s="167"/>
      <c r="M705" s="167"/>
      <c r="N705" s="167"/>
      <c r="O705" s="44"/>
      <c r="P705" s="44"/>
    </row>
    <row r="706" spans="1:16" x14ac:dyDescent="0.2">
      <c r="A706" s="58" t="str">
        <v/>
      </c>
      <c r="B706" s="144" t="str">
        <f>IFERROR(TIMEVALUE(DaqBook_RAW_Data!AG696),IFERROR(TIMEVALUE(DaqBook_RAW_Data!A696),""))</f>
        <v/>
      </c>
      <c r="C706" s="167"/>
      <c r="D706" s="167"/>
      <c r="E706" s="167"/>
      <c r="F706" s="167"/>
      <c r="G706" s="167"/>
      <c r="H706" s="167"/>
      <c r="I706" s="167"/>
      <c r="J706" s="167"/>
      <c r="K706" s="167"/>
      <c r="L706" s="167"/>
      <c r="M706" s="167"/>
      <c r="N706" s="167"/>
      <c r="O706" s="44"/>
      <c r="P706" s="44"/>
    </row>
    <row r="707" spans="1:16" x14ac:dyDescent="0.2">
      <c r="A707" s="58" t="str">
        <v/>
      </c>
      <c r="B707" s="144" t="str">
        <f>IFERROR(TIMEVALUE(DaqBook_RAW_Data!AG697),IFERROR(TIMEVALUE(DaqBook_RAW_Data!A697),""))</f>
        <v/>
      </c>
      <c r="C707" s="167"/>
      <c r="D707" s="167"/>
      <c r="E707" s="167"/>
      <c r="F707" s="167"/>
      <c r="G707" s="167"/>
      <c r="H707" s="167"/>
      <c r="I707" s="167"/>
      <c r="J707" s="167"/>
      <c r="K707" s="167"/>
      <c r="L707" s="167"/>
      <c r="M707" s="167"/>
      <c r="N707" s="167"/>
      <c r="O707" s="44"/>
      <c r="P707" s="44"/>
    </row>
    <row r="708" spans="1:16" x14ac:dyDescent="0.2">
      <c r="A708" s="58" t="str">
        <v/>
      </c>
      <c r="B708" s="144" t="str">
        <f>IFERROR(TIMEVALUE(DaqBook_RAW_Data!AG698),IFERROR(TIMEVALUE(DaqBook_RAW_Data!A698),""))</f>
        <v/>
      </c>
      <c r="C708" s="167"/>
      <c r="D708" s="167"/>
      <c r="E708" s="167"/>
      <c r="F708" s="167"/>
      <c r="G708" s="167"/>
      <c r="H708" s="167"/>
      <c r="I708" s="167"/>
      <c r="J708" s="167"/>
      <c r="K708" s="167"/>
      <c r="L708" s="167"/>
      <c r="M708" s="167"/>
      <c r="N708" s="167"/>
      <c r="O708" s="44"/>
      <c r="P708" s="44"/>
    </row>
    <row r="709" spans="1:16" x14ac:dyDescent="0.2">
      <c r="A709" s="58" t="str">
        <v/>
      </c>
      <c r="B709" s="144" t="str">
        <f>IFERROR(TIMEVALUE(DaqBook_RAW_Data!AG699),IFERROR(TIMEVALUE(DaqBook_RAW_Data!A699),""))</f>
        <v/>
      </c>
      <c r="C709" s="167"/>
      <c r="D709" s="167"/>
      <c r="E709" s="167"/>
      <c r="F709" s="167"/>
      <c r="G709" s="167"/>
      <c r="H709" s="167"/>
      <c r="I709" s="167"/>
      <c r="J709" s="167"/>
      <c r="K709" s="167"/>
      <c r="L709" s="167"/>
      <c r="M709" s="167"/>
      <c r="N709" s="167"/>
      <c r="O709" s="44"/>
      <c r="P709" s="44"/>
    </row>
    <row r="710" spans="1:16" x14ac:dyDescent="0.2">
      <c r="A710" s="58" t="str">
        <v/>
      </c>
      <c r="B710" s="144" t="str">
        <f>IFERROR(TIMEVALUE(DaqBook_RAW_Data!AG700),IFERROR(TIMEVALUE(DaqBook_RAW_Data!A700),""))</f>
        <v/>
      </c>
      <c r="C710" s="167"/>
      <c r="D710" s="167"/>
      <c r="E710" s="167"/>
      <c r="F710" s="167"/>
      <c r="G710" s="167"/>
      <c r="H710" s="167"/>
      <c r="I710" s="167"/>
      <c r="J710" s="167"/>
      <c r="K710" s="167"/>
      <c r="L710" s="167"/>
      <c r="M710" s="167"/>
      <c r="N710" s="167"/>
      <c r="O710" s="44"/>
      <c r="P710" s="44"/>
    </row>
    <row r="711" spans="1:16" x14ac:dyDescent="0.2">
      <c r="A711" s="58" t="str">
        <v/>
      </c>
      <c r="B711" s="144" t="str">
        <f>IFERROR(TIMEVALUE(DaqBook_RAW_Data!AG701),IFERROR(TIMEVALUE(DaqBook_RAW_Data!A701),""))</f>
        <v/>
      </c>
      <c r="C711" s="167"/>
      <c r="D711" s="167"/>
      <c r="E711" s="167"/>
      <c r="F711" s="167"/>
      <c r="G711" s="167"/>
      <c r="H711" s="167"/>
      <c r="I711" s="167"/>
      <c r="J711" s="167"/>
      <c r="K711" s="167"/>
      <c r="L711" s="167"/>
      <c r="M711" s="167"/>
      <c r="N711" s="167"/>
      <c r="O711" s="44"/>
      <c r="P711" s="44"/>
    </row>
    <row r="712" spans="1:16" x14ac:dyDescent="0.2">
      <c r="A712" s="58" t="str">
        <v/>
      </c>
      <c r="B712" s="144" t="str">
        <f>IFERROR(TIMEVALUE(DaqBook_RAW_Data!AG702),IFERROR(TIMEVALUE(DaqBook_RAW_Data!A702),""))</f>
        <v/>
      </c>
      <c r="C712" s="167"/>
      <c r="D712" s="167"/>
      <c r="E712" s="167"/>
      <c r="F712" s="167"/>
      <c r="G712" s="167"/>
      <c r="H712" s="167"/>
      <c r="I712" s="167"/>
      <c r="J712" s="167"/>
      <c r="K712" s="167"/>
      <c r="L712" s="167"/>
      <c r="M712" s="167"/>
      <c r="N712" s="167"/>
      <c r="O712" s="44"/>
      <c r="P712" s="44"/>
    </row>
    <row r="713" spans="1:16" x14ac:dyDescent="0.2">
      <c r="A713" s="58" t="str">
        <v/>
      </c>
      <c r="B713" s="144" t="str">
        <f>IFERROR(TIMEVALUE(DaqBook_RAW_Data!AG703),IFERROR(TIMEVALUE(DaqBook_RAW_Data!A703),""))</f>
        <v/>
      </c>
      <c r="C713" s="167"/>
      <c r="D713" s="167"/>
      <c r="E713" s="167"/>
      <c r="F713" s="167"/>
      <c r="G713" s="167"/>
      <c r="H713" s="167"/>
      <c r="I713" s="167"/>
      <c r="J713" s="167"/>
      <c r="K713" s="167"/>
      <c r="L713" s="167"/>
      <c r="M713" s="167"/>
      <c r="N713" s="167"/>
      <c r="O713" s="44"/>
      <c r="P713" s="44"/>
    </row>
    <row r="714" spans="1:16" x14ac:dyDescent="0.2">
      <c r="A714" s="58" t="str">
        <v/>
      </c>
      <c r="B714" s="144" t="str">
        <f>IFERROR(TIMEVALUE(DaqBook_RAW_Data!AG704),IFERROR(TIMEVALUE(DaqBook_RAW_Data!A704),""))</f>
        <v/>
      </c>
      <c r="C714" s="167"/>
      <c r="D714" s="167"/>
      <c r="E714" s="167"/>
      <c r="F714" s="167"/>
      <c r="G714" s="167"/>
      <c r="H714" s="167"/>
      <c r="I714" s="167"/>
      <c r="J714" s="167"/>
      <c r="K714" s="167"/>
      <c r="L714" s="167"/>
      <c r="M714" s="167"/>
      <c r="N714" s="167"/>
      <c r="O714" s="44"/>
      <c r="P714" s="44"/>
    </row>
    <row r="715" spans="1:16" x14ac:dyDescent="0.2">
      <c r="A715" s="58" t="str">
        <v/>
      </c>
      <c r="B715" s="144" t="str">
        <f>IFERROR(TIMEVALUE(DaqBook_RAW_Data!AG705),IFERROR(TIMEVALUE(DaqBook_RAW_Data!A705),""))</f>
        <v/>
      </c>
      <c r="C715" s="167"/>
      <c r="D715" s="167"/>
      <c r="E715" s="167"/>
      <c r="F715" s="167"/>
      <c r="G715" s="167"/>
      <c r="H715" s="167"/>
      <c r="I715" s="167"/>
      <c r="J715" s="167"/>
      <c r="K715" s="167"/>
      <c r="L715" s="167"/>
      <c r="M715" s="167"/>
      <c r="N715" s="167"/>
      <c r="O715" s="44"/>
      <c r="P715" s="44"/>
    </row>
    <row r="716" spans="1:16" x14ac:dyDescent="0.2">
      <c r="A716" s="58" t="str">
        <v/>
      </c>
      <c r="B716" s="144" t="str">
        <f>IFERROR(TIMEVALUE(DaqBook_RAW_Data!AG706),IFERROR(TIMEVALUE(DaqBook_RAW_Data!A706),""))</f>
        <v/>
      </c>
      <c r="C716" s="167"/>
      <c r="D716" s="167"/>
      <c r="E716" s="167"/>
      <c r="F716" s="167"/>
      <c r="G716" s="167"/>
      <c r="H716" s="167"/>
      <c r="I716" s="167"/>
      <c r="J716" s="167"/>
      <c r="K716" s="167"/>
      <c r="L716" s="167"/>
      <c r="M716" s="167"/>
      <c r="N716" s="167"/>
      <c r="O716" s="44"/>
      <c r="P716" s="44"/>
    </row>
    <row r="717" spans="1:16" x14ac:dyDescent="0.2">
      <c r="A717" s="58" t="str">
        <v/>
      </c>
      <c r="B717" s="144" t="str">
        <f>IFERROR(TIMEVALUE(DaqBook_RAW_Data!AG707),IFERROR(TIMEVALUE(DaqBook_RAW_Data!A707),""))</f>
        <v/>
      </c>
      <c r="C717" s="167"/>
      <c r="D717" s="167"/>
      <c r="E717" s="167"/>
      <c r="F717" s="167"/>
      <c r="G717" s="167"/>
      <c r="H717" s="167"/>
      <c r="I717" s="167"/>
      <c r="J717" s="167"/>
      <c r="K717" s="167"/>
      <c r="L717" s="167"/>
      <c r="M717" s="167"/>
      <c r="N717" s="167"/>
      <c r="O717" s="44"/>
      <c r="P717" s="44"/>
    </row>
    <row r="718" spans="1:16" x14ac:dyDescent="0.2">
      <c r="A718" s="58" t="str">
        <v/>
      </c>
      <c r="B718" s="144" t="str">
        <f>IFERROR(TIMEVALUE(DaqBook_RAW_Data!AG708),IFERROR(TIMEVALUE(DaqBook_RAW_Data!A708),""))</f>
        <v/>
      </c>
      <c r="C718" s="167"/>
      <c r="D718" s="167"/>
      <c r="E718" s="167"/>
      <c r="F718" s="167"/>
      <c r="G718" s="167"/>
      <c r="H718" s="167"/>
      <c r="I718" s="167"/>
      <c r="J718" s="167"/>
      <c r="K718" s="167"/>
      <c r="L718" s="167"/>
      <c r="M718" s="167"/>
      <c r="N718" s="167"/>
      <c r="O718" s="44"/>
      <c r="P718" s="44"/>
    </row>
    <row r="719" spans="1:16" x14ac:dyDescent="0.2">
      <c r="A719" s="58" t="str">
        <v/>
      </c>
      <c r="B719" s="144" t="str">
        <f>IFERROR(TIMEVALUE(DaqBook_RAW_Data!AG709),IFERROR(TIMEVALUE(DaqBook_RAW_Data!A709),""))</f>
        <v/>
      </c>
      <c r="C719" s="167"/>
      <c r="D719" s="167"/>
      <c r="E719" s="167"/>
      <c r="F719" s="167"/>
      <c r="G719" s="167"/>
      <c r="H719" s="167"/>
      <c r="I719" s="167"/>
      <c r="J719" s="167"/>
      <c r="K719" s="167"/>
      <c r="L719" s="167"/>
      <c r="M719" s="167"/>
      <c r="N719" s="167"/>
      <c r="O719" s="44"/>
      <c r="P719" s="44"/>
    </row>
    <row r="720" spans="1:16" x14ac:dyDescent="0.2">
      <c r="A720" s="58" t="str">
        <v/>
      </c>
      <c r="B720" s="144" t="str">
        <f>IFERROR(TIMEVALUE(DaqBook_RAW_Data!AG710),IFERROR(TIMEVALUE(DaqBook_RAW_Data!A710),""))</f>
        <v/>
      </c>
      <c r="C720" s="167"/>
      <c r="D720" s="167"/>
      <c r="E720" s="167"/>
      <c r="F720" s="167"/>
      <c r="G720" s="167"/>
      <c r="H720" s="167"/>
      <c r="I720" s="167"/>
      <c r="J720" s="167"/>
      <c r="K720" s="167"/>
      <c r="L720" s="167"/>
      <c r="M720" s="167"/>
      <c r="N720" s="167"/>
      <c r="O720" s="44"/>
      <c r="P720" s="44"/>
    </row>
    <row r="721" spans="1:16" x14ac:dyDescent="0.2">
      <c r="A721" s="58" t="str">
        <v/>
      </c>
      <c r="B721" s="144" t="str">
        <f>IFERROR(TIMEVALUE(DaqBook_RAW_Data!AG711),IFERROR(TIMEVALUE(DaqBook_RAW_Data!A711),""))</f>
        <v/>
      </c>
      <c r="C721" s="167"/>
      <c r="D721" s="167"/>
      <c r="E721" s="167"/>
      <c r="F721" s="167"/>
      <c r="G721" s="167"/>
      <c r="H721" s="167"/>
      <c r="I721" s="167"/>
      <c r="J721" s="167"/>
      <c r="K721" s="167"/>
      <c r="L721" s="167"/>
      <c r="M721" s="167"/>
      <c r="N721" s="167"/>
      <c r="O721" s="44"/>
      <c r="P721" s="44"/>
    </row>
    <row r="722" spans="1:16" x14ac:dyDescent="0.2">
      <c r="A722" s="58" t="str">
        <v/>
      </c>
      <c r="B722" s="144" t="str">
        <f>IFERROR(TIMEVALUE(DaqBook_RAW_Data!AG712),IFERROR(TIMEVALUE(DaqBook_RAW_Data!A712),""))</f>
        <v/>
      </c>
      <c r="C722" s="167"/>
      <c r="D722" s="167"/>
      <c r="E722" s="167"/>
      <c r="F722" s="167"/>
      <c r="G722" s="167"/>
      <c r="H722" s="167"/>
      <c r="I722" s="167"/>
      <c r="J722" s="167"/>
      <c r="K722" s="167"/>
      <c r="L722" s="167"/>
      <c r="M722" s="167"/>
      <c r="N722" s="167"/>
      <c r="O722" s="44"/>
      <c r="P722" s="44"/>
    </row>
    <row r="723" spans="1:16" x14ac:dyDescent="0.2">
      <c r="A723" s="58" t="str">
        <v/>
      </c>
      <c r="B723" s="144" t="str">
        <f>IFERROR(TIMEVALUE(DaqBook_RAW_Data!AG713),IFERROR(TIMEVALUE(DaqBook_RAW_Data!A713),""))</f>
        <v/>
      </c>
      <c r="C723" s="167"/>
      <c r="D723" s="167"/>
      <c r="E723" s="167"/>
      <c r="F723" s="167"/>
      <c r="G723" s="167"/>
      <c r="H723" s="167"/>
      <c r="I723" s="167"/>
      <c r="J723" s="167"/>
      <c r="K723" s="167"/>
      <c r="L723" s="167"/>
      <c r="M723" s="167"/>
      <c r="N723" s="167"/>
      <c r="O723" s="44"/>
      <c r="P723" s="44"/>
    </row>
    <row r="724" spans="1:16" x14ac:dyDescent="0.2">
      <c r="A724" s="58" t="str">
        <v/>
      </c>
      <c r="B724" s="144" t="str">
        <f>IFERROR(TIMEVALUE(DaqBook_RAW_Data!AG714),IFERROR(TIMEVALUE(DaqBook_RAW_Data!A714),""))</f>
        <v/>
      </c>
      <c r="C724" s="167"/>
      <c r="D724" s="167"/>
      <c r="E724" s="167"/>
      <c r="F724" s="167"/>
      <c r="G724" s="167"/>
      <c r="H724" s="167"/>
      <c r="I724" s="167"/>
      <c r="J724" s="167"/>
      <c r="K724" s="167"/>
      <c r="L724" s="167"/>
      <c r="M724" s="167"/>
      <c r="N724" s="167"/>
      <c r="O724" s="44"/>
      <c r="P724" s="44"/>
    </row>
    <row r="725" spans="1:16" x14ac:dyDescent="0.2">
      <c r="A725" s="58" t="str">
        <v/>
      </c>
      <c r="B725" s="144" t="str">
        <f>IFERROR(TIMEVALUE(DaqBook_RAW_Data!AG715),IFERROR(TIMEVALUE(DaqBook_RAW_Data!A715),""))</f>
        <v/>
      </c>
      <c r="C725" s="167"/>
      <c r="D725" s="167"/>
      <c r="E725" s="167"/>
      <c r="F725" s="167"/>
      <c r="G725" s="167"/>
      <c r="H725" s="167"/>
      <c r="I725" s="167"/>
      <c r="J725" s="167"/>
      <c r="K725" s="167"/>
      <c r="L725" s="167"/>
      <c r="M725" s="167"/>
      <c r="N725" s="167"/>
      <c r="O725" s="44"/>
      <c r="P725" s="44"/>
    </row>
    <row r="726" spans="1:16" x14ac:dyDescent="0.2">
      <c r="A726" s="58" t="str">
        <v/>
      </c>
      <c r="B726" s="144" t="str">
        <f>IFERROR(TIMEVALUE(DaqBook_RAW_Data!AG716),IFERROR(TIMEVALUE(DaqBook_RAW_Data!A716),""))</f>
        <v/>
      </c>
      <c r="C726" s="167"/>
      <c r="D726" s="167"/>
      <c r="E726" s="167"/>
      <c r="F726" s="167"/>
      <c r="G726" s="167"/>
      <c r="H726" s="167"/>
      <c r="I726" s="167"/>
      <c r="J726" s="167"/>
      <c r="K726" s="167"/>
      <c r="L726" s="167"/>
      <c r="M726" s="167"/>
      <c r="N726" s="167"/>
      <c r="O726" s="44"/>
      <c r="P726" s="44"/>
    </row>
    <row r="727" spans="1:16" x14ac:dyDescent="0.2">
      <c r="A727" s="58" t="str">
        <v/>
      </c>
      <c r="B727" s="144" t="str">
        <f>IFERROR(TIMEVALUE(DaqBook_RAW_Data!AG717),IFERROR(TIMEVALUE(DaqBook_RAW_Data!A717),""))</f>
        <v/>
      </c>
      <c r="C727" s="167"/>
      <c r="D727" s="167"/>
      <c r="E727" s="167"/>
      <c r="F727" s="167"/>
      <c r="G727" s="167"/>
      <c r="H727" s="167"/>
      <c r="I727" s="167"/>
      <c r="J727" s="167"/>
      <c r="K727" s="167"/>
      <c r="L727" s="167"/>
      <c r="M727" s="167"/>
      <c r="N727" s="167"/>
      <c r="O727" s="44"/>
      <c r="P727" s="44"/>
    </row>
    <row r="728" spans="1:16" x14ac:dyDescent="0.2">
      <c r="A728" s="58" t="str">
        <v/>
      </c>
      <c r="B728" s="144" t="str">
        <f>IFERROR(TIMEVALUE(DaqBook_RAW_Data!AG718),IFERROR(TIMEVALUE(DaqBook_RAW_Data!A718),""))</f>
        <v/>
      </c>
      <c r="C728" s="167"/>
      <c r="D728" s="167"/>
      <c r="E728" s="167"/>
      <c r="F728" s="167"/>
      <c r="G728" s="167"/>
      <c r="H728" s="167"/>
      <c r="I728" s="167"/>
      <c r="J728" s="167"/>
      <c r="K728" s="167"/>
      <c r="L728" s="167"/>
      <c r="M728" s="167"/>
      <c r="N728" s="167"/>
      <c r="O728" s="44"/>
      <c r="P728" s="44"/>
    </row>
    <row r="729" spans="1:16" x14ac:dyDescent="0.2">
      <c r="A729" s="58" t="str">
        <v/>
      </c>
      <c r="B729" s="144" t="str">
        <f>IFERROR(TIMEVALUE(DaqBook_RAW_Data!AG719),IFERROR(TIMEVALUE(DaqBook_RAW_Data!A719),""))</f>
        <v/>
      </c>
      <c r="C729" s="167"/>
      <c r="D729" s="167"/>
      <c r="E729" s="167"/>
      <c r="F729" s="167"/>
      <c r="G729" s="167"/>
      <c r="H729" s="167"/>
      <c r="I729" s="167"/>
      <c r="J729" s="167"/>
      <c r="K729" s="167"/>
      <c r="L729" s="167"/>
      <c r="M729" s="167"/>
      <c r="N729" s="167"/>
      <c r="O729" s="44"/>
      <c r="P729" s="44"/>
    </row>
    <row r="730" spans="1:16" x14ac:dyDescent="0.2">
      <c r="A730" s="58" t="str">
        <v/>
      </c>
      <c r="B730" s="144" t="str">
        <f>IFERROR(TIMEVALUE(DaqBook_RAW_Data!AG720),IFERROR(TIMEVALUE(DaqBook_RAW_Data!A720),""))</f>
        <v/>
      </c>
      <c r="C730" s="167"/>
      <c r="D730" s="167"/>
      <c r="E730" s="167"/>
      <c r="F730" s="167"/>
      <c r="G730" s="167"/>
      <c r="H730" s="167"/>
      <c r="I730" s="167"/>
      <c r="J730" s="167"/>
      <c r="K730" s="167"/>
      <c r="L730" s="167"/>
      <c r="M730" s="167"/>
      <c r="N730" s="167"/>
      <c r="O730" s="44"/>
      <c r="P730" s="44"/>
    </row>
    <row r="731" spans="1:16" x14ac:dyDescent="0.2">
      <c r="A731" s="58" t="str">
        <v/>
      </c>
      <c r="B731" s="144" t="str">
        <f>IFERROR(TIMEVALUE(DaqBook_RAW_Data!AG721),IFERROR(TIMEVALUE(DaqBook_RAW_Data!A721),""))</f>
        <v/>
      </c>
      <c r="C731" s="167"/>
      <c r="D731" s="167"/>
      <c r="E731" s="167"/>
      <c r="F731" s="167"/>
      <c r="G731" s="167"/>
      <c r="H731" s="167"/>
      <c r="I731" s="167"/>
      <c r="J731" s="167"/>
      <c r="K731" s="167"/>
      <c r="L731" s="167"/>
      <c r="M731" s="167"/>
      <c r="N731" s="167"/>
      <c r="O731" s="44"/>
      <c r="P731" s="44"/>
    </row>
    <row r="732" spans="1:16" x14ac:dyDescent="0.2">
      <c r="A732" s="58" t="str">
        <v/>
      </c>
      <c r="B732" s="144" t="str">
        <f>IFERROR(TIMEVALUE(DaqBook_RAW_Data!AG722),IFERROR(TIMEVALUE(DaqBook_RAW_Data!A722),""))</f>
        <v/>
      </c>
      <c r="C732" s="167"/>
      <c r="D732" s="167"/>
      <c r="E732" s="167"/>
      <c r="F732" s="167"/>
      <c r="G732" s="167"/>
      <c r="H732" s="167"/>
      <c r="I732" s="167"/>
      <c r="J732" s="167"/>
      <c r="K732" s="167"/>
      <c r="L732" s="167"/>
      <c r="M732" s="167"/>
      <c r="N732" s="167"/>
      <c r="O732" s="44"/>
      <c r="P732" s="44"/>
    </row>
    <row r="733" spans="1:16" x14ac:dyDescent="0.2">
      <c r="A733" s="58" t="str">
        <v/>
      </c>
      <c r="B733" s="144" t="str">
        <f>IFERROR(TIMEVALUE(DaqBook_RAW_Data!AG723),IFERROR(TIMEVALUE(DaqBook_RAW_Data!A723),""))</f>
        <v/>
      </c>
      <c r="C733" s="167"/>
      <c r="D733" s="167"/>
      <c r="E733" s="167"/>
      <c r="F733" s="167"/>
      <c r="G733" s="167"/>
      <c r="H733" s="167"/>
      <c r="I733" s="167"/>
      <c r="J733" s="167"/>
      <c r="K733" s="167"/>
      <c r="L733" s="167"/>
      <c r="M733" s="167"/>
      <c r="N733" s="167"/>
      <c r="O733" s="44"/>
      <c r="P733" s="44"/>
    </row>
    <row r="734" spans="1:16" x14ac:dyDescent="0.2">
      <c r="A734" s="58" t="str">
        <v/>
      </c>
      <c r="B734" s="144" t="str">
        <f>IFERROR(TIMEVALUE(DaqBook_RAW_Data!AG724),IFERROR(TIMEVALUE(DaqBook_RAW_Data!A724),""))</f>
        <v/>
      </c>
      <c r="C734" s="167"/>
      <c r="D734" s="167"/>
      <c r="E734" s="167"/>
      <c r="F734" s="167"/>
      <c r="G734" s="167"/>
      <c r="H734" s="167"/>
      <c r="I734" s="167"/>
      <c r="J734" s="167"/>
      <c r="K734" s="167"/>
      <c r="L734" s="167"/>
      <c r="M734" s="167"/>
      <c r="N734" s="167"/>
      <c r="O734" s="44"/>
      <c r="P734" s="44"/>
    </row>
    <row r="735" spans="1:16" x14ac:dyDescent="0.2">
      <c r="A735" s="58" t="str">
        <v/>
      </c>
      <c r="B735" s="144" t="str">
        <f>IFERROR(TIMEVALUE(DaqBook_RAW_Data!AG725),IFERROR(TIMEVALUE(DaqBook_RAW_Data!A725),""))</f>
        <v/>
      </c>
      <c r="C735" s="167"/>
      <c r="D735" s="167"/>
      <c r="E735" s="167"/>
      <c r="F735" s="167"/>
      <c r="G735" s="167"/>
      <c r="H735" s="167"/>
      <c r="I735" s="167"/>
      <c r="J735" s="167"/>
      <c r="K735" s="167"/>
      <c r="L735" s="167"/>
      <c r="M735" s="167"/>
      <c r="N735" s="167"/>
      <c r="O735" s="44"/>
      <c r="P735" s="44"/>
    </row>
    <row r="736" spans="1:16" x14ac:dyDescent="0.2">
      <c r="A736" s="58" t="str">
        <v/>
      </c>
      <c r="B736" s="144" t="str">
        <f>IFERROR(TIMEVALUE(DaqBook_RAW_Data!AG726),IFERROR(TIMEVALUE(DaqBook_RAW_Data!A726),""))</f>
        <v/>
      </c>
      <c r="C736" s="167"/>
      <c r="D736" s="167"/>
      <c r="E736" s="167"/>
      <c r="F736" s="167"/>
      <c r="G736" s="167"/>
      <c r="H736" s="167"/>
      <c r="I736" s="167"/>
      <c r="J736" s="167"/>
      <c r="K736" s="167"/>
      <c r="L736" s="167"/>
      <c r="M736" s="167"/>
      <c r="N736" s="167"/>
      <c r="O736" s="44"/>
      <c r="P736" s="44"/>
    </row>
    <row r="737" spans="1:16" x14ac:dyDescent="0.2">
      <c r="A737" s="58" t="str">
        <v/>
      </c>
      <c r="B737" s="144" t="str">
        <f>IFERROR(TIMEVALUE(DaqBook_RAW_Data!AG727),IFERROR(TIMEVALUE(DaqBook_RAW_Data!A727),""))</f>
        <v/>
      </c>
      <c r="C737" s="167"/>
      <c r="D737" s="167"/>
      <c r="E737" s="167"/>
      <c r="F737" s="167"/>
      <c r="G737" s="167"/>
      <c r="H737" s="167"/>
      <c r="I737" s="167"/>
      <c r="J737" s="167"/>
      <c r="K737" s="167"/>
      <c r="L737" s="167"/>
      <c r="M737" s="167"/>
      <c r="N737" s="167"/>
      <c r="O737" s="44"/>
      <c r="P737" s="44"/>
    </row>
    <row r="738" spans="1:16" x14ac:dyDescent="0.2">
      <c r="A738" s="58" t="str">
        <v/>
      </c>
      <c r="B738" s="144" t="str">
        <f>IFERROR(TIMEVALUE(DaqBook_RAW_Data!AG728),IFERROR(TIMEVALUE(DaqBook_RAW_Data!A728),""))</f>
        <v/>
      </c>
      <c r="C738" s="167"/>
      <c r="D738" s="167"/>
      <c r="E738" s="167"/>
      <c r="F738" s="167"/>
      <c r="G738" s="167"/>
      <c r="H738" s="167"/>
      <c r="I738" s="167"/>
      <c r="J738" s="167"/>
      <c r="K738" s="167"/>
      <c r="L738" s="167"/>
      <c r="M738" s="167"/>
      <c r="N738" s="167"/>
      <c r="O738" s="44"/>
      <c r="P738" s="44"/>
    </row>
    <row r="739" spans="1:16" x14ac:dyDescent="0.2">
      <c r="A739" s="58" t="str">
        <v/>
      </c>
      <c r="B739" s="144" t="str">
        <f>IFERROR(TIMEVALUE(DaqBook_RAW_Data!AG729),IFERROR(TIMEVALUE(DaqBook_RAW_Data!A729),""))</f>
        <v/>
      </c>
      <c r="C739" s="167"/>
      <c r="D739" s="167"/>
      <c r="E739" s="167"/>
      <c r="F739" s="167"/>
      <c r="G739" s="167"/>
      <c r="H739" s="167"/>
      <c r="I739" s="167"/>
      <c r="J739" s="167"/>
      <c r="K739" s="167"/>
      <c r="L739" s="167"/>
      <c r="M739" s="167"/>
      <c r="N739" s="167"/>
      <c r="O739" s="44"/>
      <c r="P739" s="44"/>
    </row>
    <row r="740" spans="1:16" x14ac:dyDescent="0.2">
      <c r="A740" s="58" t="str">
        <v/>
      </c>
      <c r="B740" s="144" t="str">
        <f>IFERROR(TIMEVALUE(DaqBook_RAW_Data!AG730),IFERROR(TIMEVALUE(DaqBook_RAW_Data!A730),""))</f>
        <v/>
      </c>
      <c r="C740" s="167"/>
      <c r="D740" s="167"/>
      <c r="E740" s="167"/>
      <c r="F740" s="167"/>
      <c r="G740" s="167"/>
      <c r="H740" s="167"/>
      <c r="I740" s="167"/>
      <c r="J740" s="167"/>
      <c r="K740" s="167"/>
      <c r="L740" s="167"/>
      <c r="M740" s="167"/>
      <c r="N740" s="167"/>
      <c r="O740" s="44"/>
      <c r="P740" s="44"/>
    </row>
    <row r="741" spans="1:16" x14ac:dyDescent="0.2">
      <c r="A741" s="58" t="str">
        <v/>
      </c>
      <c r="B741" s="144" t="str">
        <f>IFERROR(TIMEVALUE(DaqBook_RAW_Data!AG731),IFERROR(TIMEVALUE(DaqBook_RAW_Data!A731),""))</f>
        <v/>
      </c>
      <c r="C741" s="167"/>
      <c r="D741" s="167"/>
      <c r="E741" s="167"/>
      <c r="F741" s="167"/>
      <c r="G741" s="167"/>
      <c r="H741" s="167"/>
      <c r="I741" s="167"/>
      <c r="J741" s="167"/>
      <c r="K741" s="167"/>
      <c r="L741" s="167"/>
      <c r="M741" s="167"/>
      <c r="N741" s="167"/>
      <c r="O741" s="44"/>
      <c r="P741" s="44"/>
    </row>
    <row r="742" spans="1:16" x14ac:dyDescent="0.2">
      <c r="A742" s="58" t="str">
        <v/>
      </c>
      <c r="B742" s="144" t="str">
        <f>IFERROR(TIMEVALUE(DaqBook_RAW_Data!AG732),IFERROR(TIMEVALUE(DaqBook_RAW_Data!A732),""))</f>
        <v/>
      </c>
      <c r="C742" s="167"/>
      <c r="D742" s="167"/>
      <c r="E742" s="167"/>
      <c r="F742" s="167"/>
      <c r="G742" s="167"/>
      <c r="H742" s="167"/>
      <c r="I742" s="167"/>
      <c r="J742" s="167"/>
      <c r="K742" s="167"/>
      <c r="L742" s="167"/>
      <c r="M742" s="167"/>
      <c r="N742" s="167"/>
      <c r="O742" s="44"/>
      <c r="P742" s="44"/>
    </row>
    <row r="743" spans="1:16" x14ac:dyDescent="0.2">
      <c r="A743" s="58" t="str">
        <v/>
      </c>
      <c r="B743" s="144" t="str">
        <f>IFERROR(TIMEVALUE(DaqBook_RAW_Data!AG733),IFERROR(TIMEVALUE(DaqBook_RAW_Data!A733),""))</f>
        <v/>
      </c>
      <c r="C743" s="167"/>
      <c r="D743" s="167"/>
      <c r="E743" s="167"/>
      <c r="F743" s="167"/>
      <c r="G743" s="167"/>
      <c r="H743" s="167"/>
      <c r="I743" s="167"/>
      <c r="J743" s="167"/>
      <c r="K743" s="167"/>
      <c r="L743" s="167"/>
      <c r="M743" s="167"/>
      <c r="N743" s="167"/>
      <c r="O743" s="44"/>
      <c r="P743" s="44"/>
    </row>
    <row r="744" spans="1:16" x14ac:dyDescent="0.2">
      <c r="A744" s="58" t="str">
        <v/>
      </c>
      <c r="B744" s="144" t="str">
        <f>IFERROR(TIMEVALUE(DaqBook_RAW_Data!AG734),IFERROR(TIMEVALUE(DaqBook_RAW_Data!A734),""))</f>
        <v/>
      </c>
      <c r="C744" s="167"/>
      <c r="D744" s="167"/>
      <c r="E744" s="167"/>
      <c r="F744" s="167"/>
      <c r="G744" s="167"/>
      <c r="H744" s="167"/>
      <c r="I744" s="167"/>
      <c r="J744" s="167"/>
      <c r="K744" s="167"/>
      <c r="L744" s="167"/>
      <c r="M744" s="167"/>
      <c r="N744" s="167"/>
      <c r="O744" s="44"/>
      <c r="P744" s="44"/>
    </row>
    <row r="745" spans="1:16" x14ac:dyDescent="0.2">
      <c r="A745" s="58" t="str">
        <v/>
      </c>
      <c r="B745" s="144" t="str">
        <f>IFERROR(TIMEVALUE(DaqBook_RAW_Data!AG735),IFERROR(TIMEVALUE(DaqBook_RAW_Data!A735),""))</f>
        <v/>
      </c>
      <c r="C745" s="167"/>
      <c r="D745" s="167"/>
      <c r="E745" s="167"/>
      <c r="F745" s="167"/>
      <c r="G745" s="167"/>
      <c r="H745" s="167"/>
      <c r="I745" s="167"/>
      <c r="J745" s="167"/>
      <c r="K745" s="167"/>
      <c r="L745" s="167"/>
      <c r="M745" s="167"/>
      <c r="N745" s="167"/>
      <c r="O745" s="44"/>
      <c r="P745" s="44"/>
    </row>
    <row r="746" spans="1:16" x14ac:dyDescent="0.2">
      <c r="A746" s="58" t="str">
        <v/>
      </c>
      <c r="B746" s="144" t="str">
        <f>IFERROR(TIMEVALUE(DaqBook_RAW_Data!AG736),IFERROR(TIMEVALUE(DaqBook_RAW_Data!A736),""))</f>
        <v/>
      </c>
      <c r="C746" s="167"/>
      <c r="D746" s="167"/>
      <c r="E746" s="167"/>
      <c r="F746" s="167"/>
      <c r="G746" s="167"/>
      <c r="H746" s="167"/>
      <c r="I746" s="167"/>
      <c r="J746" s="167"/>
      <c r="K746" s="167"/>
      <c r="L746" s="167"/>
      <c r="M746" s="167"/>
      <c r="N746" s="167"/>
      <c r="O746" s="44"/>
      <c r="P746" s="44"/>
    </row>
    <row r="747" spans="1:16" x14ac:dyDescent="0.2">
      <c r="A747" s="58" t="str">
        <v/>
      </c>
      <c r="B747" s="144" t="str">
        <f>IFERROR(TIMEVALUE(DaqBook_RAW_Data!AG737),IFERROR(TIMEVALUE(DaqBook_RAW_Data!A737),""))</f>
        <v/>
      </c>
      <c r="C747" s="167"/>
      <c r="D747" s="167"/>
      <c r="E747" s="167"/>
      <c r="F747" s="167"/>
      <c r="G747" s="167"/>
      <c r="H747" s="167"/>
      <c r="I747" s="167"/>
      <c r="J747" s="167"/>
      <c r="K747" s="167"/>
      <c r="L747" s="167"/>
      <c r="M747" s="167"/>
      <c r="N747" s="167"/>
      <c r="O747" s="44"/>
      <c r="P747" s="44"/>
    </row>
    <row r="748" spans="1:16" x14ac:dyDescent="0.2">
      <c r="A748" s="58" t="str">
        <v/>
      </c>
      <c r="B748" s="144" t="str">
        <f>IFERROR(TIMEVALUE(DaqBook_RAW_Data!AG738),IFERROR(TIMEVALUE(DaqBook_RAW_Data!A738),""))</f>
        <v/>
      </c>
      <c r="C748" s="167"/>
      <c r="D748" s="167"/>
      <c r="E748" s="167"/>
      <c r="F748" s="167"/>
      <c r="G748" s="167"/>
      <c r="H748" s="167"/>
      <c r="I748" s="167"/>
      <c r="J748" s="167"/>
      <c r="K748" s="167"/>
      <c r="L748" s="167"/>
      <c r="M748" s="167"/>
      <c r="N748" s="167"/>
      <c r="O748" s="44"/>
      <c r="P748" s="44"/>
    </row>
    <row r="749" spans="1:16" x14ac:dyDescent="0.2">
      <c r="A749" s="58" t="str">
        <v/>
      </c>
      <c r="B749" s="144" t="str">
        <f>IFERROR(TIMEVALUE(DaqBook_RAW_Data!AG739),IFERROR(TIMEVALUE(DaqBook_RAW_Data!A739),""))</f>
        <v/>
      </c>
      <c r="C749" s="167"/>
      <c r="D749" s="167"/>
      <c r="E749" s="167"/>
      <c r="F749" s="167"/>
      <c r="G749" s="167"/>
      <c r="H749" s="167"/>
      <c r="I749" s="167"/>
      <c r="J749" s="167"/>
      <c r="K749" s="167"/>
      <c r="L749" s="167"/>
      <c r="M749" s="167"/>
      <c r="N749" s="167"/>
      <c r="O749" s="44"/>
      <c r="P749" s="44"/>
    </row>
    <row r="750" spans="1:16" x14ac:dyDescent="0.2">
      <c r="A750" s="58" t="str">
        <v/>
      </c>
      <c r="B750" s="144" t="str">
        <f>IFERROR(TIMEVALUE(DaqBook_RAW_Data!AG740),IFERROR(TIMEVALUE(DaqBook_RAW_Data!A740),""))</f>
        <v/>
      </c>
      <c r="C750" s="167"/>
      <c r="D750" s="167"/>
      <c r="E750" s="167"/>
      <c r="F750" s="167"/>
      <c r="G750" s="167"/>
      <c r="H750" s="167"/>
      <c r="I750" s="167"/>
      <c r="J750" s="167"/>
      <c r="K750" s="167"/>
      <c r="L750" s="167"/>
      <c r="M750" s="167"/>
      <c r="N750" s="167"/>
      <c r="O750" s="44"/>
      <c r="P750" s="44"/>
    </row>
    <row r="751" spans="1:16" x14ac:dyDescent="0.2">
      <c r="A751" s="58" t="str">
        <v/>
      </c>
      <c r="B751" s="144" t="str">
        <f>IFERROR(TIMEVALUE(DaqBook_RAW_Data!AG741),IFERROR(TIMEVALUE(DaqBook_RAW_Data!A741),""))</f>
        <v/>
      </c>
      <c r="C751" s="167"/>
      <c r="D751" s="167"/>
      <c r="E751" s="167"/>
      <c r="F751" s="167"/>
      <c r="G751" s="167"/>
      <c r="H751" s="167"/>
      <c r="I751" s="167"/>
      <c r="J751" s="167"/>
      <c r="K751" s="167"/>
      <c r="L751" s="167"/>
      <c r="M751" s="167"/>
      <c r="N751" s="167"/>
      <c r="O751" s="44"/>
      <c r="P751" s="44"/>
    </row>
    <row r="752" spans="1:16" x14ac:dyDescent="0.2">
      <c r="A752" s="58" t="str">
        <v/>
      </c>
      <c r="B752" s="144" t="str">
        <f>IFERROR(TIMEVALUE(DaqBook_RAW_Data!AG742),IFERROR(TIMEVALUE(DaqBook_RAW_Data!A742),""))</f>
        <v/>
      </c>
      <c r="C752" s="167"/>
      <c r="D752" s="167"/>
      <c r="E752" s="167"/>
      <c r="F752" s="167"/>
      <c r="G752" s="167"/>
      <c r="H752" s="167"/>
      <c r="I752" s="167"/>
      <c r="J752" s="167"/>
      <c r="K752" s="167"/>
      <c r="L752" s="167"/>
      <c r="M752" s="167"/>
      <c r="N752" s="167"/>
      <c r="O752" s="44"/>
      <c r="P752" s="44"/>
    </row>
    <row r="753" spans="1:16" x14ac:dyDescent="0.2">
      <c r="A753" s="58" t="str">
        <v/>
      </c>
      <c r="B753" s="144" t="str">
        <f>IFERROR(TIMEVALUE(DaqBook_RAW_Data!AG743),IFERROR(TIMEVALUE(DaqBook_RAW_Data!A743),""))</f>
        <v/>
      </c>
      <c r="C753" s="167"/>
      <c r="D753" s="167"/>
      <c r="E753" s="167"/>
      <c r="F753" s="167"/>
      <c r="G753" s="167"/>
      <c r="H753" s="167"/>
      <c r="I753" s="167"/>
      <c r="J753" s="167"/>
      <c r="K753" s="167"/>
      <c r="L753" s="167"/>
      <c r="M753" s="167"/>
      <c r="N753" s="167"/>
      <c r="O753" s="44"/>
      <c r="P753" s="44"/>
    </row>
    <row r="754" spans="1:16" x14ac:dyDescent="0.2">
      <c r="A754" s="58" t="str">
        <v/>
      </c>
      <c r="B754" s="144" t="str">
        <f>IFERROR(TIMEVALUE(DaqBook_RAW_Data!AG744),IFERROR(TIMEVALUE(DaqBook_RAW_Data!A744),""))</f>
        <v/>
      </c>
      <c r="C754" s="167"/>
      <c r="D754" s="167"/>
      <c r="E754" s="167"/>
      <c r="F754" s="167"/>
      <c r="G754" s="167"/>
      <c r="H754" s="167"/>
      <c r="I754" s="167"/>
      <c r="J754" s="167"/>
      <c r="K754" s="167"/>
      <c r="L754" s="167"/>
      <c r="M754" s="167"/>
      <c r="N754" s="167"/>
      <c r="O754" s="44"/>
      <c r="P754" s="44"/>
    </row>
    <row r="755" spans="1:16" x14ac:dyDescent="0.2">
      <c r="A755" s="58" t="str">
        <v/>
      </c>
      <c r="B755" s="144" t="str">
        <f>IFERROR(TIMEVALUE(DaqBook_RAW_Data!AG745),IFERROR(TIMEVALUE(DaqBook_RAW_Data!A745),""))</f>
        <v/>
      </c>
      <c r="C755" s="167"/>
      <c r="D755" s="167"/>
      <c r="E755" s="167"/>
      <c r="F755" s="167"/>
      <c r="G755" s="167"/>
      <c r="H755" s="167"/>
      <c r="I755" s="167"/>
      <c r="J755" s="167"/>
      <c r="K755" s="167"/>
      <c r="L755" s="167"/>
      <c r="M755" s="167"/>
      <c r="N755" s="167"/>
      <c r="O755" s="44"/>
      <c r="P755" s="44"/>
    </row>
    <row r="756" spans="1:16" x14ac:dyDescent="0.2">
      <c r="A756" s="58" t="str">
        <v/>
      </c>
      <c r="B756" s="144" t="str">
        <f>IFERROR(TIMEVALUE(DaqBook_RAW_Data!AG746),IFERROR(TIMEVALUE(DaqBook_RAW_Data!A746),""))</f>
        <v/>
      </c>
      <c r="C756" s="167"/>
      <c r="D756" s="167"/>
      <c r="E756" s="167"/>
      <c r="F756" s="167"/>
      <c r="G756" s="167"/>
      <c r="H756" s="167"/>
      <c r="I756" s="167"/>
      <c r="J756" s="167"/>
      <c r="K756" s="167"/>
      <c r="L756" s="167"/>
      <c r="M756" s="167"/>
      <c r="N756" s="167"/>
      <c r="O756" s="44"/>
      <c r="P756" s="44"/>
    </row>
    <row r="757" spans="1:16" x14ac:dyDescent="0.2">
      <c r="A757" s="58" t="str">
        <v/>
      </c>
      <c r="B757" s="144" t="str">
        <f>IFERROR(TIMEVALUE(DaqBook_RAW_Data!AG747),IFERROR(TIMEVALUE(DaqBook_RAW_Data!A747),""))</f>
        <v/>
      </c>
      <c r="C757" s="167"/>
      <c r="D757" s="167"/>
      <c r="E757" s="167"/>
      <c r="F757" s="167"/>
      <c r="G757" s="167"/>
      <c r="H757" s="167"/>
      <c r="I757" s="167"/>
      <c r="J757" s="167"/>
      <c r="K757" s="167"/>
      <c r="L757" s="167"/>
      <c r="M757" s="167"/>
      <c r="N757" s="167"/>
      <c r="O757" s="44"/>
      <c r="P757" s="44"/>
    </row>
    <row r="758" spans="1:16" x14ac:dyDescent="0.2">
      <c r="A758" s="58" t="str">
        <v/>
      </c>
      <c r="B758" s="144" t="str">
        <f>IFERROR(TIMEVALUE(DaqBook_RAW_Data!AG748),IFERROR(TIMEVALUE(DaqBook_RAW_Data!A748),""))</f>
        <v/>
      </c>
      <c r="C758" s="167"/>
      <c r="D758" s="167"/>
      <c r="E758" s="167"/>
      <c r="F758" s="167"/>
      <c r="G758" s="167"/>
      <c r="H758" s="167"/>
      <c r="I758" s="167"/>
      <c r="J758" s="167"/>
      <c r="K758" s="167"/>
      <c r="L758" s="167"/>
      <c r="M758" s="167"/>
      <c r="N758" s="167"/>
      <c r="O758" s="44"/>
      <c r="P758" s="44"/>
    </row>
    <row r="759" spans="1:16" x14ac:dyDescent="0.2">
      <c r="A759" s="58" t="str">
        <v/>
      </c>
      <c r="B759" s="144" t="str">
        <f>IFERROR(TIMEVALUE(DaqBook_RAW_Data!AG749),IFERROR(TIMEVALUE(DaqBook_RAW_Data!A749),""))</f>
        <v/>
      </c>
      <c r="C759" s="167"/>
      <c r="D759" s="167"/>
      <c r="E759" s="167"/>
      <c r="F759" s="167"/>
      <c r="G759" s="167"/>
      <c r="H759" s="167"/>
      <c r="I759" s="167"/>
      <c r="J759" s="167"/>
      <c r="K759" s="167"/>
      <c r="L759" s="167"/>
      <c r="M759" s="167"/>
      <c r="N759" s="167"/>
      <c r="O759" s="44"/>
      <c r="P759" s="44"/>
    </row>
    <row r="760" spans="1:16" x14ac:dyDescent="0.2">
      <c r="A760" s="58" t="str">
        <v/>
      </c>
      <c r="B760" s="144" t="str">
        <f>IFERROR(TIMEVALUE(DaqBook_RAW_Data!AG750),IFERROR(TIMEVALUE(DaqBook_RAW_Data!A750),""))</f>
        <v/>
      </c>
      <c r="C760" s="167"/>
      <c r="D760" s="167"/>
      <c r="E760" s="167"/>
      <c r="F760" s="167"/>
      <c r="G760" s="167"/>
      <c r="H760" s="167"/>
      <c r="I760" s="167"/>
      <c r="J760" s="167"/>
      <c r="K760" s="167"/>
      <c r="L760" s="167"/>
      <c r="M760" s="167"/>
      <c r="N760" s="167"/>
      <c r="O760" s="44"/>
      <c r="P760" s="44"/>
    </row>
    <row r="761" spans="1:16" x14ac:dyDescent="0.2">
      <c r="A761" s="58" t="str">
        <v/>
      </c>
      <c r="B761" s="144" t="str">
        <f>IFERROR(TIMEVALUE(DaqBook_RAW_Data!AG751),IFERROR(TIMEVALUE(DaqBook_RAW_Data!A751),""))</f>
        <v/>
      </c>
      <c r="C761" s="167"/>
      <c r="D761" s="167"/>
      <c r="E761" s="167"/>
      <c r="F761" s="167"/>
      <c r="G761" s="167"/>
      <c r="H761" s="167"/>
      <c r="I761" s="167"/>
      <c r="J761" s="167"/>
      <c r="K761" s="167"/>
      <c r="L761" s="167"/>
      <c r="M761" s="167"/>
      <c r="N761" s="167"/>
      <c r="O761" s="44"/>
      <c r="P761" s="44"/>
    </row>
    <row r="762" spans="1:16" x14ac:dyDescent="0.2">
      <c r="A762" s="58" t="str">
        <v/>
      </c>
      <c r="B762" s="144" t="str">
        <f>IFERROR(TIMEVALUE(DaqBook_RAW_Data!AG752),IFERROR(TIMEVALUE(DaqBook_RAW_Data!A752),""))</f>
        <v/>
      </c>
      <c r="C762" s="167"/>
      <c r="D762" s="167"/>
      <c r="E762" s="167"/>
      <c r="F762" s="167"/>
      <c r="G762" s="167"/>
      <c r="H762" s="167"/>
      <c r="I762" s="167"/>
      <c r="J762" s="167"/>
      <c r="K762" s="167"/>
      <c r="L762" s="167"/>
      <c r="M762" s="167"/>
      <c r="N762" s="167"/>
      <c r="O762" s="44"/>
      <c r="P762" s="44"/>
    </row>
    <row r="763" spans="1:16" x14ac:dyDescent="0.2">
      <c r="A763" s="58" t="str">
        <v/>
      </c>
      <c r="B763" s="144" t="str">
        <f>IFERROR(TIMEVALUE(DaqBook_RAW_Data!AG753),IFERROR(TIMEVALUE(DaqBook_RAW_Data!A753),""))</f>
        <v/>
      </c>
      <c r="C763" s="167"/>
      <c r="D763" s="167"/>
      <c r="E763" s="167"/>
      <c r="F763" s="167"/>
      <c r="G763" s="167"/>
      <c r="H763" s="167"/>
      <c r="I763" s="167"/>
      <c r="J763" s="167"/>
      <c r="K763" s="167"/>
      <c r="L763" s="167"/>
      <c r="M763" s="167"/>
      <c r="N763" s="167"/>
      <c r="O763" s="44"/>
      <c r="P763" s="44"/>
    </row>
    <row r="764" spans="1:16" x14ac:dyDescent="0.2">
      <c r="A764" s="58" t="str">
        <v/>
      </c>
      <c r="B764" s="144" t="str">
        <f>IFERROR(TIMEVALUE(DaqBook_RAW_Data!AG754),IFERROR(TIMEVALUE(DaqBook_RAW_Data!A754),""))</f>
        <v/>
      </c>
      <c r="C764" s="167"/>
      <c r="D764" s="167"/>
      <c r="E764" s="167"/>
      <c r="F764" s="167"/>
      <c r="G764" s="167"/>
      <c r="H764" s="167"/>
      <c r="I764" s="167"/>
      <c r="J764" s="167"/>
      <c r="K764" s="167"/>
      <c r="L764" s="167"/>
      <c r="M764" s="167"/>
      <c r="N764" s="167"/>
      <c r="O764" s="44"/>
      <c r="P764" s="44"/>
    </row>
    <row r="765" spans="1:16" x14ac:dyDescent="0.2">
      <c r="A765" s="58" t="str">
        <v/>
      </c>
      <c r="B765" s="144" t="str">
        <f>IFERROR(TIMEVALUE(DaqBook_RAW_Data!AG755),IFERROR(TIMEVALUE(DaqBook_RAW_Data!A755),""))</f>
        <v/>
      </c>
      <c r="C765" s="167"/>
      <c r="D765" s="167"/>
      <c r="E765" s="167"/>
      <c r="F765" s="167"/>
      <c r="G765" s="167"/>
      <c r="H765" s="167"/>
      <c r="I765" s="167"/>
      <c r="J765" s="167"/>
      <c r="K765" s="167"/>
      <c r="L765" s="167"/>
      <c r="M765" s="167"/>
      <c r="N765" s="167"/>
      <c r="O765" s="44"/>
      <c r="P765" s="44"/>
    </row>
    <row r="766" spans="1:16" x14ac:dyDescent="0.2">
      <c r="A766" s="58" t="str">
        <v/>
      </c>
      <c r="B766" s="144" t="str">
        <f>IFERROR(TIMEVALUE(DaqBook_RAW_Data!AG756),IFERROR(TIMEVALUE(DaqBook_RAW_Data!A756),""))</f>
        <v/>
      </c>
      <c r="C766" s="167"/>
      <c r="D766" s="167"/>
      <c r="E766" s="167"/>
      <c r="F766" s="167"/>
      <c r="G766" s="167"/>
      <c r="H766" s="167"/>
      <c r="I766" s="167"/>
      <c r="J766" s="167"/>
      <c r="K766" s="167"/>
      <c r="L766" s="167"/>
      <c r="M766" s="167"/>
      <c r="N766" s="167"/>
      <c r="O766" s="44"/>
      <c r="P766" s="44"/>
    </row>
    <row r="767" spans="1:16" x14ac:dyDescent="0.2">
      <c r="A767" s="58" t="str">
        <v/>
      </c>
      <c r="B767" s="144" t="str">
        <f>IFERROR(TIMEVALUE(DaqBook_RAW_Data!AG757),IFERROR(TIMEVALUE(DaqBook_RAW_Data!A757),""))</f>
        <v/>
      </c>
      <c r="C767" s="167"/>
      <c r="D767" s="167"/>
      <c r="E767" s="167"/>
      <c r="F767" s="167"/>
      <c r="G767" s="167"/>
      <c r="H767" s="167"/>
      <c r="I767" s="167"/>
      <c r="J767" s="167"/>
      <c r="K767" s="167"/>
      <c r="L767" s="167"/>
      <c r="M767" s="167"/>
      <c r="N767" s="167"/>
      <c r="O767" s="44"/>
      <c r="P767" s="44"/>
    </row>
    <row r="768" spans="1:16" x14ac:dyDescent="0.2">
      <c r="A768" s="58" t="str">
        <v/>
      </c>
      <c r="B768" s="144" t="str">
        <f>IFERROR(TIMEVALUE(DaqBook_RAW_Data!AG758),IFERROR(TIMEVALUE(DaqBook_RAW_Data!A758),""))</f>
        <v/>
      </c>
      <c r="C768" s="167"/>
      <c r="D768" s="167"/>
      <c r="E768" s="167"/>
      <c r="F768" s="167"/>
      <c r="G768" s="167"/>
      <c r="H768" s="167"/>
      <c r="I768" s="167"/>
      <c r="J768" s="167"/>
      <c r="K768" s="167"/>
      <c r="L768" s="167"/>
      <c r="M768" s="167"/>
      <c r="N768" s="167"/>
      <c r="O768" s="44"/>
      <c r="P768" s="44"/>
    </row>
    <row r="769" spans="1:16" x14ac:dyDescent="0.2">
      <c r="A769" s="58" t="str">
        <v/>
      </c>
      <c r="B769" s="144" t="str">
        <f>IFERROR(TIMEVALUE(DaqBook_RAW_Data!AG759),IFERROR(TIMEVALUE(DaqBook_RAW_Data!A759),""))</f>
        <v/>
      </c>
      <c r="C769" s="167"/>
      <c r="D769" s="167"/>
      <c r="E769" s="167"/>
      <c r="F769" s="167"/>
      <c r="G769" s="167"/>
      <c r="H769" s="167"/>
      <c r="I769" s="167"/>
      <c r="J769" s="167"/>
      <c r="K769" s="167"/>
      <c r="L769" s="167"/>
      <c r="M769" s="167"/>
      <c r="N769" s="167"/>
      <c r="O769" s="44"/>
      <c r="P769" s="44"/>
    </row>
    <row r="770" spans="1:16" x14ac:dyDescent="0.2">
      <c r="A770" s="58" t="str">
        <v/>
      </c>
      <c r="B770" s="144" t="str">
        <f>IFERROR(TIMEVALUE(DaqBook_RAW_Data!AG760),IFERROR(TIMEVALUE(DaqBook_RAW_Data!A760),""))</f>
        <v/>
      </c>
      <c r="C770" s="167"/>
      <c r="D770" s="167"/>
      <c r="E770" s="167"/>
      <c r="F770" s="167"/>
      <c r="G770" s="167"/>
      <c r="H770" s="167"/>
      <c r="I770" s="167"/>
      <c r="J770" s="167"/>
      <c r="K770" s="167"/>
      <c r="L770" s="167"/>
      <c r="M770" s="167"/>
      <c r="N770" s="167"/>
      <c r="O770" s="44"/>
      <c r="P770" s="44"/>
    </row>
    <row r="771" spans="1:16" x14ac:dyDescent="0.2">
      <c r="A771" s="58" t="str">
        <v/>
      </c>
      <c r="B771" s="144" t="str">
        <f>IFERROR(TIMEVALUE(DaqBook_RAW_Data!AG761),IFERROR(TIMEVALUE(DaqBook_RAW_Data!A761),""))</f>
        <v/>
      </c>
      <c r="C771" s="167"/>
      <c r="D771" s="167"/>
      <c r="E771" s="167"/>
      <c r="F771" s="167"/>
      <c r="G771" s="167"/>
      <c r="H771" s="167"/>
      <c r="I771" s="167"/>
      <c r="J771" s="167"/>
      <c r="K771" s="167"/>
      <c r="L771" s="167"/>
      <c r="M771" s="167"/>
      <c r="N771" s="167"/>
      <c r="O771" s="44"/>
      <c r="P771" s="44"/>
    </row>
    <row r="772" spans="1:16" x14ac:dyDescent="0.2">
      <c r="A772" s="58" t="str">
        <v/>
      </c>
      <c r="B772" s="144" t="str">
        <f>IFERROR(TIMEVALUE(DaqBook_RAW_Data!AG762),IFERROR(TIMEVALUE(DaqBook_RAW_Data!A762),""))</f>
        <v/>
      </c>
      <c r="C772" s="167"/>
      <c r="D772" s="167"/>
      <c r="E772" s="167"/>
      <c r="F772" s="167"/>
      <c r="G772" s="167"/>
      <c r="H772" s="167"/>
      <c r="I772" s="167"/>
      <c r="J772" s="167"/>
      <c r="K772" s="167"/>
      <c r="L772" s="167"/>
      <c r="M772" s="167"/>
      <c r="N772" s="167"/>
      <c r="O772" s="44"/>
      <c r="P772" s="44"/>
    </row>
    <row r="773" spans="1:16" x14ac:dyDescent="0.2">
      <c r="A773" s="58" t="str">
        <v/>
      </c>
      <c r="B773" s="144" t="str">
        <f>IFERROR(TIMEVALUE(DaqBook_RAW_Data!AG763),IFERROR(TIMEVALUE(DaqBook_RAW_Data!A763),""))</f>
        <v/>
      </c>
      <c r="C773" s="167"/>
      <c r="D773" s="167"/>
      <c r="E773" s="167"/>
      <c r="F773" s="167"/>
      <c r="G773" s="167"/>
      <c r="H773" s="167"/>
      <c r="I773" s="167"/>
      <c r="J773" s="167"/>
      <c r="K773" s="167"/>
      <c r="L773" s="167"/>
      <c r="M773" s="167"/>
      <c r="N773" s="167"/>
      <c r="O773" s="44"/>
      <c r="P773" s="44"/>
    </row>
    <row r="774" spans="1:16" x14ac:dyDescent="0.2">
      <c r="A774" s="58" t="str">
        <v/>
      </c>
      <c r="B774" s="144" t="str">
        <f>IFERROR(TIMEVALUE(DaqBook_RAW_Data!AG764),IFERROR(TIMEVALUE(DaqBook_RAW_Data!A764),""))</f>
        <v/>
      </c>
      <c r="C774" s="167"/>
      <c r="D774" s="167"/>
      <c r="E774" s="167"/>
      <c r="F774" s="167"/>
      <c r="G774" s="167"/>
      <c r="H774" s="167"/>
      <c r="I774" s="167"/>
      <c r="J774" s="167"/>
      <c r="K774" s="167"/>
      <c r="L774" s="167"/>
      <c r="M774" s="167"/>
      <c r="N774" s="167"/>
      <c r="O774" s="44"/>
      <c r="P774" s="44"/>
    </row>
    <row r="775" spans="1:16" x14ac:dyDescent="0.2">
      <c r="A775" s="58" t="str">
        <v/>
      </c>
      <c r="B775" s="144" t="str">
        <f>IFERROR(TIMEVALUE(DaqBook_RAW_Data!AG765),IFERROR(TIMEVALUE(DaqBook_RAW_Data!A765),""))</f>
        <v/>
      </c>
      <c r="C775" s="167"/>
      <c r="D775" s="167"/>
      <c r="E775" s="167"/>
      <c r="F775" s="167"/>
      <c r="G775" s="167"/>
      <c r="H775" s="167"/>
      <c r="I775" s="167"/>
      <c r="J775" s="167"/>
      <c r="K775" s="167"/>
      <c r="L775" s="167"/>
      <c r="M775" s="167"/>
      <c r="N775" s="167"/>
      <c r="O775" s="44"/>
      <c r="P775" s="44"/>
    </row>
    <row r="776" spans="1:16" x14ac:dyDescent="0.2">
      <c r="A776" s="58" t="str">
        <v/>
      </c>
      <c r="B776" s="144" t="str">
        <f>IFERROR(TIMEVALUE(DaqBook_RAW_Data!AG766),IFERROR(TIMEVALUE(DaqBook_RAW_Data!A766),""))</f>
        <v/>
      </c>
      <c r="C776" s="167"/>
      <c r="D776" s="167"/>
      <c r="E776" s="167"/>
      <c r="F776" s="167"/>
      <c r="G776" s="167"/>
      <c r="H776" s="167"/>
      <c r="I776" s="167"/>
      <c r="J776" s="167"/>
      <c r="K776" s="167"/>
      <c r="L776" s="167"/>
      <c r="M776" s="167"/>
      <c r="N776" s="167"/>
      <c r="O776" s="44"/>
      <c r="P776" s="44"/>
    </row>
    <row r="777" spans="1:16" x14ac:dyDescent="0.2">
      <c r="A777" s="58" t="str">
        <v/>
      </c>
      <c r="B777" s="144" t="str">
        <f>IFERROR(TIMEVALUE(DaqBook_RAW_Data!AG767),IFERROR(TIMEVALUE(DaqBook_RAW_Data!A767),""))</f>
        <v/>
      </c>
      <c r="C777" s="167"/>
      <c r="D777" s="167"/>
      <c r="E777" s="167"/>
      <c r="F777" s="167"/>
      <c r="G777" s="167"/>
      <c r="H777" s="167"/>
      <c r="I777" s="167"/>
      <c r="J777" s="167"/>
      <c r="K777" s="167"/>
      <c r="L777" s="167"/>
      <c r="M777" s="167"/>
      <c r="N777" s="167"/>
      <c r="O777" s="44"/>
      <c r="P777" s="44"/>
    </row>
    <row r="778" spans="1:16" x14ac:dyDescent="0.2">
      <c r="A778" s="58" t="str">
        <v/>
      </c>
      <c r="B778" s="144" t="str">
        <f>IFERROR(TIMEVALUE(DaqBook_RAW_Data!AG768),IFERROR(TIMEVALUE(DaqBook_RAW_Data!A768),""))</f>
        <v/>
      </c>
      <c r="C778" s="167"/>
      <c r="D778" s="167"/>
      <c r="E778" s="167"/>
      <c r="F778" s="167"/>
      <c r="G778" s="167"/>
      <c r="H778" s="167"/>
      <c r="I778" s="167"/>
      <c r="J778" s="167"/>
      <c r="K778" s="167"/>
      <c r="L778" s="167"/>
      <c r="M778" s="167"/>
      <c r="N778" s="167"/>
      <c r="O778" s="44"/>
      <c r="P778" s="44"/>
    </row>
    <row r="779" spans="1:16" x14ac:dyDescent="0.2">
      <c r="A779" s="58" t="str">
        <v/>
      </c>
      <c r="B779" s="144" t="str">
        <f>IFERROR(TIMEVALUE(DaqBook_RAW_Data!AG769),IFERROR(TIMEVALUE(DaqBook_RAW_Data!A769),""))</f>
        <v/>
      </c>
      <c r="C779" s="167"/>
      <c r="D779" s="167"/>
      <c r="E779" s="167"/>
      <c r="F779" s="167"/>
      <c r="G779" s="167"/>
      <c r="H779" s="167"/>
      <c r="I779" s="167"/>
      <c r="J779" s="167"/>
      <c r="K779" s="167"/>
      <c r="L779" s="167"/>
      <c r="M779" s="167"/>
      <c r="N779" s="167"/>
      <c r="O779" s="44"/>
      <c r="P779" s="44"/>
    </row>
    <row r="780" spans="1:16" x14ac:dyDescent="0.2">
      <c r="A780" s="58" t="str">
        <v/>
      </c>
      <c r="B780" s="144" t="str">
        <f>IFERROR(TIMEVALUE(DaqBook_RAW_Data!AG770),IFERROR(TIMEVALUE(DaqBook_RAW_Data!A770),""))</f>
        <v/>
      </c>
      <c r="C780" s="167"/>
      <c r="D780" s="167"/>
      <c r="E780" s="167"/>
      <c r="F780" s="167"/>
      <c r="G780" s="167"/>
      <c r="H780" s="167"/>
      <c r="I780" s="167"/>
      <c r="J780" s="167"/>
      <c r="K780" s="167"/>
      <c r="L780" s="167"/>
      <c r="M780" s="167"/>
      <c r="N780" s="167"/>
      <c r="O780" s="44"/>
      <c r="P780" s="44"/>
    </row>
    <row r="781" spans="1:16" x14ac:dyDescent="0.2">
      <c r="A781" s="58" t="str">
        <v/>
      </c>
      <c r="B781" s="144" t="str">
        <f>IFERROR(TIMEVALUE(DaqBook_RAW_Data!AG771),IFERROR(TIMEVALUE(DaqBook_RAW_Data!A771),""))</f>
        <v/>
      </c>
      <c r="C781" s="167"/>
      <c r="D781" s="167"/>
      <c r="E781" s="167"/>
      <c r="F781" s="167"/>
      <c r="G781" s="167"/>
      <c r="H781" s="167"/>
      <c r="I781" s="167"/>
      <c r="J781" s="167"/>
      <c r="K781" s="167"/>
      <c r="L781" s="167"/>
      <c r="M781" s="167"/>
      <c r="N781" s="167"/>
      <c r="O781" s="44"/>
      <c r="P781" s="44"/>
    </row>
    <row r="782" spans="1:16" x14ac:dyDescent="0.2">
      <c r="A782" s="58" t="str">
        <v/>
      </c>
      <c r="B782" s="144" t="str">
        <f>IFERROR(TIMEVALUE(DaqBook_RAW_Data!AG772),IFERROR(TIMEVALUE(DaqBook_RAW_Data!A772),""))</f>
        <v/>
      </c>
      <c r="C782" s="167"/>
      <c r="D782" s="167"/>
      <c r="E782" s="167"/>
      <c r="F782" s="167"/>
      <c r="G782" s="167"/>
      <c r="H782" s="167"/>
      <c r="I782" s="167"/>
      <c r="J782" s="167"/>
      <c r="K782" s="167"/>
      <c r="L782" s="167"/>
      <c r="M782" s="167"/>
      <c r="N782" s="167"/>
      <c r="O782" s="44"/>
      <c r="P782" s="44"/>
    </row>
    <row r="783" spans="1:16" x14ac:dyDescent="0.2">
      <c r="A783" s="58" t="str">
        <v/>
      </c>
      <c r="B783" s="144" t="str">
        <f>IFERROR(TIMEVALUE(DaqBook_RAW_Data!AG773),IFERROR(TIMEVALUE(DaqBook_RAW_Data!A773),""))</f>
        <v/>
      </c>
      <c r="C783" s="167"/>
      <c r="D783" s="167"/>
      <c r="E783" s="167"/>
      <c r="F783" s="167"/>
      <c r="G783" s="167"/>
      <c r="H783" s="167"/>
      <c r="I783" s="167"/>
      <c r="J783" s="167"/>
      <c r="K783" s="167"/>
      <c r="L783" s="167"/>
      <c r="M783" s="167"/>
      <c r="N783" s="167"/>
      <c r="O783" s="44"/>
      <c r="P783" s="44"/>
    </row>
    <row r="784" spans="1:16" x14ac:dyDescent="0.2">
      <c r="A784" s="58" t="str">
        <v/>
      </c>
      <c r="B784" s="144" t="str">
        <f>IFERROR(TIMEVALUE(DaqBook_RAW_Data!AG774),IFERROR(TIMEVALUE(DaqBook_RAW_Data!A774),""))</f>
        <v/>
      </c>
      <c r="C784" s="167"/>
      <c r="D784" s="167"/>
      <c r="E784" s="167"/>
      <c r="F784" s="167"/>
      <c r="G784" s="167"/>
      <c r="H784" s="167"/>
      <c r="I784" s="167"/>
      <c r="J784" s="167"/>
      <c r="K784" s="167"/>
      <c r="L784" s="167"/>
      <c r="M784" s="167"/>
      <c r="N784" s="167"/>
      <c r="O784" s="44"/>
      <c r="P784" s="44"/>
    </row>
    <row r="785" spans="1:16" x14ac:dyDescent="0.2">
      <c r="A785" s="58" t="str">
        <v/>
      </c>
      <c r="B785" s="144" t="str">
        <f>IFERROR(TIMEVALUE(DaqBook_RAW_Data!AG775),IFERROR(TIMEVALUE(DaqBook_RAW_Data!A775),""))</f>
        <v/>
      </c>
      <c r="C785" s="167"/>
      <c r="D785" s="167"/>
      <c r="E785" s="167"/>
      <c r="F785" s="167"/>
      <c r="G785" s="167"/>
      <c r="H785" s="167"/>
      <c r="I785" s="167"/>
      <c r="J785" s="167"/>
      <c r="K785" s="167"/>
      <c r="L785" s="167"/>
      <c r="M785" s="167"/>
      <c r="N785" s="167"/>
      <c r="O785" s="44"/>
      <c r="P785" s="44"/>
    </row>
    <row r="786" spans="1:16" x14ac:dyDescent="0.2">
      <c r="A786" s="58" t="str">
        <v/>
      </c>
      <c r="B786" s="144" t="str">
        <f>IFERROR(TIMEVALUE(DaqBook_RAW_Data!AG776),IFERROR(TIMEVALUE(DaqBook_RAW_Data!A776),""))</f>
        <v/>
      </c>
      <c r="C786" s="167"/>
      <c r="D786" s="167"/>
      <c r="E786" s="167"/>
      <c r="F786" s="167"/>
      <c r="G786" s="167"/>
      <c r="H786" s="167"/>
      <c r="I786" s="167"/>
      <c r="J786" s="167"/>
      <c r="K786" s="167"/>
      <c r="L786" s="167"/>
      <c r="M786" s="167"/>
      <c r="N786" s="167"/>
      <c r="O786" s="44"/>
      <c r="P786" s="44"/>
    </row>
    <row r="787" spans="1:16" x14ac:dyDescent="0.2">
      <c r="A787" s="58" t="str">
        <v/>
      </c>
      <c r="B787" s="144" t="str">
        <f>IFERROR(TIMEVALUE(DaqBook_RAW_Data!AG777),IFERROR(TIMEVALUE(DaqBook_RAW_Data!A777),""))</f>
        <v/>
      </c>
      <c r="C787" s="167"/>
      <c r="D787" s="167"/>
      <c r="E787" s="167"/>
      <c r="F787" s="167"/>
      <c r="G787" s="167"/>
      <c r="H787" s="167"/>
      <c r="I787" s="167"/>
      <c r="J787" s="167"/>
      <c r="K787" s="167"/>
      <c r="L787" s="167"/>
      <c r="M787" s="167"/>
      <c r="N787" s="167"/>
      <c r="O787" s="44"/>
      <c r="P787" s="44"/>
    </row>
    <row r="788" spans="1:16" x14ac:dyDescent="0.2">
      <c r="A788" s="58" t="str">
        <v/>
      </c>
      <c r="B788" s="144" t="str">
        <f>IFERROR(TIMEVALUE(DaqBook_RAW_Data!AG778),IFERROR(TIMEVALUE(DaqBook_RAW_Data!A778),""))</f>
        <v/>
      </c>
      <c r="C788" s="167"/>
      <c r="D788" s="167"/>
      <c r="E788" s="167"/>
      <c r="F788" s="167"/>
      <c r="G788" s="167"/>
      <c r="H788" s="167"/>
      <c r="I788" s="167"/>
      <c r="J788" s="167"/>
      <c r="K788" s="167"/>
      <c r="L788" s="167"/>
      <c r="M788" s="167"/>
      <c r="N788" s="167"/>
      <c r="O788" s="44"/>
      <c r="P788" s="44"/>
    </row>
    <row r="789" spans="1:16" x14ac:dyDescent="0.2">
      <c r="A789" s="58" t="str">
        <v/>
      </c>
      <c r="B789" s="144" t="str">
        <f>IFERROR(TIMEVALUE(DaqBook_RAW_Data!AG779),IFERROR(TIMEVALUE(DaqBook_RAW_Data!A779),""))</f>
        <v/>
      </c>
      <c r="C789" s="167"/>
      <c r="D789" s="167"/>
      <c r="E789" s="167"/>
      <c r="F789" s="167"/>
      <c r="G789" s="167"/>
      <c r="H789" s="167"/>
      <c r="I789" s="167"/>
      <c r="J789" s="167"/>
      <c r="K789" s="167"/>
      <c r="L789" s="167"/>
      <c r="M789" s="167"/>
      <c r="N789" s="167"/>
      <c r="O789" s="44"/>
      <c r="P789" s="44"/>
    </row>
    <row r="790" spans="1:16" x14ac:dyDescent="0.2">
      <c r="A790" s="58" t="str">
        <v/>
      </c>
      <c r="B790" s="144" t="str">
        <f>IFERROR(TIMEVALUE(DaqBook_RAW_Data!AG780),IFERROR(TIMEVALUE(DaqBook_RAW_Data!A780),""))</f>
        <v/>
      </c>
      <c r="C790" s="167"/>
      <c r="D790" s="167"/>
      <c r="E790" s="167"/>
      <c r="F790" s="167"/>
      <c r="G790" s="167"/>
      <c r="H790" s="167"/>
      <c r="I790" s="167"/>
      <c r="J790" s="167"/>
      <c r="K790" s="167"/>
      <c r="L790" s="167"/>
      <c r="M790" s="167"/>
      <c r="N790" s="167"/>
      <c r="O790" s="44"/>
      <c r="P790" s="44"/>
    </row>
    <row r="791" spans="1:16" x14ac:dyDescent="0.2">
      <c r="A791" s="58" t="str">
        <v/>
      </c>
      <c r="B791" s="144" t="str">
        <f>IFERROR(TIMEVALUE(DaqBook_RAW_Data!AG781),IFERROR(TIMEVALUE(DaqBook_RAW_Data!A781),""))</f>
        <v/>
      </c>
      <c r="C791" s="167"/>
      <c r="D791" s="167"/>
      <c r="E791" s="167"/>
      <c r="F791" s="167"/>
      <c r="G791" s="167"/>
      <c r="H791" s="167"/>
      <c r="I791" s="167"/>
      <c r="J791" s="167"/>
      <c r="K791" s="167"/>
      <c r="L791" s="167"/>
      <c r="M791" s="167"/>
      <c r="N791" s="167"/>
      <c r="O791" s="44"/>
      <c r="P791" s="44"/>
    </row>
    <row r="792" spans="1:16" x14ac:dyDescent="0.2">
      <c r="A792" s="58" t="str">
        <v/>
      </c>
      <c r="B792" s="144" t="str">
        <f>IFERROR(TIMEVALUE(DaqBook_RAW_Data!AG782),IFERROR(TIMEVALUE(DaqBook_RAW_Data!A782),""))</f>
        <v/>
      </c>
      <c r="C792" s="167"/>
      <c r="D792" s="167"/>
      <c r="E792" s="167"/>
      <c r="F792" s="167"/>
      <c r="G792" s="167"/>
      <c r="H792" s="167"/>
      <c r="I792" s="167"/>
      <c r="J792" s="167"/>
      <c r="K792" s="167"/>
      <c r="L792" s="167"/>
      <c r="M792" s="167"/>
      <c r="N792" s="167"/>
      <c r="O792" s="44"/>
      <c r="P792" s="44"/>
    </row>
    <row r="793" spans="1:16" x14ac:dyDescent="0.2">
      <c r="A793" s="58" t="str">
        <v/>
      </c>
      <c r="B793" s="144" t="str">
        <f>IFERROR(TIMEVALUE(DaqBook_RAW_Data!AG783),IFERROR(TIMEVALUE(DaqBook_RAW_Data!A783),""))</f>
        <v/>
      </c>
      <c r="C793" s="167"/>
      <c r="D793" s="167"/>
      <c r="E793" s="167"/>
      <c r="F793" s="167"/>
      <c r="G793" s="167"/>
      <c r="H793" s="167"/>
      <c r="I793" s="167"/>
      <c r="J793" s="167"/>
      <c r="K793" s="167"/>
      <c r="L793" s="167"/>
      <c r="M793" s="167"/>
      <c r="N793" s="167"/>
      <c r="O793" s="44"/>
      <c r="P793" s="44"/>
    </row>
    <row r="794" spans="1:16" x14ac:dyDescent="0.2">
      <c r="A794" s="58" t="str">
        <v/>
      </c>
      <c r="B794" s="144" t="str">
        <f>IFERROR(TIMEVALUE(DaqBook_RAW_Data!AG784),IFERROR(TIMEVALUE(DaqBook_RAW_Data!A784),""))</f>
        <v/>
      </c>
      <c r="C794" s="167"/>
      <c r="D794" s="167"/>
      <c r="E794" s="167"/>
      <c r="F794" s="167"/>
      <c r="G794" s="167"/>
      <c r="H794" s="167"/>
      <c r="I794" s="167"/>
      <c r="J794" s="167"/>
      <c r="K794" s="167"/>
      <c r="L794" s="167"/>
      <c r="M794" s="167"/>
      <c r="N794" s="167"/>
      <c r="O794" s="44"/>
      <c r="P794" s="44"/>
    </row>
    <row r="795" spans="1:16" x14ac:dyDescent="0.2">
      <c r="A795" s="58" t="str">
        <v/>
      </c>
      <c r="B795" s="144" t="str">
        <f>IFERROR(TIMEVALUE(DaqBook_RAW_Data!AG785),IFERROR(TIMEVALUE(DaqBook_RAW_Data!A785),""))</f>
        <v/>
      </c>
      <c r="C795" s="167"/>
      <c r="D795" s="167"/>
      <c r="E795" s="167"/>
      <c r="F795" s="167"/>
      <c r="G795" s="167"/>
      <c r="H795" s="167"/>
      <c r="I795" s="167"/>
      <c r="J795" s="167"/>
      <c r="K795" s="167"/>
      <c r="L795" s="167"/>
      <c r="M795" s="167"/>
      <c r="N795" s="167"/>
      <c r="O795" s="44"/>
      <c r="P795" s="44"/>
    </row>
    <row r="796" spans="1:16" x14ac:dyDescent="0.2">
      <c r="A796" s="58" t="str">
        <v/>
      </c>
      <c r="B796" s="144" t="str">
        <f>IFERROR(TIMEVALUE(DaqBook_RAW_Data!AG786),IFERROR(TIMEVALUE(DaqBook_RAW_Data!A786),""))</f>
        <v/>
      </c>
      <c r="C796" s="167"/>
      <c r="D796" s="167"/>
      <c r="E796" s="167"/>
      <c r="F796" s="167"/>
      <c r="G796" s="167"/>
      <c r="H796" s="167"/>
      <c r="I796" s="167"/>
      <c r="J796" s="167"/>
      <c r="K796" s="167"/>
      <c r="L796" s="167"/>
      <c r="M796" s="167"/>
      <c r="N796" s="167"/>
      <c r="O796" s="44"/>
      <c r="P796" s="44"/>
    </row>
    <row r="797" spans="1:16" x14ac:dyDescent="0.2">
      <c r="A797" s="58" t="str">
        <v/>
      </c>
      <c r="B797" s="144" t="str">
        <f>IFERROR(TIMEVALUE(DaqBook_RAW_Data!AG787),IFERROR(TIMEVALUE(DaqBook_RAW_Data!A787),""))</f>
        <v/>
      </c>
      <c r="C797" s="167"/>
      <c r="D797" s="167"/>
      <c r="E797" s="167"/>
      <c r="F797" s="167"/>
      <c r="G797" s="167"/>
      <c r="H797" s="167"/>
      <c r="I797" s="167"/>
      <c r="J797" s="167"/>
      <c r="K797" s="167"/>
      <c r="L797" s="167"/>
      <c r="M797" s="167"/>
      <c r="N797" s="167"/>
      <c r="O797" s="44"/>
      <c r="P797" s="44"/>
    </row>
    <row r="798" spans="1:16" x14ac:dyDescent="0.2">
      <c r="A798" s="58" t="str">
        <v/>
      </c>
      <c r="B798" s="144" t="str">
        <f>IFERROR(TIMEVALUE(DaqBook_RAW_Data!AG788),IFERROR(TIMEVALUE(DaqBook_RAW_Data!A788),""))</f>
        <v/>
      </c>
      <c r="C798" s="167"/>
      <c r="D798" s="167"/>
      <c r="E798" s="167"/>
      <c r="F798" s="167"/>
      <c r="G798" s="167"/>
      <c r="H798" s="167"/>
      <c r="I798" s="167"/>
      <c r="J798" s="167"/>
      <c r="K798" s="167"/>
      <c r="L798" s="167"/>
      <c r="M798" s="167"/>
      <c r="N798" s="167"/>
      <c r="O798" s="44"/>
      <c r="P798" s="44"/>
    </row>
    <row r="799" spans="1:16" x14ac:dyDescent="0.2">
      <c r="A799" s="58" t="str">
        <v/>
      </c>
      <c r="B799" s="144" t="str">
        <f>IFERROR(TIMEVALUE(DaqBook_RAW_Data!AG789),IFERROR(TIMEVALUE(DaqBook_RAW_Data!A789),""))</f>
        <v/>
      </c>
      <c r="C799" s="167"/>
      <c r="D799" s="167"/>
      <c r="E799" s="167"/>
      <c r="F799" s="167"/>
      <c r="G799" s="167"/>
      <c r="H799" s="167"/>
      <c r="I799" s="167"/>
      <c r="J799" s="167"/>
      <c r="K799" s="167"/>
      <c r="L799" s="167"/>
      <c r="M799" s="167"/>
      <c r="N799" s="167"/>
      <c r="O799" s="44"/>
      <c r="P799" s="44"/>
    </row>
    <row r="800" spans="1:16" x14ac:dyDescent="0.2">
      <c r="A800" s="58" t="str">
        <v/>
      </c>
      <c r="B800" s="144" t="str">
        <f>IFERROR(TIMEVALUE(DaqBook_RAW_Data!AG790),IFERROR(TIMEVALUE(DaqBook_RAW_Data!A790),""))</f>
        <v/>
      </c>
      <c r="C800" s="167"/>
      <c r="D800" s="167"/>
      <c r="E800" s="167"/>
      <c r="F800" s="167"/>
      <c r="G800" s="167"/>
      <c r="H800" s="167"/>
      <c r="I800" s="167"/>
      <c r="J800" s="167"/>
      <c r="K800" s="167"/>
      <c r="L800" s="167"/>
      <c r="M800" s="167"/>
      <c r="N800" s="167"/>
      <c r="O800" s="44"/>
      <c r="P800" s="44"/>
    </row>
    <row r="801" spans="1:16" x14ac:dyDescent="0.2">
      <c r="A801" s="58" t="str">
        <v/>
      </c>
      <c r="B801" s="144" t="str">
        <f>IFERROR(TIMEVALUE(DaqBook_RAW_Data!AG791),IFERROR(TIMEVALUE(DaqBook_RAW_Data!A791),""))</f>
        <v/>
      </c>
      <c r="C801" s="167"/>
      <c r="D801" s="167"/>
      <c r="E801" s="167"/>
      <c r="F801" s="167"/>
      <c r="G801" s="167"/>
      <c r="H801" s="167"/>
      <c r="I801" s="167"/>
      <c r="J801" s="167"/>
      <c r="K801" s="167"/>
      <c r="L801" s="167"/>
      <c r="M801" s="167"/>
      <c r="N801" s="167"/>
      <c r="O801" s="44"/>
      <c r="P801" s="44"/>
    </row>
    <row r="802" spans="1:16" x14ac:dyDescent="0.2">
      <c r="A802" s="58" t="str">
        <v/>
      </c>
      <c r="B802" s="144" t="str">
        <f>IFERROR(TIMEVALUE(DaqBook_RAW_Data!AG792),IFERROR(TIMEVALUE(DaqBook_RAW_Data!A792),""))</f>
        <v/>
      </c>
      <c r="C802" s="167"/>
      <c r="D802" s="167"/>
      <c r="E802" s="167"/>
      <c r="F802" s="167"/>
      <c r="G802" s="167"/>
      <c r="H802" s="167"/>
      <c r="I802" s="167"/>
      <c r="J802" s="167"/>
      <c r="K802" s="167"/>
      <c r="L802" s="167"/>
      <c r="M802" s="167"/>
      <c r="N802" s="167"/>
      <c r="O802" s="44"/>
      <c r="P802" s="44"/>
    </row>
    <row r="803" spans="1:16" x14ac:dyDescent="0.2">
      <c r="A803" s="58" t="str">
        <v/>
      </c>
      <c r="B803" s="144" t="str">
        <f>IFERROR(TIMEVALUE(DaqBook_RAW_Data!AG793),IFERROR(TIMEVALUE(DaqBook_RAW_Data!A793),""))</f>
        <v/>
      </c>
      <c r="C803" s="167"/>
      <c r="D803" s="167"/>
      <c r="E803" s="167"/>
      <c r="F803" s="167"/>
      <c r="G803" s="167"/>
      <c r="H803" s="167"/>
      <c r="I803" s="167"/>
      <c r="J803" s="167"/>
      <c r="K803" s="167"/>
      <c r="L803" s="167"/>
      <c r="M803" s="167"/>
      <c r="N803" s="167"/>
      <c r="O803" s="44"/>
      <c r="P803" s="44"/>
    </row>
    <row r="804" spans="1:16" x14ac:dyDescent="0.2">
      <c r="A804" s="58" t="str">
        <v/>
      </c>
      <c r="B804" s="144" t="str">
        <f>IFERROR(TIMEVALUE(DaqBook_RAW_Data!AG794),IFERROR(TIMEVALUE(DaqBook_RAW_Data!A794),""))</f>
        <v/>
      </c>
      <c r="C804" s="167"/>
      <c r="D804" s="167"/>
      <c r="E804" s="167"/>
      <c r="F804" s="167"/>
      <c r="G804" s="167"/>
      <c r="H804" s="167"/>
      <c r="I804" s="167"/>
      <c r="J804" s="167"/>
      <c r="K804" s="167"/>
      <c r="L804" s="167"/>
      <c r="M804" s="167"/>
      <c r="N804" s="167"/>
      <c r="O804" s="44"/>
      <c r="P804" s="44"/>
    </row>
    <row r="805" spans="1:16" x14ac:dyDescent="0.2">
      <c r="A805" s="58" t="str">
        <v/>
      </c>
      <c r="B805" s="144" t="str">
        <f>IFERROR(TIMEVALUE(DaqBook_RAW_Data!AG795),IFERROR(TIMEVALUE(DaqBook_RAW_Data!A795),""))</f>
        <v/>
      </c>
      <c r="C805" s="167"/>
      <c r="D805" s="167"/>
      <c r="E805" s="167"/>
      <c r="F805" s="167"/>
      <c r="G805" s="167"/>
      <c r="H805" s="167"/>
      <c r="I805" s="167"/>
      <c r="J805" s="167"/>
      <c r="K805" s="167"/>
      <c r="L805" s="167"/>
      <c r="M805" s="167"/>
      <c r="N805" s="167"/>
      <c r="O805" s="44"/>
      <c r="P805" s="44"/>
    </row>
    <row r="806" spans="1:16" x14ac:dyDescent="0.2">
      <c r="A806" s="58" t="str">
        <v/>
      </c>
      <c r="B806" s="144" t="str">
        <f>IFERROR(TIMEVALUE(DaqBook_RAW_Data!AG796),IFERROR(TIMEVALUE(DaqBook_RAW_Data!A796),""))</f>
        <v/>
      </c>
      <c r="C806" s="167"/>
      <c r="D806" s="167"/>
      <c r="E806" s="167"/>
      <c r="F806" s="167"/>
      <c r="G806" s="167"/>
      <c r="H806" s="167"/>
      <c r="I806" s="167"/>
      <c r="J806" s="167"/>
      <c r="K806" s="167"/>
      <c r="L806" s="167"/>
      <c r="M806" s="167"/>
      <c r="N806" s="167"/>
      <c r="O806" s="44"/>
      <c r="P806" s="44"/>
    </row>
    <row r="807" spans="1:16" x14ac:dyDescent="0.2">
      <c r="A807" s="58" t="str">
        <v/>
      </c>
      <c r="B807" s="144" t="str">
        <f>IFERROR(TIMEVALUE(DaqBook_RAW_Data!AG797),IFERROR(TIMEVALUE(DaqBook_RAW_Data!A797),""))</f>
        <v/>
      </c>
      <c r="C807" s="167"/>
      <c r="D807" s="167"/>
      <c r="E807" s="167"/>
      <c r="F807" s="167"/>
      <c r="G807" s="167"/>
      <c r="H807" s="167"/>
      <c r="I807" s="167"/>
      <c r="J807" s="167"/>
      <c r="K807" s="167"/>
      <c r="L807" s="167"/>
      <c r="M807" s="167"/>
      <c r="N807" s="167"/>
      <c r="O807" s="44"/>
      <c r="P807" s="44"/>
    </row>
    <row r="808" spans="1:16" x14ac:dyDescent="0.2">
      <c r="A808" s="58" t="str">
        <v/>
      </c>
      <c r="B808" s="144" t="str">
        <f>IFERROR(TIMEVALUE(DaqBook_RAW_Data!AG798),IFERROR(TIMEVALUE(DaqBook_RAW_Data!A798),""))</f>
        <v/>
      </c>
      <c r="C808" s="167"/>
      <c r="D808" s="167"/>
      <c r="E808" s="167"/>
      <c r="F808" s="167"/>
      <c r="G808" s="167"/>
      <c r="H808" s="167"/>
      <c r="I808" s="167"/>
      <c r="J808" s="167"/>
      <c r="K808" s="167"/>
      <c r="L808" s="167"/>
      <c r="M808" s="167"/>
      <c r="N808" s="167"/>
      <c r="O808" s="44"/>
      <c r="P808" s="44"/>
    </row>
    <row r="809" spans="1:16" x14ac:dyDescent="0.2">
      <c r="A809" s="58" t="str">
        <v/>
      </c>
      <c r="B809" s="144" t="str">
        <f>IFERROR(TIMEVALUE(DaqBook_RAW_Data!AG799),IFERROR(TIMEVALUE(DaqBook_RAW_Data!A799),""))</f>
        <v/>
      </c>
      <c r="C809" s="167"/>
      <c r="D809" s="167"/>
      <c r="E809" s="167"/>
      <c r="F809" s="167"/>
      <c r="G809" s="167"/>
      <c r="H809" s="167"/>
      <c r="I809" s="167"/>
      <c r="J809" s="167"/>
      <c r="K809" s="167"/>
      <c r="L809" s="167"/>
      <c r="M809" s="167"/>
      <c r="N809" s="167"/>
      <c r="O809" s="44"/>
      <c r="P809" s="44"/>
    </row>
    <row r="810" spans="1:16" x14ac:dyDescent="0.2">
      <c r="A810" s="58" t="str">
        <v/>
      </c>
      <c r="B810" s="144" t="str">
        <f>IFERROR(TIMEVALUE(DaqBook_RAW_Data!AG800),IFERROR(TIMEVALUE(DaqBook_RAW_Data!A800),""))</f>
        <v/>
      </c>
      <c r="C810" s="167"/>
      <c r="D810" s="167"/>
      <c r="E810" s="167"/>
      <c r="F810" s="167"/>
      <c r="G810" s="167"/>
      <c r="H810" s="167"/>
      <c r="I810" s="167"/>
      <c r="J810" s="167"/>
      <c r="K810" s="167"/>
      <c r="L810" s="167"/>
      <c r="M810" s="167"/>
      <c r="N810" s="167"/>
      <c r="O810" s="44"/>
      <c r="P810" s="44"/>
    </row>
    <row r="811" spans="1:16" x14ac:dyDescent="0.2">
      <c r="A811" s="58" t="str">
        <v/>
      </c>
      <c r="B811" s="144" t="str">
        <f>IFERROR(TIMEVALUE(DaqBook_RAW_Data!AG801),IFERROR(TIMEVALUE(DaqBook_RAW_Data!A801),""))</f>
        <v/>
      </c>
      <c r="C811" s="167"/>
      <c r="D811" s="167"/>
      <c r="E811" s="167"/>
      <c r="F811" s="167"/>
      <c r="G811" s="167"/>
      <c r="H811" s="167"/>
      <c r="I811" s="167"/>
      <c r="J811" s="167"/>
      <c r="K811" s="167"/>
      <c r="L811" s="167"/>
      <c r="M811" s="167"/>
      <c r="N811" s="167"/>
      <c r="O811" s="44"/>
      <c r="P811" s="44"/>
    </row>
    <row r="812" spans="1:16" x14ac:dyDescent="0.2">
      <c r="A812" s="58" t="str">
        <v/>
      </c>
      <c r="B812" s="144" t="str">
        <f>IFERROR(TIMEVALUE(DaqBook_RAW_Data!AG802),IFERROR(TIMEVALUE(DaqBook_RAW_Data!A802),""))</f>
        <v/>
      </c>
      <c r="C812" s="167"/>
      <c r="D812" s="167"/>
      <c r="E812" s="167"/>
      <c r="F812" s="167"/>
      <c r="G812" s="167"/>
      <c r="H812" s="167"/>
      <c r="I812" s="167"/>
      <c r="J812" s="167"/>
      <c r="K812" s="167"/>
      <c r="L812" s="167"/>
      <c r="M812" s="167"/>
      <c r="N812" s="167"/>
      <c r="O812" s="44"/>
      <c r="P812" s="44"/>
    </row>
    <row r="813" spans="1:16" x14ac:dyDescent="0.2">
      <c r="A813" s="58" t="str">
        <v/>
      </c>
      <c r="B813" s="144" t="str">
        <f>IFERROR(TIMEVALUE(DaqBook_RAW_Data!AG803),IFERROR(TIMEVALUE(DaqBook_RAW_Data!A803),""))</f>
        <v/>
      </c>
      <c r="C813" s="167"/>
      <c r="D813" s="167"/>
      <c r="E813" s="167"/>
      <c r="F813" s="167"/>
      <c r="G813" s="167"/>
      <c r="H813" s="167"/>
      <c r="I813" s="167"/>
      <c r="J813" s="167"/>
      <c r="K813" s="167"/>
      <c r="L813" s="167"/>
      <c r="M813" s="167"/>
      <c r="N813" s="167"/>
      <c r="O813" s="44"/>
      <c r="P813" s="44"/>
    </row>
    <row r="814" spans="1:16" x14ac:dyDescent="0.2">
      <c r="A814" s="58" t="str">
        <v/>
      </c>
      <c r="B814" s="144" t="str">
        <f>IFERROR(TIMEVALUE(DaqBook_RAW_Data!AG804),IFERROR(TIMEVALUE(DaqBook_RAW_Data!A804),""))</f>
        <v/>
      </c>
      <c r="C814" s="167"/>
      <c r="D814" s="167"/>
      <c r="E814" s="167"/>
      <c r="F814" s="167"/>
      <c r="G814" s="167"/>
      <c r="H814" s="167"/>
      <c r="I814" s="167"/>
      <c r="J814" s="167"/>
      <c r="K814" s="167"/>
      <c r="L814" s="167"/>
      <c r="M814" s="167"/>
      <c r="N814" s="167"/>
      <c r="O814" s="44"/>
      <c r="P814" s="44"/>
    </row>
    <row r="815" spans="1:16" x14ac:dyDescent="0.2">
      <c r="A815" s="58" t="str">
        <v/>
      </c>
      <c r="B815" s="144" t="str">
        <f>IFERROR(TIMEVALUE(DaqBook_RAW_Data!AG805),IFERROR(TIMEVALUE(DaqBook_RAW_Data!A805),""))</f>
        <v/>
      </c>
      <c r="C815" s="167"/>
      <c r="D815" s="167"/>
      <c r="E815" s="167"/>
      <c r="F815" s="167"/>
      <c r="G815" s="167"/>
      <c r="H815" s="167"/>
      <c r="I815" s="167"/>
      <c r="J815" s="167"/>
      <c r="K815" s="167"/>
      <c r="L815" s="167"/>
      <c r="M815" s="167"/>
      <c r="N815" s="167"/>
      <c r="O815" s="44"/>
      <c r="P815" s="44"/>
    </row>
    <row r="816" spans="1:16" x14ac:dyDescent="0.2">
      <c r="A816" s="58" t="str">
        <v/>
      </c>
      <c r="B816" s="144" t="str">
        <f>IFERROR(TIMEVALUE(DaqBook_RAW_Data!AG806),IFERROR(TIMEVALUE(DaqBook_RAW_Data!A806),""))</f>
        <v/>
      </c>
      <c r="C816" s="167"/>
      <c r="D816" s="167"/>
      <c r="E816" s="167"/>
      <c r="F816" s="167"/>
      <c r="G816" s="167"/>
      <c r="H816" s="167"/>
      <c r="I816" s="167"/>
      <c r="J816" s="167"/>
      <c r="K816" s="167"/>
      <c r="L816" s="167"/>
      <c r="M816" s="167"/>
      <c r="N816" s="167"/>
      <c r="O816" s="44"/>
      <c r="P816" s="44"/>
    </row>
    <row r="817" spans="1:16" x14ac:dyDescent="0.2">
      <c r="A817" s="58" t="str">
        <v/>
      </c>
      <c r="B817" s="144" t="str">
        <f>IFERROR(TIMEVALUE(DaqBook_RAW_Data!AG807),IFERROR(TIMEVALUE(DaqBook_RAW_Data!A807),""))</f>
        <v/>
      </c>
      <c r="C817" s="167"/>
      <c r="D817" s="167"/>
      <c r="E817" s="167"/>
      <c r="F817" s="167"/>
      <c r="G817" s="167"/>
      <c r="H817" s="167"/>
      <c r="I817" s="167"/>
      <c r="J817" s="167"/>
      <c r="K817" s="167"/>
      <c r="L817" s="167"/>
      <c r="M817" s="167"/>
      <c r="N817" s="167"/>
      <c r="O817" s="44"/>
      <c r="P817" s="44"/>
    </row>
    <row r="818" spans="1:16" x14ac:dyDescent="0.2">
      <c r="A818" s="58" t="str">
        <v/>
      </c>
      <c r="B818" s="144" t="str">
        <f>IFERROR(TIMEVALUE(DaqBook_RAW_Data!AG808),IFERROR(TIMEVALUE(DaqBook_RAW_Data!A808),""))</f>
        <v/>
      </c>
      <c r="C818" s="167"/>
      <c r="D818" s="167"/>
      <c r="E818" s="167"/>
      <c r="F818" s="167"/>
      <c r="G818" s="167"/>
      <c r="H818" s="167"/>
      <c r="I818" s="167"/>
      <c r="J818" s="167"/>
      <c r="K818" s="167"/>
      <c r="L818" s="167"/>
      <c r="M818" s="167"/>
      <c r="N818" s="167"/>
      <c r="O818" s="44"/>
      <c r="P818" s="44"/>
    </row>
    <row r="819" spans="1:16" x14ac:dyDescent="0.2">
      <c r="A819" s="58" t="str">
        <v/>
      </c>
      <c r="B819" s="144" t="str">
        <f>IFERROR(TIMEVALUE(DaqBook_RAW_Data!AG809),IFERROR(TIMEVALUE(DaqBook_RAW_Data!A809),""))</f>
        <v/>
      </c>
      <c r="C819" s="167"/>
      <c r="D819" s="167"/>
      <c r="E819" s="167"/>
      <c r="F819" s="167"/>
      <c r="G819" s="167"/>
      <c r="H819" s="167"/>
      <c r="I819" s="167"/>
      <c r="J819" s="167"/>
      <c r="K819" s="167"/>
      <c r="L819" s="167"/>
      <c r="M819" s="167"/>
      <c r="N819" s="167"/>
      <c r="O819" s="44"/>
      <c r="P819" s="44"/>
    </row>
    <row r="820" spans="1:16" x14ac:dyDescent="0.2">
      <c r="A820" s="58" t="str">
        <v/>
      </c>
      <c r="B820" s="144" t="str">
        <f>IFERROR(TIMEVALUE(DaqBook_RAW_Data!AG810),IFERROR(TIMEVALUE(DaqBook_RAW_Data!A810),""))</f>
        <v/>
      </c>
      <c r="C820" s="167"/>
      <c r="D820" s="167"/>
      <c r="E820" s="167"/>
      <c r="F820" s="167"/>
      <c r="G820" s="167"/>
      <c r="H820" s="167"/>
      <c r="I820" s="167"/>
      <c r="J820" s="167"/>
      <c r="K820" s="167"/>
      <c r="L820" s="167"/>
      <c r="M820" s="167"/>
      <c r="N820" s="167"/>
      <c r="O820" s="44"/>
      <c r="P820" s="44"/>
    </row>
    <row r="821" spans="1:16" x14ac:dyDescent="0.2">
      <c r="A821" s="58" t="str">
        <v/>
      </c>
      <c r="B821" s="144" t="str">
        <f>IFERROR(TIMEVALUE(DaqBook_RAW_Data!AG811),IFERROR(TIMEVALUE(DaqBook_RAW_Data!A811),""))</f>
        <v/>
      </c>
      <c r="C821" s="167"/>
      <c r="D821" s="167"/>
      <c r="E821" s="167"/>
      <c r="F821" s="167"/>
      <c r="G821" s="167"/>
      <c r="H821" s="167"/>
      <c r="I821" s="167"/>
      <c r="J821" s="167"/>
      <c r="K821" s="167"/>
      <c r="L821" s="167"/>
      <c r="M821" s="167"/>
      <c r="N821" s="167"/>
      <c r="O821" s="44"/>
      <c r="P821" s="44"/>
    </row>
    <row r="822" spans="1:16" x14ac:dyDescent="0.2">
      <c r="A822" s="58" t="str">
        <v/>
      </c>
      <c r="B822" s="144" t="str">
        <f>IFERROR(TIMEVALUE(DaqBook_RAW_Data!AG812),IFERROR(TIMEVALUE(DaqBook_RAW_Data!A812),""))</f>
        <v/>
      </c>
      <c r="C822" s="167"/>
      <c r="D822" s="167"/>
      <c r="E822" s="167"/>
      <c r="F822" s="167"/>
      <c r="G822" s="167"/>
      <c r="H822" s="167"/>
      <c r="I822" s="167"/>
      <c r="J822" s="167"/>
      <c r="K822" s="167"/>
      <c r="L822" s="167"/>
      <c r="M822" s="167"/>
      <c r="N822" s="167"/>
      <c r="O822" s="44"/>
      <c r="P822" s="44"/>
    </row>
    <row r="823" spans="1:16" x14ac:dyDescent="0.2">
      <c r="A823" s="58" t="str">
        <v/>
      </c>
      <c r="B823" s="144" t="str">
        <f>IFERROR(TIMEVALUE(DaqBook_RAW_Data!AG813),IFERROR(TIMEVALUE(DaqBook_RAW_Data!A813),""))</f>
        <v/>
      </c>
      <c r="C823" s="167"/>
      <c r="D823" s="167"/>
      <c r="E823" s="167"/>
      <c r="F823" s="167"/>
      <c r="G823" s="167"/>
      <c r="H823" s="167"/>
      <c r="I823" s="167"/>
      <c r="J823" s="167"/>
      <c r="K823" s="167"/>
      <c r="L823" s="167"/>
      <c r="M823" s="167"/>
      <c r="N823" s="167"/>
      <c r="O823" s="44"/>
      <c r="P823" s="44"/>
    </row>
    <row r="824" spans="1:16" x14ac:dyDescent="0.2">
      <c r="A824" s="58" t="str">
        <v/>
      </c>
      <c r="B824" s="144" t="str">
        <f>IFERROR(TIMEVALUE(DaqBook_RAW_Data!AG814),IFERROR(TIMEVALUE(DaqBook_RAW_Data!A814),""))</f>
        <v/>
      </c>
      <c r="C824" s="167"/>
      <c r="D824" s="167"/>
      <c r="E824" s="167"/>
      <c r="F824" s="167"/>
      <c r="G824" s="167"/>
      <c r="H824" s="167"/>
      <c r="I824" s="167"/>
      <c r="J824" s="167"/>
      <c r="K824" s="167"/>
      <c r="L824" s="167"/>
      <c r="M824" s="167"/>
      <c r="N824" s="167"/>
      <c r="O824" s="44"/>
      <c r="P824" s="44"/>
    </row>
    <row r="825" spans="1:16" x14ac:dyDescent="0.2">
      <c r="A825" s="58" t="str">
        <v/>
      </c>
      <c r="B825" s="144" t="str">
        <f>IFERROR(TIMEVALUE(DaqBook_RAW_Data!AG815),IFERROR(TIMEVALUE(DaqBook_RAW_Data!A815),""))</f>
        <v/>
      </c>
      <c r="C825" s="167"/>
      <c r="D825" s="167"/>
      <c r="E825" s="167"/>
      <c r="F825" s="167"/>
      <c r="G825" s="167"/>
      <c r="H825" s="167"/>
      <c r="I825" s="167"/>
      <c r="J825" s="167"/>
      <c r="K825" s="167"/>
      <c r="L825" s="167"/>
      <c r="M825" s="167"/>
      <c r="N825" s="167"/>
      <c r="O825" s="44"/>
      <c r="P825" s="44"/>
    </row>
    <row r="826" spans="1:16" x14ac:dyDescent="0.2">
      <c r="A826" s="58" t="str">
        <v/>
      </c>
      <c r="B826" s="144" t="str">
        <f>IFERROR(TIMEVALUE(DaqBook_RAW_Data!AG816),IFERROR(TIMEVALUE(DaqBook_RAW_Data!A816),""))</f>
        <v/>
      </c>
      <c r="C826" s="167"/>
      <c r="D826" s="167"/>
      <c r="E826" s="167"/>
      <c r="F826" s="167"/>
      <c r="G826" s="167"/>
      <c r="H826" s="167"/>
      <c r="I826" s="167"/>
      <c r="J826" s="167"/>
      <c r="K826" s="167"/>
      <c r="L826" s="167"/>
      <c r="M826" s="167"/>
      <c r="N826" s="167"/>
      <c r="O826" s="44"/>
      <c r="P826" s="44"/>
    </row>
    <row r="827" spans="1:16" x14ac:dyDescent="0.2">
      <c r="A827" s="58" t="str">
        <v/>
      </c>
      <c r="B827" s="144" t="str">
        <f>IFERROR(TIMEVALUE(DaqBook_RAW_Data!AG817),IFERROR(TIMEVALUE(DaqBook_RAW_Data!A817),""))</f>
        <v/>
      </c>
      <c r="C827" s="167"/>
      <c r="D827" s="167"/>
      <c r="E827" s="167"/>
      <c r="F827" s="167"/>
      <c r="G827" s="167"/>
      <c r="H827" s="167"/>
      <c r="I827" s="167"/>
      <c r="J827" s="167"/>
      <c r="K827" s="167"/>
      <c r="L827" s="167"/>
      <c r="M827" s="167"/>
      <c r="N827" s="167"/>
      <c r="O827" s="44"/>
      <c r="P827" s="44"/>
    </row>
    <row r="828" spans="1:16" x14ac:dyDescent="0.2">
      <c r="A828" s="58" t="str">
        <v/>
      </c>
      <c r="B828" s="144" t="str">
        <f>IFERROR(TIMEVALUE(DaqBook_RAW_Data!AG818),IFERROR(TIMEVALUE(DaqBook_RAW_Data!A818),""))</f>
        <v/>
      </c>
      <c r="C828" s="167"/>
      <c r="D828" s="167"/>
      <c r="E828" s="167"/>
      <c r="F828" s="167"/>
      <c r="G828" s="167"/>
      <c r="H828" s="167"/>
      <c r="I828" s="167"/>
      <c r="J828" s="167"/>
      <c r="K828" s="167"/>
      <c r="L828" s="167"/>
      <c r="M828" s="167"/>
      <c r="N828" s="167"/>
      <c r="O828" s="44"/>
      <c r="P828" s="44"/>
    </row>
    <row r="829" spans="1:16" x14ac:dyDescent="0.2">
      <c r="A829" s="58" t="str">
        <v/>
      </c>
      <c r="B829" s="144" t="str">
        <f>IFERROR(TIMEVALUE(DaqBook_RAW_Data!AG819),IFERROR(TIMEVALUE(DaqBook_RAW_Data!A819),""))</f>
        <v/>
      </c>
      <c r="C829" s="167"/>
      <c r="D829" s="167"/>
      <c r="E829" s="167"/>
      <c r="F829" s="167"/>
      <c r="G829" s="167"/>
      <c r="H829" s="167"/>
      <c r="I829" s="167"/>
      <c r="J829" s="167"/>
      <c r="K829" s="167"/>
      <c r="L829" s="167"/>
      <c r="M829" s="167"/>
      <c r="N829" s="167"/>
      <c r="O829" s="44"/>
      <c r="P829" s="44"/>
    </row>
    <row r="830" spans="1:16" x14ac:dyDescent="0.2">
      <c r="A830" s="58" t="str">
        <v/>
      </c>
      <c r="B830" s="144" t="str">
        <f>IFERROR(TIMEVALUE(DaqBook_RAW_Data!AG820),IFERROR(TIMEVALUE(DaqBook_RAW_Data!A820),""))</f>
        <v/>
      </c>
      <c r="C830" s="167"/>
      <c r="D830" s="167"/>
      <c r="E830" s="167"/>
      <c r="F830" s="167"/>
      <c r="G830" s="167"/>
      <c r="H830" s="167"/>
      <c r="I830" s="167"/>
      <c r="J830" s="167"/>
      <c r="K830" s="167"/>
      <c r="L830" s="167"/>
      <c r="M830" s="167"/>
      <c r="N830" s="167"/>
      <c r="O830" s="44"/>
      <c r="P830" s="44"/>
    </row>
    <row r="831" spans="1:16" x14ac:dyDescent="0.2">
      <c r="A831" s="58" t="str">
        <v/>
      </c>
      <c r="B831" s="144" t="str">
        <f>IFERROR(TIMEVALUE(DaqBook_RAW_Data!AG821),IFERROR(TIMEVALUE(DaqBook_RAW_Data!A821),""))</f>
        <v/>
      </c>
      <c r="C831" s="167"/>
      <c r="D831" s="167"/>
      <c r="E831" s="167"/>
      <c r="F831" s="167"/>
      <c r="G831" s="167"/>
      <c r="H831" s="167"/>
      <c r="I831" s="167"/>
      <c r="J831" s="167"/>
      <c r="K831" s="167"/>
      <c r="L831" s="167"/>
      <c r="M831" s="167"/>
      <c r="N831" s="167"/>
      <c r="O831" s="44"/>
      <c r="P831" s="44"/>
    </row>
    <row r="832" spans="1:16" x14ac:dyDescent="0.2">
      <c r="A832" s="58" t="str">
        <v/>
      </c>
      <c r="B832" s="144" t="str">
        <f>IFERROR(TIMEVALUE(DaqBook_RAW_Data!AG822),IFERROR(TIMEVALUE(DaqBook_RAW_Data!A822),""))</f>
        <v/>
      </c>
      <c r="C832" s="167"/>
      <c r="D832" s="167"/>
      <c r="E832" s="167"/>
      <c r="F832" s="167"/>
      <c r="G832" s="167"/>
      <c r="H832" s="167"/>
      <c r="I832" s="167"/>
      <c r="J832" s="167"/>
      <c r="K832" s="167"/>
      <c r="L832" s="167"/>
      <c r="M832" s="167"/>
      <c r="N832" s="167"/>
      <c r="O832" s="44"/>
      <c r="P832" s="44"/>
    </row>
    <row r="833" spans="1:16" x14ac:dyDescent="0.2">
      <c r="A833" s="58" t="str">
        <v/>
      </c>
      <c r="B833" s="144" t="str">
        <f>IFERROR(TIMEVALUE(DaqBook_RAW_Data!AG823),IFERROR(TIMEVALUE(DaqBook_RAW_Data!A823),""))</f>
        <v/>
      </c>
      <c r="C833" s="167"/>
      <c r="D833" s="167"/>
      <c r="E833" s="167"/>
      <c r="F833" s="167"/>
      <c r="G833" s="167"/>
      <c r="H833" s="167"/>
      <c r="I833" s="167"/>
      <c r="J833" s="167"/>
      <c r="K833" s="167"/>
      <c r="L833" s="167"/>
      <c r="M833" s="167"/>
      <c r="N833" s="167"/>
      <c r="O833" s="44"/>
      <c r="P833" s="44"/>
    </row>
    <row r="834" spans="1:16" x14ac:dyDescent="0.2">
      <c r="A834" s="58" t="str">
        <v/>
      </c>
      <c r="B834" s="144" t="str">
        <f>IFERROR(TIMEVALUE(DaqBook_RAW_Data!AG824),IFERROR(TIMEVALUE(DaqBook_RAW_Data!A824),""))</f>
        <v/>
      </c>
      <c r="C834" s="167"/>
      <c r="D834" s="167"/>
      <c r="E834" s="167"/>
      <c r="F834" s="167"/>
      <c r="G834" s="167"/>
      <c r="H834" s="167"/>
      <c r="I834" s="167"/>
      <c r="J834" s="167"/>
      <c r="K834" s="167"/>
      <c r="L834" s="167"/>
      <c r="M834" s="167"/>
      <c r="N834" s="167"/>
      <c r="O834" s="44"/>
      <c r="P834" s="44"/>
    </row>
    <row r="835" spans="1:16" x14ac:dyDescent="0.2">
      <c r="A835" s="58" t="str">
        <v/>
      </c>
      <c r="B835" s="144" t="str">
        <f>IFERROR(TIMEVALUE(DaqBook_RAW_Data!AG825),IFERROR(TIMEVALUE(DaqBook_RAW_Data!A825),""))</f>
        <v/>
      </c>
      <c r="C835" s="167"/>
      <c r="D835" s="167"/>
      <c r="E835" s="167"/>
      <c r="F835" s="167"/>
      <c r="G835" s="167"/>
      <c r="H835" s="167"/>
      <c r="I835" s="167"/>
      <c r="J835" s="167"/>
      <c r="K835" s="167"/>
      <c r="L835" s="167"/>
      <c r="M835" s="167"/>
      <c r="N835" s="167"/>
      <c r="O835" s="44"/>
      <c r="P835" s="44"/>
    </row>
    <row r="836" spans="1:16" x14ac:dyDescent="0.2">
      <c r="A836" s="58" t="str">
        <v/>
      </c>
      <c r="B836" s="144" t="str">
        <f>IFERROR(TIMEVALUE(DaqBook_RAW_Data!AG826),IFERROR(TIMEVALUE(DaqBook_RAW_Data!A826),""))</f>
        <v/>
      </c>
      <c r="C836" s="167"/>
      <c r="D836" s="167"/>
      <c r="E836" s="167"/>
      <c r="F836" s="167"/>
      <c r="G836" s="167"/>
      <c r="H836" s="167"/>
      <c r="I836" s="167"/>
      <c r="J836" s="167"/>
      <c r="K836" s="167"/>
      <c r="L836" s="167"/>
      <c r="M836" s="167"/>
      <c r="N836" s="167"/>
      <c r="O836" s="44"/>
      <c r="P836" s="44"/>
    </row>
    <row r="837" spans="1:16" x14ac:dyDescent="0.2">
      <c r="A837" s="58" t="str">
        <v/>
      </c>
      <c r="B837" s="144" t="str">
        <f>IFERROR(TIMEVALUE(DaqBook_RAW_Data!AG827),IFERROR(TIMEVALUE(DaqBook_RAW_Data!A827),""))</f>
        <v/>
      </c>
      <c r="C837" s="167"/>
      <c r="D837" s="167"/>
      <c r="E837" s="167"/>
      <c r="F837" s="167"/>
      <c r="G837" s="167"/>
      <c r="H837" s="167"/>
      <c r="I837" s="167"/>
      <c r="J837" s="167"/>
      <c r="K837" s="167"/>
      <c r="L837" s="167"/>
      <c r="M837" s="167"/>
      <c r="N837" s="167"/>
      <c r="O837" s="44"/>
      <c r="P837" s="44"/>
    </row>
    <row r="838" spans="1:16" x14ac:dyDescent="0.2">
      <c r="A838" s="58" t="str">
        <v/>
      </c>
      <c r="B838" s="144" t="str">
        <f>IFERROR(TIMEVALUE(DaqBook_RAW_Data!AG828),IFERROR(TIMEVALUE(DaqBook_RAW_Data!A828),""))</f>
        <v/>
      </c>
      <c r="C838" s="167"/>
      <c r="D838" s="167"/>
      <c r="E838" s="167"/>
      <c r="F838" s="167"/>
      <c r="G838" s="167"/>
      <c r="H838" s="167"/>
      <c r="I838" s="167"/>
      <c r="J838" s="167"/>
      <c r="K838" s="167"/>
      <c r="L838" s="167"/>
      <c r="M838" s="167"/>
      <c r="N838" s="167"/>
      <c r="O838" s="44"/>
      <c r="P838" s="44"/>
    </row>
    <row r="839" spans="1:16" x14ac:dyDescent="0.2">
      <c r="A839" s="58" t="str">
        <v/>
      </c>
      <c r="B839" s="144" t="str">
        <f>IFERROR(TIMEVALUE(DaqBook_RAW_Data!AG829),IFERROR(TIMEVALUE(DaqBook_RAW_Data!A829),""))</f>
        <v/>
      </c>
      <c r="C839" s="167"/>
      <c r="D839" s="167"/>
      <c r="E839" s="167"/>
      <c r="F839" s="167"/>
      <c r="G839" s="167"/>
      <c r="H839" s="167"/>
      <c r="I839" s="167"/>
      <c r="J839" s="167"/>
      <c r="K839" s="167"/>
      <c r="L839" s="167"/>
      <c r="M839" s="167"/>
      <c r="N839" s="167"/>
      <c r="O839" s="44"/>
      <c r="P839" s="44"/>
    </row>
    <row r="840" spans="1:16" x14ac:dyDescent="0.2">
      <c r="A840" s="58" t="str">
        <v/>
      </c>
      <c r="B840" s="144" t="str">
        <f>IFERROR(TIMEVALUE(DaqBook_RAW_Data!AG830),IFERROR(TIMEVALUE(DaqBook_RAW_Data!A830),""))</f>
        <v/>
      </c>
      <c r="C840" s="167"/>
      <c r="D840" s="167"/>
      <c r="E840" s="167"/>
      <c r="F840" s="167"/>
      <c r="G840" s="167"/>
      <c r="H840" s="167"/>
      <c r="I840" s="167"/>
      <c r="J840" s="167"/>
      <c r="K840" s="167"/>
      <c r="L840" s="167"/>
      <c r="M840" s="167"/>
      <c r="N840" s="167"/>
      <c r="O840" s="44"/>
      <c r="P840" s="44"/>
    </row>
    <row r="841" spans="1:16" x14ac:dyDescent="0.2">
      <c r="A841" s="58" t="str">
        <v/>
      </c>
      <c r="B841" s="144" t="str">
        <f>IFERROR(TIMEVALUE(DaqBook_RAW_Data!AG831),IFERROR(TIMEVALUE(DaqBook_RAW_Data!A831),""))</f>
        <v/>
      </c>
      <c r="C841" s="167"/>
      <c r="D841" s="167"/>
      <c r="E841" s="167"/>
      <c r="F841" s="167"/>
      <c r="G841" s="167"/>
      <c r="H841" s="167"/>
      <c r="I841" s="167"/>
      <c r="J841" s="167"/>
      <c r="K841" s="167"/>
      <c r="L841" s="167"/>
      <c r="M841" s="167"/>
      <c r="N841" s="167"/>
      <c r="O841" s="44"/>
      <c r="P841" s="44"/>
    </row>
    <row r="842" spans="1:16" x14ac:dyDescent="0.2">
      <c r="A842" s="58" t="str">
        <v/>
      </c>
      <c r="B842" s="144" t="str">
        <f>IFERROR(TIMEVALUE(DaqBook_RAW_Data!AG832),IFERROR(TIMEVALUE(DaqBook_RAW_Data!A832),""))</f>
        <v/>
      </c>
      <c r="C842" s="167"/>
      <c r="D842" s="167"/>
      <c r="E842" s="167"/>
      <c r="F842" s="167"/>
      <c r="G842" s="167"/>
      <c r="H842" s="167"/>
      <c r="I842" s="167"/>
      <c r="J842" s="167"/>
      <c r="K842" s="167"/>
      <c r="L842" s="167"/>
      <c r="M842" s="167"/>
      <c r="N842" s="167"/>
      <c r="O842" s="44"/>
      <c r="P842" s="44"/>
    </row>
    <row r="843" spans="1:16" x14ac:dyDescent="0.2">
      <c r="A843" s="58" t="str">
        <v/>
      </c>
      <c r="B843" s="144" t="str">
        <f>IFERROR(TIMEVALUE(DaqBook_RAW_Data!AG833),IFERROR(TIMEVALUE(DaqBook_RAW_Data!A833),""))</f>
        <v/>
      </c>
      <c r="C843" s="167"/>
      <c r="D843" s="167"/>
      <c r="E843" s="167"/>
      <c r="F843" s="167"/>
      <c r="G843" s="167"/>
      <c r="H843" s="167"/>
      <c r="I843" s="167"/>
      <c r="J843" s="167"/>
      <c r="K843" s="167"/>
      <c r="L843" s="167"/>
      <c r="M843" s="167"/>
      <c r="N843" s="167"/>
      <c r="O843" s="44"/>
      <c r="P843" s="44"/>
    </row>
    <row r="844" spans="1:16" x14ac:dyDescent="0.2">
      <c r="A844" s="58" t="str">
        <v/>
      </c>
      <c r="B844" s="144" t="str">
        <f>IFERROR(TIMEVALUE(DaqBook_RAW_Data!AG834),IFERROR(TIMEVALUE(DaqBook_RAW_Data!A834),""))</f>
        <v/>
      </c>
      <c r="C844" s="167"/>
      <c r="D844" s="167"/>
      <c r="E844" s="167"/>
      <c r="F844" s="167"/>
      <c r="G844" s="167"/>
      <c r="H844" s="167"/>
      <c r="I844" s="167"/>
      <c r="J844" s="167"/>
      <c r="K844" s="167"/>
      <c r="L844" s="167"/>
      <c r="M844" s="167"/>
      <c r="N844" s="167"/>
      <c r="O844" s="44"/>
      <c r="P844" s="44"/>
    </row>
    <row r="845" spans="1:16" x14ac:dyDescent="0.2">
      <c r="A845" s="58" t="str">
        <v/>
      </c>
      <c r="B845" s="144" t="str">
        <f>IFERROR(TIMEVALUE(DaqBook_RAW_Data!AG835),IFERROR(TIMEVALUE(DaqBook_RAW_Data!A835),""))</f>
        <v/>
      </c>
      <c r="C845" s="167"/>
      <c r="D845" s="167"/>
      <c r="E845" s="167"/>
      <c r="F845" s="167"/>
      <c r="G845" s="167"/>
      <c r="H845" s="167"/>
      <c r="I845" s="167"/>
      <c r="J845" s="167"/>
      <c r="K845" s="167"/>
      <c r="L845" s="167"/>
      <c r="M845" s="167"/>
      <c r="N845" s="167"/>
      <c r="O845" s="44"/>
      <c r="P845" s="44"/>
    </row>
    <row r="846" spans="1:16" x14ac:dyDescent="0.2">
      <c r="A846" s="58" t="str">
        <v/>
      </c>
      <c r="B846" s="144" t="str">
        <f>IFERROR(TIMEVALUE(DaqBook_RAW_Data!AG836),IFERROR(TIMEVALUE(DaqBook_RAW_Data!A836),""))</f>
        <v/>
      </c>
      <c r="C846" s="167"/>
      <c r="D846" s="167"/>
      <c r="E846" s="167"/>
      <c r="F846" s="167"/>
      <c r="G846" s="167"/>
      <c r="H846" s="167"/>
      <c r="I846" s="167"/>
      <c r="J846" s="167"/>
      <c r="K846" s="167"/>
      <c r="L846" s="167"/>
      <c r="M846" s="167"/>
      <c r="N846" s="167"/>
      <c r="O846" s="44"/>
      <c r="P846" s="44"/>
    </row>
    <row r="847" spans="1:16" x14ac:dyDescent="0.2">
      <c r="A847" s="58" t="str">
        <v/>
      </c>
      <c r="B847" s="144" t="str">
        <f>IFERROR(TIMEVALUE(DaqBook_RAW_Data!AG837),IFERROR(TIMEVALUE(DaqBook_RAW_Data!A837),""))</f>
        <v/>
      </c>
      <c r="C847" s="167"/>
      <c r="D847" s="167"/>
      <c r="E847" s="167"/>
      <c r="F847" s="167"/>
      <c r="G847" s="167"/>
      <c r="H847" s="167"/>
      <c r="I847" s="167"/>
      <c r="J847" s="167"/>
      <c r="K847" s="167"/>
      <c r="L847" s="167"/>
      <c r="M847" s="167"/>
      <c r="N847" s="167"/>
      <c r="O847" s="44"/>
      <c r="P847" s="44"/>
    </row>
    <row r="848" spans="1:16" x14ac:dyDescent="0.2">
      <c r="A848" s="58" t="str">
        <v/>
      </c>
      <c r="B848" s="144" t="str">
        <f>IFERROR(TIMEVALUE(DaqBook_RAW_Data!AG838),IFERROR(TIMEVALUE(DaqBook_RAW_Data!A838),""))</f>
        <v/>
      </c>
      <c r="C848" s="167"/>
      <c r="D848" s="167"/>
      <c r="E848" s="167"/>
      <c r="F848" s="167"/>
      <c r="G848" s="167"/>
      <c r="H848" s="167"/>
      <c r="I848" s="167"/>
      <c r="J848" s="167"/>
      <c r="K848" s="167"/>
      <c r="L848" s="167"/>
      <c r="M848" s="167"/>
      <c r="N848" s="167"/>
      <c r="O848" s="44"/>
      <c r="P848" s="44"/>
    </row>
    <row r="849" spans="1:16" x14ac:dyDescent="0.2">
      <c r="A849" s="58" t="str">
        <v/>
      </c>
      <c r="B849" s="144" t="str">
        <f>IFERROR(TIMEVALUE(DaqBook_RAW_Data!AG839),IFERROR(TIMEVALUE(DaqBook_RAW_Data!A839),""))</f>
        <v/>
      </c>
      <c r="C849" s="167"/>
      <c r="D849" s="167"/>
      <c r="E849" s="167"/>
      <c r="F849" s="167"/>
      <c r="G849" s="167"/>
      <c r="H849" s="167"/>
      <c r="I849" s="167"/>
      <c r="J849" s="167"/>
      <c r="K849" s="167"/>
      <c r="L849" s="167"/>
      <c r="M849" s="167"/>
      <c r="N849" s="167"/>
      <c r="O849" s="44"/>
      <c r="P849" s="44"/>
    </row>
    <row r="850" spans="1:16" x14ac:dyDescent="0.2">
      <c r="A850" s="58" t="str">
        <v/>
      </c>
      <c r="B850" s="144" t="str">
        <f>IFERROR(TIMEVALUE(DaqBook_RAW_Data!AG840),IFERROR(TIMEVALUE(DaqBook_RAW_Data!A840),""))</f>
        <v/>
      </c>
      <c r="C850" s="167"/>
      <c r="D850" s="167"/>
      <c r="E850" s="167"/>
      <c r="F850" s="167"/>
      <c r="G850" s="167"/>
      <c r="H850" s="167"/>
      <c r="I850" s="167"/>
      <c r="J850" s="167"/>
      <c r="K850" s="167"/>
      <c r="L850" s="167"/>
      <c r="M850" s="167"/>
      <c r="N850" s="167"/>
      <c r="O850" s="44"/>
      <c r="P850" s="44"/>
    </row>
    <row r="851" spans="1:16" x14ac:dyDescent="0.2">
      <c r="A851" s="58" t="str">
        <v/>
      </c>
      <c r="B851" s="144" t="str">
        <f>IFERROR(TIMEVALUE(DaqBook_RAW_Data!AG841),IFERROR(TIMEVALUE(DaqBook_RAW_Data!A841),""))</f>
        <v/>
      </c>
      <c r="C851" s="167"/>
      <c r="D851" s="167"/>
      <c r="E851" s="167"/>
      <c r="F851" s="167"/>
      <c r="G851" s="167"/>
      <c r="H851" s="167"/>
      <c r="I851" s="167"/>
      <c r="J851" s="167"/>
      <c r="K851" s="167"/>
      <c r="L851" s="167"/>
      <c r="M851" s="167"/>
      <c r="N851" s="167"/>
      <c r="O851" s="44"/>
      <c r="P851" s="44"/>
    </row>
    <row r="852" spans="1:16" x14ac:dyDescent="0.2">
      <c r="A852" s="58" t="str">
        <v/>
      </c>
      <c r="B852" s="144" t="str">
        <f>IFERROR(TIMEVALUE(DaqBook_RAW_Data!AG842),IFERROR(TIMEVALUE(DaqBook_RAW_Data!A842),""))</f>
        <v/>
      </c>
      <c r="C852" s="167"/>
      <c r="D852" s="167"/>
      <c r="E852" s="167"/>
      <c r="F852" s="167"/>
      <c r="G852" s="167"/>
      <c r="H852" s="167"/>
      <c r="I852" s="167"/>
      <c r="J852" s="167"/>
      <c r="K852" s="167"/>
      <c r="L852" s="167"/>
      <c r="M852" s="167"/>
      <c r="N852" s="167"/>
      <c r="O852" s="44"/>
      <c r="P852" s="44"/>
    </row>
    <row r="853" spans="1:16" x14ac:dyDescent="0.2">
      <c r="A853" s="58" t="str">
        <v/>
      </c>
      <c r="B853" s="144" t="str">
        <f>IFERROR(TIMEVALUE(DaqBook_RAW_Data!AG843),IFERROR(TIMEVALUE(DaqBook_RAW_Data!A843),""))</f>
        <v/>
      </c>
      <c r="C853" s="167"/>
      <c r="D853" s="167"/>
      <c r="E853" s="167"/>
      <c r="F853" s="167"/>
      <c r="G853" s="167"/>
      <c r="H853" s="167"/>
      <c r="I853" s="167"/>
      <c r="J853" s="167"/>
      <c r="K853" s="167"/>
      <c r="L853" s="167"/>
      <c r="M853" s="167"/>
      <c r="N853" s="167"/>
      <c r="O853" s="44"/>
      <c r="P853" s="44"/>
    </row>
    <row r="854" spans="1:16" x14ac:dyDescent="0.2">
      <c r="A854" s="58" t="str">
        <v/>
      </c>
      <c r="B854" s="144" t="str">
        <f>IFERROR(TIMEVALUE(DaqBook_RAW_Data!AG844),IFERROR(TIMEVALUE(DaqBook_RAW_Data!A844),""))</f>
        <v/>
      </c>
      <c r="C854" s="167"/>
      <c r="D854" s="167"/>
      <c r="E854" s="167"/>
      <c r="F854" s="167"/>
      <c r="G854" s="167"/>
      <c r="H854" s="167"/>
      <c r="I854" s="167"/>
      <c r="J854" s="167"/>
      <c r="K854" s="167"/>
      <c r="L854" s="167"/>
      <c r="M854" s="167"/>
      <c r="N854" s="167"/>
      <c r="O854" s="44"/>
      <c r="P854" s="44"/>
    </row>
    <row r="855" spans="1:16" x14ac:dyDescent="0.2">
      <c r="A855" s="58" t="str">
        <v/>
      </c>
      <c r="B855" s="144" t="str">
        <f>IFERROR(TIMEVALUE(DaqBook_RAW_Data!AG845),IFERROR(TIMEVALUE(DaqBook_RAW_Data!A845),""))</f>
        <v/>
      </c>
      <c r="C855" s="167"/>
      <c r="D855" s="167"/>
      <c r="E855" s="167"/>
      <c r="F855" s="167"/>
      <c r="G855" s="167"/>
      <c r="H855" s="167"/>
      <c r="I855" s="167"/>
      <c r="J855" s="167"/>
      <c r="K855" s="167"/>
      <c r="L855" s="167"/>
      <c r="M855" s="167"/>
      <c r="N855" s="167"/>
      <c r="O855" s="44"/>
      <c r="P855" s="44"/>
    </row>
    <row r="856" spans="1:16" x14ac:dyDescent="0.2">
      <c r="A856" s="58" t="str">
        <v/>
      </c>
      <c r="B856" s="144" t="str">
        <f>IFERROR(TIMEVALUE(DaqBook_RAW_Data!AG846),IFERROR(TIMEVALUE(DaqBook_RAW_Data!A846),""))</f>
        <v/>
      </c>
      <c r="C856" s="167"/>
      <c r="D856" s="167"/>
      <c r="E856" s="167"/>
      <c r="F856" s="167"/>
      <c r="G856" s="167"/>
      <c r="H856" s="167"/>
      <c r="I856" s="167"/>
      <c r="J856" s="167"/>
      <c r="K856" s="167"/>
      <c r="L856" s="167"/>
      <c r="M856" s="167"/>
      <c r="N856" s="167"/>
      <c r="O856" s="44"/>
      <c r="P856" s="44"/>
    </row>
    <row r="857" spans="1:16" x14ac:dyDescent="0.2">
      <c r="A857" s="58" t="str">
        <v/>
      </c>
      <c r="B857" s="144" t="str">
        <f>IFERROR(TIMEVALUE(DaqBook_RAW_Data!AG847),IFERROR(TIMEVALUE(DaqBook_RAW_Data!A847),""))</f>
        <v/>
      </c>
      <c r="C857" s="167"/>
      <c r="D857" s="167"/>
      <c r="E857" s="167"/>
      <c r="F857" s="167"/>
      <c r="G857" s="167"/>
      <c r="H857" s="167"/>
      <c r="I857" s="167"/>
      <c r="J857" s="167"/>
      <c r="K857" s="167"/>
      <c r="L857" s="167"/>
      <c r="M857" s="167"/>
      <c r="N857" s="167"/>
      <c r="O857" s="44"/>
      <c r="P857" s="44"/>
    </row>
    <row r="858" spans="1:16" x14ac:dyDescent="0.2">
      <c r="A858" s="58" t="str">
        <v/>
      </c>
      <c r="B858" s="144" t="str">
        <f>IFERROR(TIMEVALUE(DaqBook_RAW_Data!AG848),IFERROR(TIMEVALUE(DaqBook_RAW_Data!A848),""))</f>
        <v/>
      </c>
      <c r="C858" s="167"/>
      <c r="D858" s="167"/>
      <c r="E858" s="167"/>
      <c r="F858" s="167"/>
      <c r="G858" s="167"/>
      <c r="H858" s="167"/>
      <c r="I858" s="167"/>
      <c r="J858" s="167"/>
      <c r="K858" s="167"/>
      <c r="L858" s="167"/>
      <c r="M858" s="167"/>
      <c r="N858" s="167"/>
      <c r="O858" s="44"/>
      <c r="P858" s="44"/>
    </row>
    <row r="859" spans="1:16" x14ac:dyDescent="0.2">
      <c r="A859" s="58" t="str">
        <v/>
      </c>
      <c r="B859" s="144" t="str">
        <f>IFERROR(TIMEVALUE(DaqBook_RAW_Data!AG849),IFERROR(TIMEVALUE(DaqBook_RAW_Data!A849),""))</f>
        <v/>
      </c>
      <c r="C859" s="167"/>
      <c r="D859" s="167"/>
      <c r="E859" s="167"/>
      <c r="F859" s="167"/>
      <c r="G859" s="167"/>
      <c r="H859" s="167"/>
      <c r="I859" s="167"/>
      <c r="J859" s="167"/>
      <c r="K859" s="167"/>
      <c r="L859" s="167"/>
      <c r="M859" s="167"/>
      <c r="N859" s="167"/>
      <c r="O859" s="44"/>
      <c r="P859" s="44"/>
    </row>
    <row r="860" spans="1:16" x14ac:dyDescent="0.2">
      <c r="A860" s="58" t="str">
        <v/>
      </c>
      <c r="B860" s="144" t="str">
        <f>IFERROR(TIMEVALUE(DaqBook_RAW_Data!AG850),IFERROR(TIMEVALUE(DaqBook_RAW_Data!A850),""))</f>
        <v/>
      </c>
      <c r="C860" s="167"/>
      <c r="D860" s="167"/>
      <c r="E860" s="167"/>
      <c r="F860" s="167"/>
      <c r="G860" s="167"/>
      <c r="H860" s="167"/>
      <c r="I860" s="167"/>
      <c r="J860" s="167"/>
      <c r="K860" s="167"/>
      <c r="L860" s="167"/>
      <c r="M860" s="167"/>
      <c r="N860" s="167"/>
      <c r="O860" s="44"/>
      <c r="P860" s="44"/>
    </row>
    <row r="861" spans="1:16" x14ac:dyDescent="0.2">
      <c r="A861" s="58" t="str">
        <v/>
      </c>
      <c r="B861" s="144" t="str">
        <f>IFERROR(TIMEVALUE(DaqBook_RAW_Data!AG851),IFERROR(TIMEVALUE(DaqBook_RAW_Data!A851),""))</f>
        <v/>
      </c>
      <c r="C861" s="167"/>
      <c r="D861" s="167"/>
      <c r="E861" s="167"/>
      <c r="F861" s="167"/>
      <c r="G861" s="167"/>
      <c r="H861" s="167"/>
      <c r="I861" s="167"/>
      <c r="J861" s="167"/>
      <c r="K861" s="167"/>
      <c r="L861" s="167"/>
      <c r="M861" s="167"/>
      <c r="N861" s="167"/>
      <c r="O861" s="44"/>
      <c r="P861" s="44"/>
    </row>
    <row r="862" spans="1:16" x14ac:dyDescent="0.2">
      <c r="A862" s="58" t="str">
        <v/>
      </c>
      <c r="B862" s="144" t="str">
        <f>IFERROR(TIMEVALUE(DaqBook_RAW_Data!AG852),IFERROR(TIMEVALUE(DaqBook_RAW_Data!A852),""))</f>
        <v/>
      </c>
      <c r="C862" s="167"/>
      <c r="D862" s="167"/>
      <c r="E862" s="167"/>
      <c r="F862" s="167"/>
      <c r="G862" s="167"/>
      <c r="H862" s="167"/>
      <c r="I862" s="167"/>
      <c r="J862" s="167"/>
      <c r="K862" s="167"/>
      <c r="L862" s="167"/>
      <c r="M862" s="167"/>
      <c r="N862" s="167"/>
      <c r="O862" s="44"/>
      <c r="P862" s="44"/>
    </row>
    <row r="863" spans="1:16" x14ac:dyDescent="0.2">
      <c r="A863" s="58" t="str">
        <v/>
      </c>
      <c r="B863" s="144" t="str">
        <f>IFERROR(TIMEVALUE(DaqBook_RAW_Data!AG853),IFERROR(TIMEVALUE(DaqBook_RAW_Data!A853),""))</f>
        <v/>
      </c>
      <c r="C863" s="167"/>
      <c r="D863" s="167"/>
      <c r="E863" s="167"/>
      <c r="F863" s="167"/>
      <c r="G863" s="167"/>
      <c r="H863" s="167"/>
      <c r="I863" s="167"/>
      <c r="J863" s="167"/>
      <c r="K863" s="167"/>
      <c r="L863" s="167"/>
      <c r="M863" s="167"/>
      <c r="N863" s="167"/>
      <c r="O863" s="44"/>
      <c r="P863" s="44"/>
    </row>
    <row r="864" spans="1:16" x14ac:dyDescent="0.2">
      <c r="A864" s="58" t="str">
        <v/>
      </c>
      <c r="B864" s="144" t="str">
        <f>IFERROR(TIMEVALUE(DaqBook_RAW_Data!AG854),IFERROR(TIMEVALUE(DaqBook_RAW_Data!A854),""))</f>
        <v/>
      </c>
      <c r="C864" s="167"/>
      <c r="D864" s="167"/>
      <c r="E864" s="167"/>
      <c r="F864" s="167"/>
      <c r="G864" s="167"/>
      <c r="H864" s="167"/>
      <c r="I864" s="167"/>
      <c r="J864" s="167"/>
      <c r="K864" s="167"/>
      <c r="L864" s="167"/>
      <c r="M864" s="167"/>
      <c r="N864" s="167"/>
      <c r="O864" s="44"/>
      <c r="P864" s="44"/>
    </row>
    <row r="865" spans="1:16" x14ac:dyDescent="0.2">
      <c r="A865" s="58" t="str">
        <v/>
      </c>
      <c r="B865" s="144" t="str">
        <f>IFERROR(TIMEVALUE(DaqBook_RAW_Data!AG855),IFERROR(TIMEVALUE(DaqBook_RAW_Data!A855),""))</f>
        <v/>
      </c>
      <c r="C865" s="167"/>
      <c r="D865" s="167"/>
      <c r="E865" s="167"/>
      <c r="F865" s="167"/>
      <c r="G865" s="167"/>
      <c r="H865" s="167"/>
      <c r="I865" s="167"/>
      <c r="J865" s="167"/>
      <c r="K865" s="167"/>
      <c r="L865" s="167"/>
      <c r="M865" s="167"/>
      <c r="N865" s="167"/>
      <c r="O865" s="44"/>
      <c r="P865" s="44"/>
    </row>
    <row r="866" spans="1:16" x14ac:dyDescent="0.2">
      <c r="A866" s="58" t="str">
        <v/>
      </c>
      <c r="B866" s="144" t="str">
        <f>IFERROR(TIMEVALUE(DaqBook_RAW_Data!AG856),IFERROR(TIMEVALUE(DaqBook_RAW_Data!A856),""))</f>
        <v/>
      </c>
      <c r="C866" s="167"/>
      <c r="D866" s="167"/>
      <c r="E866" s="167"/>
      <c r="F866" s="167"/>
      <c r="G866" s="167"/>
      <c r="H866" s="167"/>
      <c r="I866" s="167"/>
      <c r="J866" s="167"/>
      <c r="K866" s="167"/>
      <c r="L866" s="167"/>
      <c r="M866" s="167"/>
      <c r="N866" s="167"/>
      <c r="O866" s="44"/>
      <c r="P866" s="44"/>
    </row>
    <row r="867" spans="1:16" x14ac:dyDescent="0.2">
      <c r="A867" s="58" t="str">
        <v/>
      </c>
      <c r="B867" s="144" t="str">
        <f>IFERROR(TIMEVALUE(DaqBook_RAW_Data!AG857),IFERROR(TIMEVALUE(DaqBook_RAW_Data!A857),""))</f>
        <v/>
      </c>
      <c r="C867" s="167"/>
      <c r="D867" s="167"/>
      <c r="E867" s="167"/>
      <c r="F867" s="167"/>
      <c r="G867" s="167"/>
      <c r="H867" s="167"/>
      <c r="I867" s="167"/>
      <c r="J867" s="167"/>
      <c r="K867" s="167"/>
      <c r="L867" s="167"/>
      <c r="M867" s="167"/>
      <c r="N867" s="167"/>
      <c r="O867" s="44"/>
      <c r="P867" s="44"/>
    </row>
    <row r="868" spans="1:16" x14ac:dyDescent="0.2">
      <c r="A868" s="58" t="str">
        <v/>
      </c>
      <c r="B868" s="144" t="str">
        <f>IFERROR(TIMEVALUE(DaqBook_RAW_Data!AG858),IFERROR(TIMEVALUE(DaqBook_RAW_Data!A858),""))</f>
        <v/>
      </c>
      <c r="C868" s="167"/>
      <c r="D868" s="167"/>
      <c r="E868" s="167"/>
      <c r="F868" s="167"/>
      <c r="G868" s="167"/>
      <c r="H868" s="167"/>
      <c r="I868" s="167"/>
      <c r="J868" s="167"/>
      <c r="K868" s="167"/>
      <c r="L868" s="167"/>
      <c r="M868" s="167"/>
      <c r="N868" s="167"/>
      <c r="O868" s="44"/>
      <c r="P868" s="44"/>
    </row>
    <row r="869" spans="1:16" x14ac:dyDescent="0.2">
      <c r="A869" s="58" t="str">
        <v/>
      </c>
      <c r="B869" s="144" t="str">
        <f>IFERROR(TIMEVALUE(DaqBook_RAW_Data!AG859),IFERROR(TIMEVALUE(DaqBook_RAW_Data!A859),""))</f>
        <v/>
      </c>
      <c r="C869" s="167"/>
      <c r="D869" s="167"/>
      <c r="E869" s="167"/>
      <c r="F869" s="167"/>
      <c r="G869" s="167"/>
      <c r="H869" s="167"/>
      <c r="I869" s="167"/>
      <c r="J869" s="167"/>
      <c r="K869" s="167"/>
      <c r="L869" s="167"/>
      <c r="M869" s="167"/>
      <c r="N869" s="167"/>
      <c r="O869" s="44"/>
      <c r="P869" s="44"/>
    </row>
    <row r="870" spans="1:16" x14ac:dyDescent="0.2">
      <c r="A870" s="58" t="str">
        <v/>
      </c>
      <c r="B870" s="144" t="str">
        <f>IFERROR(TIMEVALUE(DaqBook_RAW_Data!AG860),IFERROR(TIMEVALUE(DaqBook_RAW_Data!A860),""))</f>
        <v/>
      </c>
      <c r="C870" s="167"/>
      <c r="D870" s="167"/>
      <c r="E870" s="167"/>
      <c r="F870" s="167"/>
      <c r="G870" s="167"/>
      <c r="H870" s="167"/>
      <c r="I870" s="167"/>
      <c r="J870" s="167"/>
      <c r="K870" s="167"/>
      <c r="L870" s="167"/>
      <c r="M870" s="167"/>
      <c r="N870" s="167"/>
      <c r="O870" s="44"/>
      <c r="P870" s="44"/>
    </row>
    <row r="871" spans="1:16" x14ac:dyDescent="0.2">
      <c r="A871" s="58" t="str">
        <v/>
      </c>
      <c r="B871" s="144" t="str">
        <f>IFERROR(TIMEVALUE(DaqBook_RAW_Data!AG861),IFERROR(TIMEVALUE(DaqBook_RAW_Data!A861),""))</f>
        <v/>
      </c>
      <c r="C871" s="167"/>
      <c r="D871" s="167"/>
      <c r="E871" s="167"/>
      <c r="F871" s="167"/>
      <c r="G871" s="167"/>
      <c r="H871" s="167"/>
      <c r="I871" s="167"/>
      <c r="J871" s="167"/>
      <c r="K871" s="167"/>
      <c r="L871" s="167"/>
      <c r="M871" s="167"/>
      <c r="N871" s="167"/>
      <c r="O871" s="44"/>
      <c r="P871" s="44"/>
    </row>
    <row r="872" spans="1:16" x14ac:dyDescent="0.2">
      <c r="A872" s="58" t="str">
        <v/>
      </c>
      <c r="B872" s="144" t="str">
        <f>IFERROR(TIMEVALUE(DaqBook_RAW_Data!AG862),IFERROR(TIMEVALUE(DaqBook_RAW_Data!A862),""))</f>
        <v/>
      </c>
      <c r="C872" s="167"/>
      <c r="D872" s="167"/>
      <c r="E872" s="167"/>
      <c r="F872" s="167"/>
      <c r="G872" s="167"/>
      <c r="H872" s="167"/>
      <c r="I872" s="167"/>
      <c r="J872" s="167"/>
      <c r="K872" s="167"/>
      <c r="L872" s="167"/>
      <c r="M872" s="167"/>
      <c r="N872" s="167"/>
      <c r="O872" s="44"/>
      <c r="P872" s="44"/>
    </row>
    <row r="873" spans="1:16" x14ac:dyDescent="0.2">
      <c r="A873" s="58" t="str">
        <v/>
      </c>
      <c r="B873" s="144" t="str">
        <f>IFERROR(TIMEVALUE(DaqBook_RAW_Data!AG863),IFERROR(TIMEVALUE(DaqBook_RAW_Data!A863),""))</f>
        <v/>
      </c>
      <c r="C873" s="167"/>
      <c r="D873" s="167"/>
      <c r="E873" s="167"/>
      <c r="F873" s="167"/>
      <c r="G873" s="167"/>
      <c r="H873" s="167"/>
      <c r="I873" s="167"/>
      <c r="J873" s="167"/>
      <c r="K873" s="167"/>
      <c r="L873" s="167"/>
      <c r="M873" s="167"/>
      <c r="N873" s="167"/>
      <c r="O873" s="44"/>
      <c r="P873" s="44"/>
    </row>
    <row r="874" spans="1:16" x14ac:dyDescent="0.2">
      <c r="A874" s="58" t="str">
        <v/>
      </c>
      <c r="B874" s="144" t="str">
        <f>IFERROR(TIMEVALUE(DaqBook_RAW_Data!AG864),IFERROR(TIMEVALUE(DaqBook_RAW_Data!A864),""))</f>
        <v/>
      </c>
      <c r="C874" s="167"/>
      <c r="D874" s="167"/>
      <c r="E874" s="167"/>
      <c r="F874" s="167"/>
      <c r="G874" s="167"/>
      <c r="H874" s="167"/>
      <c r="I874" s="167"/>
      <c r="J874" s="167"/>
      <c r="K874" s="167"/>
      <c r="L874" s="167"/>
      <c r="M874" s="167"/>
      <c r="N874" s="167"/>
      <c r="O874" s="44"/>
      <c r="P874" s="44"/>
    </row>
    <row r="875" spans="1:16" x14ac:dyDescent="0.2">
      <c r="A875" s="58" t="str">
        <v/>
      </c>
      <c r="B875" s="144" t="str">
        <f>IFERROR(TIMEVALUE(DaqBook_RAW_Data!AG865),IFERROR(TIMEVALUE(DaqBook_RAW_Data!A865),""))</f>
        <v/>
      </c>
      <c r="C875" s="167"/>
      <c r="D875" s="167"/>
      <c r="E875" s="167"/>
      <c r="F875" s="167"/>
      <c r="G875" s="167"/>
      <c r="H875" s="167"/>
      <c r="I875" s="167"/>
      <c r="J875" s="167"/>
      <c r="K875" s="167"/>
      <c r="L875" s="167"/>
      <c r="M875" s="167"/>
      <c r="N875" s="167"/>
      <c r="O875" s="44"/>
      <c r="P875" s="44"/>
    </row>
    <row r="876" spans="1:16" x14ac:dyDescent="0.2">
      <c r="A876" s="58" t="str">
        <v/>
      </c>
      <c r="B876" s="144" t="str">
        <f>IFERROR(TIMEVALUE(DaqBook_RAW_Data!AG866),IFERROR(TIMEVALUE(DaqBook_RAW_Data!A866),""))</f>
        <v/>
      </c>
      <c r="C876" s="167"/>
      <c r="D876" s="167"/>
      <c r="E876" s="167"/>
      <c r="F876" s="167"/>
      <c r="G876" s="167"/>
      <c r="H876" s="167"/>
      <c r="I876" s="167"/>
      <c r="J876" s="167"/>
      <c r="K876" s="167"/>
      <c r="L876" s="167"/>
      <c r="M876" s="167"/>
      <c r="N876" s="167"/>
      <c r="O876" s="44"/>
      <c r="P876" s="44"/>
    </row>
    <row r="877" spans="1:16" x14ac:dyDescent="0.2">
      <c r="A877" s="58" t="str">
        <v/>
      </c>
      <c r="B877" s="144" t="str">
        <f>IFERROR(TIMEVALUE(DaqBook_RAW_Data!AG867),IFERROR(TIMEVALUE(DaqBook_RAW_Data!A867),""))</f>
        <v/>
      </c>
      <c r="C877" s="167"/>
      <c r="D877" s="167"/>
      <c r="E877" s="167"/>
      <c r="F877" s="167"/>
      <c r="G877" s="167"/>
      <c r="H877" s="167"/>
      <c r="I877" s="167"/>
      <c r="J877" s="167"/>
      <c r="K877" s="167"/>
      <c r="L877" s="167"/>
      <c r="M877" s="167"/>
      <c r="N877" s="167"/>
      <c r="O877" s="44"/>
      <c r="P877" s="44"/>
    </row>
    <row r="878" spans="1:16" x14ac:dyDescent="0.2">
      <c r="A878" s="58" t="str">
        <v/>
      </c>
      <c r="B878" s="144" t="str">
        <f>IFERROR(TIMEVALUE(DaqBook_RAW_Data!AG868),IFERROR(TIMEVALUE(DaqBook_RAW_Data!A868),""))</f>
        <v/>
      </c>
      <c r="C878" s="167"/>
      <c r="D878" s="167"/>
      <c r="E878" s="167"/>
      <c r="F878" s="167"/>
      <c r="G878" s="167"/>
      <c r="H878" s="167"/>
      <c r="I878" s="167"/>
      <c r="J878" s="167"/>
      <c r="K878" s="167"/>
      <c r="L878" s="167"/>
      <c r="M878" s="167"/>
      <c r="N878" s="167"/>
      <c r="O878" s="44"/>
      <c r="P878" s="44"/>
    </row>
    <row r="879" spans="1:16" x14ac:dyDescent="0.2">
      <c r="A879" s="58" t="str">
        <v/>
      </c>
      <c r="B879" s="144" t="str">
        <f>IFERROR(TIMEVALUE(DaqBook_RAW_Data!AG869),IFERROR(TIMEVALUE(DaqBook_RAW_Data!A869),""))</f>
        <v/>
      </c>
      <c r="C879" s="167"/>
      <c r="D879" s="167"/>
      <c r="E879" s="167"/>
      <c r="F879" s="167"/>
      <c r="G879" s="167"/>
      <c r="H879" s="167"/>
      <c r="I879" s="167"/>
      <c r="J879" s="167"/>
      <c r="K879" s="167"/>
      <c r="L879" s="167"/>
      <c r="M879" s="167"/>
      <c r="N879" s="167"/>
      <c r="O879" s="44"/>
      <c r="P879" s="44"/>
    </row>
    <row r="880" spans="1:16" x14ac:dyDescent="0.2">
      <c r="A880" s="58" t="str">
        <v/>
      </c>
      <c r="B880" s="144" t="str">
        <f>IFERROR(TIMEVALUE(DaqBook_RAW_Data!AG870),IFERROR(TIMEVALUE(DaqBook_RAW_Data!A870),""))</f>
        <v/>
      </c>
      <c r="C880" s="167"/>
      <c r="D880" s="167"/>
      <c r="E880" s="167"/>
      <c r="F880" s="167"/>
      <c r="G880" s="167"/>
      <c r="H880" s="167"/>
      <c r="I880" s="167"/>
      <c r="J880" s="167"/>
      <c r="K880" s="167"/>
      <c r="L880" s="167"/>
      <c r="M880" s="167"/>
      <c r="N880" s="167"/>
      <c r="O880" s="44"/>
      <c r="P880" s="44"/>
    </row>
    <row r="881" spans="1:16" x14ac:dyDescent="0.2">
      <c r="A881" s="58" t="str">
        <v/>
      </c>
      <c r="B881" s="144" t="str">
        <f>IFERROR(TIMEVALUE(DaqBook_RAW_Data!AG871),IFERROR(TIMEVALUE(DaqBook_RAW_Data!A871),""))</f>
        <v/>
      </c>
      <c r="C881" s="167"/>
      <c r="D881" s="167"/>
      <c r="E881" s="167"/>
      <c r="F881" s="167"/>
      <c r="G881" s="167"/>
      <c r="H881" s="167"/>
      <c r="I881" s="167"/>
      <c r="J881" s="167"/>
      <c r="K881" s="167"/>
      <c r="L881" s="167"/>
      <c r="M881" s="167"/>
      <c r="N881" s="167"/>
      <c r="O881" s="44"/>
      <c r="P881" s="44"/>
    </row>
    <row r="882" spans="1:16" x14ac:dyDescent="0.2">
      <c r="A882" s="58" t="str">
        <v/>
      </c>
      <c r="B882" s="144" t="str">
        <f>IFERROR(TIMEVALUE(DaqBook_RAW_Data!AG872),IFERROR(TIMEVALUE(DaqBook_RAW_Data!A872),""))</f>
        <v/>
      </c>
      <c r="C882" s="167"/>
      <c r="D882" s="167"/>
      <c r="E882" s="167"/>
      <c r="F882" s="167"/>
      <c r="G882" s="167"/>
      <c r="H882" s="167"/>
      <c r="I882" s="167"/>
      <c r="J882" s="167"/>
      <c r="K882" s="167"/>
      <c r="L882" s="167"/>
      <c r="M882" s="167"/>
      <c r="N882" s="167"/>
      <c r="O882" s="44"/>
      <c r="P882" s="44"/>
    </row>
    <row r="883" spans="1:16" x14ac:dyDescent="0.2">
      <c r="A883" s="58" t="str">
        <v/>
      </c>
      <c r="B883" s="144" t="str">
        <f>IFERROR(TIMEVALUE(DaqBook_RAW_Data!AG873),IFERROR(TIMEVALUE(DaqBook_RAW_Data!A873),""))</f>
        <v/>
      </c>
      <c r="C883" s="167"/>
      <c r="D883" s="167"/>
      <c r="E883" s="167"/>
      <c r="F883" s="167"/>
      <c r="G883" s="167"/>
      <c r="H883" s="167"/>
      <c r="I883" s="167"/>
      <c r="J883" s="167"/>
      <c r="K883" s="167"/>
      <c r="L883" s="167"/>
      <c r="M883" s="167"/>
      <c r="N883" s="167"/>
      <c r="O883" s="44"/>
      <c r="P883" s="44"/>
    </row>
    <row r="884" spans="1:16" x14ac:dyDescent="0.2">
      <c r="A884" s="58" t="str">
        <v/>
      </c>
      <c r="B884" s="144" t="str">
        <f>IFERROR(TIMEVALUE(DaqBook_RAW_Data!AG874),IFERROR(TIMEVALUE(DaqBook_RAW_Data!A874),""))</f>
        <v/>
      </c>
      <c r="C884" s="167"/>
      <c r="D884" s="167"/>
      <c r="E884" s="167"/>
      <c r="F884" s="167"/>
      <c r="G884" s="167"/>
      <c r="H884" s="167"/>
      <c r="I884" s="167"/>
      <c r="J884" s="167"/>
      <c r="K884" s="167"/>
      <c r="L884" s="167"/>
      <c r="M884" s="167"/>
      <c r="N884" s="167"/>
      <c r="O884" s="44"/>
      <c r="P884" s="44"/>
    </row>
    <row r="885" spans="1:16" x14ac:dyDescent="0.2">
      <c r="A885" s="58" t="str">
        <v/>
      </c>
      <c r="B885" s="144" t="str">
        <f>IFERROR(TIMEVALUE(DaqBook_RAW_Data!AG875),IFERROR(TIMEVALUE(DaqBook_RAW_Data!A875),""))</f>
        <v/>
      </c>
      <c r="C885" s="167"/>
      <c r="D885" s="167"/>
      <c r="E885" s="167"/>
      <c r="F885" s="167"/>
      <c r="G885" s="167"/>
      <c r="H885" s="167"/>
      <c r="I885" s="167"/>
      <c r="J885" s="167"/>
      <c r="K885" s="167"/>
      <c r="L885" s="167"/>
      <c r="M885" s="167"/>
      <c r="N885" s="167"/>
      <c r="O885" s="44"/>
      <c r="P885" s="44"/>
    </row>
    <row r="886" spans="1:16" x14ac:dyDescent="0.2">
      <c r="A886" s="58" t="str">
        <v/>
      </c>
      <c r="B886" s="144" t="str">
        <f>IFERROR(TIMEVALUE(DaqBook_RAW_Data!AG876),IFERROR(TIMEVALUE(DaqBook_RAW_Data!A876),""))</f>
        <v/>
      </c>
      <c r="C886" s="167"/>
      <c r="D886" s="167"/>
      <c r="E886" s="167"/>
      <c r="F886" s="167"/>
      <c r="G886" s="167"/>
      <c r="H886" s="167"/>
      <c r="I886" s="167"/>
      <c r="J886" s="167"/>
      <c r="K886" s="167"/>
      <c r="L886" s="167"/>
      <c r="M886" s="167"/>
      <c r="N886" s="167"/>
      <c r="O886" s="44"/>
      <c r="P886" s="44"/>
    </row>
    <row r="887" spans="1:16" x14ac:dyDescent="0.2">
      <c r="A887" s="58" t="str">
        <v/>
      </c>
      <c r="B887" s="144" t="str">
        <f>IFERROR(TIMEVALUE(DaqBook_RAW_Data!AG877),IFERROR(TIMEVALUE(DaqBook_RAW_Data!A877),""))</f>
        <v/>
      </c>
      <c r="C887" s="167"/>
      <c r="D887" s="167"/>
      <c r="E887" s="167"/>
      <c r="F887" s="167"/>
      <c r="G887" s="167"/>
      <c r="H887" s="167"/>
      <c r="I887" s="167"/>
      <c r="J887" s="167"/>
      <c r="K887" s="167"/>
      <c r="L887" s="167"/>
      <c r="M887" s="167"/>
      <c r="N887" s="167"/>
      <c r="O887" s="44"/>
      <c r="P887" s="44"/>
    </row>
    <row r="888" spans="1:16" x14ac:dyDescent="0.2">
      <c r="A888" s="58" t="str">
        <v/>
      </c>
      <c r="B888" s="144" t="str">
        <f>IFERROR(TIMEVALUE(DaqBook_RAW_Data!AG878),IFERROR(TIMEVALUE(DaqBook_RAW_Data!A878),""))</f>
        <v/>
      </c>
      <c r="C888" s="167"/>
      <c r="D888" s="167"/>
      <c r="E888" s="167"/>
      <c r="F888" s="167"/>
      <c r="G888" s="167"/>
      <c r="H888" s="167"/>
      <c r="I888" s="167"/>
      <c r="J888" s="167"/>
      <c r="K888" s="167"/>
      <c r="L888" s="167"/>
      <c r="M888" s="167"/>
      <c r="N888" s="167"/>
      <c r="O888" s="44"/>
      <c r="P888" s="44"/>
    </row>
    <row r="889" spans="1:16" x14ac:dyDescent="0.2">
      <c r="A889" s="58" t="str">
        <v/>
      </c>
      <c r="B889" s="144" t="str">
        <f>IFERROR(TIMEVALUE(DaqBook_RAW_Data!AG879),IFERROR(TIMEVALUE(DaqBook_RAW_Data!A879),""))</f>
        <v/>
      </c>
      <c r="C889" s="167"/>
      <c r="D889" s="167"/>
      <c r="E889" s="167"/>
      <c r="F889" s="167"/>
      <c r="G889" s="167"/>
      <c r="H889" s="167"/>
      <c r="I889" s="167"/>
      <c r="J889" s="167"/>
      <c r="K889" s="167"/>
      <c r="L889" s="167"/>
      <c r="M889" s="167"/>
      <c r="N889" s="167"/>
      <c r="O889" s="44"/>
      <c r="P889" s="44"/>
    </row>
    <row r="890" spans="1:16" x14ac:dyDescent="0.2">
      <c r="A890" s="58" t="str">
        <v/>
      </c>
      <c r="B890" s="144" t="str">
        <f>IFERROR(TIMEVALUE(DaqBook_RAW_Data!AG880),IFERROR(TIMEVALUE(DaqBook_RAW_Data!A880),""))</f>
        <v/>
      </c>
      <c r="C890" s="167"/>
      <c r="D890" s="167"/>
      <c r="E890" s="167"/>
      <c r="F890" s="167"/>
      <c r="G890" s="167"/>
      <c r="H890" s="167"/>
      <c r="I890" s="167"/>
      <c r="J890" s="167"/>
      <c r="K890" s="167"/>
      <c r="L890" s="167"/>
      <c r="M890" s="167"/>
      <c r="N890" s="167"/>
      <c r="O890" s="44"/>
      <c r="P890" s="44"/>
    </row>
    <row r="891" spans="1:16" x14ac:dyDescent="0.2">
      <c r="A891" s="58" t="str">
        <v/>
      </c>
      <c r="B891" s="144" t="str">
        <f>IFERROR(TIMEVALUE(DaqBook_RAW_Data!AG881),IFERROR(TIMEVALUE(DaqBook_RAW_Data!A881),""))</f>
        <v/>
      </c>
      <c r="C891" s="167"/>
      <c r="D891" s="167"/>
      <c r="E891" s="167"/>
      <c r="F891" s="167"/>
      <c r="G891" s="167"/>
      <c r="H891" s="167"/>
      <c r="I891" s="167"/>
      <c r="J891" s="167"/>
      <c r="K891" s="167"/>
      <c r="L891" s="167"/>
      <c r="M891" s="167"/>
      <c r="N891" s="167"/>
      <c r="O891" s="44"/>
      <c r="P891" s="44"/>
    </row>
    <row r="892" spans="1:16" x14ac:dyDescent="0.2">
      <c r="A892" s="58" t="str">
        <v/>
      </c>
      <c r="B892" s="144" t="str">
        <f>IFERROR(TIMEVALUE(DaqBook_RAW_Data!AG882),IFERROR(TIMEVALUE(DaqBook_RAW_Data!A882),""))</f>
        <v/>
      </c>
      <c r="C892" s="167"/>
      <c r="D892" s="167"/>
      <c r="E892" s="167"/>
      <c r="F892" s="167"/>
      <c r="G892" s="167"/>
      <c r="H892" s="167"/>
      <c r="I892" s="167"/>
      <c r="J892" s="167"/>
      <c r="K892" s="167"/>
      <c r="L892" s="167"/>
      <c r="M892" s="167"/>
      <c r="N892" s="167"/>
      <c r="O892" s="44"/>
      <c r="P892" s="44"/>
    </row>
    <row r="893" spans="1:16" x14ac:dyDescent="0.2">
      <c r="A893" s="58" t="str">
        <v/>
      </c>
      <c r="B893" s="144" t="str">
        <f>IFERROR(TIMEVALUE(DaqBook_RAW_Data!AG883),IFERROR(TIMEVALUE(DaqBook_RAW_Data!A883),""))</f>
        <v/>
      </c>
      <c r="C893" s="167"/>
      <c r="D893" s="167"/>
      <c r="E893" s="167"/>
      <c r="F893" s="167"/>
      <c r="G893" s="167"/>
      <c r="H893" s="167"/>
      <c r="I893" s="167"/>
      <c r="J893" s="167"/>
      <c r="K893" s="167"/>
      <c r="L893" s="167"/>
      <c r="M893" s="167"/>
      <c r="N893" s="167"/>
      <c r="O893" s="44"/>
      <c r="P893" s="44"/>
    </row>
    <row r="894" spans="1:16" x14ac:dyDescent="0.2">
      <c r="A894" s="58" t="str">
        <v/>
      </c>
      <c r="B894" s="144" t="str">
        <f>IFERROR(TIMEVALUE(DaqBook_RAW_Data!AG884),IFERROR(TIMEVALUE(DaqBook_RAW_Data!A884),""))</f>
        <v/>
      </c>
      <c r="C894" s="167"/>
      <c r="D894" s="167"/>
      <c r="E894" s="167"/>
      <c r="F894" s="167"/>
      <c r="G894" s="167"/>
      <c r="H894" s="167"/>
      <c r="I894" s="167"/>
      <c r="J894" s="167"/>
      <c r="K894" s="167"/>
      <c r="L894" s="167"/>
      <c r="M894" s="167"/>
      <c r="N894" s="167"/>
      <c r="O894" s="44"/>
      <c r="P894" s="44"/>
    </row>
    <row r="895" spans="1:16" x14ac:dyDescent="0.2">
      <c r="A895" s="58" t="str">
        <v/>
      </c>
      <c r="B895" s="144" t="str">
        <f>IFERROR(TIMEVALUE(DaqBook_RAW_Data!AG885),IFERROR(TIMEVALUE(DaqBook_RAW_Data!A885),""))</f>
        <v/>
      </c>
      <c r="C895" s="167"/>
      <c r="D895" s="167"/>
      <c r="E895" s="167"/>
      <c r="F895" s="167"/>
      <c r="G895" s="167"/>
      <c r="H895" s="167"/>
      <c r="I895" s="167"/>
      <c r="J895" s="167"/>
      <c r="K895" s="167"/>
      <c r="L895" s="167"/>
      <c r="M895" s="167"/>
      <c r="N895" s="167"/>
      <c r="O895" s="44"/>
      <c r="P895" s="44"/>
    </row>
    <row r="896" spans="1:16" x14ac:dyDescent="0.2">
      <c r="A896" s="58" t="str">
        <v/>
      </c>
      <c r="B896" s="144" t="str">
        <f>IFERROR(TIMEVALUE(DaqBook_RAW_Data!AG886),IFERROR(TIMEVALUE(DaqBook_RAW_Data!A886),""))</f>
        <v/>
      </c>
      <c r="C896" s="167"/>
      <c r="D896" s="167"/>
      <c r="E896" s="167"/>
      <c r="F896" s="167"/>
      <c r="G896" s="167"/>
      <c r="H896" s="167"/>
      <c r="I896" s="167"/>
      <c r="J896" s="167"/>
      <c r="K896" s="167"/>
      <c r="L896" s="167"/>
      <c r="M896" s="167"/>
      <c r="N896" s="167"/>
      <c r="O896" s="44"/>
      <c r="P896" s="44"/>
    </row>
    <row r="897" spans="1:16" x14ac:dyDescent="0.2">
      <c r="A897" s="58" t="str">
        <v/>
      </c>
      <c r="B897" s="144" t="str">
        <f>IFERROR(TIMEVALUE(DaqBook_RAW_Data!AG887),IFERROR(TIMEVALUE(DaqBook_RAW_Data!A887),""))</f>
        <v/>
      </c>
      <c r="C897" s="167"/>
      <c r="D897" s="167"/>
      <c r="E897" s="167"/>
      <c r="F897" s="167"/>
      <c r="G897" s="167"/>
      <c r="H897" s="167"/>
      <c r="I897" s="167"/>
      <c r="J897" s="167"/>
      <c r="K897" s="167"/>
      <c r="L897" s="167"/>
      <c r="M897" s="167"/>
      <c r="N897" s="167"/>
      <c r="O897" s="44"/>
      <c r="P897" s="44"/>
    </row>
    <row r="898" spans="1:16" x14ac:dyDescent="0.2">
      <c r="A898" s="58" t="str">
        <v/>
      </c>
      <c r="B898" s="144" t="str">
        <f>IFERROR(TIMEVALUE(DaqBook_RAW_Data!AG888),IFERROR(TIMEVALUE(DaqBook_RAW_Data!A888),""))</f>
        <v/>
      </c>
      <c r="C898" s="167"/>
      <c r="D898" s="167"/>
      <c r="E898" s="167"/>
      <c r="F898" s="167"/>
      <c r="G898" s="167"/>
      <c r="H898" s="167"/>
      <c r="I898" s="167"/>
      <c r="J898" s="167"/>
      <c r="K898" s="167"/>
      <c r="L898" s="167"/>
      <c r="M898" s="167"/>
      <c r="N898" s="167"/>
      <c r="O898" s="44"/>
      <c r="P898" s="44"/>
    </row>
    <row r="899" spans="1:16" x14ac:dyDescent="0.2">
      <c r="A899" s="58" t="str">
        <v/>
      </c>
      <c r="B899" s="144" t="str">
        <f>IFERROR(TIMEVALUE(DaqBook_RAW_Data!AG889),IFERROR(TIMEVALUE(DaqBook_RAW_Data!A889),""))</f>
        <v/>
      </c>
      <c r="C899" s="167"/>
      <c r="D899" s="167"/>
      <c r="E899" s="167"/>
      <c r="F899" s="167"/>
      <c r="G899" s="167"/>
      <c r="H899" s="167"/>
      <c r="I899" s="167"/>
      <c r="J899" s="167"/>
      <c r="K899" s="167"/>
      <c r="L899" s="167"/>
      <c r="M899" s="167"/>
      <c r="N899" s="167"/>
      <c r="O899" s="44"/>
      <c r="P899" s="44"/>
    </row>
    <row r="900" spans="1:16" x14ac:dyDescent="0.2">
      <c r="A900" s="58" t="str">
        <v/>
      </c>
      <c r="B900" s="144" t="str">
        <f>IFERROR(TIMEVALUE(DaqBook_RAW_Data!AG890),IFERROR(TIMEVALUE(DaqBook_RAW_Data!A890),""))</f>
        <v/>
      </c>
      <c r="C900" s="167"/>
      <c r="D900" s="167"/>
      <c r="E900" s="167"/>
      <c r="F900" s="167"/>
      <c r="G900" s="167"/>
      <c r="H900" s="167"/>
      <c r="I900" s="167"/>
      <c r="J900" s="167"/>
      <c r="K900" s="167"/>
      <c r="L900" s="167"/>
      <c r="M900" s="167"/>
      <c r="N900" s="167"/>
      <c r="O900" s="44"/>
      <c r="P900" s="44"/>
    </row>
    <row r="901" spans="1:16" x14ac:dyDescent="0.2">
      <c r="A901" s="58" t="str">
        <v/>
      </c>
      <c r="B901" s="144" t="str">
        <f>IFERROR(TIMEVALUE(DaqBook_RAW_Data!AG891),IFERROR(TIMEVALUE(DaqBook_RAW_Data!A891),""))</f>
        <v/>
      </c>
      <c r="C901" s="167"/>
      <c r="D901" s="167"/>
      <c r="E901" s="167"/>
      <c r="F901" s="167"/>
      <c r="G901" s="167"/>
      <c r="H901" s="167"/>
      <c r="I901" s="167"/>
      <c r="J901" s="167"/>
      <c r="K901" s="167"/>
      <c r="L901" s="167"/>
      <c r="M901" s="167"/>
      <c r="N901" s="167"/>
      <c r="O901" s="44"/>
      <c r="P901" s="44"/>
    </row>
    <row r="902" spans="1:16" x14ac:dyDescent="0.2">
      <c r="A902" s="58" t="str">
        <v/>
      </c>
      <c r="B902" s="144" t="str">
        <f>IFERROR(TIMEVALUE(DaqBook_RAW_Data!AG892),IFERROR(TIMEVALUE(DaqBook_RAW_Data!A892),""))</f>
        <v/>
      </c>
      <c r="C902" s="167"/>
      <c r="D902" s="167"/>
      <c r="E902" s="167"/>
      <c r="F902" s="167"/>
      <c r="G902" s="167"/>
      <c r="H902" s="167"/>
      <c r="I902" s="167"/>
      <c r="J902" s="167"/>
      <c r="K902" s="167"/>
      <c r="L902" s="167"/>
      <c r="M902" s="167"/>
      <c r="N902" s="167"/>
      <c r="O902" s="44"/>
      <c r="P902" s="44"/>
    </row>
    <row r="903" spans="1:16" x14ac:dyDescent="0.2">
      <c r="A903" s="58" t="str">
        <v/>
      </c>
      <c r="B903" s="144" t="str">
        <f>IFERROR(TIMEVALUE(DaqBook_RAW_Data!AG893),IFERROR(TIMEVALUE(DaqBook_RAW_Data!A893),""))</f>
        <v/>
      </c>
      <c r="C903" s="167"/>
      <c r="D903" s="167"/>
      <c r="E903" s="167"/>
      <c r="F903" s="167"/>
      <c r="G903" s="167"/>
      <c r="H903" s="167"/>
      <c r="I903" s="167"/>
      <c r="J903" s="167"/>
      <c r="K903" s="167"/>
      <c r="L903" s="167"/>
      <c r="M903" s="167"/>
      <c r="N903" s="167"/>
      <c r="O903" s="44"/>
      <c r="P903" s="44"/>
    </row>
  </sheetData>
  <sheetProtection selectLockedCells="1"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showFormulas="1" tabSelected="1" zoomScale="90" zoomScaleNormal="90" workbookViewId="0">
      <selection activeCell="C3" sqref="C3"/>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17"/>
    <col min="17" max="17" width="9.140625" style="84"/>
    <col min="18" max="20" width="9.140625" style="17"/>
    <col min="21" max="21" width="14.42578125" style="17" customWidth="1"/>
    <col min="22" max="22" width="16" style="17" customWidth="1"/>
    <col min="23" max="23" width="9.140625" style="17"/>
    <col min="24" max="25" width="9.140625" style="16"/>
    <col min="26" max="16384" width="9.140625" style="8"/>
  </cols>
  <sheetData>
    <row r="1" spans="1:29" x14ac:dyDescent="0.25">
      <c r="G1" s="10" t="s">
        <v>0</v>
      </c>
      <c r="H1" s="8"/>
      <c r="I1" s="9"/>
      <c r="K1" s="8"/>
      <c r="M1" s="8" t="s">
        <v>19</v>
      </c>
      <c r="O1" s="369"/>
      <c r="P1" s="369"/>
      <c r="Q1" s="372"/>
      <c r="R1" s="373">
        <f ca="1">IF(T1=0,0,IF(OR(AND(D19=1,T1&gt;Main!G93),AND(D19=0,T1&gt;Main!G93+0.4)),1,""))</f>
        <v>0</v>
      </c>
      <c r="S1" s="373"/>
      <c r="T1" s="373">
        <f ca="1">MAX(ABS(MAX(E10:E18)),ABS(MIN(E10:E18)))</f>
        <v>0</v>
      </c>
      <c r="U1" s="373">
        <f ca="1">MAX(ABS(MAX(H10:H18)),ABS(MIN(H10:H18)))</f>
        <v>0</v>
      </c>
      <c r="V1" s="373"/>
      <c r="W1" s="373"/>
      <c r="X1" s="369"/>
      <c r="Y1" s="369"/>
      <c r="Z1" s="371"/>
      <c r="AA1" s="371"/>
      <c r="AB1" s="371"/>
      <c r="AC1" s="371"/>
    </row>
    <row r="2" spans="1:29" ht="18.75" customHeight="1" x14ac:dyDescent="0.25">
      <c r="H2" s="11" t="s">
        <v>20</v>
      </c>
      <c r="I2" s="9"/>
      <c r="K2" s="8"/>
      <c r="M2" s="8" t="s">
        <v>35</v>
      </c>
      <c r="O2" s="369"/>
      <c r="P2" s="369"/>
      <c r="Q2" s="372"/>
      <c r="R2" s="373">
        <f ca="1">IF(U1=0,0,IF(OR(AND(D31=1,U1&gt;Main!G93),AND(D31=0,U1&gt;Main!G93+0.4)),1,""))</f>
        <v>0</v>
      </c>
      <c r="S2" s="373"/>
      <c r="T2" s="373">
        <f ca="1">MAX(ABS(MAX(K10:K18)),ABS(MIN(K10:K18)))</f>
        <v>0</v>
      </c>
      <c r="U2" s="373">
        <f ca="1">MAX(ABS(MAX(N10:N18)),ABS(MIN(N10:N18)))</f>
        <v>0</v>
      </c>
      <c r="V2" s="373"/>
      <c r="W2" s="373"/>
      <c r="X2" s="369"/>
      <c r="Y2" s="369"/>
      <c r="Z2" s="371"/>
      <c r="AA2" s="371"/>
      <c r="AB2" s="371"/>
      <c r="AC2" s="371"/>
    </row>
    <row r="3" spans="1:29" ht="23.25" customHeight="1" x14ac:dyDescent="0.25">
      <c r="D3" s="35" t="s">
        <v>41</v>
      </c>
      <c r="E3" s="42">
        <f>Main!D3</f>
        <v>0</v>
      </c>
      <c r="G3" s="12"/>
      <c r="H3" s="8"/>
      <c r="J3" s="35" t="s">
        <v>56</v>
      </c>
      <c r="K3" s="13">
        <f>Main!D5</f>
        <v>0</v>
      </c>
      <c r="L3" s="9"/>
      <c r="O3" s="369"/>
      <c r="P3" s="369"/>
      <c r="Q3" s="372"/>
      <c r="R3" s="373">
        <f ca="1">IF(T2=0,0,IF(OR(AND(G19=1,T2&gt;Main!G93),AND(G19=0,T2&gt;Main!G93+0.4)),1,""))</f>
        <v>0</v>
      </c>
      <c r="S3" s="373"/>
      <c r="T3" s="373">
        <f>MAX(ABS(MAX(E22:E30)),ABS(MIN(E22:E30)))</f>
        <v>0</v>
      </c>
      <c r="U3" s="373">
        <f>MAX(ABS(MAX(H22:H30)),ABS(MIN(H22:H30)))</f>
        <v>0</v>
      </c>
      <c r="V3" s="373"/>
      <c r="W3" s="373"/>
      <c r="X3" s="369"/>
      <c r="Y3" s="369"/>
      <c r="Z3" s="371"/>
      <c r="AA3" s="371"/>
      <c r="AB3" s="371"/>
      <c r="AC3" s="371"/>
    </row>
    <row r="4" spans="1:29" x14ac:dyDescent="0.25">
      <c r="D4" s="36" t="s">
        <v>55</v>
      </c>
      <c r="E4" s="10">
        <f>Main!D6</f>
        <v>0</v>
      </c>
      <c r="H4" s="8"/>
      <c r="J4" s="36" t="s">
        <v>57</v>
      </c>
      <c r="K4" s="14">
        <f>Main!D16</f>
        <v>0</v>
      </c>
      <c r="L4" s="9"/>
      <c r="O4" s="369"/>
      <c r="P4" s="369"/>
      <c r="Q4" s="372"/>
      <c r="R4" s="373">
        <f ca="1">IF(U2=0,0,IF(OR(AND(G31=1,U2&gt;Main!G93),AND(G31=0,U2&gt;Main!G93+0.4)),1,""))</f>
        <v>0</v>
      </c>
      <c r="S4" s="373"/>
      <c r="T4" s="373">
        <f>MAX(ABS(MAX(K22:K30)),ABS(MIN(K22:K30)))</f>
        <v>0</v>
      </c>
      <c r="U4" s="373">
        <f>MAX(ABS(MAX(N22:N30)),ABS(MIN(N22:N30)))</f>
        <v>0</v>
      </c>
      <c r="V4" s="373"/>
      <c r="W4" s="373"/>
      <c r="X4" s="369"/>
      <c r="Y4" s="369"/>
      <c r="Z4" s="371"/>
      <c r="AA4" s="371"/>
      <c r="AB4" s="371"/>
      <c r="AC4" s="371"/>
    </row>
    <row r="5" spans="1:29" x14ac:dyDescent="0.25">
      <c r="D5" s="36" t="s">
        <v>42</v>
      </c>
      <c r="E5" s="8">
        <f>Main!D7</f>
        <v>0</v>
      </c>
      <c r="H5" s="8"/>
      <c r="J5" s="37" t="s">
        <v>21</v>
      </c>
      <c r="K5" s="48">
        <f>Main!D18</f>
        <v>0</v>
      </c>
      <c r="O5" s="369"/>
      <c r="P5" s="369"/>
      <c r="Q5" s="372"/>
      <c r="R5" s="373">
        <f>IF(T3=0,0,IF(OR(AND(J19=1,T3&gt;Main!G93),AND(J19=0,T3&gt;Main!G93+0.4)),1,""))</f>
        <v>0</v>
      </c>
      <c r="S5" s="373"/>
      <c r="T5" s="372"/>
      <c r="U5" s="373"/>
      <c r="V5" s="373"/>
      <c r="W5" s="373"/>
      <c r="X5" s="369"/>
      <c r="Y5" s="369"/>
      <c r="Z5" s="371"/>
      <c r="AA5" s="371"/>
      <c r="AB5" s="371"/>
      <c r="AC5" s="371"/>
    </row>
    <row r="6" spans="1:29" ht="15.75" customHeight="1" x14ac:dyDescent="0.25">
      <c r="D6" s="36" t="s">
        <v>22</v>
      </c>
      <c r="E6" s="479" t="e">
        <f>IF(ISBLANK(Main!G95),"",Main!G95)</f>
        <v>#N/A</v>
      </c>
      <c r="G6" s="15" t="str">
        <f ca="1">IF(OR(R1=1,R2=1,R3=1,R4=1,R5=1,R6=1,R7=1,R8=1),"CHECK READINGS!!!","")</f>
        <v/>
      </c>
      <c r="J6" s="16"/>
      <c r="L6" s="9"/>
      <c r="O6" s="369"/>
      <c r="P6" s="369"/>
      <c r="Q6" s="372"/>
      <c r="R6" s="373">
        <f>IF(U3=0,0,IF(OR(AND(J31=1,U3&gt;Main!G93),AND(J31=0,U3&gt;Main!G93+0.4)),1,""))</f>
        <v>0</v>
      </c>
      <c r="S6" s="373"/>
      <c r="T6" s="372"/>
      <c r="U6" s="373"/>
      <c r="V6" s="373"/>
      <c r="W6" s="373"/>
      <c r="X6" s="369"/>
      <c r="Y6" s="369"/>
      <c r="Z6" s="371"/>
      <c r="AA6" s="371"/>
      <c r="AB6" s="371"/>
      <c r="AC6" s="371"/>
    </row>
    <row r="7" spans="1:29" x14ac:dyDescent="0.25">
      <c r="E7" s="8"/>
      <c r="F7" s="34" t="s">
        <v>23</v>
      </c>
      <c r="O7" s="369"/>
      <c r="P7" s="369"/>
      <c r="Q7" s="372"/>
      <c r="R7" s="373">
        <f>IF(T4=0,0,IF(OR(AND(M19=1,T4&gt;Main!G93),AND(M19=0,T4&gt;Main!G93+0.4)),1,""))</f>
        <v>0</v>
      </c>
      <c r="S7" s="373"/>
      <c r="T7" s="372"/>
      <c r="U7" s="373"/>
      <c r="V7" s="373"/>
      <c r="W7" s="373"/>
      <c r="X7" s="369"/>
      <c r="Y7" s="369"/>
      <c r="Z7" s="371"/>
      <c r="AA7" s="371"/>
      <c r="AB7" s="371"/>
      <c r="AC7" s="371"/>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69"/>
      <c r="P8" s="369"/>
      <c r="Q8" s="372"/>
      <c r="R8" s="373">
        <f>IF(U4=0,0,IF(OR(AND(M31=1,U4&gt;Main!G93),AND(M31=0,U4&gt;Main!G93+0.4)),1,""))</f>
        <v>0</v>
      </c>
      <c r="S8" s="373"/>
      <c r="T8" s="372"/>
      <c r="U8" s="373"/>
      <c r="V8" s="373"/>
      <c r="W8" s="373"/>
      <c r="X8" s="369"/>
      <c r="Y8" s="369"/>
      <c r="Z8" s="371"/>
      <c r="AA8" s="371"/>
      <c r="AB8" s="371"/>
      <c r="AC8" s="371"/>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69"/>
      <c r="P9" s="369"/>
      <c r="Q9" s="372"/>
      <c r="R9" s="373"/>
      <c r="S9" s="373"/>
      <c r="T9" s="372"/>
      <c r="U9" s="373"/>
      <c r="V9" s="373"/>
      <c r="W9" s="373"/>
      <c r="X9" s="369"/>
      <c r="Y9" s="369"/>
      <c r="Z9" s="371"/>
      <c r="AA9" s="371"/>
      <c r="AB9" s="371"/>
      <c r="AC9" s="371"/>
    </row>
    <row r="10" spans="1:29" x14ac:dyDescent="0.25">
      <c r="A10" s="56" t="str">
        <f ca="1">IFERROR(HLOOKUP(A$8,Access_Data!$A$9:$BA$25,Comparison_Report!$S12,FALSE),"")</f>
        <v/>
      </c>
      <c r="B10" s="21"/>
      <c r="C10" s="22" t="str">
        <f ca="1">IF(AND(C$9&lt;&gt;"",$A10&lt;&gt;""),HLOOKUP(C$9,Access_Data!$A$9:$BA$25,Comparison_Report!$S12,FALSE),"")</f>
        <v/>
      </c>
      <c r="D10" s="45" t="str">
        <f>IF(ISBLANK(Main!B37),"",Main!D37)</f>
        <v/>
      </c>
      <c r="E10" s="30" t="str">
        <f ca="1">IF(AND(C10&lt;&gt;"",D10&lt;&gt;""),D10-C10,"")</f>
        <v/>
      </c>
      <c r="F10" s="22" t="str">
        <f ca="1">IF(AND(F$9&lt;&gt;"",$A10&lt;&gt;""),HLOOKUP(F$9,Access_Data!$A$9:$BA$25,Comparison_Report!$S12,FALSE),"")</f>
        <v/>
      </c>
      <c r="G10" s="45" t="str">
        <f>IF(ISBLANK(Main!B38),"",Main!D38)</f>
        <v/>
      </c>
      <c r="H10" s="30" t="str">
        <f ca="1">IF(AND(F10&lt;&gt;"",G10&lt;&gt;""),G10-F10,"")</f>
        <v/>
      </c>
      <c r="I10" s="22" t="str">
        <f ca="1">IF(AND(I$9&lt;&gt;"",$A10&lt;&gt;""),HLOOKUP(I$9,Access_Data!$A$9:$BA$25,Comparison_Report!$S12,FALSE),"")</f>
        <v/>
      </c>
      <c r="J10" s="45" t="str">
        <f>IF(ISBLANK(Main!B39),"",Main!D39)</f>
        <v/>
      </c>
      <c r="K10" s="30" t="str">
        <f ca="1">IF(AND(I10&lt;&gt;"",J10&lt;&gt;""),J10-I10,"")</f>
        <v/>
      </c>
      <c r="L10" s="22" t="str">
        <f ca="1">IF(AND(L$9&lt;&gt;"",$A10&lt;&gt;""),HLOOKUP(L$9,Access_Data!$A$9:$BA$25,Comparison_Report!$S12,FALSE),"")</f>
        <v/>
      </c>
      <c r="M10" s="45" t="str">
        <f>IF(ISBLANK(Main!B40),"",Main!D40)</f>
        <v/>
      </c>
      <c r="N10" s="30" t="str">
        <f ca="1">IF(AND(L10&lt;&gt;"",M10&lt;&gt;""),M10-L10,"")</f>
        <v/>
      </c>
      <c r="O10" s="369" t="str">
        <f ca="1">IF(R1=1,D9 &amp; " IS OOT!!!","")</f>
        <v/>
      </c>
      <c r="P10" s="369"/>
      <c r="Q10" s="372"/>
      <c r="R10" s="374"/>
      <c r="S10" s="373"/>
      <c r="T10" s="372"/>
      <c r="U10" s="373"/>
      <c r="V10" s="373"/>
      <c r="W10" s="373"/>
      <c r="X10" s="369"/>
      <c r="Y10" s="369"/>
      <c r="Z10" s="371"/>
      <c r="AA10" s="371"/>
      <c r="AB10" s="371"/>
      <c r="AC10" s="371"/>
    </row>
    <row r="11" spans="1:29" x14ac:dyDescent="0.25">
      <c r="A11" s="56" t="str">
        <f ca="1">IFERROR(HLOOKUP(A$8,Access_Data!$A$9:$BA$25,Comparison_Report!$S13,FALSE),"")</f>
        <v/>
      </c>
      <c r="B11" s="21"/>
      <c r="C11" s="22" t="str">
        <f ca="1">IF(AND(C$9&lt;&gt;"",$A11&lt;&gt;""),HLOOKUP(C$9,Access_Data!$A$9:$BA$25,Comparison_Report!$S13,FALSE),"")</f>
        <v/>
      </c>
      <c r="D11" s="45" t="str">
        <f>IF(ISBLANK(Main!B37),"",Main!E37)</f>
        <v/>
      </c>
      <c r="E11" s="30" t="str">
        <f t="shared" ref="E11:E18" ca="1" si="0">IF(AND(C11&lt;&gt;"",D11&lt;&gt;""),D11-C11,"")</f>
        <v/>
      </c>
      <c r="F11" s="22" t="str">
        <f ca="1">IF(AND(F$9&lt;&gt;"",$A11&lt;&gt;""),HLOOKUP(F$9,Access_Data!$A$9:$BA$25,Comparison_Report!$S13,FALSE),"")</f>
        <v/>
      </c>
      <c r="G11" s="45" t="str">
        <f>IF(ISBLANK(Main!B38),"",Main!E38)</f>
        <v/>
      </c>
      <c r="H11" s="30" t="str">
        <f t="shared" ref="H11:H18" ca="1" si="1">IF(AND(F11&lt;&gt;"",G11&lt;&gt;""),G11-F11,"")</f>
        <v/>
      </c>
      <c r="I11" s="22" t="str">
        <f ca="1">IF(AND(I$9&lt;&gt;"",$A11&lt;&gt;""),HLOOKUP(I$9,Access_Data!$A$9:$BA$25,Comparison_Report!$S13,FALSE),"")</f>
        <v/>
      </c>
      <c r="J11" s="45" t="str">
        <f>IF(ISBLANK(Main!B39),"",Main!E39)</f>
        <v/>
      </c>
      <c r="K11" s="30" t="str">
        <f t="shared" ref="K11:K18" ca="1" si="2">IF(AND(I11&lt;&gt;"",J11&lt;&gt;""),J11-I11,"")</f>
        <v/>
      </c>
      <c r="L11" s="22" t="str">
        <f ca="1">IF(AND(L$9&lt;&gt;"",$A11&lt;&gt;""),HLOOKUP(L$9,Access_Data!$A$9:$BA$25,Comparison_Report!$S13,FALSE),"")</f>
        <v/>
      </c>
      <c r="M11" s="45" t="str">
        <f>IF(ISBLANK(Main!B40),"",Main!E40)</f>
        <v/>
      </c>
      <c r="N11" s="30" t="str">
        <f t="shared" ref="N11:N18" ca="1" si="3">IF(AND(L11&lt;&gt;"",M11&lt;&gt;""),M11-L11,"")</f>
        <v/>
      </c>
      <c r="O11" s="369" t="str">
        <f ca="1">IF(R2=1, G9 &amp; " IS OOT!!!","")</f>
        <v/>
      </c>
      <c r="P11" s="369"/>
      <c r="Q11" s="372"/>
      <c r="R11" s="372"/>
      <c r="S11" s="374"/>
      <c r="T11" s="375"/>
      <c r="U11" s="373" t="s">
        <v>33</v>
      </c>
      <c r="V11" s="373" t="s">
        <v>34</v>
      </c>
      <c r="W11" s="373"/>
      <c r="X11" s="369"/>
      <c r="Y11" s="369"/>
      <c r="Z11" s="371"/>
      <c r="AA11" s="371"/>
      <c r="AB11" s="371"/>
      <c r="AC11" s="371"/>
    </row>
    <row r="12" spans="1:29" x14ac:dyDescent="0.25">
      <c r="A12" s="56" t="str">
        <f ca="1">IFERROR(HLOOKUP(A$8,Access_Data!$A$9:$BA$25,Comparison_Report!$S14,FALSE),"")</f>
        <v/>
      </c>
      <c r="B12" s="21"/>
      <c r="C12" s="22" t="str">
        <f ca="1">IF(AND(C$9&lt;&gt;"",$A12&lt;&gt;""),HLOOKUP(C$9,Access_Data!$A$9:$BA$25,Comparison_Report!$S14,FALSE),"")</f>
        <v/>
      </c>
      <c r="D12" s="45" t="str">
        <f>IF(ISBLANK(Main!B37),"",Main!F37)</f>
        <v/>
      </c>
      <c r="E12" s="30" t="str">
        <f t="shared" ca="1" si="0"/>
        <v/>
      </c>
      <c r="F12" s="22" t="str">
        <f ca="1">IF(AND(F$9&lt;&gt;"",$A12&lt;&gt;""),HLOOKUP(F$9,Access_Data!$A$9:$BA$25,Comparison_Report!$S14,FALSE),"")</f>
        <v/>
      </c>
      <c r="G12" s="45" t="str">
        <f>IF(ISBLANK(Main!B38),"",Main!F38)</f>
        <v/>
      </c>
      <c r="H12" s="30" t="str">
        <f t="shared" ca="1" si="1"/>
        <v/>
      </c>
      <c r="I12" s="22" t="str">
        <f ca="1">IF(AND(I$9&lt;&gt;"",$A12&lt;&gt;""),HLOOKUP(I$9,Access_Data!$A$9:$BA$25,Comparison_Report!$S14,FALSE),"")</f>
        <v/>
      </c>
      <c r="J12" s="45" t="str">
        <f>IF(ISBLANK(Main!B39),"",Main!F39)</f>
        <v/>
      </c>
      <c r="K12" s="30" t="str">
        <f t="shared" ca="1" si="2"/>
        <v/>
      </c>
      <c r="L12" s="22" t="str">
        <f ca="1">IF(AND(L$9&lt;&gt;"",$A12&lt;&gt;""),HLOOKUP(L$9,Access_Data!$A$9:$BA$25,Comparison_Report!$S14,FALSE),"")</f>
        <v/>
      </c>
      <c r="M12" s="45" t="str">
        <f>IF(ISBLANK(Main!B40),"",Main!F40)</f>
        <v/>
      </c>
      <c r="N12" s="30" t="str">
        <f t="shared" ca="1" si="3"/>
        <v/>
      </c>
      <c r="O12" s="369" t="str">
        <f ca="1">IF(R3=1, J9 &amp; " IS OOT!!!","")</f>
        <v/>
      </c>
      <c r="P12" s="369"/>
      <c r="Q12" s="372"/>
      <c r="R12" s="373"/>
      <c r="S12" s="373">
        <f>IF($K$5=4,U12,V12)</f>
        <v>2</v>
      </c>
      <c r="T12" s="373"/>
      <c r="U12" s="373">
        <v>2</v>
      </c>
      <c r="V12" s="373">
        <v>2</v>
      </c>
      <c r="W12" s="373"/>
      <c r="X12" s="369"/>
      <c r="Y12" s="369"/>
      <c r="Z12" s="371"/>
      <c r="AA12" s="371"/>
      <c r="AB12" s="371"/>
      <c r="AC12" s="371"/>
    </row>
    <row r="13" spans="1:29" x14ac:dyDescent="0.25">
      <c r="A13" s="56" t="str">
        <f ca="1">IFERROR(HLOOKUP(A$8,Access_Data!$A$9:$BA$25,Comparison_Report!$S15,FALSE),"")</f>
        <v/>
      </c>
      <c r="B13" s="21"/>
      <c r="C13" s="22" t="str">
        <f ca="1">IF(AND(C$9&lt;&gt;"",$A13&lt;&gt;""),HLOOKUP(C$9,Access_Data!$A$9:$BA$25,Comparison_Report!$S15,FALSE),"")</f>
        <v/>
      </c>
      <c r="D13" s="45" t="str">
        <f>IF(ISBLANK(Main!B37),"",Main!G37)</f>
        <v/>
      </c>
      <c r="E13" s="30" t="str">
        <f t="shared" ca="1" si="0"/>
        <v/>
      </c>
      <c r="F13" s="22" t="str">
        <f ca="1">IF(AND(F$9&lt;&gt;"",$A13&lt;&gt;""),HLOOKUP(F$9,Access_Data!$A$9:$BA$25,Comparison_Report!$S15,FALSE),"")</f>
        <v/>
      </c>
      <c r="G13" s="45" t="str">
        <f>IF(ISBLANK(Main!B38),"",Main!G38)</f>
        <v/>
      </c>
      <c r="H13" s="30" t="str">
        <f t="shared" ca="1" si="1"/>
        <v/>
      </c>
      <c r="I13" s="22" t="str">
        <f ca="1">IF(AND(I$9&lt;&gt;"",$A13&lt;&gt;""),HLOOKUP(I$9,Access_Data!$A$9:$BA$25,Comparison_Report!$S15,FALSE),"")</f>
        <v/>
      </c>
      <c r="J13" s="45" t="str">
        <f>IF(ISBLANK(Main!B39),"",Main!G39)</f>
        <v/>
      </c>
      <c r="K13" s="30" t="str">
        <f t="shared" ca="1" si="2"/>
        <v/>
      </c>
      <c r="L13" s="22" t="str">
        <f ca="1">IF(AND(L$9&lt;&gt;"",$A13&lt;&gt;""),HLOOKUP(L$9,Access_Data!$A$9:$BA$25,Comparison_Report!$S15,FALSE),"")</f>
        <v/>
      </c>
      <c r="M13" s="45" t="str">
        <f>IF(ISBLANK(Main!B40),"",Main!G40)</f>
        <v/>
      </c>
      <c r="N13" s="30" t="str">
        <f t="shared" ca="1" si="3"/>
        <v/>
      </c>
      <c r="O13" s="369" t="str">
        <f ca="1">IF(R4=1, M9 &amp;" IS OOT!!!","")</f>
        <v/>
      </c>
      <c r="P13" s="369"/>
      <c r="Q13" s="372"/>
      <c r="R13" s="373"/>
      <c r="S13" s="373">
        <f t="shared" ref="S13:S22" si="4">IF($K$5=4,U13,V13)</f>
        <v>7</v>
      </c>
      <c r="T13" s="373"/>
      <c r="U13" s="373">
        <v>4</v>
      </c>
      <c r="V13" s="373">
        <v>7</v>
      </c>
      <c r="W13" s="373"/>
      <c r="X13" s="369"/>
      <c r="Y13" s="369"/>
      <c r="Z13" s="371"/>
      <c r="AA13" s="371"/>
      <c r="AB13" s="371"/>
      <c r="AC13" s="371"/>
    </row>
    <row r="14" spans="1:29" x14ac:dyDescent="0.25">
      <c r="A14" s="56" t="str">
        <f>IFERROR(HLOOKUP(A$8,Access_Data!$A$9:$BA$25,Comparison_Report!$S16,FALSE),"")</f>
        <v/>
      </c>
      <c r="B14" s="21"/>
      <c r="C14" s="22" t="str">
        <f>IF(AND(C$9&lt;&gt;"",$A14&lt;&gt;""),HLOOKUP(C$9,Access_Data!$A$9:$BA$25,Comparison_Report!$S16,FALSE),"")</f>
        <v/>
      </c>
      <c r="D14" s="45" t="str">
        <f>IF(OR(ISBLANK(Main!B37),A14=""),"",Main!H37)</f>
        <v/>
      </c>
      <c r="E14" s="30" t="str">
        <f t="shared" si="0"/>
        <v/>
      </c>
      <c r="F14" s="22" t="str">
        <f>IF(AND(F$9&lt;&gt;"",$A14&lt;&gt;""),HLOOKUP(F$9,Access_Data!$A$9:$BA$25,Comparison_Report!$S16,FALSE),"")</f>
        <v/>
      </c>
      <c r="G14" s="45" t="str">
        <f>IF(OR(ISBLANK(Main!B38),A14=""),"",Main!H38)</f>
        <v/>
      </c>
      <c r="H14" s="30" t="str">
        <f t="shared" si="1"/>
        <v/>
      </c>
      <c r="I14" s="22" t="str">
        <f>IF(AND(I$9&lt;&gt;"",$A14&lt;&gt;""),HLOOKUP(I$9,Access_Data!$A$9:$BA$25,Comparison_Report!$S16,FALSE),"")</f>
        <v/>
      </c>
      <c r="J14" s="45" t="str">
        <f>IF(OR(ISBLANK(Main!B39),A14=""),"",Main!H39)</f>
        <v/>
      </c>
      <c r="K14" s="30" t="str">
        <f t="shared" si="2"/>
        <v/>
      </c>
      <c r="L14" s="22" t="str">
        <f>IF(AND(L$9&lt;&gt;"",$A14&lt;&gt;""),HLOOKUP(L$9,Access_Data!$A$9:$BA$25,Comparison_Report!$S16,FALSE),"")</f>
        <v/>
      </c>
      <c r="M14" s="45" t="str">
        <f>IF(OR(ISBLANK(Main!B40),A14=""),"",Main!H40)</f>
        <v/>
      </c>
      <c r="N14" s="30" t="str">
        <f t="shared" si="3"/>
        <v/>
      </c>
      <c r="O14" s="370"/>
      <c r="P14" s="369"/>
      <c r="Q14" s="372"/>
      <c r="R14" s="373"/>
      <c r="S14" s="373">
        <f t="shared" si="4"/>
        <v>12</v>
      </c>
      <c r="T14" s="373"/>
      <c r="U14" s="373">
        <v>6</v>
      </c>
      <c r="V14" s="373">
        <v>12</v>
      </c>
      <c r="W14" s="373"/>
      <c r="X14" s="369"/>
      <c r="Y14" s="369"/>
      <c r="Z14" s="371"/>
      <c r="AA14" s="371"/>
      <c r="AB14" s="371"/>
      <c r="AC14" s="371"/>
    </row>
    <row r="15" spans="1:29" x14ac:dyDescent="0.25">
      <c r="A15" s="56" t="str">
        <f>IFERROR(HLOOKUP(A$8,Access_Data!$A$9:$BA$25,Comparison_Report!$S17,FALSE),"")</f>
        <v/>
      </c>
      <c r="B15" s="21"/>
      <c r="C15" s="22" t="str">
        <f>IF(AND(C$9&lt;&gt;"",$A15&lt;&gt;""),HLOOKUP(C$9,Access_Data!$A$9:$BA$25,Comparison_Report!$S17,FALSE),"")</f>
        <v/>
      </c>
      <c r="D15" s="45" t="str">
        <f>IF(OR(ISBLANK(Main!B37),A14=""),"",Main!I37)</f>
        <v/>
      </c>
      <c r="E15" s="30" t="str">
        <f t="shared" si="0"/>
        <v/>
      </c>
      <c r="F15" s="22" t="str">
        <f>IF(AND(F$9&lt;&gt;"",$A15&lt;&gt;""),HLOOKUP(F$9,Access_Data!$A$9:$BA$25,Comparison_Report!$S17,FALSE),"")</f>
        <v/>
      </c>
      <c r="G15" s="45" t="str">
        <f>IF(OR(ISBLANK(Main!B38),A14=""),"",Main!I38)</f>
        <v/>
      </c>
      <c r="H15" s="30" t="str">
        <f t="shared" si="1"/>
        <v/>
      </c>
      <c r="I15" s="22" t="str">
        <f>IF(AND(I$9&lt;&gt;"",$A15&lt;&gt;""),HLOOKUP(I$9,Access_Data!$A$9:$BA$25,Comparison_Report!$S17,FALSE),"")</f>
        <v/>
      </c>
      <c r="J15" s="45" t="str">
        <f>IF(OR(ISBLANK(Main!B39),A14=""),"",Main!I39)</f>
        <v/>
      </c>
      <c r="K15" s="30" t="str">
        <f t="shared" si="2"/>
        <v/>
      </c>
      <c r="L15" s="22" t="str">
        <f>IF(AND(L$9&lt;&gt;"",$A15&lt;&gt;""),HLOOKUP(L$9,Access_Data!$A$9:$BA$25,Comparison_Report!$S17,FALSE),"")</f>
        <v/>
      </c>
      <c r="M15" s="45" t="str">
        <f>IF(OR(ISBLANK(Main!B40),A14=""),"",Main!I40)</f>
        <v/>
      </c>
      <c r="N15" s="30" t="str">
        <f t="shared" si="3"/>
        <v/>
      </c>
      <c r="O15" s="370"/>
      <c r="P15" s="369"/>
      <c r="Q15" s="372"/>
      <c r="R15" s="373"/>
      <c r="S15" s="373">
        <f t="shared" si="4"/>
        <v>17</v>
      </c>
      <c r="T15" s="373"/>
      <c r="U15" s="373">
        <v>8</v>
      </c>
      <c r="V15" s="373">
        <v>17</v>
      </c>
      <c r="W15" s="373"/>
      <c r="X15" s="369"/>
      <c r="Y15" s="369"/>
      <c r="Z15" s="371"/>
      <c r="AA15" s="371"/>
      <c r="AB15" s="371"/>
      <c r="AC15" s="371"/>
    </row>
    <row r="16" spans="1:29" x14ac:dyDescent="0.25">
      <c r="A16" s="56" t="str">
        <f>IFERROR(HLOOKUP(A$8,Access_Data!$A$9:$BA$25,Comparison_Report!$S18,FALSE),"")</f>
        <v/>
      </c>
      <c r="B16" s="21"/>
      <c r="C16" s="22" t="str">
        <f>IF(AND(C$9&lt;&gt;"",$A16&lt;&gt;""),HLOOKUP(C$9,Access_Data!$A$9:$BA$25,Comparison_Report!$S18,FALSE),"")</f>
        <v/>
      </c>
      <c r="D16" s="45" t="str">
        <f>IF(OR(ISBLANK(Main!B37),A14=""),"",Main!J37)</f>
        <v/>
      </c>
      <c r="E16" s="30" t="str">
        <f t="shared" si="0"/>
        <v/>
      </c>
      <c r="F16" s="22" t="str">
        <f>IF(AND(F$9&lt;&gt;"",$A16&lt;&gt;""),HLOOKUP(F$9,Access_Data!$A$9:$BA$25,Comparison_Report!$S18,FALSE),"")</f>
        <v/>
      </c>
      <c r="G16" s="45" t="str">
        <f>IF(OR(ISBLANK(Main!B38),A14=""),"",Main!J38)</f>
        <v/>
      </c>
      <c r="H16" s="30" t="str">
        <f t="shared" si="1"/>
        <v/>
      </c>
      <c r="I16" s="22" t="str">
        <f>IF(AND(I$9&lt;&gt;"",$A16&lt;&gt;""),HLOOKUP(I$9,Access_Data!$A$9:$BA$25,Comparison_Report!$S18,FALSE),"")</f>
        <v/>
      </c>
      <c r="J16" s="45" t="str">
        <f>IF(OR(ISBLANK(Main!B39),A14=""),"",Main!J39)</f>
        <v/>
      </c>
      <c r="K16" s="30" t="str">
        <f t="shared" si="2"/>
        <v/>
      </c>
      <c r="L16" s="22" t="str">
        <f>IF(AND(L$9&lt;&gt;"",$A16&lt;&gt;""),HLOOKUP(L$9,Access_Data!$A$9:$BA$25,Comparison_Report!$S18,FALSE),"")</f>
        <v/>
      </c>
      <c r="M16" s="45" t="str">
        <f>IF(OR(ISBLANK(Main!B40),A14=""),"",Main!J40)</f>
        <v/>
      </c>
      <c r="N16" s="30" t="str">
        <f t="shared" si="3"/>
        <v/>
      </c>
      <c r="O16" s="370"/>
      <c r="P16" s="369"/>
      <c r="Q16" s="372"/>
      <c r="R16" s="373"/>
      <c r="S16" s="373">
        <f t="shared" si="4"/>
        <v>22</v>
      </c>
      <c r="T16" s="373"/>
      <c r="U16" s="373">
        <v>10</v>
      </c>
      <c r="V16" s="373">
        <v>22</v>
      </c>
      <c r="W16" s="373"/>
      <c r="X16" s="369"/>
      <c r="Y16" s="369"/>
      <c r="Z16" s="371"/>
      <c r="AA16" s="371"/>
      <c r="AB16" s="371"/>
      <c r="AC16" s="371"/>
    </row>
    <row r="17" spans="1:22" x14ac:dyDescent="0.25">
      <c r="A17" s="56" t="str">
        <f>IFERROR(HLOOKUP(A$8,Access_Data!$A$9:$BA$25,Comparison_Report!$S19,FALSE),"")</f>
        <v/>
      </c>
      <c r="B17" s="21"/>
      <c r="C17" s="22" t="str">
        <f>IF(AND(C$9&lt;&gt;"",$A17&lt;&gt;""),HLOOKUP(C$9,Access_Data!$A$9:$BA$25,Comparison_Report!$S19,FALSE),"")</f>
        <v/>
      </c>
      <c r="D17" s="45" t="str">
        <f>IF(OR(ISBLANK(Main!B37),A14=""),"",Main!K37)</f>
        <v/>
      </c>
      <c r="E17" s="30" t="str">
        <f t="shared" si="0"/>
        <v/>
      </c>
      <c r="F17" s="22" t="str">
        <f>IF(AND(F$9&lt;&gt;"",$A17&lt;&gt;""),HLOOKUP(F$9,Access_Data!$A$9:$BA$25,Comparison_Report!$S19,FALSE),"")</f>
        <v/>
      </c>
      <c r="G17" s="45" t="str">
        <f>IF(OR(ISBLANK(Main!B38),A14=""),"",Main!K38)</f>
        <v/>
      </c>
      <c r="H17" s="30" t="str">
        <f t="shared" si="1"/>
        <v/>
      </c>
      <c r="I17" s="22" t="str">
        <f>IF(AND(I$9&lt;&gt;"",$A17&lt;&gt;""),HLOOKUP(I$9,Access_Data!$A$9:$BA$25,Comparison_Report!$S19,FALSE),"")</f>
        <v/>
      </c>
      <c r="J17" s="45" t="str">
        <f>IF(OR(ISBLANK(Main!B39),A14=""),"",Main!K39)</f>
        <v/>
      </c>
      <c r="K17" s="30" t="str">
        <f t="shared" si="2"/>
        <v/>
      </c>
      <c r="L17" s="22" t="str">
        <f>IF(AND(L$9&lt;&gt;"",$A17&lt;&gt;""),HLOOKUP(L$9,Access_Data!$A$9:$BA$25,Comparison_Report!$S19,FALSE),"")</f>
        <v/>
      </c>
      <c r="M17" s="45" t="str">
        <f>IF(OR(ISBLANK(Main!B40),A14=""),"",Main!K40)</f>
        <v/>
      </c>
      <c r="N17" s="30" t="str">
        <f t="shared" si="3"/>
        <v/>
      </c>
      <c r="O17" s="29"/>
      <c r="S17" s="17" t="str">
        <f t="shared" si="4"/>
        <v/>
      </c>
      <c r="U17" s="17">
        <v>12</v>
      </c>
      <c r="V17" s="17" t="str">
        <f>""</f>
        <v/>
      </c>
    </row>
    <row r="18" spans="1:22" x14ac:dyDescent="0.25">
      <c r="A18" s="56" t="str">
        <f>IFERROR(HLOOKUP(A$8,Access_Data!$A$9:$BA$25,Comparison_Report!$S20,FALSE),"")</f>
        <v/>
      </c>
      <c r="B18" s="21"/>
      <c r="C18" s="22" t="str">
        <f>IF(AND(C$9&lt;&gt;"",$A18&lt;&gt;""),HLOOKUP(C$9,Access_Data!$A$9:$BA$25,Comparison_Report!$S20,FALSE),"")</f>
        <v/>
      </c>
      <c r="D18" s="45" t="str">
        <f>IF(OR(ISBLANK(Main!B37),A14=""),"",Main!L37)</f>
        <v/>
      </c>
      <c r="E18" s="30" t="str">
        <f t="shared" si="0"/>
        <v/>
      </c>
      <c r="F18" s="22" t="str">
        <f>IF(AND(F$9&lt;&gt;"",$A18&lt;&gt;""),HLOOKUP(F$9,Access_Data!$A$9:$BA$25,Comparison_Report!$S20,FALSE),"")</f>
        <v/>
      </c>
      <c r="G18" s="45" t="str">
        <f>IF(OR(ISBLANK(Main!B38),A14=""),"",Main!L38)</f>
        <v/>
      </c>
      <c r="H18" s="30" t="str">
        <f t="shared" si="1"/>
        <v/>
      </c>
      <c r="I18" s="22" t="str">
        <f>IF(AND(I$9&lt;&gt;"",$A18&lt;&gt;""),HLOOKUP(I$9,Access_Data!$A$9:$BA$25,Comparison_Report!$S20,FALSE),"")</f>
        <v/>
      </c>
      <c r="J18" s="45" t="str">
        <f>IF(OR(ISBLANK(Main!B39),A14=""),"",Main!L39)</f>
        <v/>
      </c>
      <c r="K18" s="30" t="str">
        <f t="shared" si="2"/>
        <v/>
      </c>
      <c r="L18" s="22" t="str">
        <f>IF(AND(L$9&lt;&gt;"",$A18&lt;&gt;""),HLOOKUP(L$9,Access_Data!$A$9:$BA$25,Comparison_Report!$S20,FALSE),"")</f>
        <v/>
      </c>
      <c r="M18" s="45" t="str">
        <f>IF(OR(ISBLANK(Main!B40),A14=""),"",Main!L40)</f>
        <v/>
      </c>
      <c r="N18" s="30" t="str">
        <f t="shared" si="3"/>
        <v/>
      </c>
      <c r="O18" s="29"/>
      <c r="S18" s="17" t="str">
        <f t="shared" si="4"/>
        <v/>
      </c>
      <c r="U18" s="17">
        <v>14</v>
      </c>
      <c r="V18" s="17" t="str">
        <f>""</f>
        <v/>
      </c>
    </row>
    <row r="19" spans="1:22" x14ac:dyDescent="0.25">
      <c r="A19" s="17">
        <v>0</v>
      </c>
      <c r="B19" s="17"/>
      <c r="C19" s="17"/>
      <c r="D19" s="32">
        <v>1</v>
      </c>
      <c r="E19" s="17" t="str">
        <f ca="1">IF(ISNUMBER(SEARCH(".",E10))=TRUE,".","")</f>
        <v/>
      </c>
      <c r="F19" s="17"/>
      <c r="G19" s="32">
        <v>1</v>
      </c>
      <c r="H19" s="15" t="str">
        <f>IF(OR(S16=1,S17=1,S18=1,S19=1,S20=1,S21=1,S22=1,S23=1),"CHECK READINGS!!!","")</f>
        <v/>
      </c>
      <c r="I19" s="17"/>
      <c r="J19" s="32">
        <v>1</v>
      </c>
      <c r="K19" s="17" t="str">
        <f ca="1">IF(ISNUMBER(SEARCH(".",K10))=TRUE,".","")</f>
        <v/>
      </c>
      <c r="L19" s="17"/>
      <c r="M19" s="32">
        <v>1</v>
      </c>
      <c r="N19" s="17" t="str">
        <f ca="1">IF(ISNUMBER(SEARCH(".",N10))=TRUE,".","")</f>
        <v/>
      </c>
      <c r="O19" s="29"/>
      <c r="S19" s="17" t="str">
        <f t="shared" si="4"/>
        <v/>
      </c>
      <c r="U19" s="17">
        <v>16</v>
      </c>
      <c r="V19" s="17" t="str">
        <f>""</f>
        <v/>
      </c>
    </row>
    <row r="20" spans="1:22" x14ac:dyDescent="0.25">
      <c r="C20" s="18" t="s">
        <v>24</v>
      </c>
      <c r="D20" s="18" t="s">
        <v>25</v>
      </c>
      <c r="F20" s="18" t="s">
        <v>24</v>
      </c>
      <c r="G20" s="18" t="s">
        <v>25</v>
      </c>
      <c r="H20" s="18"/>
      <c r="I20" s="18" t="s">
        <v>24</v>
      </c>
      <c r="J20" s="18" t="s">
        <v>25</v>
      </c>
      <c r="K20" s="18"/>
      <c r="L20" s="18" t="s">
        <v>24</v>
      </c>
      <c r="M20" s="18" t="s">
        <v>25</v>
      </c>
      <c r="O20" s="29"/>
      <c r="S20" s="17" t="str">
        <f t="shared" si="4"/>
        <v/>
      </c>
      <c r="U20" s="17">
        <v>17</v>
      </c>
      <c r="V20" s="17" t="str">
        <f>""</f>
        <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17" t="str">
        <f t="shared" si="4"/>
        <v/>
      </c>
      <c r="U21" s="17">
        <v>21</v>
      </c>
      <c r="V21" s="17" t="str">
        <f>""</f>
        <v/>
      </c>
    </row>
    <row r="22" spans="1:22" x14ac:dyDescent="0.25">
      <c r="A22" s="56" t="str">
        <f>IF(C$21="","",IFERROR(HLOOKUP(A$8,Access_Data!$A$9:$BA$25,Comparison_Report!$S12,FALSE),""))</f>
        <v/>
      </c>
      <c r="B22" s="21"/>
      <c r="C22" s="22" t="str">
        <f>IF(AND(C$21&lt;&gt;"",$A22&lt;&gt;""),HLOOKUP(C$21,Access_Data!$A$9:$BA$25,Comparison_Report!$S12,FALSE),"")</f>
        <v/>
      </c>
      <c r="D22" s="45" t="str">
        <f>IF(ISBLANK(Main!B41),"",Main!D41)</f>
        <v/>
      </c>
      <c r="E22" s="30" t="str">
        <f>IF(AND(C22&lt;&gt;"",D22&lt;&gt;""),D22-C22,"")</f>
        <v/>
      </c>
      <c r="F22" s="22" t="str">
        <f>IF(AND(F$21&lt;&gt;"",$A22&lt;&gt;""),HLOOKUP(F$21,Access_Data!$A$9:$BA$25,Comparison_Report!$S12,FALSE),"")</f>
        <v/>
      </c>
      <c r="G22" s="45" t="str">
        <f>IF(ISBLANK(Main!B42),"",Main!D42)</f>
        <v/>
      </c>
      <c r="H22" s="30" t="str">
        <f>IF(AND(F22&lt;&gt;"",G22&lt;&gt;""),G22-F22,"")</f>
        <v/>
      </c>
      <c r="I22" s="22" t="str">
        <f>IF(AND(I$21&lt;&gt;"",$A22&lt;&gt;""),HLOOKUP(I$21,Access_Data!$A$9:$BA$25,Comparison_Report!$S12,FALSE),"")</f>
        <v/>
      </c>
      <c r="J22" s="45" t="str">
        <f>IF(ISBLANK(Main!B43),"",Main!D43)</f>
        <v/>
      </c>
      <c r="K22" s="30" t="str">
        <f>IF(AND(I22&lt;&gt;"",J22&lt;&gt;""),J22-I22,"")</f>
        <v/>
      </c>
      <c r="L22" s="22" t="str">
        <f>IF(AND(L$21&lt;&gt;"",$A22&lt;&gt;""),HLOOKUP(L$21,Access_Data!$A$9:$BA$25,Comparison_Report!$S12,FALSE),"")</f>
        <v/>
      </c>
      <c r="M22" s="45" t="str">
        <f>IF(ISBLANK(Main!$B$44),"",Main!$D$44)</f>
        <v/>
      </c>
      <c r="N22" s="30" t="str">
        <f>IF(AND(L22&lt;&gt;"",M22&lt;&gt;""),M22-L22,"")</f>
        <v/>
      </c>
      <c r="O22" s="28" t="str">
        <f>IF(R5=1, D21 &amp;" IS OOT!!!","")</f>
        <v/>
      </c>
      <c r="S22" s="17" t="str">
        <f t="shared" si="4"/>
        <v/>
      </c>
      <c r="U22" s="17">
        <v>22</v>
      </c>
      <c r="V22" s="17" t="str">
        <f>""</f>
        <v/>
      </c>
    </row>
    <row r="23" spans="1:22" x14ac:dyDescent="0.25">
      <c r="A23" s="56" t="str">
        <f>IF(C$21="","",IFERROR(HLOOKUP(A$8,Access_Data!$A$9:$BA$25,Comparison_Report!$S13,FALSE),""))</f>
        <v/>
      </c>
      <c r="B23" s="21"/>
      <c r="C23" s="22" t="str">
        <f>IF(AND(C$21&lt;&gt;"",$A23&lt;&gt;""),HLOOKUP(C$21,Access_Data!$A$9:$BA$25,Comparison_Report!$S13,FALSE),"")</f>
        <v/>
      </c>
      <c r="D23" s="45" t="str">
        <f>IF(ISBLANK(Main!B41),"",Main!E41)</f>
        <v/>
      </c>
      <c r="E23" s="30" t="str">
        <f t="shared" ref="E23:E30" si="5">IF(AND(C23&lt;&gt;"",D23&lt;&gt;""),D23-C23,"")</f>
        <v/>
      </c>
      <c r="F23" s="22" t="str">
        <f>IF(AND(F$21&lt;&gt;"",$A23&lt;&gt;""),HLOOKUP(F$21,Access_Data!$A$9:$BA$25,Comparison_Report!$S13,FALSE),"")</f>
        <v/>
      </c>
      <c r="G23" s="45" t="str">
        <f>IF(ISBLANK(Main!B42),"",Main!E42)</f>
        <v/>
      </c>
      <c r="H23" s="30" t="str">
        <f t="shared" ref="H23:H30" si="6">IF(AND(F23&lt;&gt;"",G23&lt;&gt;""),G23-F23,"")</f>
        <v/>
      </c>
      <c r="I23" s="22" t="str">
        <f>IF(AND(I$21&lt;&gt;"",$A23&lt;&gt;""),HLOOKUP(I$21,Access_Data!$A$9:$BA$25,Comparison_Report!$S13,FALSE),"")</f>
        <v/>
      </c>
      <c r="J23" s="45" t="str">
        <f>IF(ISBLANK(Main!B43),"",Main!E43)</f>
        <v/>
      </c>
      <c r="K23" s="30" t="str">
        <f t="shared" ref="K23:K30" si="7">IF(AND(I23&lt;&gt;"",J23&lt;&gt;""),J23-I23,"")</f>
        <v/>
      </c>
      <c r="L23" s="22" t="str">
        <f>IF(AND(L$21&lt;&gt;"",$A23&lt;&gt;""),HLOOKUP(L$21,Access_Data!$A$9:$BA$25,Comparison_Report!$S13,FALSE),"")</f>
        <v/>
      </c>
      <c r="M23" s="45" t="str">
        <f>IF(ISBLANK(Main!$B$44),"",Main!$E$44)</f>
        <v/>
      </c>
      <c r="N23" s="30" t="str">
        <f t="shared" ref="N23:N30" si="8">IF(AND(L23&lt;&gt;"",M23&lt;&gt;""),M23-L23,"")</f>
        <v/>
      </c>
      <c r="O23" s="28" t="str">
        <f>IF(R6=1, G21 &amp;" IS OOT!!!","")</f>
        <v/>
      </c>
      <c r="R23" s="17" t="str">
        <f t="shared" ref="R23:R28" si="9">IF($K$5=4,T23,V17)</f>
        <v/>
      </c>
      <c r="T23" s="17" t="str">
        <f>""</f>
        <v/>
      </c>
      <c r="U23" s="17" t="str">
        <f>""</f>
        <v/>
      </c>
    </row>
    <row r="24" spans="1:22" x14ac:dyDescent="0.25">
      <c r="A24" s="56" t="str">
        <f>IF(C$21="","",IFERROR(HLOOKUP(A$8,Access_Data!$A$9:$BA$25,Comparison_Report!$S14,FALSE),""))</f>
        <v/>
      </c>
      <c r="B24" s="21"/>
      <c r="C24" s="22" t="str">
        <f>IF(AND(C$21&lt;&gt;"",$A24&lt;&gt;""),HLOOKUP(C$21,Access_Data!$A$9:$BA$25,Comparison_Report!$S14,FALSE),"")</f>
        <v/>
      </c>
      <c r="D24" s="45" t="str">
        <f>IF(ISBLANK(Main!B41),"",Main!F41)</f>
        <v/>
      </c>
      <c r="E24" s="30" t="str">
        <f t="shared" si="5"/>
        <v/>
      </c>
      <c r="F24" s="22" t="str">
        <f>IF(AND(F$21&lt;&gt;"",$A24&lt;&gt;""),HLOOKUP(F$21,Access_Data!$A$9:$BA$25,Comparison_Report!$S14,FALSE),"")</f>
        <v/>
      </c>
      <c r="G24" s="45" t="str">
        <f>IF(ISBLANK(Main!B42),"",Main!F42)</f>
        <v/>
      </c>
      <c r="H24" s="30" t="str">
        <f t="shared" si="6"/>
        <v/>
      </c>
      <c r="I24" s="22" t="str">
        <f>IF(AND(I$21&lt;&gt;"",$A24&lt;&gt;""),HLOOKUP(I$21,Access_Data!$A$9:$BA$25,Comparison_Report!$S14,FALSE),"")</f>
        <v/>
      </c>
      <c r="J24" s="45" t="str">
        <f>IF(ISBLANK(Main!B43),"",Main!F43)</f>
        <v/>
      </c>
      <c r="K24" s="30" t="str">
        <f t="shared" si="7"/>
        <v/>
      </c>
      <c r="L24" s="22" t="str">
        <f>IF(AND(L$21&lt;&gt;"",$A24&lt;&gt;""),HLOOKUP(L$21,Access_Data!$A$9:$BA$25,Comparison_Report!$S14,FALSE),"")</f>
        <v/>
      </c>
      <c r="M24" s="45" t="str">
        <f>IF(ISBLANK(Main!$B$44),"",Main!$F$44)</f>
        <v/>
      </c>
      <c r="N24" s="30" t="str">
        <f t="shared" si="8"/>
        <v/>
      </c>
      <c r="O24" s="28" t="str">
        <f>IF(R7=1, J21 &amp; " IS OOT!!!","")</f>
        <v/>
      </c>
      <c r="R24" s="17" t="str">
        <f t="shared" si="9"/>
        <v/>
      </c>
      <c r="S24" s="47" t="str">
        <f>TEXT(Main!D3,"mmddyy")</f>
        <v>010000</v>
      </c>
      <c r="T24" s="17" t="str">
        <f>""</f>
        <v/>
      </c>
      <c r="U24" s="17" t="str">
        <f>""</f>
        <v/>
      </c>
    </row>
    <row r="25" spans="1:22" x14ac:dyDescent="0.25">
      <c r="A25" s="56" t="str">
        <f>IF(C$21="","",IFERROR(HLOOKUP(A$8,Access_Data!$A$9:$BA$25,Comparison_Report!$S15,FALSE),""))</f>
        <v/>
      </c>
      <c r="B25" s="21"/>
      <c r="C25" s="22" t="str">
        <f>IF(AND(C$21&lt;&gt;"",$A25&lt;&gt;""),HLOOKUP(C$21,Access_Data!$A$9:$BA$25,Comparison_Report!$S15,FALSE),"")</f>
        <v/>
      </c>
      <c r="D25" s="45" t="str">
        <f>IF(ISBLANK(Main!B41),"",Main!G41)</f>
        <v/>
      </c>
      <c r="E25" s="30" t="str">
        <f t="shared" si="5"/>
        <v/>
      </c>
      <c r="F25" s="22" t="str">
        <f>IF(AND(F$21&lt;&gt;"",$A25&lt;&gt;""),HLOOKUP(F$21,Access_Data!$A$9:$BA$25,Comparison_Report!$S15,FALSE),"")</f>
        <v/>
      </c>
      <c r="G25" s="45" t="str">
        <f>IF(ISBLANK(Main!B42),"",Main!G42)</f>
        <v/>
      </c>
      <c r="H25" s="30" t="str">
        <f t="shared" si="6"/>
        <v/>
      </c>
      <c r="I25" s="22" t="str">
        <f>IF(AND(I$21&lt;&gt;"",$A25&lt;&gt;""),HLOOKUP(I$21,Access_Data!$A$9:$BA$25,Comparison_Report!$S15,FALSE),"")</f>
        <v/>
      </c>
      <c r="J25" s="45" t="str">
        <f>IF(ISBLANK(Main!B43),"",Main!G43)</f>
        <v/>
      </c>
      <c r="K25" s="30" t="str">
        <f t="shared" si="7"/>
        <v/>
      </c>
      <c r="L25" s="22" t="str">
        <f>IF(AND(L$21&lt;&gt;"",$A25&lt;&gt;""),HLOOKUP(L$21,Access_Data!$A$9:$BA$25,Comparison_Report!$S15,FALSE),"")</f>
        <v/>
      </c>
      <c r="M25" s="45" t="str">
        <f>IF(ISBLANK(Main!$B$44),"",Main!$G$44)</f>
        <v/>
      </c>
      <c r="N25" s="30" t="str">
        <f t="shared" si="8"/>
        <v/>
      </c>
      <c r="O25" s="28" t="str">
        <f>IF(R8=1, M21 &amp; " IS OOT!!!","")</f>
        <v/>
      </c>
      <c r="R25" s="17" t="str">
        <f t="shared" si="9"/>
        <v/>
      </c>
      <c r="S25" s="17">
        <v>4</v>
      </c>
      <c r="T25" s="17" t="str">
        <f>""</f>
        <v/>
      </c>
      <c r="U25" s="17" t="str">
        <f>""</f>
        <v/>
      </c>
    </row>
    <row r="26" spans="1:22" x14ac:dyDescent="0.25">
      <c r="A26" s="56" t="str">
        <f>IF(C$21="","",IFERROR(HLOOKUP(A$8,Access_Data!$A$9:$BA$25,Comparison_Report!$S16,FALSE),""))</f>
        <v/>
      </c>
      <c r="B26" s="21"/>
      <c r="C26" s="22" t="str">
        <f>IF(AND(C$21&lt;&gt;"",$A26&lt;&gt;""),HLOOKUP(C$21,Access_Data!$A$9:$BA$25,Comparison_Report!$S16,FALSE),"")</f>
        <v/>
      </c>
      <c r="D26" s="45" t="str">
        <f>IF(OR(ISBLANK(Main!B41),A26=""),"",Main!H41)</f>
        <v/>
      </c>
      <c r="E26" s="30" t="str">
        <f t="shared" si="5"/>
        <v/>
      </c>
      <c r="F26" s="22" t="str">
        <f>IF(AND(F$21&lt;&gt;"",$A26&lt;&gt;""),HLOOKUP(F$21,Access_Data!$A$9:$BA$25,Comparison_Report!$S16,FALSE),"")</f>
        <v/>
      </c>
      <c r="G26" s="45" t="str">
        <f>IF(OR(ISBLANK(Main!B42),A26=""),"",Main!H42)</f>
        <v/>
      </c>
      <c r="H26" s="30" t="str">
        <f t="shared" si="6"/>
        <v/>
      </c>
      <c r="I26" s="22" t="str">
        <f>IF(AND(I$21&lt;&gt;"",$A26&lt;&gt;""),HLOOKUP(I$21,Access_Data!$A$9:$BA$25,Comparison_Report!$S16,FALSE),"")</f>
        <v/>
      </c>
      <c r="J26" s="45" t="str">
        <f>IF(OR(ISBLANK(Main!B43),A26=""),"",Main!H43)</f>
        <v/>
      </c>
      <c r="K26" s="30" t="str">
        <f t="shared" si="7"/>
        <v/>
      </c>
      <c r="L26" s="22" t="str">
        <f>IF(AND(L$21&lt;&gt;"",$A26&lt;&gt;""),HLOOKUP(L$21,Access_Data!$A$9:$BA$25,Comparison_Report!$S16,FALSE),"")</f>
        <v/>
      </c>
      <c r="M26" s="45" t="str">
        <f>IF(OR(ISBLANK(Main!$B$44),$A$26=""),"",Main!$H$44)</f>
        <v/>
      </c>
      <c r="N26" s="30" t="str">
        <f t="shared" si="8"/>
        <v/>
      </c>
      <c r="R26" s="17" t="str">
        <f t="shared" si="9"/>
        <v/>
      </c>
      <c r="S26" s="17">
        <v>10</v>
      </c>
      <c r="T26" s="17" t="str">
        <f>""</f>
        <v/>
      </c>
    </row>
    <row r="27" spans="1:22" x14ac:dyDescent="0.25">
      <c r="A27" s="56" t="str">
        <f>IF(C$21="","",IFERROR(HLOOKUP(A$8,Access_Data!$A$9:$BA$25,Comparison_Report!$S17,FALSE),""))</f>
        <v/>
      </c>
      <c r="B27" s="21"/>
      <c r="C27" s="22" t="str">
        <f>IF(AND(C$21&lt;&gt;"",$A27&lt;&gt;""),HLOOKUP(C$21,Access_Data!$A$9:$BA$25,Comparison_Report!$S17,FALSE),"")</f>
        <v/>
      </c>
      <c r="D27" s="45" t="str">
        <f>IF(OR(ISBLANK(Main!B41),A26=""),"",Main!I41)</f>
        <v/>
      </c>
      <c r="E27" s="30" t="str">
        <f t="shared" si="5"/>
        <v/>
      </c>
      <c r="F27" s="22" t="str">
        <f>IF(AND(F$21&lt;&gt;"",$A27&lt;&gt;""),HLOOKUP(F$21,Access_Data!$A$9:$BA$25,Comparison_Report!$S17,FALSE),"")</f>
        <v/>
      </c>
      <c r="G27" s="45" t="str">
        <f>IF(OR(ISBLANK(Main!B42),A26=""),"",Main!I42)</f>
        <v/>
      </c>
      <c r="H27" s="30" t="str">
        <f t="shared" si="6"/>
        <v/>
      </c>
      <c r="I27" s="22" t="str">
        <f>IF(AND(I$21&lt;&gt;"",$A27&lt;&gt;""),HLOOKUP(I$21,Access_Data!$A$9:$BA$25,Comparison_Report!$S17,FALSE),"")</f>
        <v/>
      </c>
      <c r="J27" s="45" t="str">
        <f>IF(OR(ISBLANK(Main!B43),A26=""),"",Main!I43)</f>
        <v/>
      </c>
      <c r="K27" s="30" t="str">
        <f t="shared" si="7"/>
        <v/>
      </c>
      <c r="L27" s="22" t="str">
        <f>IF(AND(L$21&lt;&gt;"",$A27&lt;&gt;""),HLOOKUP(L$21,Access_Data!$A$9:$BA$25,Comparison_Report!$S17,FALSE),"")</f>
        <v/>
      </c>
      <c r="M27" s="45" t="str">
        <f>IF(OR(ISBLANK(Main!$B$44),$A$26=""),"",Main!$I$44)</f>
        <v/>
      </c>
      <c r="N27" s="30" t="str">
        <f t="shared" si="8"/>
        <v/>
      </c>
      <c r="R27" s="17" t="str">
        <f t="shared" si="9"/>
        <v/>
      </c>
      <c r="T27" s="17" t="str">
        <f>""</f>
        <v/>
      </c>
    </row>
    <row r="28" spans="1:22" x14ac:dyDescent="0.25">
      <c r="A28" s="56" t="str">
        <f>IF(C$21="","",IFERROR(HLOOKUP(A$8,Access_Data!$A$9:$BA$25,Comparison_Report!$S18,FALSE),""))</f>
        <v/>
      </c>
      <c r="B28" s="21"/>
      <c r="C28" s="22" t="str">
        <f>IF(AND(C$21&lt;&gt;"",$A28&lt;&gt;""),HLOOKUP(C$21,Access_Data!$A$9:$BA$25,Comparison_Report!$S18,FALSE),"")</f>
        <v/>
      </c>
      <c r="D28" s="45" t="str">
        <f>IF(OR(ISBLANK(Main!B41),A26=""),"",Main!J41)</f>
        <v/>
      </c>
      <c r="E28" s="30" t="str">
        <f t="shared" si="5"/>
        <v/>
      </c>
      <c r="F28" s="22" t="str">
        <f>IF(AND(F$21&lt;&gt;"",$A28&lt;&gt;""),HLOOKUP(F$21,Access_Data!$A$9:$BA$25,Comparison_Report!$S18,FALSE),"")</f>
        <v/>
      </c>
      <c r="G28" s="45" t="str">
        <f>IF(OR(ISBLANK(Main!B42),A26=""),"",Main!J42)</f>
        <v/>
      </c>
      <c r="H28" s="30" t="str">
        <f t="shared" si="6"/>
        <v/>
      </c>
      <c r="I28" s="22" t="str">
        <f>IF(AND(I$21&lt;&gt;"",$A28&lt;&gt;""),HLOOKUP(I$21,Access_Data!$A$9:$BA$25,Comparison_Report!$S18,FALSE),"")</f>
        <v/>
      </c>
      <c r="J28" s="45" t="str">
        <f>IF(OR(ISBLANK(Main!B43),A26=""),"",Main!J43)</f>
        <v/>
      </c>
      <c r="K28" s="30" t="str">
        <f t="shared" si="7"/>
        <v/>
      </c>
      <c r="L28" s="22" t="str">
        <f>IF(AND(L$21&lt;&gt;"",$A28&lt;&gt;""),HLOOKUP(L$21,Access_Data!$A$9:$BA$25,Comparison_Report!$S18,FALSE),"")</f>
        <v/>
      </c>
      <c r="M28" s="45" t="str">
        <f>IF(OR(ISBLANK(Main!$B$44),$A$26=""),"",Main!$J$44)</f>
        <v/>
      </c>
      <c r="N28" s="30" t="str">
        <f t="shared" si="8"/>
        <v/>
      </c>
      <c r="R28" s="17" t="str">
        <f t="shared" si="9"/>
        <v/>
      </c>
      <c r="T28" s="17" t="str">
        <f>""</f>
        <v/>
      </c>
    </row>
    <row r="29" spans="1:22" x14ac:dyDescent="0.25">
      <c r="A29" s="56" t="str">
        <f>IF(C$21="","",IFERROR(HLOOKUP(A$8,Access_Data!$A$9:$BA$25,Comparison_Report!$S19,FALSE),""))</f>
        <v/>
      </c>
      <c r="B29" s="21"/>
      <c r="C29" s="22" t="str">
        <f>IF(AND(C$21&lt;&gt;"",$A29&lt;&gt;""),HLOOKUP(C$21,Access_Data!$A$9:$BA$25,Comparison_Report!$S19,FALSE),"")</f>
        <v/>
      </c>
      <c r="D29" s="45" t="str">
        <f>IF(OR(ISBLANK(Main!B41),A26=""),"",Main!K41)</f>
        <v/>
      </c>
      <c r="E29" s="30" t="str">
        <f t="shared" si="5"/>
        <v/>
      </c>
      <c r="F29" s="22" t="str">
        <f>IF(AND(F$21&lt;&gt;"",$A29&lt;&gt;""),HLOOKUP(F$21,Access_Data!$A$9:$BA$25,Comparison_Report!$S19,FALSE),"")</f>
        <v/>
      </c>
      <c r="G29" s="45" t="str">
        <f>IF(OR(ISBLANK(Main!B42),A26=""),"",Main!K42)</f>
        <v/>
      </c>
      <c r="H29" s="30" t="str">
        <f t="shared" si="6"/>
        <v/>
      </c>
      <c r="I29" s="22" t="str">
        <f>IF(AND(I$21&lt;&gt;"",$A29&lt;&gt;""),HLOOKUP(I$21,Access_Data!$A$9:$BA$25,Comparison_Report!$S19,FALSE),"")</f>
        <v/>
      </c>
      <c r="J29" s="45" t="str">
        <f>IF(OR(ISBLANK(Main!B43),A26=""),"",Main!K43)</f>
        <v/>
      </c>
      <c r="K29" s="30" t="str">
        <f t="shared" si="7"/>
        <v/>
      </c>
      <c r="L29" s="22" t="str">
        <f>IF(AND(L$21&lt;&gt;"",$A29&lt;&gt;""),HLOOKUP(L$21,Access_Data!$A$9:$BA$25,Comparison_Report!$S19,FALSE),"")</f>
        <v/>
      </c>
      <c r="M29" s="45" t="str">
        <f>IF(OR(ISBLANK(Main!$B$44),$A$26=""),"",Main!$K$44)</f>
        <v/>
      </c>
      <c r="N29" s="30" t="str">
        <f t="shared" si="8"/>
        <v/>
      </c>
      <c r="R29" s="17" t="str">
        <f>IF($K$5=4,T29,U23)</f>
        <v/>
      </c>
      <c r="T29" s="17" t="str">
        <f>""</f>
        <v/>
      </c>
    </row>
    <row r="30" spans="1:22" x14ac:dyDescent="0.25">
      <c r="A30" s="56" t="str">
        <f>IF(C$21="","",IFERROR(HLOOKUP(A$8,Access_Data!$A$9:$BA$25,Comparison_Report!$S20,FALSE),""))</f>
        <v/>
      </c>
      <c r="B30" s="21"/>
      <c r="C30" s="22" t="str">
        <f>IF(AND(C$21&lt;&gt;"",$A30&lt;&gt;""),HLOOKUP(C$21,Access_Data!$A$9:$BA$25,Comparison_Report!$S20,FALSE),"")</f>
        <v/>
      </c>
      <c r="D30" s="45" t="str">
        <f>IF(OR(ISBLANK(Main!B41),A26=""),"",Main!L41)</f>
        <v/>
      </c>
      <c r="E30" s="30" t="str">
        <f t="shared" si="5"/>
        <v/>
      </c>
      <c r="F30" s="22" t="str">
        <f>IF(AND(F$21&lt;&gt;"",$A30&lt;&gt;""),HLOOKUP(F$21,Access_Data!$A$9:$BA$25,Comparison_Report!$S20,FALSE),"")</f>
        <v/>
      </c>
      <c r="G30" s="45" t="str">
        <f>IF(OR(ISBLANK(Main!B42),A26=""),"",Main!L42)</f>
        <v/>
      </c>
      <c r="H30" s="30" t="str">
        <f t="shared" si="6"/>
        <v/>
      </c>
      <c r="I30" s="22" t="str">
        <f>IF(AND(I$21&lt;&gt;"",$A30&lt;&gt;""),HLOOKUP(I$21,Access_Data!$A$9:$BA$25,Comparison_Report!$S20,FALSE),"")</f>
        <v/>
      </c>
      <c r="J30" s="45" t="str">
        <f>IF(OR(ISBLANK(Main!B43),A26=""),"",Main!L43)</f>
        <v/>
      </c>
      <c r="K30" s="30" t="str">
        <f t="shared" si="7"/>
        <v/>
      </c>
      <c r="L30" s="22" t="str">
        <f>IF(AND(L$21&lt;&gt;"",$A30&lt;&gt;""),HLOOKUP(L$21,Access_Data!$A$9:$BA$25,Comparison_Report!$S20,FALSE),"")</f>
        <v/>
      </c>
      <c r="M30" s="45" t="str">
        <f>IF(OR(ISBLANK(Main!$B$44),$A$26=""),"",Main!$L$44)</f>
        <v/>
      </c>
      <c r="N30" s="30" t="str">
        <f t="shared" si="8"/>
        <v/>
      </c>
      <c r="R30" s="17" t="str">
        <f>IF($K$5=4,T30,U24)</f>
        <v/>
      </c>
      <c r="T30" s="17" t="str">
        <f>""</f>
        <v/>
      </c>
    </row>
    <row r="31" spans="1:22" ht="15.75" thickBot="1" x14ac:dyDescent="0.3">
      <c r="A31" s="23">
        <v>0</v>
      </c>
      <c r="B31" s="23"/>
      <c r="C31" s="23"/>
      <c r="D31" s="31">
        <v>1</v>
      </c>
      <c r="E31" s="24"/>
      <c r="F31" s="23"/>
      <c r="G31" s="31">
        <v>1</v>
      </c>
      <c r="H31" s="24"/>
      <c r="I31" s="23"/>
      <c r="J31" s="31">
        <v>1</v>
      </c>
      <c r="K31" s="24"/>
      <c r="L31" s="23"/>
      <c r="M31" s="31">
        <v>1</v>
      </c>
      <c r="N31" s="24"/>
      <c r="R31" s="17" t="str">
        <f>IF($K$5=4,T31,U25)</f>
        <v/>
      </c>
      <c r="T31" s="17" t="str">
        <f>""</f>
        <v/>
      </c>
    </row>
    <row r="32" spans="1:22" x14ac:dyDescent="0.25">
      <c r="C32" s="25" t="s">
        <v>28</v>
      </c>
      <c r="D32" s="681" t="s">
        <v>29</v>
      </c>
      <c r="E32" s="681"/>
      <c r="F32" s="681"/>
      <c r="G32" s="681"/>
      <c r="H32" s="681"/>
      <c r="I32" s="681"/>
      <c r="J32" s="681"/>
      <c r="K32" s="681"/>
      <c r="L32" s="681"/>
      <c r="M32" s="681"/>
    </row>
    <row r="33" spans="1:14" ht="15" customHeight="1" x14ac:dyDescent="0.25">
      <c r="D33" s="682"/>
      <c r="E33" s="682"/>
      <c r="F33" s="682"/>
      <c r="G33" s="682"/>
      <c r="H33" s="682"/>
      <c r="I33" s="682"/>
      <c r="J33" s="682"/>
      <c r="K33" s="682"/>
      <c r="L33" s="682"/>
      <c r="M33" s="682"/>
      <c r="N33" s="26"/>
    </row>
    <row r="34" spans="1:14" x14ac:dyDescent="0.25">
      <c r="A34" s="21"/>
      <c r="B34" s="21"/>
      <c r="D34" s="682"/>
      <c r="E34" s="682"/>
      <c r="F34" s="682"/>
      <c r="G34" s="682"/>
      <c r="H34" s="682"/>
      <c r="I34" s="682"/>
      <c r="J34" s="682"/>
      <c r="K34" s="682"/>
      <c r="L34" s="682"/>
      <c r="M34" s="682"/>
    </row>
    <row r="35" spans="1:14" x14ac:dyDescent="0.25">
      <c r="A35" s="21"/>
      <c r="B35" s="21"/>
      <c r="C35" s="25" t="s">
        <v>30</v>
      </c>
      <c r="D35" s="33" t="s">
        <v>31</v>
      </c>
      <c r="E35" s="142"/>
      <c r="F35" s="33"/>
      <c r="G35" s="33"/>
      <c r="H35" s="142"/>
      <c r="I35" s="33"/>
      <c r="J35" s="33"/>
      <c r="K35" s="142"/>
      <c r="L35" s="33"/>
      <c r="M35" s="33"/>
    </row>
    <row r="36" spans="1:14" x14ac:dyDescent="0.25">
      <c r="A36" s="21"/>
      <c r="B36" s="21"/>
    </row>
    <row r="37" spans="1:14" x14ac:dyDescent="0.25">
      <c r="A37" s="21"/>
      <c r="B37" s="21"/>
      <c r="C37" s="683" t="s">
        <v>32</v>
      </c>
      <c r="D37" s="683"/>
      <c r="E37" s="683"/>
      <c r="F37" s="683"/>
      <c r="G37" s="683"/>
      <c r="H37" s="683"/>
      <c r="I37" s="683"/>
      <c r="J37" s="683"/>
      <c r="K37" s="683"/>
      <c r="L37" s="683"/>
      <c r="M37" s="683"/>
    </row>
    <row r="38" spans="1:14" x14ac:dyDescent="0.25">
      <c r="A38" s="21"/>
      <c r="B38" s="21"/>
      <c r="C38" s="683"/>
      <c r="D38" s="683"/>
      <c r="E38" s="683"/>
      <c r="F38" s="683"/>
      <c r="G38" s="683"/>
      <c r="H38" s="683"/>
      <c r="I38" s="683"/>
      <c r="J38" s="683"/>
      <c r="K38" s="683"/>
      <c r="L38" s="683"/>
      <c r="M38" s="683"/>
    </row>
    <row r="39" spans="1:14" x14ac:dyDescent="0.25">
      <c r="A39" s="21"/>
      <c r="B39" s="21"/>
      <c r="C39" s="683"/>
      <c r="D39" s="683"/>
      <c r="E39" s="683"/>
      <c r="F39" s="683"/>
      <c r="G39" s="683"/>
      <c r="H39" s="683"/>
      <c r="I39" s="683"/>
      <c r="J39" s="683"/>
      <c r="K39" s="683"/>
      <c r="L39" s="683"/>
      <c r="M39" s="683"/>
    </row>
    <row r="40" spans="1:14" x14ac:dyDescent="0.25">
      <c r="A40" s="21"/>
      <c r="B40" s="21"/>
      <c r="C40" s="683"/>
      <c r="D40" s="683"/>
      <c r="E40" s="683"/>
      <c r="F40" s="683"/>
      <c r="G40" s="683"/>
      <c r="H40" s="683"/>
      <c r="I40" s="683"/>
      <c r="J40" s="683"/>
      <c r="K40" s="683"/>
      <c r="L40" s="683"/>
      <c r="M40" s="68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36</v>
      </c>
    </row>
    <row r="44" spans="1:14" x14ac:dyDescent="0.25">
      <c r="A44" s="8" t="s">
        <v>36</v>
      </c>
    </row>
    <row r="45" spans="1:14" x14ac:dyDescent="0.25">
      <c r="A45" s="8" t="s">
        <v>36</v>
      </c>
      <c r="C45" s="27"/>
    </row>
    <row r="46" spans="1:14" x14ac:dyDescent="0.25">
      <c r="A46" s="8" t="s">
        <v>36</v>
      </c>
    </row>
    <row r="47" spans="1:14" x14ac:dyDescent="0.25">
      <c r="A47" s="8" t="s">
        <v>36</v>
      </c>
    </row>
    <row r="48" spans="1:14" x14ac:dyDescent="0.25">
      <c r="A48" s="8" t="s">
        <v>36</v>
      </c>
    </row>
    <row r="49" spans="1:1" x14ac:dyDescent="0.25">
      <c r="A49" s="8" t="s">
        <v>36</v>
      </c>
    </row>
    <row r="50" spans="1:1" x14ac:dyDescent="0.25">
      <c r="A50" s="8" t="s">
        <v>36</v>
      </c>
    </row>
    <row r="51" spans="1:1" x14ac:dyDescent="0.25">
      <c r="A51" s="8" t="s">
        <v>36</v>
      </c>
    </row>
    <row r="52" spans="1:1" x14ac:dyDescent="0.25">
      <c r="A52" s="8" t="s">
        <v>36</v>
      </c>
    </row>
    <row r="53" spans="1:1" x14ac:dyDescent="0.25">
      <c r="A53" s="8" t="s">
        <v>36</v>
      </c>
    </row>
    <row r="54" spans="1:1" x14ac:dyDescent="0.25">
      <c r="A54" s="8" t="s">
        <v>36</v>
      </c>
    </row>
    <row r="55" spans="1:1" x14ac:dyDescent="0.25">
      <c r="A55" s="8" t="s">
        <v>36</v>
      </c>
    </row>
    <row r="56" spans="1:1" x14ac:dyDescent="0.25">
      <c r="A56" s="8" t="s">
        <v>36</v>
      </c>
    </row>
    <row r="57" spans="1:1" x14ac:dyDescent="0.25">
      <c r="A57" s="8" t="s">
        <v>36</v>
      </c>
    </row>
    <row r="58" spans="1:1" x14ac:dyDescent="0.25">
      <c r="A58" s="8" t="s">
        <v>36</v>
      </c>
    </row>
    <row r="59" spans="1:1" x14ac:dyDescent="0.25">
      <c r="A59" s="8" t="s">
        <v>36</v>
      </c>
    </row>
    <row r="60" spans="1:1" x14ac:dyDescent="0.25">
      <c r="A60" s="8" t="s">
        <v>36</v>
      </c>
    </row>
    <row r="61" spans="1:1" x14ac:dyDescent="0.25">
      <c r="A61" s="8" t="s">
        <v>36</v>
      </c>
    </row>
    <row r="62" spans="1:1" x14ac:dyDescent="0.25">
      <c r="A62" s="8" t="s">
        <v>36</v>
      </c>
    </row>
    <row r="63" spans="1:1" x14ac:dyDescent="0.25">
      <c r="A63" s="8" t="s">
        <v>36</v>
      </c>
    </row>
    <row r="64" spans="1:1" x14ac:dyDescent="0.25">
      <c r="A64" s="8" t="s">
        <v>36</v>
      </c>
    </row>
    <row r="65" spans="1:1" x14ac:dyDescent="0.25">
      <c r="A65" s="8" t="s">
        <v>36</v>
      </c>
    </row>
    <row r="66" spans="1:1" x14ac:dyDescent="0.25">
      <c r="A66" s="8" t="s">
        <v>36</v>
      </c>
    </row>
    <row r="67" spans="1:1" x14ac:dyDescent="0.25">
      <c r="A67" s="8" t="s">
        <v>36</v>
      </c>
    </row>
    <row r="68" spans="1:1" x14ac:dyDescent="0.25">
      <c r="A68" s="8" t="s">
        <v>36</v>
      </c>
    </row>
    <row r="69" spans="1:1" x14ac:dyDescent="0.25">
      <c r="A69" s="8" t="s">
        <v>36</v>
      </c>
    </row>
    <row r="70" spans="1:1" x14ac:dyDescent="0.25">
      <c r="A70" s="8" t="s">
        <v>36</v>
      </c>
    </row>
    <row r="71" spans="1:1" x14ac:dyDescent="0.25">
      <c r="A71" s="8" t="s">
        <v>36</v>
      </c>
    </row>
    <row r="72" spans="1:1" x14ac:dyDescent="0.25">
      <c r="A72" s="8" t="s">
        <v>36</v>
      </c>
    </row>
    <row r="73" spans="1:1" x14ac:dyDescent="0.25">
      <c r="A73" s="8" t="s">
        <v>36</v>
      </c>
    </row>
    <row r="74" spans="1:1" x14ac:dyDescent="0.25">
      <c r="A74" s="8" t="s">
        <v>36</v>
      </c>
    </row>
    <row r="75" spans="1:1" x14ac:dyDescent="0.25">
      <c r="A75" s="8" t="s">
        <v>36</v>
      </c>
    </row>
    <row r="76" spans="1:1" x14ac:dyDescent="0.25">
      <c r="A76" s="8" t="s">
        <v>36</v>
      </c>
    </row>
    <row r="77" spans="1:1" x14ac:dyDescent="0.25">
      <c r="A77" s="8" t="s">
        <v>36</v>
      </c>
    </row>
    <row r="78" spans="1:1" x14ac:dyDescent="0.25">
      <c r="A78" s="8" t="s">
        <v>36</v>
      </c>
    </row>
    <row r="79" spans="1:1" x14ac:dyDescent="0.25">
      <c r="A79" s="8" t="s">
        <v>36</v>
      </c>
    </row>
    <row r="80" spans="1:1" x14ac:dyDescent="0.25">
      <c r="A80" s="8" t="s">
        <v>36</v>
      </c>
    </row>
    <row r="81" spans="1:1" x14ac:dyDescent="0.25">
      <c r="A81" s="8" t="s">
        <v>36</v>
      </c>
    </row>
    <row r="82" spans="1:1" x14ac:dyDescent="0.25">
      <c r="A82" s="8" t="s">
        <v>36</v>
      </c>
    </row>
    <row r="83" spans="1:1" x14ac:dyDescent="0.25">
      <c r="A83" s="8" t="s">
        <v>36</v>
      </c>
    </row>
    <row r="84" spans="1:1" x14ac:dyDescent="0.25">
      <c r="A84" s="8" t="s">
        <v>36</v>
      </c>
    </row>
    <row r="85" spans="1:1" x14ac:dyDescent="0.25">
      <c r="A85" s="8" t="s">
        <v>36</v>
      </c>
    </row>
    <row r="86" spans="1:1" x14ac:dyDescent="0.25">
      <c r="A86" s="8" t="s">
        <v>36</v>
      </c>
    </row>
    <row r="87" spans="1:1" x14ac:dyDescent="0.25">
      <c r="A87" s="8" t="s">
        <v>36</v>
      </c>
    </row>
    <row r="88" spans="1:1" x14ac:dyDescent="0.25">
      <c r="A88" s="8" t="s">
        <v>36</v>
      </c>
    </row>
    <row r="89" spans="1:1" x14ac:dyDescent="0.25">
      <c r="A89" s="8" t="s">
        <v>36</v>
      </c>
    </row>
    <row r="90" spans="1:1" x14ac:dyDescent="0.25">
      <c r="A90" s="8" t="s">
        <v>36</v>
      </c>
    </row>
    <row r="91" spans="1:1" x14ac:dyDescent="0.25">
      <c r="A91" s="8" t="s">
        <v>36</v>
      </c>
    </row>
    <row r="92" spans="1:1" x14ac:dyDescent="0.25">
      <c r="A92" s="8" t="s">
        <v>36</v>
      </c>
    </row>
    <row r="93" spans="1:1" x14ac:dyDescent="0.25">
      <c r="A93" s="8" t="s">
        <v>36</v>
      </c>
    </row>
    <row r="94" spans="1:1" x14ac:dyDescent="0.25">
      <c r="A94" s="8" t="s">
        <v>36</v>
      </c>
    </row>
    <row r="95" spans="1:1" x14ac:dyDescent="0.25">
      <c r="A95" s="8" t="s">
        <v>36</v>
      </c>
    </row>
    <row r="96" spans="1:1" x14ac:dyDescent="0.25">
      <c r="A96" s="8" t="s">
        <v>36</v>
      </c>
    </row>
    <row r="97" spans="1:1" x14ac:dyDescent="0.25">
      <c r="A97" s="8" t="s">
        <v>36</v>
      </c>
    </row>
    <row r="98" spans="1:1" x14ac:dyDescent="0.25">
      <c r="A98" s="8" t="s">
        <v>36</v>
      </c>
    </row>
    <row r="99" spans="1:1" x14ac:dyDescent="0.25">
      <c r="A99" s="8" t="s">
        <v>36</v>
      </c>
    </row>
    <row r="100" spans="1:1" x14ac:dyDescent="0.25">
      <c r="A100" s="8" t="s">
        <v>36</v>
      </c>
    </row>
    <row r="101" spans="1:1" x14ac:dyDescent="0.25">
      <c r="A101" s="8" t="s">
        <v>36</v>
      </c>
    </row>
    <row r="102" spans="1:1" x14ac:dyDescent="0.25">
      <c r="A102" s="8" t="s">
        <v>36</v>
      </c>
    </row>
    <row r="103" spans="1:1" x14ac:dyDescent="0.25">
      <c r="A103" s="8" t="s">
        <v>36</v>
      </c>
    </row>
    <row r="104" spans="1:1" x14ac:dyDescent="0.25">
      <c r="A104" s="8" t="s">
        <v>36</v>
      </c>
    </row>
    <row r="105" spans="1:1" x14ac:dyDescent="0.25">
      <c r="A105" s="8" t="s">
        <v>36</v>
      </c>
    </row>
    <row r="106" spans="1:1" x14ac:dyDescent="0.25">
      <c r="A106" s="8" t="s">
        <v>36</v>
      </c>
    </row>
    <row r="107" spans="1:1" x14ac:dyDescent="0.25">
      <c r="A107" s="8" t="s">
        <v>36</v>
      </c>
    </row>
    <row r="108" spans="1:1" x14ac:dyDescent="0.25">
      <c r="A108" s="8" t="s">
        <v>36</v>
      </c>
    </row>
    <row r="109" spans="1:1" x14ac:dyDescent="0.25">
      <c r="A109" s="8" t="s">
        <v>36</v>
      </c>
    </row>
    <row r="110" spans="1:1" x14ac:dyDescent="0.25">
      <c r="A110" s="8" t="s">
        <v>36</v>
      </c>
    </row>
    <row r="111" spans="1:1" x14ac:dyDescent="0.25">
      <c r="A111" s="8" t="s">
        <v>36</v>
      </c>
    </row>
    <row r="112" spans="1:1" x14ac:dyDescent="0.25">
      <c r="A112" s="8" t="s">
        <v>36</v>
      </c>
    </row>
    <row r="113" spans="1:1" x14ac:dyDescent="0.25">
      <c r="A113" s="8" t="s">
        <v>36</v>
      </c>
    </row>
    <row r="114" spans="1:1" x14ac:dyDescent="0.25">
      <c r="A114" s="8" t="s">
        <v>36</v>
      </c>
    </row>
    <row r="115" spans="1:1" x14ac:dyDescent="0.25">
      <c r="A115" s="8" t="s">
        <v>36</v>
      </c>
    </row>
    <row r="116" spans="1:1" x14ac:dyDescent="0.25">
      <c r="A116" s="8" t="s">
        <v>36</v>
      </c>
    </row>
    <row r="117" spans="1:1" x14ac:dyDescent="0.25">
      <c r="A117" s="8" t="s">
        <v>36</v>
      </c>
    </row>
    <row r="118" spans="1:1" x14ac:dyDescent="0.25">
      <c r="A118" s="8" t="s">
        <v>36</v>
      </c>
    </row>
    <row r="119" spans="1:1" x14ac:dyDescent="0.25">
      <c r="A119" s="8" t="s">
        <v>36</v>
      </c>
    </row>
  </sheetData>
  <sheetProtection selectLockedCells="1"/>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6" zoomScaleNormal="100" workbookViewId="0">
      <selection activeCell="P41" sqref="P41"/>
    </sheetView>
  </sheetViews>
  <sheetFormatPr defaultRowHeight="12.75" x14ac:dyDescent="0.2"/>
  <cols>
    <col min="1" max="16" width="12.85546875" customWidth="1"/>
    <col min="17" max="17" width="13" customWidth="1"/>
  </cols>
  <sheetData>
    <row r="1" spans="1:16" ht="18" x14ac:dyDescent="0.25">
      <c r="F1" s="38" t="s">
        <v>37</v>
      </c>
      <c r="O1" t="s">
        <v>38</v>
      </c>
    </row>
    <row r="2" spans="1:16" x14ac:dyDescent="0.2">
      <c r="O2" t="s">
        <v>39</v>
      </c>
    </row>
    <row r="3" spans="1:16" x14ac:dyDescent="0.2">
      <c r="A3" s="44" t="s">
        <v>0</v>
      </c>
      <c r="B3" s="44"/>
      <c r="C3" s="44"/>
      <c r="D3" s="44"/>
      <c r="E3" s="44"/>
      <c r="F3" s="44"/>
      <c r="G3" s="44"/>
      <c r="H3" s="44"/>
      <c r="I3" s="44"/>
      <c r="J3" s="44"/>
      <c r="K3" s="44"/>
      <c r="L3" s="44"/>
      <c r="M3" s="44"/>
      <c r="N3" s="44"/>
      <c r="O3" s="44"/>
      <c r="P3" s="44"/>
    </row>
    <row r="4" spans="1:16" x14ac:dyDescent="0.2">
      <c r="A4" s="1" t="s">
        <v>40</v>
      </c>
      <c r="B4" s="1"/>
      <c r="C4" s="44"/>
      <c r="D4" s="44"/>
      <c r="E4" s="44"/>
      <c r="F4" s="44"/>
      <c r="G4" s="44"/>
      <c r="H4" s="44"/>
      <c r="I4" s="44"/>
      <c r="J4" s="44"/>
      <c r="K4" s="44"/>
      <c r="L4" s="44"/>
      <c r="M4" s="44"/>
      <c r="N4" s="44"/>
      <c r="O4" s="44"/>
      <c r="P4" s="44"/>
    </row>
    <row r="5" spans="1:16" x14ac:dyDescent="0.2">
      <c r="A5" s="87" t="s">
        <v>41</v>
      </c>
      <c r="B5" s="88">
        <f>Main!D3</f>
        <v>0</v>
      </c>
      <c r="C5" s="44"/>
      <c r="D5" s="44"/>
      <c r="E5" s="44"/>
      <c r="F5" s="44"/>
      <c r="G5" s="44"/>
      <c r="H5" s="44"/>
      <c r="I5" s="86" t="s">
        <v>9</v>
      </c>
      <c r="J5" s="44">
        <f>Main!D5</f>
        <v>0</v>
      </c>
      <c r="K5" s="44"/>
      <c r="L5" s="44"/>
      <c r="M5" s="44"/>
      <c r="N5" s="44"/>
      <c r="O5" s="44"/>
      <c r="P5" s="44"/>
    </row>
    <row r="6" spans="1:16" x14ac:dyDescent="0.2">
      <c r="A6" s="86" t="s">
        <v>7</v>
      </c>
      <c r="B6" s="89">
        <f>Main!D6</f>
        <v>0</v>
      </c>
      <c r="C6" s="44"/>
      <c r="D6" s="44"/>
      <c r="E6" s="44"/>
      <c r="F6" s="44"/>
      <c r="G6" s="44"/>
      <c r="H6" s="44"/>
      <c r="I6" s="86" t="s">
        <v>10</v>
      </c>
      <c r="J6" s="85">
        <f>Main!D16</f>
        <v>0</v>
      </c>
      <c r="K6" s="44"/>
      <c r="L6" s="44"/>
      <c r="M6" s="44"/>
      <c r="N6" s="44"/>
      <c r="O6" s="44"/>
      <c r="P6" s="44"/>
    </row>
    <row r="7" spans="1:16" x14ac:dyDescent="0.2">
      <c r="A7" s="86" t="s">
        <v>42</v>
      </c>
      <c r="B7" s="89">
        <f>Main!D7</f>
        <v>0</v>
      </c>
      <c r="C7" s="44"/>
      <c r="D7" s="44"/>
      <c r="E7" s="44"/>
      <c r="F7" s="44"/>
      <c r="G7" s="44"/>
      <c r="H7" s="44"/>
      <c r="I7" s="44"/>
      <c r="J7" s="44"/>
      <c r="K7" s="44"/>
      <c r="L7" s="44"/>
      <c r="M7" s="44"/>
      <c r="N7" s="44"/>
      <c r="O7" s="44"/>
      <c r="P7" s="44"/>
    </row>
    <row r="8" spans="1:16" x14ac:dyDescent="0.2">
      <c r="A8" s="86"/>
      <c r="B8" s="44"/>
      <c r="C8" s="44"/>
      <c r="D8" s="44"/>
      <c r="E8" s="44"/>
      <c r="F8" s="44"/>
      <c r="G8" s="44"/>
      <c r="H8" s="44"/>
      <c r="I8" s="44"/>
      <c r="J8" s="44"/>
      <c r="K8" s="44"/>
      <c r="L8" s="44"/>
      <c r="M8" s="44"/>
      <c r="N8" s="44"/>
      <c r="O8" s="44"/>
      <c r="P8" s="44"/>
    </row>
    <row r="9" spans="1:16" x14ac:dyDescent="0.2">
      <c r="A9" s="41" t="s">
        <v>43</v>
      </c>
      <c r="B9" s="41"/>
      <c r="C9" s="44"/>
      <c r="D9" s="44"/>
      <c r="E9" s="44"/>
      <c r="F9" s="44"/>
      <c r="G9" s="44"/>
      <c r="H9" s="44"/>
      <c r="I9" s="44"/>
      <c r="J9" s="44"/>
      <c r="K9" s="44"/>
      <c r="L9" s="44"/>
      <c r="M9" s="44"/>
      <c r="N9" s="44"/>
      <c r="O9" s="44"/>
      <c r="P9" s="44"/>
    </row>
    <row r="10" spans="1:16" x14ac:dyDescent="0.2">
      <c r="A10" s="44"/>
      <c r="B10" s="44"/>
      <c r="C10" s="90">
        <v>1</v>
      </c>
      <c r="D10" s="90">
        <v>2</v>
      </c>
      <c r="E10" s="90">
        <v>3</v>
      </c>
      <c r="F10" s="90">
        <v>4</v>
      </c>
      <c r="G10" s="90">
        <v>5</v>
      </c>
      <c r="H10" s="90">
        <v>6</v>
      </c>
      <c r="I10" s="90">
        <v>7</v>
      </c>
      <c r="J10" s="90">
        <v>8</v>
      </c>
      <c r="K10" s="90">
        <v>9</v>
      </c>
      <c r="L10" s="90">
        <v>10</v>
      </c>
      <c r="M10" s="90">
        <v>11</v>
      </c>
      <c r="N10" s="90">
        <v>12</v>
      </c>
      <c r="O10" s="90">
        <v>13</v>
      </c>
      <c r="P10" s="90">
        <v>14</v>
      </c>
    </row>
    <row r="11" spans="1:16" x14ac:dyDescent="0.2">
      <c r="A11" s="44"/>
      <c r="B11" s="91" t="s">
        <v>44</v>
      </c>
      <c r="C11" s="157"/>
      <c r="D11" s="157"/>
      <c r="E11" s="157"/>
      <c r="F11" s="157"/>
      <c r="G11" s="157"/>
      <c r="H11" s="157"/>
      <c r="I11" s="157"/>
      <c r="J11" s="157"/>
      <c r="K11" s="157"/>
      <c r="L11" s="157"/>
      <c r="M11" s="157"/>
      <c r="N11" s="157"/>
      <c r="O11" s="157"/>
      <c r="P11" s="157"/>
    </row>
    <row r="12" spans="1:16" x14ac:dyDescent="0.2">
      <c r="A12" s="44"/>
      <c r="B12" s="91" t="s">
        <v>45</v>
      </c>
      <c r="C12" s="157"/>
      <c r="D12" s="157"/>
      <c r="E12" s="157"/>
      <c r="F12" s="157"/>
      <c r="G12" s="157"/>
      <c r="H12" s="157"/>
      <c r="I12" s="157"/>
      <c r="J12" s="157"/>
      <c r="K12" s="157"/>
      <c r="L12" s="157"/>
      <c r="M12" s="157"/>
      <c r="N12" s="157"/>
      <c r="O12" s="157"/>
      <c r="P12" s="157"/>
    </row>
    <row r="13" spans="1:16" x14ac:dyDescent="0.2">
      <c r="A13" s="44"/>
      <c r="B13" s="91" t="s">
        <v>46</v>
      </c>
      <c r="C13" s="154" t="str">
        <f t="shared" ref="C13:L13" si="0">IF(OR(C11="",C12=""),"",SUM(C11:C12)&amp;"°F")</f>
        <v/>
      </c>
      <c r="D13" s="154" t="str">
        <f t="shared" si="0"/>
        <v/>
      </c>
      <c r="E13" s="154" t="str">
        <f t="shared" si="0"/>
        <v/>
      </c>
      <c r="F13" s="154" t="str">
        <f t="shared" si="0"/>
        <v/>
      </c>
      <c r="G13" s="154" t="str">
        <f t="shared" si="0"/>
        <v/>
      </c>
      <c r="H13" s="154" t="str">
        <f t="shared" si="0"/>
        <v/>
      </c>
      <c r="I13" s="154" t="str">
        <f t="shared" si="0"/>
        <v/>
      </c>
      <c r="J13" s="154" t="str">
        <f t="shared" si="0"/>
        <v/>
      </c>
      <c r="K13" s="154" t="str">
        <f t="shared" si="0"/>
        <v/>
      </c>
      <c r="L13" s="154" t="str">
        <f t="shared" si="0"/>
        <v/>
      </c>
      <c r="M13" s="154" t="str">
        <f t="shared" ref="M13:P13" si="1">IF(OR(M11="",M12=""),"",SUM(M11:M12)&amp;"°F")</f>
        <v/>
      </c>
      <c r="N13" s="154" t="str">
        <f t="shared" si="1"/>
        <v/>
      </c>
      <c r="O13" s="154" t="str">
        <f t="shared" si="1"/>
        <v/>
      </c>
      <c r="P13" s="154" t="str">
        <f t="shared" si="1"/>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90">
        <v>15</v>
      </c>
      <c r="D16" s="90">
        <v>16</v>
      </c>
      <c r="E16" s="90">
        <v>17</v>
      </c>
      <c r="F16" s="90">
        <v>18</v>
      </c>
      <c r="G16" s="90">
        <v>19</v>
      </c>
      <c r="H16" s="90">
        <v>20</v>
      </c>
      <c r="I16" s="90">
        <v>21</v>
      </c>
      <c r="J16" s="90">
        <v>22</v>
      </c>
      <c r="K16" s="90">
        <v>23</v>
      </c>
      <c r="L16" s="90">
        <v>24</v>
      </c>
      <c r="M16" s="90">
        <v>25</v>
      </c>
      <c r="N16" s="90">
        <v>26</v>
      </c>
      <c r="O16" s="90">
        <v>27</v>
      </c>
      <c r="P16" s="90">
        <v>28</v>
      </c>
    </row>
    <row r="17" spans="1:20" x14ac:dyDescent="0.2">
      <c r="A17" s="44"/>
      <c r="B17" s="91" t="s">
        <v>44</v>
      </c>
      <c r="C17" s="157"/>
      <c r="D17" s="157"/>
      <c r="E17" s="157"/>
      <c r="F17" s="157"/>
      <c r="G17" s="157"/>
      <c r="H17" s="157"/>
      <c r="I17" s="157"/>
      <c r="J17" s="157"/>
      <c r="K17" s="157"/>
      <c r="L17" s="157"/>
      <c r="M17" s="157"/>
      <c r="N17" s="157"/>
      <c r="O17" s="157"/>
      <c r="P17" s="157"/>
    </row>
    <row r="18" spans="1:20" x14ac:dyDescent="0.2">
      <c r="A18" s="44"/>
      <c r="B18" s="91" t="s">
        <v>45</v>
      </c>
      <c r="C18" s="157"/>
      <c r="D18" s="157"/>
      <c r="E18" s="157"/>
      <c r="F18" s="157"/>
      <c r="G18" s="157"/>
      <c r="H18" s="157"/>
      <c r="I18" s="157"/>
      <c r="J18" s="157"/>
      <c r="K18" s="157"/>
      <c r="L18" s="157"/>
      <c r="M18" s="157"/>
      <c r="N18" s="157"/>
      <c r="O18" s="157"/>
      <c r="P18" s="157"/>
    </row>
    <row r="19" spans="1:20" x14ac:dyDescent="0.2">
      <c r="A19" s="44"/>
      <c r="B19" s="91" t="s">
        <v>46</v>
      </c>
      <c r="C19" s="154" t="str">
        <f>IF(OR(C17="",C18=""),"",SUM(C17:C18)&amp;"°F")</f>
        <v/>
      </c>
      <c r="D19" s="154" t="str">
        <f t="shared" ref="D19:P19" si="2">IF(OR(D17="",D18=""),"",SUM(D17:D18)&amp;"°F")</f>
        <v/>
      </c>
      <c r="E19" s="154" t="str">
        <f t="shared" si="2"/>
        <v/>
      </c>
      <c r="F19" s="154" t="str">
        <f t="shared" si="2"/>
        <v/>
      </c>
      <c r="G19" s="154" t="str">
        <f t="shared" si="2"/>
        <v/>
      </c>
      <c r="H19" s="154" t="str">
        <f t="shared" si="2"/>
        <v/>
      </c>
      <c r="I19" s="154" t="str">
        <f t="shared" si="2"/>
        <v/>
      </c>
      <c r="J19" s="154" t="str">
        <f t="shared" si="2"/>
        <v/>
      </c>
      <c r="K19" s="154" t="str">
        <f t="shared" si="2"/>
        <v/>
      </c>
      <c r="L19" s="154" t="str">
        <f t="shared" si="2"/>
        <v/>
      </c>
      <c r="M19" s="154" t="str">
        <f t="shared" si="2"/>
        <v/>
      </c>
      <c r="N19" s="154" t="str">
        <f t="shared" si="2"/>
        <v/>
      </c>
      <c r="O19" s="154" t="str">
        <f t="shared" si="2"/>
        <v/>
      </c>
      <c r="P19" s="154" t="str">
        <f t="shared" si="2"/>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47</v>
      </c>
      <c r="B22" s="44"/>
      <c r="C22" s="90">
        <v>29</v>
      </c>
      <c r="D22" s="90">
        <v>30</v>
      </c>
      <c r="E22" s="90">
        <v>31</v>
      </c>
      <c r="F22" s="90">
        <v>32</v>
      </c>
      <c r="G22" s="90">
        <v>33</v>
      </c>
      <c r="H22" s="90">
        <v>34</v>
      </c>
      <c r="I22" s="90">
        <v>35</v>
      </c>
      <c r="J22" s="90">
        <v>36</v>
      </c>
      <c r="K22" s="90">
        <v>37</v>
      </c>
      <c r="L22" s="90">
        <v>38</v>
      </c>
      <c r="M22" s="90">
        <v>39</v>
      </c>
      <c r="N22" s="90">
        <v>40</v>
      </c>
      <c r="O22" s="1"/>
      <c r="P22" s="1"/>
    </row>
    <row r="23" spans="1:20" x14ac:dyDescent="0.2">
      <c r="A23" s="44"/>
      <c r="B23" s="91" t="s">
        <v>44</v>
      </c>
      <c r="C23" s="157"/>
      <c r="D23" s="157"/>
      <c r="E23" s="157"/>
      <c r="F23" s="157"/>
      <c r="G23" s="157"/>
      <c r="H23" s="157"/>
      <c r="I23" s="157"/>
      <c r="J23" s="157"/>
      <c r="K23" s="157"/>
      <c r="L23" s="157"/>
      <c r="M23" s="157"/>
      <c r="N23" s="157"/>
      <c r="O23" s="44"/>
      <c r="P23" s="44"/>
    </row>
    <row r="24" spans="1:20" x14ac:dyDescent="0.2">
      <c r="A24" s="44"/>
      <c r="B24" s="91" t="s">
        <v>45</v>
      </c>
      <c r="C24" s="157"/>
      <c r="D24" s="157"/>
      <c r="E24" s="157"/>
      <c r="F24" s="157"/>
      <c r="G24" s="157"/>
      <c r="H24" s="157"/>
      <c r="I24" s="157"/>
      <c r="J24" s="157"/>
      <c r="K24" s="157"/>
      <c r="L24" s="157"/>
      <c r="M24" s="157"/>
      <c r="N24" s="157"/>
    </row>
    <row r="25" spans="1:20" x14ac:dyDescent="0.2">
      <c r="A25" s="44"/>
      <c r="B25" s="91" t="s">
        <v>46</v>
      </c>
      <c r="C25" s="154" t="str">
        <f>IF(OR(C23="",C24=""),"",SUM(C23:C24)&amp;"°F")</f>
        <v/>
      </c>
      <c r="D25" s="154" t="str">
        <f t="shared" ref="D25:N25" si="3">IF(OR(D23="",D24=""),"",SUM(D23:D24)&amp;"°F")</f>
        <v/>
      </c>
      <c r="E25" s="154" t="str">
        <f t="shared" si="3"/>
        <v/>
      </c>
      <c r="F25" s="154" t="str">
        <f t="shared" si="3"/>
        <v/>
      </c>
      <c r="G25" s="154" t="str">
        <f t="shared" si="3"/>
        <v/>
      </c>
      <c r="H25" s="154" t="str">
        <f t="shared" si="3"/>
        <v/>
      </c>
      <c r="I25" s="154" t="str">
        <f t="shared" si="3"/>
        <v/>
      </c>
      <c r="J25" s="154" t="str">
        <f t="shared" si="3"/>
        <v/>
      </c>
      <c r="K25" s="154" t="str">
        <f t="shared" si="3"/>
        <v/>
      </c>
      <c r="L25" s="154" t="str">
        <f t="shared" si="3"/>
        <v/>
      </c>
      <c r="M25" s="154" t="str">
        <f t="shared" si="3"/>
        <v/>
      </c>
      <c r="N25" s="154" t="str">
        <f t="shared" si="3"/>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48</v>
      </c>
      <c r="B28" s="1"/>
      <c r="C28" s="2"/>
      <c r="D28" s="2"/>
      <c r="E28" s="2"/>
      <c r="F28" s="2"/>
      <c r="G28" s="2"/>
      <c r="H28" s="701" t="s">
        <v>3922</v>
      </c>
      <c r="I28" s="701"/>
      <c r="J28" s="701"/>
      <c r="K28" s="701"/>
      <c r="L28" s="701"/>
      <c r="M28" s="701"/>
      <c r="N28" s="701"/>
      <c r="O28" s="701"/>
      <c r="P28" s="701"/>
      <c r="Q28" s="701"/>
      <c r="R28" s="701"/>
    </row>
    <row r="29" spans="1:20" x14ac:dyDescent="0.2">
      <c r="A29" s="690" t="s">
        <v>49</v>
      </c>
      <c r="B29" s="691"/>
      <c r="C29" s="65" t="str">
        <f>IF(Main!D48="","",Main!D48)</f>
        <v/>
      </c>
      <c r="D29" s="65" t="str">
        <f>IF(Main!E48="","",Main!E48)</f>
        <v/>
      </c>
      <c r="E29" s="65" t="str">
        <f>IF(Main!F48="","",Main!F48)</f>
        <v/>
      </c>
      <c r="F29" s="65" t="str">
        <f>IF(Main!G48="","",Main!G48)</f>
        <v/>
      </c>
      <c r="G29" s="537"/>
      <c r="H29" s="532" t="s">
        <v>3923</v>
      </c>
      <c r="I29" s="157" t="str">
        <f>IF(Main!N47="","",Main!N47)</f>
        <v>Periodic</v>
      </c>
      <c r="J29" s="709" t="s">
        <v>3924</v>
      </c>
      <c r="K29" s="710"/>
      <c r="L29" s="157" t="str">
        <f>IF(Main!R47="","",Main!R47)</f>
        <v>Air</v>
      </c>
    </row>
    <row r="30" spans="1:20" x14ac:dyDescent="0.2">
      <c r="A30" s="690" t="s">
        <v>50</v>
      </c>
      <c r="B30" s="691"/>
      <c r="C30" s="66" t="str">
        <f>IF(Main!D49="","",Main!D49)</f>
        <v/>
      </c>
      <c r="D30" s="66" t="str">
        <f>IF(Main!E49="","",Main!E49)</f>
        <v/>
      </c>
      <c r="E30" s="66" t="str">
        <f>IF(Main!F49="","",Main!F49)</f>
        <v/>
      </c>
      <c r="F30" s="66" t="str">
        <f>IF(Main!G49="","",Main!G49)</f>
        <v/>
      </c>
      <c r="G30" s="539"/>
      <c r="H30" s="702" t="s">
        <v>3910</v>
      </c>
      <c r="I30" s="702"/>
      <c r="J30" s="711" t="s">
        <v>5711</v>
      </c>
      <c r="K30" s="712"/>
      <c r="L30" s="713"/>
      <c r="M30" s="529"/>
      <c r="O30" s="703" t="s">
        <v>5714</v>
      </c>
      <c r="P30" s="704"/>
      <c r="Q30" s="705"/>
      <c r="T30" s="44"/>
    </row>
    <row r="31" spans="1:20" x14ac:dyDescent="0.2">
      <c r="A31" s="690" t="s">
        <v>51</v>
      </c>
      <c r="B31" s="691"/>
      <c r="C31" s="66" t="str">
        <f>IF(Main!D50="","",Main!D50)</f>
        <v/>
      </c>
      <c r="D31" s="66" t="str">
        <f>IF(Main!E50="","",Main!E50)</f>
        <v/>
      </c>
      <c r="E31" s="66" t="str">
        <f>IF(Main!F50="","",Main!F50)</f>
        <v/>
      </c>
      <c r="F31" s="66" t="str">
        <f>IF(Main!G50="","",Main!G50)</f>
        <v/>
      </c>
      <c r="G31" s="539"/>
      <c r="H31" s="445" t="s">
        <v>3925</v>
      </c>
      <c r="I31" s="472" t="e">
        <f>IF(Main!N49="","",Main!N49)</f>
        <v>#N/A</v>
      </c>
      <c r="J31" s="692" t="s">
        <v>5719</v>
      </c>
      <c r="K31" s="693"/>
      <c r="L31" s="694"/>
      <c r="M31" s="530" t="str">
        <f>IF(Main!S49="","",Main!S49)</f>
        <v/>
      </c>
      <c r="O31" s="706" t="s">
        <v>5721</v>
      </c>
      <c r="P31" s="707"/>
      <c r="Q31" s="708"/>
      <c r="R31" s="90" t="str">
        <f>IF(Main!X49="","",Main!X49)</f>
        <v/>
      </c>
      <c r="T31" s="44"/>
    </row>
    <row r="32" spans="1:20" ht="12.75" customHeight="1" x14ac:dyDescent="0.2">
      <c r="A32" s="690" t="s">
        <v>52</v>
      </c>
      <c r="B32" s="691"/>
      <c r="C32" s="65" t="str">
        <f>IF(Main!D51="","",Main!D51)</f>
        <v/>
      </c>
      <c r="D32" s="65" t="str">
        <f>IF(Main!E51="","",Main!E51)</f>
        <v/>
      </c>
      <c r="E32" s="65" t="str">
        <f>IF(Main!F51="","",Main!F51)</f>
        <v/>
      </c>
      <c r="F32" s="65" t="str">
        <f>IF(Main!G51="","",Main!G51)</f>
        <v/>
      </c>
      <c r="G32" s="537"/>
      <c r="H32" s="445" t="s">
        <v>4498</v>
      </c>
      <c r="I32" s="472" t="e">
        <f>IF(Main!N50="","",Main!N50)</f>
        <v>#N/A</v>
      </c>
      <c r="J32" s="695" t="s">
        <v>3913</v>
      </c>
      <c r="K32" s="696"/>
      <c r="L32" s="697"/>
      <c r="M32" s="512"/>
      <c r="O32" s="695" t="s">
        <v>3913</v>
      </c>
      <c r="P32" s="696"/>
      <c r="Q32" s="697"/>
      <c r="T32" s="44"/>
    </row>
    <row r="33" spans="1:20" ht="12.75" customHeight="1" x14ac:dyDescent="0.2">
      <c r="A33" s="690" t="s">
        <v>3926</v>
      </c>
      <c r="B33" s="691"/>
      <c r="C33" s="65" t="str">
        <f>IF(Main!D52="","",Main!D52)</f>
        <v/>
      </c>
      <c r="D33" s="65" t="str">
        <f>IF(Main!E52="","",Main!E52)</f>
        <v/>
      </c>
      <c r="E33" s="65" t="str">
        <f>IF(Main!F52="","",Main!F52)</f>
        <v/>
      </c>
      <c r="F33" s="65" t="str">
        <f>IF(Main!G52="","",Main!G52)</f>
        <v/>
      </c>
      <c r="G33" s="537"/>
      <c r="H33" s="445" t="s">
        <v>3927</v>
      </c>
      <c r="I33" s="472" t="e">
        <f>IF(Main!N51="","",Main!N51)</f>
        <v>#N/A</v>
      </c>
      <c r="J33" s="698" t="s">
        <v>5720</v>
      </c>
      <c r="K33" s="699"/>
      <c r="L33" s="700"/>
      <c r="M33" s="509" t="str">
        <f>IF(Main!S51="","",Main!S51)</f>
        <v/>
      </c>
      <c r="O33" s="698" t="s">
        <v>5722</v>
      </c>
      <c r="P33" s="699"/>
      <c r="Q33" s="700"/>
      <c r="R33" s="90" t="str">
        <f>IF(Main!X51="","",Main!X51)</f>
        <v/>
      </c>
      <c r="T33" s="44"/>
    </row>
    <row r="34" spans="1:20" ht="12.75" customHeight="1" x14ac:dyDescent="0.2">
      <c r="A34" s="690" t="s">
        <v>53</v>
      </c>
      <c r="B34" s="691"/>
      <c r="C34" s="67" t="str">
        <f>IF(Main!D53="","",Main!D53)</f>
        <v/>
      </c>
      <c r="D34" s="67" t="str">
        <f>IF(Main!E53="","",Main!E53)</f>
        <v/>
      </c>
      <c r="E34" s="67" t="str">
        <f>IF(Main!F53="","",Main!F53)</f>
        <v/>
      </c>
      <c r="F34" s="67" t="str">
        <f>IF(Main!G53="","",Main!G53)</f>
        <v/>
      </c>
      <c r="G34" s="540"/>
      <c r="H34" s="445" t="s">
        <v>3928</v>
      </c>
      <c r="I34" s="444" t="e">
        <f>IF(Main!N52="","",Main!N52)</f>
        <v>#N/A</v>
      </c>
      <c r="J34" s="695" t="s">
        <v>3913</v>
      </c>
      <c r="K34" s="696"/>
      <c r="L34" s="697"/>
      <c r="O34" s="695" t="s">
        <v>3913</v>
      </c>
      <c r="P34" s="696"/>
      <c r="Q34" s="697"/>
      <c r="T34" s="44"/>
    </row>
    <row r="35" spans="1:20" ht="12.75" customHeight="1" x14ac:dyDescent="0.2">
      <c r="A35" s="91"/>
      <c r="B35" s="93" t="s">
        <v>116</v>
      </c>
      <c r="C35" s="106" t="str">
        <f>IF(Main!D54="","",Main!D54)</f>
        <v/>
      </c>
      <c r="D35" s="106" t="str">
        <f>IF(Main!E54="","",Main!E54)</f>
        <v/>
      </c>
      <c r="E35" s="106" t="str">
        <f>IF(Main!F54="","",Main!F54)</f>
        <v/>
      </c>
      <c r="F35" s="106" t="str">
        <f>IF(Main!G54="","",Main!G54)</f>
        <v/>
      </c>
      <c r="G35" s="541"/>
      <c r="H35" s="445" t="s">
        <v>3928</v>
      </c>
      <c r="I35" s="444" t="e">
        <f>IF(Main!N53="","",Main!N53)</f>
        <v>#N/A</v>
      </c>
      <c r="J35" s="684" t="s">
        <v>5723</v>
      </c>
      <c r="K35" s="685"/>
      <c r="L35" s="686"/>
      <c r="M35" s="533" t="str">
        <f>IF(Main!S53="","",Main!S53)</f>
        <v/>
      </c>
      <c r="O35" s="684" t="s">
        <v>5724</v>
      </c>
      <c r="P35" s="685"/>
      <c r="Q35" s="686"/>
      <c r="R35" s="534" t="str">
        <f>IF(Main!X53="","",Main!X53)</f>
        <v/>
      </c>
    </row>
    <row r="36" spans="1:20" ht="13.5" thickBot="1" x14ac:dyDescent="0.25">
      <c r="B36" s="93" t="s">
        <v>3929</v>
      </c>
      <c r="C36" s="65" t="str">
        <f>IF(Main!D56="","",Main!D56)</f>
        <v/>
      </c>
      <c r="D36" s="65" t="str">
        <f>IF(Main!E56="","",Main!E56)</f>
        <v/>
      </c>
      <c r="E36" s="65" t="str">
        <f>IF(Main!F56="","",Main!F56)</f>
        <v/>
      </c>
      <c r="F36" s="65" t="str">
        <f>IF(Main!G56="","",Main!G56)</f>
        <v/>
      </c>
      <c r="G36" s="537"/>
      <c r="H36" s="538"/>
      <c r="J36" s="687"/>
      <c r="K36" s="688"/>
      <c r="L36" s="689"/>
      <c r="M36" s="528"/>
      <c r="O36" s="687"/>
      <c r="P36" s="688"/>
      <c r="Q36" s="689"/>
      <c r="T36" s="44"/>
    </row>
    <row r="37" spans="1:20" ht="13.5" thickBot="1" x14ac:dyDescent="0.25">
      <c r="B37" s="91" t="s">
        <v>3930</v>
      </c>
      <c r="C37" s="65" t="str">
        <f>IF(Main!D57="","",Main!D57)</f>
        <v/>
      </c>
      <c r="D37" s="65" t="str">
        <f>IF(Main!E57="","",Main!E57)</f>
        <v/>
      </c>
      <c r="E37" s="65" t="str">
        <f>IF(Main!F57="","",Main!F57)</f>
        <v/>
      </c>
      <c r="F37" s="65" t="str">
        <f>IF(Main!G57="","",Main!G57)</f>
        <v/>
      </c>
      <c r="G37" s="537"/>
      <c r="H37" s="538"/>
      <c r="J37" s="545" t="s">
        <v>3916</v>
      </c>
      <c r="K37" s="546" t="s">
        <v>26</v>
      </c>
      <c r="L37" s="547" t="s">
        <v>3917</v>
      </c>
      <c r="M37" s="528"/>
      <c r="O37" s="545" t="s">
        <v>3918</v>
      </c>
      <c r="P37" s="546" t="s">
        <v>26</v>
      </c>
      <c r="Q37" s="547" t="s">
        <v>3919</v>
      </c>
    </row>
    <row r="38" spans="1:20" ht="13.5" thickBot="1" x14ac:dyDescent="0.25">
      <c r="B38" s="52" t="s">
        <v>54</v>
      </c>
      <c r="J38" s="542" t="str">
        <f>IF(Main!P56="","",Main!P56)</f>
        <v/>
      </c>
      <c r="K38" s="543" t="str">
        <f>IF(Main!Q56="","",Main!Q56)</f>
        <v/>
      </c>
      <c r="L38" s="544" t="str">
        <f>IF(Main!R56="","",Main!R56)</f>
        <v/>
      </c>
      <c r="O38" s="542" t="str">
        <f>IF(Main!U56="","",Main!U56)</f>
        <v/>
      </c>
      <c r="P38" s="543" t="str">
        <f>IF(Main!V56="","",Main!V56)</f>
        <v/>
      </c>
      <c r="Q38" s="544" t="str">
        <f>IF(Main!W56="","",Main!W56)</f>
        <v/>
      </c>
    </row>
    <row r="39" spans="1:20" x14ac:dyDescent="0.2">
      <c r="B39" s="52" t="s">
        <v>4395</v>
      </c>
      <c r="M39" s="548"/>
    </row>
    <row r="40" spans="1:20" ht="15.75" x14ac:dyDescent="0.25">
      <c r="B40" s="527"/>
      <c r="C40" s="527"/>
      <c r="D40" s="527"/>
      <c r="E40" s="527"/>
      <c r="K40" s="91" t="s">
        <v>5114</v>
      </c>
      <c r="L40" t="str">
        <f>IF(Main!N54="","",Main!N54)</f>
        <v>0°F</v>
      </c>
      <c r="O40" s="91" t="s">
        <v>5116</v>
      </c>
      <c r="P40" t="str">
        <f>IF(Main!N56="","",Main!N56)</f>
        <v>0°F</v>
      </c>
    </row>
    <row r="41" spans="1:20" x14ac:dyDescent="0.2">
      <c r="K41" s="91" t="s">
        <v>5115</v>
      </c>
      <c r="L41" t="str">
        <f>IF(Main!N55="","",Main!N55)</f>
        <v>0°F</v>
      </c>
      <c r="O41" s="91" t="s">
        <v>5117</v>
      </c>
      <c r="P41" t="str">
        <f>IF(Main!N57="","",Main!N57)</f>
        <v>0°F</v>
      </c>
    </row>
    <row r="42" spans="1:20" ht="15.75" x14ac:dyDescent="0.25">
      <c r="C42" s="527"/>
      <c r="D42" s="527"/>
      <c r="E42" s="527"/>
      <c r="F42" s="527"/>
      <c r="G42" s="527"/>
      <c r="H42" s="527"/>
      <c r="I42" s="527"/>
      <c r="J42" s="527"/>
    </row>
    <row r="44" spans="1:20" x14ac:dyDescent="0.2">
      <c r="F44" s="2"/>
      <c r="G44" s="2"/>
    </row>
    <row r="45" spans="1:20" ht="12.75" customHeight="1" x14ac:dyDescent="0.2">
      <c r="F45" s="529"/>
    </row>
    <row r="46" spans="1:20" x14ac:dyDescent="0.2">
      <c r="F46" s="170"/>
    </row>
    <row r="47" spans="1:20" ht="12.75" customHeight="1" x14ac:dyDescent="0.2">
      <c r="F47" s="512"/>
    </row>
    <row r="48" spans="1:20" ht="12.75" customHeight="1" x14ac:dyDescent="0.2">
      <c r="F48" s="528"/>
    </row>
    <row r="50" spans="6:6" ht="15.75" customHeight="1" x14ac:dyDescent="0.2">
      <c r="F50" s="512"/>
    </row>
    <row r="51" spans="6:6" x14ac:dyDescent="0.2">
      <c r="F51" s="528"/>
    </row>
    <row r="52" spans="6:6" x14ac:dyDescent="0.2">
      <c r="F52" s="528"/>
    </row>
    <row r="54" spans="6:6" x14ac:dyDescent="0.2">
      <c r="F54" s="531"/>
    </row>
  </sheetData>
  <sheetProtection selectLockedCells="1"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election activeCell="C9" sqref="C9"/>
    </sheetView>
  </sheetViews>
  <sheetFormatPr defaultRowHeight="12.75" x14ac:dyDescent="0.2"/>
  <cols>
    <col min="4" max="4" width="9.140625" style="150"/>
  </cols>
  <sheetData>
    <row r="1" spans="1:14" ht="15.75" x14ac:dyDescent="0.25">
      <c r="A1" s="151">
        <f>Main!D16</f>
        <v>0</v>
      </c>
      <c r="B1" s="130"/>
      <c r="C1" s="130"/>
      <c r="D1" s="148"/>
      <c r="E1" s="131"/>
      <c r="F1" s="140" t="s">
        <v>224</v>
      </c>
      <c r="G1" s="141"/>
      <c r="H1" s="141"/>
      <c r="I1" s="141"/>
      <c r="J1" s="131"/>
      <c r="K1" s="130"/>
      <c r="L1" s="130"/>
      <c r="M1" s="130"/>
      <c r="N1" s="130"/>
    </row>
    <row r="2" spans="1:14" ht="15.75" x14ac:dyDescent="0.25">
      <c r="A2" s="130"/>
      <c r="B2" s="130"/>
      <c r="C2" s="130"/>
      <c r="D2" s="148"/>
      <c r="E2" s="132" t="s">
        <v>225</v>
      </c>
      <c r="F2" s="141"/>
      <c r="G2" s="141"/>
      <c r="H2" s="141"/>
      <c r="I2" s="141"/>
      <c r="J2" s="131"/>
      <c r="K2" s="130"/>
      <c r="L2" s="130"/>
      <c r="M2" s="130"/>
      <c r="N2" s="130"/>
    </row>
    <row r="3" spans="1:14" x14ac:dyDescent="0.2">
      <c r="A3" s="130"/>
      <c r="B3" s="130"/>
      <c r="C3" s="130"/>
      <c r="D3" s="148"/>
      <c r="E3" s="130"/>
      <c r="F3" s="130"/>
      <c r="G3" s="130"/>
      <c r="H3" s="130"/>
      <c r="I3" s="130"/>
      <c r="J3" s="130"/>
      <c r="K3" s="130"/>
      <c r="L3" s="130"/>
      <c r="M3" s="130"/>
      <c r="N3" s="130"/>
    </row>
    <row r="4" spans="1:14" x14ac:dyDescent="0.2">
      <c r="A4" s="130"/>
      <c r="B4" s="133" t="s">
        <v>0</v>
      </c>
      <c r="C4" s="133"/>
      <c r="D4" s="149"/>
      <c r="E4" s="130"/>
      <c r="F4" s="133"/>
      <c r="G4" s="133"/>
      <c r="H4" s="133"/>
      <c r="I4" s="133"/>
      <c r="J4" s="133"/>
      <c r="K4" s="133"/>
      <c r="L4" s="133"/>
      <c r="M4" s="130"/>
      <c r="N4" s="130"/>
    </row>
    <row r="5" spans="1:14" x14ac:dyDescent="0.2">
      <c r="A5" s="130"/>
      <c r="B5" s="134" t="s">
        <v>40</v>
      </c>
      <c r="C5" s="134"/>
      <c r="D5" s="149"/>
      <c r="E5" s="130"/>
      <c r="F5" s="133"/>
      <c r="G5" s="133"/>
      <c r="H5" s="133"/>
      <c r="I5" s="133"/>
      <c r="J5" s="133"/>
      <c r="K5" s="133"/>
      <c r="L5" s="133"/>
      <c r="M5" s="130"/>
      <c r="N5" s="130"/>
    </row>
    <row r="6" spans="1:14" x14ac:dyDescent="0.2">
      <c r="A6" s="130"/>
      <c r="B6" s="135" t="s">
        <v>41</v>
      </c>
      <c r="C6" s="136">
        <f>Main!D3</f>
        <v>0</v>
      </c>
      <c r="D6" s="148"/>
      <c r="E6" s="133"/>
      <c r="F6" s="133"/>
      <c r="G6" s="133"/>
      <c r="H6" s="133"/>
      <c r="I6" s="137" t="s">
        <v>9</v>
      </c>
      <c r="J6" s="133">
        <f>Main!D5</f>
        <v>0</v>
      </c>
      <c r="K6" s="130"/>
      <c r="L6" s="130"/>
    </row>
    <row r="7" spans="1:14" x14ac:dyDescent="0.2">
      <c r="A7" s="130"/>
      <c r="B7" s="137" t="s">
        <v>7</v>
      </c>
      <c r="C7" s="138">
        <f>Main!D6</f>
        <v>0</v>
      </c>
      <c r="D7" s="148"/>
      <c r="E7" s="133"/>
      <c r="F7" s="133"/>
      <c r="G7" s="133"/>
      <c r="H7" s="133"/>
      <c r="I7" s="137" t="s">
        <v>10</v>
      </c>
      <c r="J7" s="139">
        <f>Main!D16</f>
        <v>0</v>
      </c>
      <c r="K7" s="130"/>
      <c r="L7" s="130"/>
    </row>
    <row r="8" spans="1:14" x14ac:dyDescent="0.2">
      <c r="A8" s="130"/>
      <c r="B8" s="137" t="s">
        <v>42</v>
      </c>
      <c r="C8" s="138">
        <f>Main!D7</f>
        <v>0</v>
      </c>
      <c r="D8" s="148"/>
      <c r="E8" s="133"/>
      <c r="F8" s="133"/>
      <c r="G8" s="133"/>
      <c r="H8" s="133"/>
      <c r="I8" s="133"/>
      <c r="J8" s="133"/>
      <c r="K8" s="133"/>
      <c r="L8" s="133"/>
      <c r="M8" s="130"/>
      <c r="N8" s="130"/>
    </row>
    <row r="10" spans="1:14" x14ac:dyDescent="0.2">
      <c r="B10" t="s">
        <v>240</v>
      </c>
      <c r="D10" s="150" t="s">
        <v>241</v>
      </c>
    </row>
    <row r="11" spans="1:14" x14ac:dyDescent="0.2">
      <c r="B11" t="s">
        <v>5464</v>
      </c>
      <c r="D11" s="6">
        <v>-1.5</v>
      </c>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CPumLv0Qk2hCI/8iD4bDYqArwYp/yDdle6N8ndFv7NqaIz2YxhJ5BHO6H+q1N1fVDbXakN+QxCk+pyt6KeKOnw==" saltValue="ju384PVDLyNHoEAgjUJVWg==" spinCount="100000" sheet="1" objects="1" scenarios="1" selectLockedCells="1" selectUnlockedCells="1"/>
  <pageMargins left="0.7" right="0.7" top="0.75" bottom="0.75" header="0.3" footer="0.3"/>
  <pageSetup orientation="landscape" r:id="rId1"/>
  <customProperties>
    <customPr name="%locator_row%" r:id="rId2"/>
    <customPr name="%startcell%" r:id="rId3"/>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opLeftCell="A10" zoomScale="90" zoomScaleNormal="90" workbookViewId="0">
      <selection activeCell="J38" sqref="J38:J50"/>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52">
        <f>Main!D16</f>
        <v>0</v>
      </c>
      <c r="B1" s="180">
        <f>Main!D17</f>
        <v>0</v>
      </c>
      <c r="C1" s="181">
        <v>27606.799999999996</v>
      </c>
      <c r="D1" s="4"/>
      <c r="E1" s="4" t="s">
        <v>67</v>
      </c>
      <c r="F1" s="4"/>
      <c r="G1" s="4"/>
      <c r="H1" s="4"/>
      <c r="I1" s="4"/>
      <c r="J1" s="4"/>
      <c r="K1" s="4"/>
      <c r="L1" s="4"/>
      <c r="M1" s="4"/>
      <c r="N1" s="4"/>
      <c r="O1" s="4"/>
      <c r="P1" s="4"/>
      <c r="Q1" s="4"/>
      <c r="R1" s="4"/>
      <c r="S1" s="4"/>
      <c r="T1" s="4"/>
      <c r="U1" s="4"/>
      <c r="V1" s="4"/>
      <c r="W1" s="4"/>
      <c r="X1" s="4"/>
      <c r="Y1" s="4" t="s">
        <v>67</v>
      </c>
      <c r="Z1" s="4"/>
      <c r="AA1" s="4"/>
      <c r="AB1" s="4"/>
      <c r="AC1" s="4"/>
      <c r="AD1" s="4"/>
      <c r="AE1" s="4"/>
      <c r="AF1" s="4"/>
      <c r="AG1" s="4"/>
      <c r="AH1" s="4"/>
      <c r="AI1" s="4"/>
      <c r="AJ1" s="4"/>
      <c r="AK1" s="4"/>
      <c r="AL1" s="4"/>
      <c r="AM1" s="4"/>
      <c r="AN1" s="4"/>
      <c r="AO1" s="4"/>
      <c r="AP1" s="4"/>
      <c r="AQ1" s="4"/>
      <c r="AR1" s="4"/>
      <c r="AS1" s="4" t="s">
        <v>67</v>
      </c>
      <c r="AT1" s="4"/>
      <c r="AU1" s="4"/>
      <c r="AV1" s="4"/>
      <c r="AW1" s="4"/>
      <c r="AX1" s="4"/>
      <c r="AY1" s="4"/>
      <c r="AZ1" s="4"/>
      <c r="BA1" s="4"/>
      <c r="BB1" s="4"/>
      <c r="BC1" s="4"/>
    </row>
    <row r="2" spans="1:55" ht="15" x14ac:dyDescent="0.25">
      <c r="A2" s="181">
        <f>Main!D19</f>
        <v>0</v>
      </c>
      <c r="B2" s="180">
        <f>IF(OR(ISBLANK(A1),ISBLANK(A2)),0,A1+A2)</f>
        <v>0</v>
      </c>
      <c r="C2" s="4"/>
      <c r="D2" s="4"/>
      <c r="E2" s="4"/>
      <c r="F2" s="187"/>
      <c r="G2" s="4"/>
      <c r="H2" s="4"/>
      <c r="I2" s="4"/>
      <c r="J2" s="4"/>
      <c r="K2" s="4"/>
      <c r="L2" s="4"/>
      <c r="M2" s="4"/>
      <c r="N2" s="4" t="s">
        <v>68</v>
      </c>
      <c r="O2" s="4"/>
      <c r="P2" s="4"/>
      <c r="Q2" s="4"/>
      <c r="R2" s="4"/>
      <c r="S2" s="4"/>
      <c r="T2" s="4"/>
      <c r="U2" s="4"/>
      <c r="V2" s="4"/>
      <c r="W2" s="4"/>
      <c r="X2" s="4"/>
      <c r="Y2" s="4"/>
      <c r="Z2" s="4"/>
      <c r="AA2" s="4"/>
      <c r="AB2" s="4"/>
      <c r="AC2" s="4"/>
      <c r="AD2" s="4"/>
      <c r="AE2" s="4"/>
      <c r="AF2" s="4"/>
      <c r="AG2" s="4"/>
      <c r="AH2" s="4" t="s">
        <v>69</v>
      </c>
      <c r="AI2" s="4"/>
      <c r="AJ2" s="4"/>
      <c r="AK2" s="4"/>
      <c r="AL2" s="4"/>
      <c r="AM2" s="4"/>
      <c r="AN2" s="4"/>
      <c r="AO2" s="4"/>
      <c r="AP2" s="4"/>
      <c r="AQ2" s="4"/>
      <c r="AR2" s="4"/>
      <c r="AS2" s="4"/>
      <c r="AT2" s="4"/>
      <c r="AU2" s="4"/>
      <c r="AV2" s="4"/>
      <c r="AW2" s="4"/>
      <c r="AX2" s="4"/>
      <c r="AY2" s="4"/>
      <c r="AZ2" s="4"/>
      <c r="BA2" s="4"/>
      <c r="BB2" s="4" t="s">
        <v>70</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I5" s="7" t="s">
        <v>9</v>
      </c>
      <c r="J5">
        <f>Main!D5</f>
        <v>0</v>
      </c>
      <c r="L5" s="4"/>
      <c r="M5" s="4"/>
      <c r="N5" s="4"/>
      <c r="O5" s="4"/>
      <c r="P5" s="4"/>
      <c r="Q5" s="54"/>
      <c r="R5" s="4"/>
      <c r="S5" s="4"/>
      <c r="T5" s="4"/>
      <c r="U5" s="4" t="s">
        <v>6</v>
      </c>
      <c r="V5" s="39">
        <f>B5</f>
        <v>0</v>
      </c>
      <c r="W5" s="4"/>
      <c r="X5" s="4"/>
      <c r="Y5" s="4"/>
      <c r="AA5" s="7" t="s">
        <v>9</v>
      </c>
      <c r="AB5" s="51">
        <f>J5</f>
        <v>0</v>
      </c>
      <c r="AC5" s="4"/>
      <c r="AD5" s="4"/>
      <c r="AE5" s="4"/>
      <c r="AF5" s="4"/>
      <c r="AG5" s="4"/>
      <c r="AH5" s="4"/>
      <c r="AI5" s="4"/>
      <c r="AJ5" s="4"/>
      <c r="AK5" s="4"/>
      <c r="AL5" s="4"/>
      <c r="AM5" s="4"/>
      <c r="AN5" s="4"/>
      <c r="AO5" s="4" t="s">
        <v>6</v>
      </c>
      <c r="AP5" s="39">
        <f>V5</f>
        <v>0</v>
      </c>
      <c r="AQ5" s="4"/>
      <c r="AR5" s="4"/>
      <c r="AS5" s="4"/>
      <c r="AU5" s="7" t="s">
        <v>9</v>
      </c>
      <c r="AV5" s="51">
        <f>AB5</f>
        <v>0</v>
      </c>
      <c r="AW5" s="4"/>
      <c r="AX5" s="4"/>
      <c r="AY5" s="4"/>
      <c r="AZ5" s="4"/>
      <c r="BA5" s="4"/>
      <c r="BB5" s="4"/>
      <c r="BC5" s="4"/>
    </row>
    <row r="6" spans="1:55" ht="15" x14ac:dyDescent="0.25">
      <c r="A6" s="7" t="s">
        <v>7</v>
      </c>
      <c r="B6" s="4">
        <f>Main!D6</f>
        <v>0</v>
      </c>
      <c r="I6" s="7" t="s">
        <v>10</v>
      </c>
      <c r="J6" s="46">
        <f>Main!D16</f>
        <v>0</v>
      </c>
      <c r="L6" s="68"/>
      <c r="M6" s="68" t="str">
        <f>VLOOKUP(Main!$E$30,Data_Sheet!$A$11:$A$900,TRUE)</f>
        <v/>
      </c>
      <c r="N6" s="68"/>
      <c r="O6" s="4"/>
      <c r="P6" s="4"/>
      <c r="Q6" s="4"/>
      <c r="R6" s="4"/>
      <c r="S6" s="4"/>
      <c r="T6" s="4"/>
      <c r="U6" s="4" t="s">
        <v>7</v>
      </c>
      <c r="V6" s="4">
        <f>B6</f>
        <v>0</v>
      </c>
      <c r="W6" s="4"/>
      <c r="X6" s="4"/>
      <c r="Y6" s="4"/>
      <c r="AA6" s="7" t="s">
        <v>10</v>
      </c>
      <c r="AB6" s="60">
        <f>J6</f>
        <v>0</v>
      </c>
      <c r="AC6" s="4"/>
      <c r="AD6" s="4"/>
      <c r="AE6" s="4"/>
      <c r="AF6" s="4"/>
      <c r="AG6" s="4"/>
      <c r="AH6" s="4"/>
      <c r="AI6" s="4"/>
      <c r="AJ6" s="4"/>
      <c r="AK6" s="4"/>
      <c r="AL6" s="4"/>
      <c r="AM6" s="4"/>
      <c r="AN6" s="4"/>
      <c r="AO6" s="4" t="s">
        <v>7</v>
      </c>
      <c r="AP6" s="4">
        <f>V6</f>
        <v>0</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71</v>
      </c>
      <c r="B9">
        <v>1</v>
      </c>
      <c r="C9">
        <v>2</v>
      </c>
      <c r="D9">
        <v>3</v>
      </c>
      <c r="E9">
        <v>4</v>
      </c>
      <c r="F9">
        <v>5</v>
      </c>
      <c r="G9">
        <v>6</v>
      </c>
      <c r="H9">
        <v>7</v>
      </c>
      <c r="I9">
        <v>8</v>
      </c>
      <c r="J9">
        <v>9</v>
      </c>
      <c r="K9">
        <v>10</v>
      </c>
      <c r="L9">
        <v>11</v>
      </c>
      <c r="M9">
        <v>12</v>
      </c>
      <c r="N9">
        <v>13</v>
      </c>
      <c r="O9">
        <v>14</v>
      </c>
      <c r="U9" t="s">
        <v>71</v>
      </c>
      <c r="V9">
        <v>15</v>
      </c>
      <c r="W9">
        <v>16</v>
      </c>
      <c r="X9">
        <v>17</v>
      </c>
      <c r="Y9">
        <v>18</v>
      </c>
      <c r="Z9">
        <v>19</v>
      </c>
      <c r="AA9">
        <v>20</v>
      </c>
      <c r="AB9">
        <v>21</v>
      </c>
      <c r="AC9">
        <v>22</v>
      </c>
      <c r="AD9">
        <v>23</v>
      </c>
      <c r="AE9">
        <v>24</v>
      </c>
      <c r="AF9">
        <v>25</v>
      </c>
      <c r="AG9">
        <v>26</v>
      </c>
      <c r="AH9">
        <v>27</v>
      </c>
      <c r="AI9">
        <v>28</v>
      </c>
      <c r="AO9" t="s">
        <v>71</v>
      </c>
      <c r="AP9">
        <v>29</v>
      </c>
      <c r="AQ9">
        <v>30</v>
      </c>
      <c r="AR9">
        <v>31</v>
      </c>
      <c r="AS9">
        <v>32</v>
      </c>
      <c r="AT9">
        <v>33</v>
      </c>
      <c r="AU9">
        <v>34</v>
      </c>
      <c r="AV9">
        <v>35</v>
      </c>
      <c r="AW9">
        <v>36</v>
      </c>
      <c r="AX9">
        <v>37</v>
      </c>
      <c r="AY9">
        <v>38</v>
      </c>
      <c r="AZ9">
        <v>39</v>
      </c>
      <c r="BA9">
        <v>40</v>
      </c>
    </row>
    <row r="10" spans="1:55" ht="15" x14ac:dyDescent="0.25">
      <c r="A10" s="54" t="str">
        <f ca="1">INDIRECT("Data_Sheet!B"&amp;10+$B$50)</f>
        <v/>
      </c>
      <c r="B10" s="49" t="str">
        <f ca="1">INDIRECT("Data_Sheet!c"&amp;10+$B$50)</f>
        <v/>
      </c>
      <c r="C10" s="49" t="str">
        <f ca="1">INDIRECT("Data_Sheet!D"&amp;10+$B$50)</f>
        <v/>
      </c>
      <c r="D10" s="49" t="str">
        <f ca="1">INDIRECT("Data_Sheet!E"&amp;10+$B$50)</f>
        <v/>
      </c>
      <c r="E10" s="49" t="str">
        <f ca="1">INDIRECT("Data_Sheet!F"&amp;10+$B$50)</f>
        <v/>
      </c>
      <c r="F10" s="49" t="str">
        <f ca="1">INDIRECT("Data_Sheet!G"&amp;10+$B$50)</f>
        <v/>
      </c>
      <c r="G10" s="49" t="str">
        <f ca="1">INDIRECT("Data_Sheet!H"&amp;10+$B$50)</f>
        <v/>
      </c>
      <c r="H10" s="49" t="str">
        <f ca="1">INDIRECT("Data_Sheet!I"&amp;10+$B$50)</f>
        <v/>
      </c>
      <c r="I10" s="49" t="str">
        <f ca="1">INDIRECT("Data_Sheet!J"&amp;10+$B$50)</f>
        <v/>
      </c>
      <c r="J10" s="49" t="str">
        <f ca="1">INDIRECT("Data_Sheet!K"&amp;10+$B$50)</f>
        <v/>
      </c>
      <c r="K10" s="49" t="str">
        <f ca="1">INDIRECT("Data_Sheet!L"&amp;10+$B$50)</f>
        <v/>
      </c>
      <c r="L10" s="49" t="str">
        <f ca="1">INDIRECT("Data_Sheet!M"&amp;10+$B$50)</f>
        <v/>
      </c>
      <c r="M10" s="49" t="str">
        <f ca="1">INDIRECT("Data_Sheet!N"&amp;10+$B$50)</f>
        <v/>
      </c>
      <c r="N10" s="49" t="str">
        <f ca="1">INDIRECT("Data_Sheet!O"&amp;10+$B$50)</f>
        <v/>
      </c>
      <c r="O10" s="49" t="str">
        <f ca="1">INDIRECT("Data_Sheet!P"&amp;10+$B$50)</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INDIRECT("Data_Sheet!B"&amp;11+$B$50)</f>
        <v/>
      </c>
      <c r="B11" s="49" t="str">
        <f ca="1">INDIRECT("Data_Sheet!c"&amp;11+$B$50)</f>
        <v/>
      </c>
      <c r="C11" s="49" t="str">
        <f ca="1">INDIRECT("Data_Sheet!D"&amp;11+$B$50)</f>
        <v/>
      </c>
      <c r="D11" s="49" t="str">
        <f ca="1">INDIRECT("Data_Sheet!E"&amp;11+$B$50)</f>
        <v/>
      </c>
      <c r="E11" s="49" t="str">
        <f ca="1">INDIRECT("Data_Sheet!F"&amp;11+$B$50)</f>
        <v/>
      </c>
      <c r="F11" s="49" t="str">
        <f ca="1">INDIRECT("Data_Sheet!G"&amp;11+$B$50)</f>
        <v/>
      </c>
      <c r="G11" s="49" t="str">
        <f ca="1">INDIRECT("Data_Sheet!H"&amp;11+$B$50)</f>
        <v/>
      </c>
      <c r="H11" s="49" t="str">
        <f ca="1">INDIRECT("Data_Sheet!I"&amp;11+$B$50)</f>
        <v/>
      </c>
      <c r="I11" s="49" t="str">
        <f ca="1">INDIRECT("Data_Sheet!J"&amp;11+$B$50)</f>
        <v/>
      </c>
      <c r="J11" s="49" t="str">
        <f ca="1">INDIRECT("Data_Sheet!K"&amp;11+$B$50)</f>
        <v/>
      </c>
      <c r="K11" s="49" t="str">
        <f ca="1">INDIRECT("Data_Sheet!L"&amp;11+$B$50)</f>
        <v/>
      </c>
      <c r="L11" s="49" t="str">
        <f ca="1">INDIRECT("Data_Sheet!M"&amp;11+$B$50)</f>
        <v/>
      </c>
      <c r="M11" s="49" t="str">
        <f ca="1">INDIRECT("Data_Sheet!N"&amp;11+$B$50)</f>
        <v/>
      </c>
      <c r="N11" s="49" t="str">
        <f ca="1">INDIRECT("Data_Sheet!O"&amp;11+$B$50)</f>
        <v/>
      </c>
      <c r="O11" s="49" t="str">
        <f ca="1">INDIRECT("Data_Sheet!P"&amp;11+$B$50)</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INDIRECT("Data_Sheet!B"&amp;12+$B$50)</f>
        <v/>
      </c>
      <c r="B12" s="49" t="str">
        <f ca="1">INDIRECT("Data_Sheet!c"&amp;12+$B$50)</f>
        <v/>
      </c>
      <c r="C12" s="49" t="str">
        <f ca="1">INDIRECT("Data_Sheet!D"&amp;12+$B$50)</f>
        <v/>
      </c>
      <c r="D12" s="49" t="str">
        <f ca="1">INDIRECT("Data_Sheet!E"&amp;12+$B$50)</f>
        <v/>
      </c>
      <c r="E12" s="49" t="str">
        <f ca="1">INDIRECT("Data_Sheet!F"&amp;12+$B$50)</f>
        <v/>
      </c>
      <c r="F12" s="49" t="str">
        <f ca="1">INDIRECT("Data_Sheet!G"&amp;12+$B$50)</f>
        <v/>
      </c>
      <c r="G12" s="49" t="str">
        <f ca="1">INDIRECT("Data_Sheet!H"&amp;12+$B$50)</f>
        <v/>
      </c>
      <c r="H12" s="49" t="str">
        <f ca="1">INDIRECT("Data_Sheet!I"&amp;12+$B$50)</f>
        <v/>
      </c>
      <c r="I12" s="49" t="str">
        <f ca="1">INDIRECT("Data_Sheet!J"&amp;12+$B$50)</f>
        <v/>
      </c>
      <c r="J12" s="49" t="str">
        <f ca="1">INDIRECT("Data_Sheet!K"&amp;12+$B$50)</f>
        <v/>
      </c>
      <c r="K12" s="49" t="str">
        <f ca="1">INDIRECT("Data_Sheet!L"&amp;12+$B$50)</f>
        <v/>
      </c>
      <c r="L12" s="49" t="str">
        <f ca="1">INDIRECT("Data_Sheet!M"&amp;12+$B$50)</f>
        <v/>
      </c>
      <c r="M12" s="49" t="str">
        <f ca="1">INDIRECT("Data_Sheet!N"&amp;12+$B$50)</f>
        <v/>
      </c>
      <c r="N12" s="49" t="str">
        <f ca="1">INDIRECT("Data_Sheet!O"&amp;12+$B$50)</f>
        <v/>
      </c>
      <c r="O12" s="49" t="str">
        <f ca="1">INDIRECT("Data_Sheet!P"&amp;12+$B$50)</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INDIRECT("Data_Sheet!B"&amp;13+$B$50)</f>
        <v/>
      </c>
      <c r="B13" s="49" t="str">
        <f ca="1">INDIRECT("Data_Sheet!C"&amp;13+$B$50)</f>
        <v/>
      </c>
      <c r="C13" s="49" t="str">
        <f ca="1">INDIRECT("Data_Sheet!D"&amp;13+$B$50)</f>
        <v/>
      </c>
      <c r="D13" s="49" t="str">
        <f ca="1">INDIRECT("Data_Sheet!E"&amp;13+$B$50)</f>
        <v/>
      </c>
      <c r="E13" s="49" t="str">
        <f ca="1">INDIRECT("Data_Sheet!F"&amp;13+$B$50)</f>
        <v/>
      </c>
      <c r="F13" s="49" t="str">
        <f ca="1">INDIRECT("Data_Sheet!G"&amp;13+$B$50)</f>
        <v/>
      </c>
      <c r="G13" s="49" t="str">
        <f ca="1">INDIRECT("Data_Sheet!H"&amp;13+$B$50)</f>
        <v/>
      </c>
      <c r="H13" s="49" t="str">
        <f ca="1">INDIRECT("Data_Sheet!I"&amp;13+$B$50)</f>
        <v/>
      </c>
      <c r="I13" s="49" t="str">
        <f ca="1">INDIRECT("Data_Sheet!J"&amp;13+$B$50)</f>
        <v/>
      </c>
      <c r="J13" s="49" t="str">
        <f ca="1">INDIRECT("Data_Sheet!K"&amp;13+$B$50)</f>
        <v/>
      </c>
      <c r="K13" s="49" t="str">
        <f ca="1">INDIRECT("Data_Sheet!L"&amp;13+$B$50)</f>
        <v/>
      </c>
      <c r="L13" s="49" t="str">
        <f ca="1">INDIRECT("Data_Sheet!M"&amp;13+$B$50)</f>
        <v/>
      </c>
      <c r="M13" s="49" t="str">
        <f ca="1">INDIRECT("Data_Sheet!N"&amp;13+$B$50)</f>
        <v/>
      </c>
      <c r="N13" s="49" t="str">
        <f ca="1">INDIRECT("Data_Sheet!O"&amp;13+$B$50)</f>
        <v/>
      </c>
      <c r="O13" s="49" t="str">
        <f ca="1">INDIRECT("Data_Sheet!P"&amp;13+$B$50)</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INDIRECT("Data_Sheet!B"&amp;14+$B$50)</f>
        <v/>
      </c>
      <c r="B14" s="49" t="str">
        <f ca="1">INDIRECT("Data_Sheet!C"&amp;14+$B$50)</f>
        <v/>
      </c>
      <c r="C14" s="49" t="str">
        <f ca="1">INDIRECT("Data_Sheet!D"&amp;14+$B$50)</f>
        <v/>
      </c>
      <c r="D14" s="49" t="str">
        <f ca="1">INDIRECT("Data_Sheet!E"&amp;14+$B$50)</f>
        <v/>
      </c>
      <c r="E14" s="49" t="str">
        <f ca="1">INDIRECT("Data_Sheet!F"&amp;14+$B$50)</f>
        <v/>
      </c>
      <c r="F14" s="49" t="str">
        <f ca="1">INDIRECT("Data_Sheet!G"&amp;14+$B$50)</f>
        <v/>
      </c>
      <c r="G14" s="49" t="str">
        <f ca="1">INDIRECT("Data_Sheet!H"&amp;14+$B$50)</f>
        <v/>
      </c>
      <c r="H14" s="49" t="str">
        <f ca="1">INDIRECT("Data_Sheet!I"&amp;14+$B$50)</f>
        <v/>
      </c>
      <c r="I14" s="49" t="str">
        <f ca="1">INDIRECT("Data_Sheet!J"&amp;14+$B$50)</f>
        <v/>
      </c>
      <c r="J14" s="49" t="str">
        <f ca="1">INDIRECT("Data_Sheet!K"&amp;14+$B$50)</f>
        <v/>
      </c>
      <c r="K14" s="49" t="str">
        <f ca="1">INDIRECT("Data_Sheet!L"&amp;14+$B$50)</f>
        <v/>
      </c>
      <c r="L14" s="49" t="str">
        <f ca="1">INDIRECT("Data_Sheet!M"&amp;14+$B$50)</f>
        <v/>
      </c>
      <c r="M14" s="49" t="str">
        <f ca="1">INDIRECT("Data_Sheet!N"&amp;14+$B$50)</f>
        <v/>
      </c>
      <c r="N14" s="49" t="str">
        <f ca="1">INDIRECT("Data_Sheet!O"&amp;14+$B$50)</f>
        <v/>
      </c>
      <c r="O14" s="49" t="str">
        <f ca="1">INDIRECT("Data_Sheet!P"&amp;14+$B$50)</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INDIRECT("Data_Sheet!B"&amp;15+$B$50)</f>
        <v/>
      </c>
      <c r="B15" s="49" t="str">
        <f ca="1">INDIRECT("Data_Sheet!C"&amp;15+$B$50)</f>
        <v/>
      </c>
      <c r="C15" s="49" t="str">
        <f ca="1">INDIRECT("Data_Sheet!D"&amp;15+$B$50)</f>
        <v/>
      </c>
      <c r="D15" s="49" t="str">
        <f ca="1">INDIRECT("Data_Sheet!E"&amp;15+$B$50)</f>
        <v/>
      </c>
      <c r="E15" s="49" t="str">
        <f ca="1">INDIRECT("Data_Sheet!F"&amp;15+$B$50)</f>
        <v/>
      </c>
      <c r="F15" s="49" t="str">
        <f ca="1">INDIRECT("Data_Sheet!G"&amp;15+$B$50)</f>
        <v/>
      </c>
      <c r="G15" s="49" t="str">
        <f ca="1">INDIRECT("Data_Sheet!H"&amp;15+$B$50)</f>
        <v/>
      </c>
      <c r="H15" s="49" t="str">
        <f ca="1">INDIRECT("Data_Sheet!I"&amp;15+$B$50)</f>
        <v/>
      </c>
      <c r="I15" s="49" t="str">
        <f ca="1">INDIRECT("Data_Sheet!J"&amp;15+$B$50)</f>
        <v/>
      </c>
      <c r="J15" s="49" t="str">
        <f ca="1">INDIRECT("Data_Sheet!K"&amp;15+$B$50)</f>
        <v/>
      </c>
      <c r="K15" s="49" t="str">
        <f ca="1">INDIRECT("Data_Sheet!L"&amp;15+$B$50)</f>
        <v/>
      </c>
      <c r="L15" s="49" t="str">
        <f ca="1">INDIRECT("Data_Sheet!M"&amp;15+$B$50)</f>
        <v/>
      </c>
      <c r="M15" s="49" t="str">
        <f ca="1">INDIRECT("Data_Sheet!N"&amp;15+$B$50)</f>
        <v/>
      </c>
      <c r="N15" s="49" t="str">
        <f ca="1">INDIRECT("Data_Sheet!O"&amp;15+$B$50)</f>
        <v/>
      </c>
      <c r="O15" s="49" t="str">
        <f ca="1">INDIRECT("Data_Sheet!P"&amp;15+$B$50)</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INDIRECT("Data_Sheet!B"&amp;16+$B$50)</f>
        <v/>
      </c>
      <c r="B16" s="49" t="str">
        <f ca="1">INDIRECT("Data_Sheet!C"&amp;16+$B$50)</f>
        <v/>
      </c>
      <c r="C16" s="49" t="str">
        <f ca="1">INDIRECT("Data_Sheet!D"&amp;16+$B$50)</f>
        <v/>
      </c>
      <c r="D16" s="49" t="str">
        <f ca="1">INDIRECT("Data_Sheet!E"&amp;16+$B$50)</f>
        <v/>
      </c>
      <c r="E16" s="49" t="str">
        <f ca="1">INDIRECT("Data_Sheet!F"&amp;16+$B$50)</f>
        <v/>
      </c>
      <c r="F16" s="49" t="str">
        <f ca="1">INDIRECT("Data_Sheet!G"&amp;16+$B$50)</f>
        <v/>
      </c>
      <c r="G16" s="49" t="str">
        <f ca="1">INDIRECT("Data_Sheet!H"&amp;16+$B$50)</f>
        <v/>
      </c>
      <c r="H16" s="49" t="str">
        <f ca="1">INDIRECT("Data_Sheet!I"&amp;16+$B$50)</f>
        <v/>
      </c>
      <c r="I16" s="49" t="str">
        <f ca="1">INDIRECT("Data_Sheet!J"&amp;16+$B$50)</f>
        <v/>
      </c>
      <c r="J16" s="49" t="str">
        <f ca="1">INDIRECT("Data_Sheet!K"&amp;16+$B$50)</f>
        <v/>
      </c>
      <c r="K16" s="49" t="str">
        <f ca="1">INDIRECT("Data_Sheet!L"&amp;16+$B$50)</f>
        <v/>
      </c>
      <c r="L16" s="49" t="str">
        <f ca="1">INDIRECT("Data_Sheet!M"&amp;16+$B$50)</f>
        <v/>
      </c>
      <c r="M16" s="49" t="str">
        <f ca="1">INDIRECT("Data_Sheet!N"&amp;16+$B$50)</f>
        <v/>
      </c>
      <c r="N16" s="49" t="str">
        <f ca="1">INDIRECT("Data_Sheet!O"&amp;16+$B$50)</f>
        <v/>
      </c>
      <c r="O16" s="49" t="str">
        <f ca="1">INDIRECT("Data_Sheet!P"&amp;16+$B$50)</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INDIRECT("Data_Sheet!B"&amp;17+$B$50)</f>
        <v/>
      </c>
      <c r="B17" s="49" t="str">
        <f ca="1">INDIRECT("Data_Sheet!C"&amp;17+$B$50)</f>
        <v/>
      </c>
      <c r="C17" s="49" t="str">
        <f ca="1">INDIRECT("Data_Sheet!D"&amp;17+$B$50)</f>
        <v/>
      </c>
      <c r="D17" s="49" t="str">
        <f ca="1">INDIRECT("Data_Sheet!E"&amp;17+$B$50)</f>
        <v/>
      </c>
      <c r="E17" s="49" t="str">
        <f ca="1">INDIRECT("Data_Sheet!F"&amp;17+$B$50)</f>
        <v/>
      </c>
      <c r="F17" s="49" t="str">
        <f ca="1">INDIRECT("Data_Sheet!G"&amp;17+$B$50)</f>
        <v/>
      </c>
      <c r="G17" s="49" t="str">
        <f ca="1">INDIRECT("Data_Sheet!H"&amp;17+$B$50)</f>
        <v/>
      </c>
      <c r="H17" s="49" t="str">
        <f ca="1">INDIRECT("Data_Sheet!I"&amp;17+$B$50)</f>
        <v/>
      </c>
      <c r="I17" s="49" t="str">
        <f ca="1">INDIRECT("Data_Sheet!J"&amp;17+$B$50)</f>
        <v/>
      </c>
      <c r="J17" s="49" t="str">
        <f ca="1">INDIRECT("Data_Sheet!K"&amp;17+$B$50)</f>
        <v/>
      </c>
      <c r="K17" s="49" t="str">
        <f ca="1">INDIRECT("Data_Sheet!L"&amp;17+$B$50)</f>
        <v/>
      </c>
      <c r="L17" s="49" t="str">
        <f ca="1">INDIRECT("Data_Sheet!M"&amp;17+$B$50)</f>
        <v/>
      </c>
      <c r="M17" s="49" t="str">
        <f ca="1">INDIRECT("Data_Sheet!N"&amp;17+$B$50)</f>
        <v/>
      </c>
      <c r="N17" s="49" t="str">
        <f ca="1">INDIRECT("Data_Sheet!O"&amp;17+$B$50)</f>
        <v/>
      </c>
      <c r="O17" s="49" t="str">
        <f ca="1">INDIRECT("Data_Sheet!P"&amp;17+$B$50)</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INDIRECT("Data_Sheet!B"&amp;18+$B$50)</f>
        <v/>
      </c>
      <c r="B18" s="49" t="str">
        <f ca="1">INDIRECT("Data_Sheet!C"&amp;18+$B$50)</f>
        <v/>
      </c>
      <c r="C18" s="49" t="str">
        <f ca="1">INDIRECT("Data_Sheet!D"&amp;18+$B$50)</f>
        <v/>
      </c>
      <c r="D18" s="49" t="str">
        <f ca="1">INDIRECT("Data_Sheet!E"&amp;18+$B$50)</f>
        <v/>
      </c>
      <c r="E18" s="49" t="str">
        <f ca="1">INDIRECT("Data_Sheet!F"&amp;18+$B$50)</f>
        <v/>
      </c>
      <c r="F18" s="49" t="str">
        <f ca="1">INDIRECT("Data_Sheet!G"&amp;18+$B$50)</f>
        <v/>
      </c>
      <c r="G18" s="49" t="str">
        <f ca="1">INDIRECT("Data_Sheet!H"&amp;18+$B$50)</f>
        <v/>
      </c>
      <c r="H18" s="49" t="str">
        <f ca="1">INDIRECT("Data_Sheet!I"&amp;18+$B$50)</f>
        <v/>
      </c>
      <c r="I18" s="49" t="str">
        <f ca="1">INDIRECT("Data_Sheet!J"&amp;18+$B$50)</f>
        <v/>
      </c>
      <c r="J18" s="49" t="str">
        <f ca="1">INDIRECT("Data_Sheet!K"&amp;18+$B$50)</f>
        <v/>
      </c>
      <c r="K18" s="49" t="str">
        <f ca="1">INDIRECT("Data_Sheet!L"&amp;18+$B$50)</f>
        <v/>
      </c>
      <c r="L18" s="49" t="str">
        <f ca="1">INDIRECT("Data_Sheet!M"&amp;18+$B$50)</f>
        <v/>
      </c>
      <c r="M18" s="49" t="str">
        <f ca="1">INDIRECT("Data_Sheet!N"&amp;18+$B$50)</f>
        <v/>
      </c>
      <c r="N18" s="49" t="str">
        <f ca="1">INDIRECT("Data_Sheet!O"&amp;18+$B$50)</f>
        <v/>
      </c>
      <c r="O18" s="49" t="str">
        <f ca="1">INDIRECT("Data_Sheet!P"&amp;18+$B$50)</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INDIRECT("Data_Sheet!B"&amp;19+$B$50)</f>
        <v/>
      </c>
      <c r="B19" s="49" t="str">
        <f ca="1">INDIRECT("Data_Sheet!C"&amp;19+$B$50)</f>
        <v/>
      </c>
      <c r="C19" s="49" t="str">
        <f ca="1">INDIRECT("Data_Sheet!D"&amp;19+$B$50)</f>
        <v/>
      </c>
      <c r="D19" s="49" t="str">
        <f ca="1">INDIRECT("Data_Sheet!E"&amp;19+$B$50)</f>
        <v/>
      </c>
      <c r="E19" s="49" t="str">
        <f ca="1">INDIRECT("Data_Sheet!F"&amp;19+$B$50)</f>
        <v/>
      </c>
      <c r="F19" s="49" t="str">
        <f ca="1">INDIRECT("Data_Sheet!G"&amp;19+$B$50)</f>
        <v/>
      </c>
      <c r="G19" s="49" t="str">
        <f ca="1">INDIRECT("Data_Sheet!H"&amp;19+$B$50)</f>
        <v/>
      </c>
      <c r="H19" s="49" t="str">
        <f ca="1">INDIRECT("Data_Sheet!I"&amp;19+$B$50)</f>
        <v/>
      </c>
      <c r="I19" s="49" t="str">
        <f ca="1">INDIRECT("Data_Sheet!J"&amp;19+$B$50)</f>
        <v/>
      </c>
      <c r="J19" s="49" t="str">
        <f ca="1">INDIRECT("Data_Sheet!K"&amp;19+$B$50)</f>
        <v/>
      </c>
      <c r="K19" s="49" t="str">
        <f ca="1">INDIRECT("Data_Sheet!L"&amp;19+$B$50)</f>
        <v/>
      </c>
      <c r="L19" s="49" t="str">
        <f ca="1">INDIRECT("Data_Sheet!M"&amp;19+$B$50)</f>
        <v/>
      </c>
      <c r="M19" s="49" t="str">
        <f ca="1">INDIRECT("Data_Sheet!N"&amp;19+$B$50)</f>
        <v/>
      </c>
      <c r="N19" s="49" t="str">
        <f ca="1">INDIRECT("Data_Sheet!O"&amp;19+$B$50)</f>
        <v/>
      </c>
      <c r="O19" s="49" t="str">
        <f ca="1">INDIRECT("Data_Sheet!P"&amp;19+$B$50)</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INDIRECT("Data_Sheet!B"&amp;20+$B$50)</f>
        <v/>
      </c>
      <c r="B20" s="49" t="str">
        <f ca="1">INDIRECT("Data_Sheet!C"&amp;20+$B$50)</f>
        <v/>
      </c>
      <c r="C20" s="49" t="str">
        <f ca="1">INDIRECT("Data_Sheet!D"&amp;20+$B$50)</f>
        <v/>
      </c>
      <c r="D20" s="49" t="str">
        <f ca="1">INDIRECT("Data_Sheet!E"&amp;20+$B$50)</f>
        <v/>
      </c>
      <c r="E20" s="49" t="str">
        <f ca="1">INDIRECT("Data_Sheet!F"&amp;20+$B$50)</f>
        <v/>
      </c>
      <c r="F20" s="49" t="str">
        <f ca="1">INDIRECT("Data_Sheet!G"&amp;20+$B$50)</f>
        <v/>
      </c>
      <c r="G20" s="49" t="str">
        <f ca="1">INDIRECT("Data_Sheet!H"&amp;20+$B$50)</f>
        <v/>
      </c>
      <c r="H20" s="49" t="str">
        <f ca="1">INDIRECT("Data_Sheet!I"&amp;20+$B$50)</f>
        <v/>
      </c>
      <c r="I20" s="49" t="str">
        <f ca="1">INDIRECT("Data_Sheet!J"&amp;20+$B$50)</f>
        <v/>
      </c>
      <c r="J20" s="49" t="str">
        <f ca="1">INDIRECT("Data_Sheet!K"&amp;20+$B$50)</f>
        <v/>
      </c>
      <c r="K20" s="49" t="str">
        <f ca="1">INDIRECT("Data_Sheet!L"&amp;20+$B$50)</f>
        <v/>
      </c>
      <c r="L20" s="49" t="str">
        <f ca="1">INDIRECT("Data_Sheet!M"&amp;20+$B$50)</f>
        <v/>
      </c>
      <c r="M20" s="49" t="str">
        <f ca="1">INDIRECT("Data_Sheet!N"&amp;20+$B$50)</f>
        <v/>
      </c>
      <c r="N20" s="49" t="str">
        <f ca="1">INDIRECT("Data_Sheet!O"&amp;20+$B$50)</f>
        <v/>
      </c>
      <c r="O20" s="49" t="str">
        <f ca="1">INDIRECT("Data_Sheet!P"&amp;20+$B$50)</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INDIRECT("Data_Sheet!B"&amp;21+$B$50)</f>
        <v/>
      </c>
      <c r="B21" s="49" t="str">
        <f ca="1">INDIRECT("Data_Sheet!C"&amp;21+$B$50)</f>
        <v/>
      </c>
      <c r="C21" s="49" t="str">
        <f ca="1">INDIRECT("Data_Sheet!D"&amp;21+$B$50)</f>
        <v/>
      </c>
      <c r="D21" s="49" t="str">
        <f ca="1">INDIRECT("Data_Sheet!E"&amp;21+$B$50)</f>
        <v/>
      </c>
      <c r="E21" s="49" t="str">
        <f ca="1">INDIRECT("Data_Sheet!F"&amp;21+$B$50)</f>
        <v/>
      </c>
      <c r="F21" s="49" t="str">
        <f ca="1">INDIRECT("Data_Sheet!G"&amp;21+$B$50)</f>
        <v/>
      </c>
      <c r="G21" s="49" t="str">
        <f ca="1">INDIRECT("Data_Sheet!H"&amp;21+$B$50)</f>
        <v/>
      </c>
      <c r="H21" s="49" t="str">
        <f ca="1">INDIRECT("Data_Sheet!I"&amp;21+$B$50)</f>
        <v/>
      </c>
      <c r="I21" s="49" t="str">
        <f ca="1">INDIRECT("Data_Sheet!J"&amp;21+$B$50)</f>
        <v/>
      </c>
      <c r="J21" s="49" t="str">
        <f ca="1">INDIRECT("Data_Sheet!K"&amp;21+$B$50)</f>
        <v/>
      </c>
      <c r="K21" s="49" t="str">
        <f ca="1">INDIRECT("Data_Sheet!L"&amp;21+$B$50)</f>
        <v/>
      </c>
      <c r="L21" s="49" t="str">
        <f ca="1">INDIRECT("Data_Sheet!M"&amp;21+$B$50)</f>
        <v/>
      </c>
      <c r="M21" s="49" t="str">
        <f ca="1">INDIRECT("Data_Sheet!N"&amp;21+$B$50)</f>
        <v/>
      </c>
      <c r="N21" s="49" t="str">
        <f ca="1">INDIRECT("Data_Sheet!O"&amp;21+$B$50)</f>
        <v/>
      </c>
      <c r="O21" s="49" t="str">
        <f ca="1">INDIRECT("Data_Sheet!P"&amp;21+$B$50)</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INDIRECT("Data_Sheet!B"&amp;22+$B$50)</f>
        <v/>
      </c>
      <c r="B22" s="49" t="str">
        <f ca="1">INDIRECT("Data_Sheet!C"&amp;22+$B$50)</f>
        <v/>
      </c>
      <c r="C22" s="49" t="str">
        <f ca="1">INDIRECT("Data_Sheet!D"&amp;22+$B$50)</f>
        <v/>
      </c>
      <c r="D22" s="49" t="str">
        <f ca="1">INDIRECT("Data_Sheet!E"&amp;22+$B$50)</f>
        <v/>
      </c>
      <c r="E22" s="49" t="str">
        <f ca="1">INDIRECT("Data_Sheet!F"&amp;22+$B$50)</f>
        <v/>
      </c>
      <c r="F22" s="49" t="str">
        <f ca="1">INDIRECT("Data_Sheet!G"&amp;22+$B$50)</f>
        <v/>
      </c>
      <c r="G22" s="49" t="str">
        <f ca="1">INDIRECT("Data_Sheet!H"&amp;22+$B$50)</f>
        <v/>
      </c>
      <c r="H22" s="49" t="str">
        <f ca="1">INDIRECT("Data_Sheet!I"&amp;22+$B$50)</f>
        <v/>
      </c>
      <c r="I22" s="49" t="str">
        <f ca="1">INDIRECT("Data_Sheet!J"&amp;22+$B$50)</f>
        <v/>
      </c>
      <c r="J22" s="49" t="str">
        <f ca="1">INDIRECT("Data_Sheet!K"&amp;22+$B$50)</f>
        <v/>
      </c>
      <c r="K22" s="49" t="str">
        <f ca="1">INDIRECT("Data_Sheet!L"&amp;22+$B$50)</f>
        <v/>
      </c>
      <c r="L22" s="49" t="str">
        <f ca="1">INDIRECT("Data_Sheet!M"&amp;22+$B$50)</f>
        <v/>
      </c>
      <c r="M22" s="49" t="str">
        <f ca="1">INDIRECT("Data_Sheet!N"&amp;22+$B$50)</f>
        <v/>
      </c>
      <c r="N22" s="49" t="str">
        <f ca="1">INDIRECT("Data_Sheet!O"&amp;22+$B$50)</f>
        <v/>
      </c>
      <c r="O22" s="49" t="str">
        <f ca="1">INDIRECT("Data_Sheet!P"&amp;22+$B$50)</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INDIRECT("Data_Sheet!B"&amp;23+$B$50)</f>
        <v/>
      </c>
      <c r="B23" s="49" t="str">
        <f ca="1">INDIRECT("Data_Sheet!C"&amp;23+$B$50)</f>
        <v/>
      </c>
      <c r="C23" s="49" t="str">
        <f ca="1">INDIRECT("Data_Sheet!D"&amp;23+$B$50)</f>
        <v/>
      </c>
      <c r="D23" s="49" t="str">
        <f ca="1">INDIRECT("Data_Sheet!E"&amp;23+$B$50)</f>
        <v/>
      </c>
      <c r="E23" s="49" t="str">
        <f ca="1">INDIRECT("Data_Sheet!F"&amp;23+$B$50)</f>
        <v/>
      </c>
      <c r="F23" s="49" t="str">
        <f ca="1">INDIRECT("Data_Sheet!G"&amp;23+$B$50)</f>
        <v/>
      </c>
      <c r="G23" s="49" t="str">
        <f ca="1">INDIRECT("Data_Sheet!H"&amp;23+$B$50)</f>
        <v/>
      </c>
      <c r="H23" s="49" t="str">
        <f ca="1">INDIRECT("Data_Sheet!I"&amp;23+$B$50)</f>
        <v/>
      </c>
      <c r="I23" s="49" t="str">
        <f ca="1">INDIRECT("Data_Sheet!J"&amp;23+$B$50)</f>
        <v/>
      </c>
      <c r="J23" s="49" t="str">
        <f ca="1">INDIRECT("Data_Sheet!K"&amp;23+$B$50)</f>
        <v/>
      </c>
      <c r="K23" s="49" t="str">
        <f ca="1">INDIRECT("Data_Sheet!L"&amp;23+$B$50)</f>
        <v/>
      </c>
      <c r="L23" s="49" t="str">
        <f ca="1">INDIRECT("Data_Sheet!M"&amp;23+$B$50)</f>
        <v/>
      </c>
      <c r="M23" s="49" t="str">
        <f ca="1">INDIRECT("Data_Sheet!N"&amp;23+$B$50)</f>
        <v/>
      </c>
      <c r="N23" s="49" t="str">
        <f ca="1">INDIRECT("Data_Sheet!O"&amp;23+$B$50)</f>
        <v/>
      </c>
      <c r="O23" s="49" t="str">
        <f ca="1">INDIRECT("Data_Sheet!P"&amp;23+$B$50)</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INDIRECT("Data_Sheet!B"&amp;24+$B$50)</f>
        <v/>
      </c>
      <c r="B24" s="49" t="str">
        <f ca="1">INDIRECT("Data_Sheet!C"&amp;24+$B$50)</f>
        <v/>
      </c>
      <c r="C24" s="49" t="str">
        <f ca="1">INDIRECT("Data_Sheet!D"&amp;24+$B$50)</f>
        <v/>
      </c>
      <c r="D24" s="49" t="str">
        <f ca="1">INDIRECT("Data_Sheet!E"&amp;24+$B$50)</f>
        <v/>
      </c>
      <c r="E24" s="49" t="str">
        <f ca="1">INDIRECT("Data_Sheet!F"&amp;24+$B$50)</f>
        <v/>
      </c>
      <c r="F24" s="49" t="str">
        <f ca="1">INDIRECT("Data_Sheet!G"&amp;24+$B$50)</f>
        <v/>
      </c>
      <c r="G24" s="49" t="str">
        <f ca="1">INDIRECT("Data_Sheet!H"&amp;24+$B$50)</f>
        <v/>
      </c>
      <c r="H24" s="49" t="str">
        <f ca="1">INDIRECT("Data_Sheet!I"&amp;24+$B$50)</f>
        <v/>
      </c>
      <c r="I24" s="49" t="str">
        <f ca="1">INDIRECT("Data_Sheet!J"&amp;24+$B$50)</f>
        <v/>
      </c>
      <c r="J24" s="49" t="str">
        <f ca="1">INDIRECT("Data_Sheet!K"&amp;24+$B$50)</f>
        <v/>
      </c>
      <c r="K24" s="49" t="str">
        <f ca="1">INDIRECT("Data_Sheet!L"&amp;24+$B$50)</f>
        <v/>
      </c>
      <c r="L24" s="49" t="str">
        <f ca="1">INDIRECT("Data_Sheet!M"&amp;24+$B$50)</f>
        <v/>
      </c>
      <c r="M24" s="49" t="str">
        <f ca="1">INDIRECT("Data_Sheet!N"&amp;24+$B$50)</f>
        <v/>
      </c>
      <c r="N24" s="49" t="str">
        <f ca="1">INDIRECT("Data_Sheet!O"&amp;24+$B$50)</f>
        <v/>
      </c>
      <c r="O24" s="49" t="str">
        <f ca="1">INDIRECT("Data_Sheet!P"&amp;24+$B$50)</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INDIRECT("Data_Sheet!B"&amp;25+$B$50)</f>
        <v/>
      </c>
      <c r="B25" s="49" t="str">
        <f ca="1">INDIRECT("Data_Sheet!C"&amp;25+$B$50)</f>
        <v/>
      </c>
      <c r="C25" s="49" t="str">
        <f ca="1">INDIRECT("Data_Sheet!D"&amp;25+$B$50)</f>
        <v/>
      </c>
      <c r="D25" s="49" t="str">
        <f ca="1">INDIRECT("Data_Sheet!E"&amp;25+$B$50)</f>
        <v/>
      </c>
      <c r="E25" s="49" t="str">
        <f ca="1">INDIRECT("Data_Sheet!F"&amp;25+$B$50)</f>
        <v/>
      </c>
      <c r="F25" s="49" t="str">
        <f ca="1">INDIRECT("Data_Sheet!G"&amp;25+$B$50)</f>
        <v/>
      </c>
      <c r="G25" s="49" t="str">
        <f ca="1">INDIRECT("Data_Sheet!H"&amp;25+$B$50)</f>
        <v/>
      </c>
      <c r="H25" s="49" t="str">
        <f ca="1">INDIRECT("Data_Sheet!I"&amp;25+$B$50)</f>
        <v/>
      </c>
      <c r="I25" s="49" t="str">
        <f ca="1">INDIRECT("Data_Sheet!J"&amp;25+$B$50)</f>
        <v/>
      </c>
      <c r="J25" s="49" t="str">
        <f ca="1">INDIRECT("Data_Sheet!K"&amp;25+$B$50)</f>
        <v/>
      </c>
      <c r="K25" s="49" t="str">
        <f ca="1">INDIRECT("Data_Sheet!L"&amp;25+$B$50)</f>
        <v/>
      </c>
      <c r="L25" s="49" t="str">
        <f ca="1">INDIRECT("Data_Sheet!M"&amp;25+$B$50)</f>
        <v/>
      </c>
      <c r="M25" s="49" t="str">
        <f ca="1">INDIRECT("Data_Sheet!N"&amp;25+$B$50)</f>
        <v/>
      </c>
      <c r="N25" s="49" t="str">
        <f ca="1">INDIRECT("Data_Sheet!O"&amp;25+$B$50)</f>
        <v/>
      </c>
      <c r="O25" s="49" t="str">
        <f ca="1">INDIRECT("Data_Sheet!P"&amp;25+$B$50)</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73" t="str">
        <f t="shared" ref="B27:N27" ca="1" si="0">IF(OR(B30&gt;7,MIN(B10:B25)=0),"",MIN(B10:B25))</f>
        <v/>
      </c>
      <c r="C27" s="173" t="str">
        <f t="shared" ca="1" si="0"/>
        <v/>
      </c>
      <c r="D27" s="173" t="str">
        <f t="shared" ca="1" si="0"/>
        <v/>
      </c>
      <c r="E27" s="173" t="str">
        <f t="shared" ca="1" si="0"/>
        <v/>
      </c>
      <c r="F27" s="173" t="str">
        <f t="shared" ca="1" si="0"/>
        <v/>
      </c>
      <c r="G27" s="173" t="str">
        <f t="shared" ca="1" si="0"/>
        <v/>
      </c>
      <c r="H27" s="173" t="str">
        <f t="shared" ca="1" si="0"/>
        <v/>
      </c>
      <c r="I27" s="173" t="str">
        <f t="shared" ca="1" si="0"/>
        <v/>
      </c>
      <c r="J27" s="173" t="str">
        <f t="shared" ca="1" si="0"/>
        <v/>
      </c>
      <c r="K27" s="173" t="str">
        <f t="shared" ca="1" si="0"/>
        <v/>
      </c>
      <c r="L27" s="173" t="str">
        <f t="shared" ca="1" si="0"/>
        <v/>
      </c>
      <c r="M27" s="173" t="str">
        <f t="shared" ca="1" si="0"/>
        <v/>
      </c>
      <c r="N27" s="173" t="str">
        <f t="shared" ca="1" si="0"/>
        <v/>
      </c>
      <c r="O27" s="173" t="str">
        <f ca="1">IF(OR(O30&gt;7,MIN(O10:O25)=0),"",MIN(O10:O25))</f>
        <v/>
      </c>
      <c r="P27" s="6"/>
      <c r="Q27" s="6"/>
      <c r="U27" t="s">
        <v>1</v>
      </c>
      <c r="V27" s="173" t="str">
        <f ca="1">IF(OR(V30&gt;7,MIN(V10:V25)=0),"",MIN(V10:V25))</f>
        <v/>
      </c>
      <c r="W27" s="173" t="str">
        <f t="shared" ref="W27:AI27" ca="1" si="1">IF(OR(W30&gt;7,MIN(W10:W25)=0),"",MIN(W10:W25))</f>
        <v/>
      </c>
      <c r="X27" s="173" t="str">
        <f t="shared" ca="1" si="1"/>
        <v/>
      </c>
      <c r="Y27" s="173" t="str">
        <f t="shared" ca="1" si="1"/>
        <v/>
      </c>
      <c r="Z27" s="173" t="str">
        <f t="shared" ca="1" si="1"/>
        <v/>
      </c>
      <c r="AA27" s="173" t="str">
        <f t="shared" ca="1" si="1"/>
        <v/>
      </c>
      <c r="AB27" s="173" t="str">
        <f t="shared" ca="1" si="1"/>
        <v/>
      </c>
      <c r="AC27" s="173" t="str">
        <f t="shared" ca="1" si="1"/>
        <v/>
      </c>
      <c r="AD27" s="173" t="str">
        <f t="shared" ca="1" si="1"/>
        <v/>
      </c>
      <c r="AE27" s="173" t="str">
        <f t="shared" ca="1" si="1"/>
        <v/>
      </c>
      <c r="AF27" s="173" t="str">
        <f t="shared" ca="1" si="1"/>
        <v/>
      </c>
      <c r="AG27" s="173" t="str">
        <f t="shared" ca="1" si="1"/>
        <v/>
      </c>
      <c r="AH27" s="173" t="str">
        <f t="shared" ca="1" si="1"/>
        <v/>
      </c>
      <c r="AI27" s="173" t="str">
        <f t="shared" ca="1" si="1"/>
        <v/>
      </c>
      <c r="AO27" t="s">
        <v>1</v>
      </c>
      <c r="AP27" s="173" t="str">
        <f t="shared" ref="AP27:BA27" ca="1" si="2">IF(OR(AP30&gt;7,MIN(AP10:AP25)=0),"",MIN(AP10:AP25))</f>
        <v/>
      </c>
      <c r="AQ27" s="173" t="str">
        <f t="shared" ca="1" si="2"/>
        <v/>
      </c>
      <c r="AR27" s="173" t="str">
        <f t="shared" ca="1" si="2"/>
        <v/>
      </c>
      <c r="AS27" s="173" t="str">
        <f t="shared" ca="1" si="2"/>
        <v/>
      </c>
      <c r="AT27" s="173" t="str">
        <f t="shared" ca="1" si="2"/>
        <v/>
      </c>
      <c r="AU27" s="173" t="str">
        <f t="shared" ca="1" si="2"/>
        <v/>
      </c>
      <c r="AV27" s="173" t="str">
        <f t="shared" ca="1" si="2"/>
        <v/>
      </c>
      <c r="AW27" s="173" t="str">
        <f t="shared" ca="1" si="2"/>
        <v/>
      </c>
      <c r="AX27" s="173" t="str">
        <f t="shared" ca="1" si="2"/>
        <v/>
      </c>
      <c r="AY27" s="173" t="str">
        <f t="shared" ca="1" si="2"/>
        <v/>
      </c>
      <c r="AZ27" s="173" t="str">
        <f t="shared" ca="1" si="2"/>
        <v/>
      </c>
      <c r="BA27" s="173"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73" t="str">
        <f t="shared" ref="B29:N29" ca="1" si="6">IF(OR(B30&gt;7,B27=""),"",LARGE(B10:B25,B30))</f>
        <v/>
      </c>
      <c r="C29" s="173" t="str">
        <f t="shared" ca="1" si="6"/>
        <v/>
      </c>
      <c r="D29" s="173" t="str">
        <f t="shared" ca="1" si="6"/>
        <v/>
      </c>
      <c r="E29" s="173" t="str">
        <f t="shared" ca="1" si="6"/>
        <v/>
      </c>
      <c r="F29" s="173" t="str">
        <f t="shared" ca="1" si="6"/>
        <v/>
      </c>
      <c r="G29" s="173" t="str">
        <f t="shared" ca="1" si="6"/>
        <v/>
      </c>
      <c r="H29" s="173" t="str">
        <f t="shared" ca="1" si="6"/>
        <v/>
      </c>
      <c r="I29" s="173" t="str">
        <f t="shared" ca="1" si="6"/>
        <v/>
      </c>
      <c r="J29" s="173" t="str">
        <f t="shared" ca="1" si="6"/>
        <v/>
      </c>
      <c r="K29" s="173" t="str">
        <f t="shared" ca="1" si="6"/>
        <v/>
      </c>
      <c r="L29" s="173" t="str">
        <f t="shared" ca="1" si="6"/>
        <v/>
      </c>
      <c r="M29" s="173" t="str">
        <f t="shared" ca="1" si="6"/>
        <v/>
      </c>
      <c r="N29" s="173" t="str">
        <f t="shared" ca="1" si="6"/>
        <v/>
      </c>
      <c r="O29" s="173" t="str">
        <f ca="1">IF(OR(O30&gt;7,O27=""),"",LARGE(O10:O25,O30))</f>
        <v/>
      </c>
      <c r="P29" s="6"/>
      <c r="Q29" s="6"/>
      <c r="R29" s="163"/>
      <c r="U29" t="s">
        <v>2</v>
      </c>
      <c r="V29" s="173" t="str">
        <f ca="1">IF(OR(V30&gt;7,V27=""),"",LARGE(V10:V25,V30))</f>
        <v/>
      </c>
      <c r="W29" s="173" t="str">
        <f t="shared" ref="W29:AI29" ca="1" si="7">IF(OR(W30&gt;7,W27=""),"",LARGE(W10:W25,W30))</f>
        <v/>
      </c>
      <c r="X29" s="173" t="str">
        <f t="shared" ca="1" si="7"/>
        <v/>
      </c>
      <c r="Y29" s="173" t="str">
        <f t="shared" ca="1" si="7"/>
        <v/>
      </c>
      <c r="Z29" s="173" t="str">
        <f t="shared" ca="1" si="7"/>
        <v/>
      </c>
      <c r="AA29" s="173" t="str">
        <f t="shared" ca="1" si="7"/>
        <v/>
      </c>
      <c r="AB29" s="173" t="str">
        <f t="shared" ca="1" si="7"/>
        <v/>
      </c>
      <c r="AC29" s="173" t="str">
        <f t="shared" ca="1" si="7"/>
        <v/>
      </c>
      <c r="AD29" s="173" t="str">
        <f t="shared" ca="1" si="7"/>
        <v/>
      </c>
      <c r="AE29" s="173" t="str">
        <f t="shared" ca="1" si="7"/>
        <v/>
      </c>
      <c r="AF29" s="173" t="str">
        <f t="shared" ca="1" si="7"/>
        <v/>
      </c>
      <c r="AG29" s="173" t="str">
        <f t="shared" ca="1" si="7"/>
        <v/>
      </c>
      <c r="AH29" s="173" t="str">
        <f t="shared" ca="1" si="7"/>
        <v/>
      </c>
      <c r="AI29" s="173" t="str">
        <f t="shared" ca="1" si="7"/>
        <v/>
      </c>
      <c r="AO29" t="s">
        <v>2</v>
      </c>
      <c r="AP29" s="173" t="str">
        <f t="shared" ref="AP29" ca="1" si="8">IF(OR(AP30&gt;7,AP27=""),"",LARGE(AP10:AP25,AP30))</f>
        <v/>
      </c>
      <c r="AQ29" s="173" t="str">
        <f t="shared" ref="AQ29" ca="1" si="9">IF(OR(AQ30&gt;7,AQ27=""),"",LARGE(AQ10:AQ25,AQ30))</f>
        <v/>
      </c>
      <c r="AR29" s="173" t="str">
        <f t="shared" ref="AR29" ca="1" si="10">IF(OR(AR30&gt;7,AR27=""),"",LARGE(AR10:AR25,AR30))</f>
        <v/>
      </c>
      <c r="AS29" s="173" t="str">
        <f t="shared" ref="AS29" ca="1" si="11">IF(OR(AS30&gt;7,AS27=""),"",LARGE(AS10:AS25,AS30))</f>
        <v/>
      </c>
      <c r="AT29" s="173" t="str">
        <f t="shared" ref="AT29" ca="1" si="12">IF(OR(AT30&gt;7,AT27=""),"",LARGE(AT10:AT25,AT30))</f>
        <v/>
      </c>
      <c r="AU29" s="173" t="str">
        <f t="shared" ref="AU29" ca="1" si="13">IF(OR(AU30&gt;7,AU27=""),"",LARGE(AU10:AU25,AU30))</f>
        <v/>
      </c>
      <c r="AV29" s="173" t="str">
        <f t="shared" ref="AV29" ca="1" si="14">IF(OR(AV30&gt;7,AV27=""),"",LARGE(AV10:AV25,AV30))</f>
        <v/>
      </c>
      <c r="AW29" s="173" t="str">
        <f t="shared" ref="AW29" ca="1" si="15">IF(OR(AW30&gt;7,AW27=""),"",LARGE(AW10:AW25,AW30))</f>
        <v/>
      </c>
      <c r="AX29" s="173" t="str">
        <f t="shared" ref="AX29" ca="1" si="16">IF(OR(AX30&gt;7,AX27=""),"",LARGE(AX10:AX25,AX30))</f>
        <v/>
      </c>
      <c r="AY29" s="173" t="str">
        <f t="shared" ref="AY29" ca="1" si="17">IF(OR(AY30&gt;7,AY27=""),"",LARGE(AY10:AY25,AY30))</f>
        <v/>
      </c>
      <c r="AZ29" s="173" t="str">
        <f t="shared" ref="AZ29" ca="1" si="18">IF(OR(AZ30&gt;7,AZ27=""),"",LARGE(AZ10:AZ25,AZ30))</f>
        <v/>
      </c>
      <c r="BA29" s="173" t="str">
        <f t="shared" ref="BA29" ca="1" si="19">IF(OR(BA30&gt;7,BA27=""),"",LARGE(BA10:BA25,BA30))</f>
        <v/>
      </c>
    </row>
    <row r="30" spans="1:55" s="156" customFormat="1" ht="15" x14ac:dyDescent="0.25">
      <c r="B30" s="174">
        <f ca="1">COUNTIF(B10:B25,"&gt;"&amp;$A$1+200)+1</f>
        <v>1</v>
      </c>
      <c r="C30" s="174">
        <f t="shared" ref="C30:O30" ca="1" si="20">COUNTIF(C10:C25,"&gt;"&amp;$A$1+200)+1</f>
        <v>1</v>
      </c>
      <c r="D30" s="174">
        <f t="shared" ca="1" si="20"/>
        <v>1</v>
      </c>
      <c r="E30" s="174">
        <f t="shared" ca="1" si="20"/>
        <v>1</v>
      </c>
      <c r="F30" s="174">
        <f t="shared" ca="1" si="20"/>
        <v>1</v>
      </c>
      <c r="G30" s="174">
        <f t="shared" ca="1" si="20"/>
        <v>1</v>
      </c>
      <c r="H30" s="174">
        <f t="shared" ca="1" si="20"/>
        <v>1</v>
      </c>
      <c r="I30" s="174">
        <f t="shared" ca="1" si="20"/>
        <v>1</v>
      </c>
      <c r="J30" s="174">
        <f t="shared" ca="1" si="20"/>
        <v>1</v>
      </c>
      <c r="K30" s="174">
        <f t="shared" ca="1" si="20"/>
        <v>1</v>
      </c>
      <c r="L30" s="174">
        <f t="shared" ca="1" si="20"/>
        <v>1</v>
      </c>
      <c r="M30" s="174">
        <f t="shared" ca="1" si="20"/>
        <v>1</v>
      </c>
      <c r="N30" s="174">
        <f t="shared" ca="1" si="20"/>
        <v>1</v>
      </c>
      <c r="O30" s="174">
        <f t="shared" ca="1" si="20"/>
        <v>1</v>
      </c>
      <c r="P30" s="175"/>
      <c r="Q30" s="175"/>
      <c r="R30" s="147"/>
      <c r="V30" s="174">
        <f t="shared" ref="V30:AI30" ca="1" si="21">COUNTIF(V10:V25,"&gt;"&amp;$A$1+200)+1</f>
        <v>1</v>
      </c>
      <c r="W30" s="174">
        <f t="shared" ca="1" si="21"/>
        <v>1</v>
      </c>
      <c r="X30" s="174">
        <f t="shared" ca="1" si="21"/>
        <v>1</v>
      </c>
      <c r="Y30" s="174">
        <f t="shared" ca="1" si="21"/>
        <v>1</v>
      </c>
      <c r="Z30" s="174">
        <f t="shared" ca="1" si="21"/>
        <v>1</v>
      </c>
      <c r="AA30" s="174">
        <f t="shared" ca="1" si="21"/>
        <v>1</v>
      </c>
      <c r="AB30" s="174">
        <f t="shared" ca="1" si="21"/>
        <v>1</v>
      </c>
      <c r="AC30" s="174">
        <f t="shared" ca="1" si="21"/>
        <v>1</v>
      </c>
      <c r="AD30" s="174">
        <f t="shared" ca="1" si="21"/>
        <v>1</v>
      </c>
      <c r="AE30" s="174">
        <f t="shared" ca="1" si="21"/>
        <v>1</v>
      </c>
      <c r="AF30" s="174">
        <f t="shared" ca="1" si="21"/>
        <v>1</v>
      </c>
      <c r="AG30" s="174">
        <f t="shared" ca="1" si="21"/>
        <v>1</v>
      </c>
      <c r="AH30" s="174">
        <f t="shared" ca="1" si="21"/>
        <v>1</v>
      </c>
      <c r="AI30" s="174">
        <f t="shared" ca="1" si="21"/>
        <v>1</v>
      </c>
      <c r="AP30" s="174">
        <f t="shared" ref="AP30:BA30" ca="1" si="22">COUNTIF(AP10:AP25,"&gt;"&amp;$A$1+200)+1</f>
        <v>1</v>
      </c>
      <c r="AQ30" s="174">
        <f t="shared" ca="1" si="22"/>
        <v>1</v>
      </c>
      <c r="AR30" s="174">
        <f t="shared" ca="1" si="22"/>
        <v>1</v>
      </c>
      <c r="AS30" s="174">
        <f t="shared" ca="1" si="22"/>
        <v>1</v>
      </c>
      <c r="AT30" s="174">
        <f t="shared" ca="1" si="22"/>
        <v>1</v>
      </c>
      <c r="AU30" s="174">
        <f t="shared" ca="1" si="22"/>
        <v>1</v>
      </c>
      <c r="AV30" s="174">
        <f t="shared" ca="1" si="22"/>
        <v>1</v>
      </c>
      <c r="AW30" s="174">
        <f t="shared" ca="1" si="22"/>
        <v>1</v>
      </c>
      <c r="AX30" s="174">
        <f t="shared" ca="1" si="22"/>
        <v>1</v>
      </c>
      <c r="AY30" s="174">
        <f t="shared" ca="1" si="22"/>
        <v>1</v>
      </c>
      <c r="AZ30" s="174">
        <f t="shared" ca="1" si="22"/>
        <v>1</v>
      </c>
      <c r="BA30" s="174">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75">
        <f ca="1">MAX(B29:O29)</f>
        <v>0</v>
      </c>
      <c r="B33" t="s">
        <v>4</v>
      </c>
      <c r="D33" s="6">
        <f ca="1">SUM(MAX(J37:J76),-A1)</f>
        <v>0</v>
      </c>
      <c r="F33" t="s">
        <v>5</v>
      </c>
      <c r="H33" s="6">
        <f ca="1">SUM(MIN(L37:L76),-A1)</f>
        <v>0</v>
      </c>
      <c r="J33" s="1" t="s">
        <v>14</v>
      </c>
      <c r="K33" s="2" t="e">
        <f ca="1">MAX(B40,B48)</f>
        <v>#VALUE!</v>
      </c>
      <c r="U33" s="175">
        <f ca="1">MAX(V29:AI29)</f>
        <v>0</v>
      </c>
      <c r="AO33" s="50">
        <f ca="1">MAX(AP29:BA29)</f>
        <v>0</v>
      </c>
    </row>
    <row r="34" spans="1:41" x14ac:dyDescent="0.2">
      <c r="A34" s="175">
        <f ca="1">MIN(B27:O27)</f>
        <v>0</v>
      </c>
      <c r="F34" s="175">
        <f ca="1">IF(SIGN(A1)=-1,MIN(A33,IF(ISERROR(U33),0,U33),IF(ISERROR(AO33),0,AO33)),MAX(A33,IF(ISERROR(U33),0,U33),IF(ISERROR(AO33),0,AO33)))</f>
        <v>0</v>
      </c>
      <c r="G34" s="156"/>
      <c r="H34" s="156"/>
      <c r="I34" s="156"/>
      <c r="J34" s="175">
        <f ca="1">MIN(A34,U34)</f>
        <v>0</v>
      </c>
      <c r="K34" s="156">
        <f ca="1">MIN(A34,U34,AO34)</f>
        <v>0</v>
      </c>
      <c r="L34" s="156"/>
      <c r="M34" s="156"/>
      <c r="N34" s="156"/>
      <c r="O34" s="156"/>
      <c r="P34" s="156"/>
      <c r="Q34" s="156"/>
      <c r="R34" s="156"/>
      <c r="S34" s="156"/>
      <c r="T34" s="156"/>
      <c r="U34" s="175">
        <f ca="1">MIN(V27:AI27)</f>
        <v>0</v>
      </c>
      <c r="V34" s="156"/>
      <c r="AO34" s="50">
        <f ca="1">MIN(AP27:BA27)</f>
        <v>0</v>
      </c>
    </row>
    <row r="35" spans="1:41" x14ac:dyDescent="0.2">
      <c r="H35" s="44" t="s">
        <v>5057</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102" t="s">
        <v>36</v>
      </c>
      <c r="L37" s="6" t="str" cm="1">
        <f t="array" aca="1" ref="L37:L50" ca="1">IFERROR(TRANSPOSE(B27:O27),"-")</f>
        <v/>
      </c>
      <c r="M37" s="64"/>
    </row>
    <row r="38" spans="1:41" x14ac:dyDescent="0.2">
      <c r="A38" s="44" t="s">
        <v>303</v>
      </c>
      <c r="B38" t="e">
        <f ca="1">F40</f>
        <v>#VALUE!</v>
      </c>
      <c r="E38" t="s">
        <v>300</v>
      </c>
      <c r="F38" t="e">
        <f ca="1">B37/SQRT(5)</f>
        <v>#VALUE!</v>
      </c>
      <c r="I38" s="6"/>
      <c r="J38" s="6" t="str">
        <f ca="1"/>
        <v/>
      </c>
      <c r="K38" s="102" t="s">
        <v>36</v>
      </c>
      <c r="L38" s="6" t="str">
        <f ca="1"/>
        <v/>
      </c>
      <c r="M38" s="64"/>
    </row>
    <row r="39" spans="1:41" x14ac:dyDescent="0.2">
      <c r="E39" t="s">
        <v>301</v>
      </c>
      <c r="F39">
        <f ca="1">IF(J35=1,6.9,IF(J35=2,6.9,IF(J35=3,2.27,IF(J35=4,1.66,1.43))))</f>
        <v>1.43</v>
      </c>
      <c r="I39" s="6"/>
      <c r="J39" s="6" t="str">
        <f ca="1"/>
        <v/>
      </c>
      <c r="K39" s="102" t="s">
        <v>36</v>
      </c>
      <c r="L39" s="6" t="str">
        <f ca="1"/>
        <v/>
      </c>
      <c r="M39" s="64"/>
    </row>
    <row r="40" spans="1:41" x14ac:dyDescent="0.2">
      <c r="A40" s="44" t="s">
        <v>17</v>
      </c>
      <c r="B40" s="1" t="e">
        <f ca="1">(SQRT(B45)*2)</f>
        <v>#VALUE!</v>
      </c>
      <c r="E40" s="44" t="s">
        <v>302</v>
      </c>
      <c r="F40" t="e">
        <f ca="1">(F38*F39)</f>
        <v>#VALUE!</v>
      </c>
      <c r="I40" s="6"/>
      <c r="J40" s="6" t="str">
        <f ca="1"/>
        <v/>
      </c>
      <c r="K40" s="102" t="s">
        <v>36</v>
      </c>
      <c r="L40" s="6" t="str">
        <f ca="1"/>
        <v/>
      </c>
      <c r="M40" s="64"/>
    </row>
    <row r="41" spans="1:41" x14ac:dyDescent="0.2">
      <c r="I41" s="6"/>
      <c r="J41" s="6" t="str">
        <f ca="1"/>
        <v/>
      </c>
      <c r="K41" s="102" t="s">
        <v>36</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102" t="s">
        <v>36</v>
      </c>
      <c r="L42" s="6" t="str">
        <f ca="1"/>
        <v/>
      </c>
      <c r="M42" s="64"/>
    </row>
    <row r="43" spans="1:41" x14ac:dyDescent="0.2">
      <c r="I43" s="6"/>
      <c r="J43" s="6" t="str">
        <f ca="1"/>
        <v/>
      </c>
      <c r="K43" s="102" t="s">
        <v>36</v>
      </c>
      <c r="L43" s="6" t="str">
        <f ca="1"/>
        <v/>
      </c>
      <c r="M43" s="64"/>
    </row>
    <row r="44" spans="1:41" x14ac:dyDescent="0.2">
      <c r="A44" t="s">
        <v>12</v>
      </c>
      <c r="B44">
        <f>C42/2</f>
        <v>0.309</v>
      </c>
      <c r="I44" s="6"/>
      <c r="J44" s="6" t="str">
        <f ca="1"/>
        <v/>
      </c>
      <c r="K44" s="102" t="s">
        <v>36</v>
      </c>
      <c r="L44" s="6" t="str">
        <f ca="1"/>
        <v/>
      </c>
      <c r="M44" s="64"/>
    </row>
    <row r="45" spans="1:41" x14ac:dyDescent="0.2">
      <c r="A45" t="s">
        <v>13</v>
      </c>
      <c r="B45" t="e">
        <f ca="1">(B38*B38)+(B44*B44)</f>
        <v>#VALUE!</v>
      </c>
      <c r="I45" s="6"/>
      <c r="J45" s="6" t="str">
        <f ca="1"/>
        <v/>
      </c>
      <c r="K45" s="102" t="s">
        <v>36</v>
      </c>
      <c r="L45" s="6" t="str">
        <f ca="1"/>
        <v/>
      </c>
      <c r="M45" s="64"/>
    </row>
    <row r="46" spans="1:41" x14ac:dyDescent="0.2">
      <c r="I46" s="6"/>
      <c r="J46" s="6" t="str">
        <f ca="1"/>
        <v/>
      </c>
      <c r="K46" s="102" t="s">
        <v>36</v>
      </c>
      <c r="L46" s="6" t="str">
        <f ca="1"/>
        <v/>
      </c>
      <c r="M46" s="64"/>
    </row>
    <row r="47" spans="1:41" x14ac:dyDescent="0.2">
      <c r="A47" s="44" t="s">
        <v>16</v>
      </c>
      <c r="B47" s="1">
        <f>IF($A$1&lt;392.1,1.4,IF($A$1&lt;752.1,3.1,IF($A$1&lt;1200.1,3.1,IF($A$1&lt;1800.1,3.7,IF($A$1&lt;2300.1,4.1)))))</f>
        <v>1.4</v>
      </c>
      <c r="I47" s="6"/>
      <c r="J47" s="6" t="str">
        <f ca="1"/>
        <v/>
      </c>
      <c r="K47" s="102" t="s">
        <v>36</v>
      </c>
      <c r="L47" s="6" t="str">
        <f ca="1"/>
        <v/>
      </c>
      <c r="M47" s="64"/>
    </row>
    <row r="48" spans="1:41" x14ac:dyDescent="0.2">
      <c r="B48">
        <f>VALUE(B47)</f>
        <v>1.4</v>
      </c>
      <c r="I48" s="6"/>
      <c r="J48" s="6" t="str">
        <f ca="1"/>
        <v/>
      </c>
      <c r="K48" s="102" t="s">
        <v>36</v>
      </c>
      <c r="L48" s="6" t="str">
        <f ca="1"/>
        <v/>
      </c>
      <c r="M48" s="64"/>
    </row>
    <row r="49" spans="1:13" x14ac:dyDescent="0.2">
      <c r="I49" s="6"/>
      <c r="J49" s="6" t="str">
        <f ca="1"/>
        <v/>
      </c>
      <c r="K49" s="102" t="s">
        <v>36</v>
      </c>
      <c r="L49" s="6" t="str">
        <f ca="1"/>
        <v/>
      </c>
      <c r="M49" s="64"/>
    </row>
    <row r="50" spans="1:13" x14ac:dyDescent="0.2">
      <c r="B50">
        <f>MATCH(Main!$E$30,Data_Sheet!$A$11:$A$900,0)</f>
        <v>4</v>
      </c>
      <c r="I50" s="6"/>
      <c r="J50" s="6" t="str">
        <f ca="1"/>
        <v/>
      </c>
      <c r="K50" s="102" t="s">
        <v>36</v>
      </c>
      <c r="L50" s="6" t="str">
        <f ca="1"/>
        <v/>
      </c>
      <c r="M50" s="64"/>
    </row>
    <row r="51" spans="1:13" x14ac:dyDescent="0.2">
      <c r="I51" s="6"/>
      <c r="J51" s="6" t="str" cm="1">
        <f t="array" aca="1" ref="J51:J64" ca="1">IFERROR(TRANSPOSE(V29:AI29),"-")</f>
        <v/>
      </c>
      <c r="K51" s="102" t="s">
        <v>36</v>
      </c>
      <c r="L51" s="6" t="str" cm="1">
        <f t="array" aca="1" ref="L51:L64" ca="1">IFERROR(TRANSPOSE(V27:AI27),"-")</f>
        <v/>
      </c>
      <c r="M51" s="64"/>
    </row>
    <row r="52" spans="1:13" x14ac:dyDescent="0.2">
      <c r="A52" s="61">
        <v>1.5</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102" t="s">
        <v>36</v>
      </c>
      <c r="L52" s="6" t="str">
        <f ca="1"/>
        <v/>
      </c>
      <c r="M52" s="64"/>
    </row>
    <row r="53" spans="1:13" x14ac:dyDescent="0.2">
      <c r="A53" s="53"/>
      <c r="I53" s="6"/>
      <c r="J53" s="6" t="str">
        <f ca="1"/>
        <v/>
      </c>
      <c r="K53" s="102" t="s">
        <v>36</v>
      </c>
      <c r="L53" s="6" t="str">
        <f ca="1"/>
        <v/>
      </c>
      <c r="M53" s="64"/>
    </row>
    <row r="54" spans="1:13" x14ac:dyDescent="0.2">
      <c r="I54" s="6"/>
      <c r="J54" s="6" t="str">
        <f ca="1"/>
        <v/>
      </c>
      <c r="K54" s="102" t="s">
        <v>36</v>
      </c>
      <c r="L54" s="6" t="str">
        <f ca="1"/>
        <v/>
      </c>
      <c r="M54" s="64"/>
    </row>
    <row r="55" spans="1:13" x14ac:dyDescent="0.2">
      <c r="I55" s="6"/>
      <c r="J55" s="6" t="str">
        <f ca="1"/>
        <v/>
      </c>
      <c r="K55" s="102" t="s">
        <v>36</v>
      </c>
      <c r="L55" s="6" t="str">
        <f ca="1"/>
        <v/>
      </c>
      <c r="M55" s="64"/>
    </row>
    <row r="56" spans="1:13" x14ac:dyDescent="0.2">
      <c r="I56" s="6"/>
      <c r="J56" s="6" t="str">
        <f ca="1"/>
        <v/>
      </c>
      <c r="K56" s="102" t="s">
        <v>36</v>
      </c>
      <c r="L56" s="6" t="str">
        <f ca="1"/>
        <v/>
      </c>
      <c r="M56" s="64"/>
    </row>
    <row r="57" spans="1:13" x14ac:dyDescent="0.2">
      <c r="I57" s="6"/>
      <c r="J57" s="6" t="str">
        <f ca="1"/>
        <v/>
      </c>
      <c r="K57" s="102" t="s">
        <v>36</v>
      </c>
      <c r="L57" s="6" t="str">
        <f ca="1"/>
        <v/>
      </c>
      <c r="M57" s="64"/>
    </row>
    <row r="58" spans="1:13" x14ac:dyDescent="0.2">
      <c r="I58" s="6"/>
      <c r="J58" s="6" t="str">
        <f ca="1"/>
        <v/>
      </c>
      <c r="K58" s="102" t="s">
        <v>36</v>
      </c>
      <c r="L58" s="6" t="str">
        <f ca="1"/>
        <v/>
      </c>
      <c r="M58" s="64"/>
    </row>
    <row r="59" spans="1:13" x14ac:dyDescent="0.2">
      <c r="I59" s="6"/>
      <c r="J59" s="6" t="str">
        <f ca="1"/>
        <v/>
      </c>
      <c r="K59" s="102" t="s">
        <v>36</v>
      </c>
      <c r="L59" s="6" t="str">
        <f ca="1"/>
        <v/>
      </c>
      <c r="M59" s="64"/>
    </row>
    <row r="60" spans="1:13" x14ac:dyDescent="0.2">
      <c r="I60" s="6"/>
      <c r="J60" s="6" t="str">
        <f ca="1"/>
        <v/>
      </c>
      <c r="K60" s="102" t="s">
        <v>36</v>
      </c>
      <c r="L60" s="6" t="str">
        <f ca="1"/>
        <v/>
      </c>
      <c r="M60" s="64"/>
    </row>
    <row r="61" spans="1:13" x14ac:dyDescent="0.2">
      <c r="I61" s="6"/>
      <c r="J61" s="6" t="str">
        <f ca="1"/>
        <v/>
      </c>
      <c r="K61" s="102" t="s">
        <v>36</v>
      </c>
      <c r="L61" s="6" t="str">
        <f ca="1"/>
        <v/>
      </c>
      <c r="M61" s="64"/>
    </row>
    <row r="62" spans="1:13" x14ac:dyDescent="0.2">
      <c r="I62" s="6"/>
      <c r="J62" s="6" t="str">
        <f ca="1"/>
        <v/>
      </c>
      <c r="K62" s="102" t="s">
        <v>36</v>
      </c>
      <c r="L62" s="6" t="str">
        <f ca="1"/>
        <v/>
      </c>
      <c r="M62" s="64"/>
    </row>
    <row r="63" spans="1:13" x14ac:dyDescent="0.2">
      <c r="I63" s="6"/>
      <c r="J63" s="6" t="str">
        <f ca="1"/>
        <v/>
      </c>
      <c r="K63" s="102" t="s">
        <v>36</v>
      </c>
      <c r="L63" s="6" t="str">
        <f ca="1"/>
        <v/>
      </c>
      <c r="M63" s="64"/>
    </row>
    <row r="64" spans="1:13" x14ac:dyDescent="0.2">
      <c r="I64" s="6"/>
      <c r="J64" s="6" t="str">
        <f ca="1"/>
        <v/>
      </c>
      <c r="K64" s="102" t="s">
        <v>36</v>
      </c>
      <c r="L64" s="6" t="str">
        <f ca="1"/>
        <v/>
      </c>
      <c r="M64" s="64"/>
    </row>
    <row r="65" spans="9:13" x14ac:dyDescent="0.2">
      <c r="I65" s="6"/>
      <c r="J65" s="6" t="str" cm="1">
        <f t="array" aca="1" ref="J65:J76" ca="1">IFERROR(TRANSPOSE(AP29:BA29),"-")</f>
        <v/>
      </c>
      <c r="K65" s="102" t="s">
        <v>36</v>
      </c>
      <c r="L65" s="6" t="str" cm="1">
        <f t="array" aca="1" ref="L65:L76" ca="1">IFERROR(TRANSPOSE(AP27:BA27),"-")</f>
        <v/>
      </c>
      <c r="M65" s="64"/>
    </row>
    <row r="66" spans="9:13" x14ac:dyDescent="0.2">
      <c r="I66" s="6"/>
      <c r="J66" s="6" t="str">
        <f ca="1"/>
        <v/>
      </c>
      <c r="K66" s="102" t="s">
        <v>36</v>
      </c>
      <c r="L66" s="6" t="str">
        <f ca="1"/>
        <v/>
      </c>
      <c r="M66" s="64"/>
    </row>
    <row r="67" spans="9:13" x14ac:dyDescent="0.2">
      <c r="I67" s="6"/>
      <c r="J67" s="6" t="str">
        <f ca="1"/>
        <v/>
      </c>
      <c r="K67" s="102" t="s">
        <v>36</v>
      </c>
      <c r="L67" s="6" t="str">
        <f ca="1"/>
        <v/>
      </c>
      <c r="M67" s="64"/>
    </row>
    <row r="68" spans="9:13" x14ac:dyDescent="0.2">
      <c r="I68" s="6"/>
      <c r="J68" s="6" t="str">
        <f ca="1"/>
        <v/>
      </c>
      <c r="K68" s="102" t="s">
        <v>36</v>
      </c>
      <c r="L68" s="6" t="str">
        <f ca="1"/>
        <v/>
      </c>
      <c r="M68" s="64"/>
    </row>
    <row r="69" spans="9:13" x14ac:dyDescent="0.2">
      <c r="I69" s="6"/>
      <c r="J69" s="6" t="str">
        <f ca="1"/>
        <v/>
      </c>
      <c r="K69" s="102" t="s">
        <v>36</v>
      </c>
      <c r="L69" s="6" t="str">
        <f ca="1"/>
        <v/>
      </c>
      <c r="M69" s="64"/>
    </row>
    <row r="70" spans="9:13" x14ac:dyDescent="0.2">
      <c r="I70" s="6"/>
      <c r="J70" s="6" t="str">
        <f ca="1"/>
        <v/>
      </c>
      <c r="K70" s="102" t="s">
        <v>36</v>
      </c>
      <c r="L70" s="6" t="str">
        <f ca="1"/>
        <v/>
      </c>
      <c r="M70" s="64"/>
    </row>
    <row r="71" spans="9:13" x14ac:dyDescent="0.2">
      <c r="I71" s="6"/>
      <c r="J71" s="6" t="str">
        <f ca="1"/>
        <v/>
      </c>
      <c r="K71" s="102" t="s">
        <v>36</v>
      </c>
      <c r="L71" s="6" t="str">
        <f ca="1"/>
        <v/>
      </c>
      <c r="M71" s="64"/>
    </row>
    <row r="72" spans="9:13" x14ac:dyDescent="0.2">
      <c r="I72" s="6"/>
      <c r="J72" s="6" t="str">
        <f ca="1"/>
        <v/>
      </c>
      <c r="K72" s="102" t="s">
        <v>36</v>
      </c>
      <c r="L72" s="6" t="str">
        <f ca="1"/>
        <v/>
      </c>
      <c r="M72" s="64"/>
    </row>
    <row r="73" spans="9:13" x14ac:dyDescent="0.2">
      <c r="I73" s="6"/>
      <c r="J73" s="6" t="str">
        <f ca="1"/>
        <v/>
      </c>
      <c r="K73" s="102" t="s">
        <v>36</v>
      </c>
      <c r="L73" s="6" t="str">
        <f ca="1"/>
        <v/>
      </c>
      <c r="M73" s="64"/>
    </row>
    <row r="74" spans="9:13" x14ac:dyDescent="0.2">
      <c r="I74" s="6"/>
      <c r="J74" s="6" t="str">
        <f ca="1"/>
        <v/>
      </c>
      <c r="K74" s="102" t="s">
        <v>36</v>
      </c>
      <c r="L74" s="6" t="str">
        <f ca="1"/>
        <v/>
      </c>
      <c r="M74" s="64"/>
    </row>
    <row r="75" spans="9:13" x14ac:dyDescent="0.2">
      <c r="I75" s="6"/>
      <c r="J75" s="6" t="str">
        <f ca="1"/>
        <v/>
      </c>
      <c r="K75" s="102" t="s">
        <v>36</v>
      </c>
      <c r="L75" s="6" t="str">
        <f ca="1"/>
        <v/>
      </c>
      <c r="M75" s="64"/>
    </row>
    <row r="76" spans="9:13" x14ac:dyDescent="0.2">
      <c r="I76" s="6"/>
      <c r="J76" s="6" t="str">
        <f ca="1"/>
        <v/>
      </c>
      <c r="K76" s="102" t="s">
        <v>36</v>
      </c>
      <c r="L76" s="6" t="str">
        <f ca="1"/>
        <v/>
      </c>
      <c r="M76" s="64"/>
    </row>
    <row r="77" spans="9:13" x14ac:dyDescent="0.2">
      <c r="I77" s="6"/>
      <c r="M77" s="53"/>
    </row>
  </sheetData>
  <sheetProtection algorithmName="SHA-512" hashValue="HJWRSvFKvC2/ERDUNPzHWIEaoQH2b2AVjEhg/eqYBlEHcF3taOypqmxgzqqpJ4L5I85u6bEQBD3Y3O4z3aJvLQ==" saltValue="daSMp9Cy4Jd9Bfb+szfLJA==" spinCount="100000" sheet="1" objects="1" scenarios="1" selectLockedCells="1"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601"/>
  <sheetViews>
    <sheetView zoomScale="80" zoomScaleNormal="80" workbookViewId="0">
      <selection activeCell="B1" sqref="B1:AO999"/>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1.425781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6" width="12" customWidth="1"/>
    <col min="37" max="41" width="18.7109375" customWidth="1"/>
    <col min="42" max="42" width="50.42578125" customWidth="1"/>
    <col min="43"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B1" s="458" t="s">
        <v>1768</v>
      </c>
      <c r="C1" s="41" t="s">
        <v>1674</v>
      </c>
      <c r="D1" s="41" t="s">
        <v>2201</v>
      </c>
      <c r="E1" s="41" t="s">
        <v>2163</v>
      </c>
      <c r="F1" s="41" t="s">
        <v>2164</v>
      </c>
      <c r="G1" s="41" t="s">
        <v>2165</v>
      </c>
      <c r="H1" s="41" t="s">
        <v>2166</v>
      </c>
      <c r="I1" s="41" t="s">
        <v>2167</v>
      </c>
      <c r="J1" s="41" t="s">
        <v>2168</v>
      </c>
      <c r="K1" s="41" t="s">
        <v>2169</v>
      </c>
      <c r="L1" s="41" t="s">
        <v>2170</v>
      </c>
      <c r="M1" s="105" t="s">
        <v>2171</v>
      </c>
      <c r="N1" s="41" t="s">
        <v>2172</v>
      </c>
      <c r="O1" s="41" t="s">
        <v>235</v>
      </c>
      <c r="P1" s="41" t="s">
        <v>2173</v>
      </c>
      <c r="Q1" s="41" t="s">
        <v>2174</v>
      </c>
      <c r="R1" s="41" t="s">
        <v>2175</v>
      </c>
      <c r="S1" s="41" t="s">
        <v>2176</v>
      </c>
      <c r="T1" s="41" t="s">
        <v>2177</v>
      </c>
      <c r="U1" s="41" t="s">
        <v>2189</v>
      </c>
      <c r="V1" s="41" t="s">
        <v>2159</v>
      </c>
      <c r="W1" s="105" t="s">
        <v>2178</v>
      </c>
      <c r="X1" s="41" t="s">
        <v>2179</v>
      </c>
      <c r="Y1" s="41" t="s">
        <v>2160</v>
      </c>
      <c r="Z1" s="41" t="s">
        <v>2183</v>
      </c>
      <c r="AA1" s="41" t="s">
        <v>2184</v>
      </c>
      <c r="AB1" s="41" t="s">
        <v>2190</v>
      </c>
      <c r="AC1" s="41" t="s">
        <v>2185</v>
      </c>
      <c r="AD1" s="41" t="s">
        <v>2186</v>
      </c>
      <c r="AE1" s="41" t="s">
        <v>1760</v>
      </c>
      <c r="AF1" s="41" t="s">
        <v>3931</v>
      </c>
      <c r="AG1" s="41" t="s">
        <v>3932</v>
      </c>
      <c r="AH1" s="41" t="s">
        <v>4042</v>
      </c>
      <c r="AI1" s="41" t="s">
        <v>3933</v>
      </c>
      <c r="AJ1" s="41" t="s">
        <v>3934</v>
      </c>
      <c r="AK1" s="41" t="s">
        <v>2187</v>
      </c>
      <c r="AL1" s="41" t="s">
        <v>3796</v>
      </c>
      <c r="AM1" s="480" t="s">
        <v>4875</v>
      </c>
      <c r="AN1" s="480" t="s">
        <v>4987</v>
      </c>
      <c r="AO1" s="480" t="s">
        <v>4988</v>
      </c>
      <c r="AP1" s="41" t="s">
        <v>4382</v>
      </c>
      <c r="AQ1"/>
      <c r="AR1"/>
      <c r="AT1" s="41" t="s">
        <v>1768</v>
      </c>
      <c r="AU1" s="41" t="s">
        <v>2163</v>
      </c>
      <c r="AV1" s="41" t="s">
        <v>2164</v>
      </c>
      <c r="AW1" s="41" t="s">
        <v>2165</v>
      </c>
      <c r="AX1" s="41" t="s">
        <v>2166</v>
      </c>
      <c r="AY1" s="41" t="s">
        <v>2167</v>
      </c>
      <c r="AZ1" s="41" t="s">
        <v>2168</v>
      </c>
      <c r="BA1" s="41" t="s">
        <v>2169</v>
      </c>
      <c r="BB1" s="41" t="s">
        <v>2170</v>
      </c>
      <c r="BC1" s="41" t="s">
        <v>2171</v>
      </c>
      <c r="BD1" s="41" t="s">
        <v>2172</v>
      </c>
      <c r="BE1" s="41" t="s">
        <v>235</v>
      </c>
      <c r="BF1" s="41" t="s">
        <v>2173</v>
      </c>
      <c r="BG1" s="41" t="s">
        <v>2174</v>
      </c>
      <c r="BH1" s="41" t="s">
        <v>2175</v>
      </c>
      <c r="BI1" s="41" t="s">
        <v>2176</v>
      </c>
      <c r="BJ1" s="41" t="s">
        <v>2177</v>
      </c>
      <c r="BK1" s="41" t="s">
        <v>2189</v>
      </c>
      <c r="BL1" s="41" t="s">
        <v>2159</v>
      </c>
      <c r="BM1" s="41" t="s">
        <v>2178</v>
      </c>
      <c r="BN1" s="41" t="s">
        <v>2179</v>
      </c>
      <c r="BO1" s="41" t="s">
        <v>2160</v>
      </c>
      <c r="BP1" s="41" t="s">
        <v>2183</v>
      </c>
      <c r="BQ1" s="41" t="s">
        <v>2184</v>
      </c>
      <c r="BR1" s="41" t="s">
        <v>2190</v>
      </c>
      <c r="BS1" s="41" t="s">
        <v>2185</v>
      </c>
      <c r="BT1" s="41" t="s">
        <v>2186</v>
      </c>
      <c r="BU1" s="41" t="s">
        <v>1760</v>
      </c>
      <c r="BV1" s="41" t="s">
        <v>3931</v>
      </c>
      <c r="BW1" s="41" t="s">
        <v>2268</v>
      </c>
      <c r="BX1" s="41" t="s">
        <v>4042</v>
      </c>
      <c r="BY1" s="41" t="s">
        <v>3933</v>
      </c>
      <c r="BZ1" s="41" t="s">
        <v>4043</v>
      </c>
      <c r="CA1" s="41" t="s">
        <v>2187</v>
      </c>
      <c r="CB1" s="41" t="s">
        <v>3796</v>
      </c>
      <c r="CC1" s="41" t="s">
        <v>4875</v>
      </c>
      <c r="CD1" s="41" t="s">
        <v>4987</v>
      </c>
      <c r="CE1" s="41" t="s">
        <v>4988</v>
      </c>
      <c r="CH1" s="41" t="s">
        <v>4467</v>
      </c>
      <c r="CJ1" s="41" t="s">
        <v>4468</v>
      </c>
    </row>
    <row r="2" spans="1:88" x14ac:dyDescent="0.2">
      <c r="A2">
        <v>1</v>
      </c>
      <c r="B2" s="470" t="s">
        <v>5695</v>
      </c>
      <c r="C2" s="470" t="s">
        <v>1572</v>
      </c>
      <c r="D2" s="470" t="s">
        <v>5696</v>
      </c>
      <c r="E2" s="470" t="s">
        <v>2152</v>
      </c>
      <c r="F2" s="470" t="s">
        <v>2072</v>
      </c>
      <c r="G2" s="470" t="s">
        <v>36</v>
      </c>
      <c r="H2" s="470" t="s">
        <v>2200</v>
      </c>
      <c r="I2" s="470" t="s">
        <v>5725</v>
      </c>
      <c r="J2" s="470" t="s">
        <v>1768</v>
      </c>
      <c r="K2" s="470" t="s">
        <v>1453</v>
      </c>
      <c r="L2" s="470" t="s">
        <v>3703</v>
      </c>
      <c r="M2" s="470">
        <v>400005</v>
      </c>
      <c r="N2" s="470" t="s">
        <v>1572</v>
      </c>
      <c r="O2" s="470" t="s">
        <v>2471</v>
      </c>
      <c r="P2" s="470" t="s">
        <v>2374</v>
      </c>
      <c r="Q2" s="470" t="s">
        <v>2198</v>
      </c>
      <c r="R2" s="470" t="s">
        <v>2257</v>
      </c>
      <c r="S2" s="470" t="s">
        <v>3704</v>
      </c>
      <c r="T2" s="470">
        <v>30</v>
      </c>
      <c r="U2" s="470" t="s">
        <v>2223</v>
      </c>
      <c r="V2" s="470" t="s">
        <v>3692</v>
      </c>
      <c r="W2" s="470">
        <v>84945014029</v>
      </c>
      <c r="X2" s="470" t="s">
        <v>2194</v>
      </c>
      <c r="Y2" s="470" t="s">
        <v>5242</v>
      </c>
      <c r="Z2" s="470" t="s">
        <v>3705</v>
      </c>
      <c r="AA2" s="470" t="s">
        <v>2194</v>
      </c>
      <c r="AB2" s="470" t="s">
        <v>36</v>
      </c>
      <c r="AC2" s="470" t="s">
        <v>2195</v>
      </c>
      <c r="AD2" s="470" t="s">
        <v>2196</v>
      </c>
      <c r="AE2" s="470" t="s">
        <v>1762</v>
      </c>
      <c r="AF2" s="470">
        <v>1</v>
      </c>
      <c r="AG2" s="470">
        <v>0</v>
      </c>
      <c r="AH2" s="470">
        <v>0</v>
      </c>
      <c r="AI2" s="470" t="s">
        <v>4035</v>
      </c>
      <c r="AJ2" s="470" t="s">
        <v>4036</v>
      </c>
      <c r="AK2" s="470" t="s">
        <v>2197</v>
      </c>
      <c r="AL2" s="470" t="s">
        <v>36</v>
      </c>
      <c r="AM2" t="s">
        <v>4876</v>
      </c>
      <c r="AN2" s="487">
        <v>0</v>
      </c>
      <c r="AO2" s="487">
        <v>0</v>
      </c>
      <c r="AP2" t="str">
        <f>CONCATENATE(Main!D5,Main!D6)</f>
        <v/>
      </c>
      <c r="AT2">
        <f>Main!D5</f>
        <v>0</v>
      </c>
      <c r="AU2" t="e">
        <f>VLOOKUP($AP2,$D2:$AK999,2,FALSE)</f>
        <v>#N/A</v>
      </c>
      <c r="AV2" t="e">
        <f>VLOOKUP($AP2,$D2:$AK999,3,FALSE)</f>
        <v>#N/A</v>
      </c>
      <c r="AW2" t="e">
        <f>VLOOKUP($AP2,$D2:$AK999,4,FALSE)</f>
        <v>#N/A</v>
      </c>
      <c r="AX2" t="e">
        <f>VLOOKUP($AP2,$D2:$AK999,5,FALSE)</f>
        <v>#N/A</v>
      </c>
      <c r="AY2" t="e">
        <f>VLOOKUP($AP2,$D2:$AK999,6,FALSE)</f>
        <v>#N/A</v>
      </c>
      <c r="AZ2" t="e">
        <f>VLOOKUP($AP2,$D2:$AK999,7,FALSE)</f>
        <v>#N/A</v>
      </c>
      <c r="BA2" t="e">
        <f>VLOOKUP($AP2,$D2:$AK999,8,FALSE)</f>
        <v>#N/A</v>
      </c>
      <c r="BB2" t="e">
        <f>VLOOKUP($AP2,$D2:$AK999,9,FALSE)</f>
        <v>#N/A</v>
      </c>
      <c r="BC2" t="e">
        <f>VLOOKUP($AP2,$D2:$AK999,10,FALSE)</f>
        <v>#N/A</v>
      </c>
      <c r="BD2" t="e">
        <f>VLOOKUP($AP2,$D2:$AK999,11,FALSE)</f>
        <v>#N/A</v>
      </c>
      <c r="BE2" t="e">
        <f>VLOOKUP($AP2,$D2:$AK999,12,FALSE)</f>
        <v>#N/A</v>
      </c>
      <c r="BF2" t="e">
        <f>VLOOKUP($AP2,$D2:$AK999,13,FALSE)</f>
        <v>#N/A</v>
      </c>
      <c r="BG2" t="e">
        <f>VLOOKUP($AP2,$D2:$AK999,14,FALSE)</f>
        <v>#N/A</v>
      </c>
      <c r="BH2" t="e">
        <f>VLOOKUP($AP2,$D2:$AK999,15,FALSE)</f>
        <v>#N/A</v>
      </c>
      <c r="BI2" t="e">
        <f>VLOOKUP($AP2,$D2:$AK999,16,FALSE)</f>
        <v>#N/A</v>
      </c>
      <c r="BJ2" t="e">
        <f>VLOOKUP($AP2,$D2:$AK999,17,FALSE)</f>
        <v>#N/A</v>
      </c>
      <c r="BK2" t="e">
        <f>VLOOKUP($AP2,$D2:$AK999,18,FALSE)</f>
        <v>#N/A</v>
      </c>
      <c r="BL2" t="e">
        <f>VLOOKUP($AP2,$D2:$AK999,19,FALSE)</f>
        <v>#N/A</v>
      </c>
      <c r="BM2" t="e">
        <f>VLOOKUP($AP2,$D2:$AK999,20,FALSE)</f>
        <v>#N/A</v>
      </c>
      <c r="BN2" t="e">
        <f>VLOOKUP($AP2,$D2:$AK999,21,FALSE)</f>
        <v>#N/A</v>
      </c>
      <c r="BO2" t="e">
        <f>VLOOKUP($AP2,$D2:$AK999,22,FALSE)</f>
        <v>#N/A</v>
      </c>
      <c r="BP2" t="e">
        <f>VLOOKUP($AP2,$D2:$AK999,23,FALSE)</f>
        <v>#N/A</v>
      </c>
      <c r="BQ2" t="e">
        <f>VLOOKUP($AP2,$D2:$AK999,24,FALSE)</f>
        <v>#N/A</v>
      </c>
      <c r="BR2" t="e">
        <f>IF(BR3=0,"",BR3)</f>
        <v>#N/A</v>
      </c>
      <c r="BS2" t="e">
        <f>VLOOKUP($AP2,$D2:$AK999,26,FALSE)</f>
        <v>#N/A</v>
      </c>
      <c r="BT2" t="e">
        <f>VLOOKUP($AP2,$D2:$AK999,27,FALSE)</f>
        <v>#N/A</v>
      </c>
      <c r="BU2" t="e">
        <f>VLOOKUP($AP2,$D2:$AK999,28,FALSE)</f>
        <v>#N/A</v>
      </c>
      <c r="BV2" t="e">
        <f>IF(VLOOKUP($AP2,$D2:$AK999,29,FALSE)="","",(VLOOKUP($AP2,$D2:$AK999,29,FALSE)))</f>
        <v>#N/A</v>
      </c>
      <c r="BW2" t="e">
        <f>IF(VLOOKUP($AP2,$D2:$AK999,30,FALSE)="","",(VLOOKUP($AP2,$D2:$AK999,30,FALSE)))</f>
        <v>#N/A</v>
      </c>
      <c r="BX2" t="e">
        <f>IF(VLOOKUP($AP2,$D2:$AK999,31,FALSE)="","",(VLOOKUP($AP2,$D2:$AK999,31,FALSE)))</f>
        <v>#N/A</v>
      </c>
      <c r="BY2" t="e">
        <f>IF(VLOOKUP($AP2,$D2:$AK999,32,FALSE)="","",(VLOOKUP($AP2,$D2:$AK999,32,FALSE)))</f>
        <v>#N/A</v>
      </c>
      <c r="BZ2" t="e">
        <f>IF(VLOOKUP($AP2,$D2:$AK999,33,FALSE)="","",(VLOOKUP($AP2,$D2:$AK999,33,FALSE)))</f>
        <v>#N/A</v>
      </c>
      <c r="CA2" t="e">
        <f>VLOOKUP($AP2,$D2:$AL999,34,FALSE)</f>
        <v>#N/A</v>
      </c>
      <c r="CB2" t="e">
        <f>VLOOKUP($AP2,$D2:$AL999,35,FALSE)</f>
        <v>#N/A</v>
      </c>
      <c r="CC2" t="e">
        <f>VLOOKUP($AP2,$D2:$AM999,36,FALSE)</f>
        <v>#N/A</v>
      </c>
      <c r="CD2" s="487" t="e">
        <f>VLOOKUP($AP2,$D2:$AO999,37,FALSE)</f>
        <v>#N/A</v>
      </c>
      <c r="CE2" s="487" t="e">
        <f>VLOOKUP($AP2,$D2:$AO999,38,FALSE)</f>
        <v>#N/A</v>
      </c>
      <c r="CF2" t="e">
        <f>MATCH(Main!D$5,B$2:B$500,1)</f>
        <v>#N/A</v>
      </c>
      <c r="CG2" s="470" t="s">
        <v>5695</v>
      </c>
      <c r="CH2" t="e">
        <f>VLOOKUP(CF2,A$2:C$500,3,FALSE)</f>
        <v>#N/A</v>
      </c>
      <c r="CI2" s="508" t="s">
        <v>5695</v>
      </c>
      <c r="CJ2" s="508" t="s">
        <v>5695</v>
      </c>
    </row>
    <row r="3" spans="1:88" x14ac:dyDescent="0.2">
      <c r="A3">
        <v>2</v>
      </c>
      <c r="B3" s="471" t="s">
        <v>5695</v>
      </c>
      <c r="C3" s="163" t="s">
        <v>4749</v>
      </c>
      <c r="D3" s="163" t="s">
        <v>5697</v>
      </c>
      <c r="E3" s="163" t="s">
        <v>2152</v>
      </c>
      <c r="F3" s="163" t="s">
        <v>2072</v>
      </c>
      <c r="G3" s="163" t="s">
        <v>36</v>
      </c>
      <c r="H3" s="163" t="s">
        <v>2200</v>
      </c>
      <c r="I3" s="163" t="s">
        <v>5725</v>
      </c>
      <c r="J3" s="163" t="s">
        <v>1768</v>
      </c>
      <c r="K3" s="163" t="s">
        <v>3683</v>
      </c>
      <c r="L3" s="163" t="s">
        <v>3684</v>
      </c>
      <c r="M3" s="549">
        <v>995539</v>
      </c>
      <c r="N3" s="163" t="s">
        <v>4749</v>
      </c>
      <c r="O3" s="163" t="s">
        <v>2471</v>
      </c>
      <c r="P3" s="163" t="s">
        <v>2531</v>
      </c>
      <c r="Q3" s="163" t="s">
        <v>2198</v>
      </c>
      <c r="R3" s="163" t="s">
        <v>2367</v>
      </c>
      <c r="S3" s="163" t="s">
        <v>3685</v>
      </c>
      <c r="T3" s="163">
        <v>108</v>
      </c>
      <c r="U3" s="163" t="s">
        <v>2223</v>
      </c>
      <c r="V3" s="163" t="s">
        <v>3686</v>
      </c>
      <c r="W3" s="163" t="s">
        <v>3687</v>
      </c>
      <c r="X3" s="163" t="s">
        <v>2194</v>
      </c>
      <c r="Y3" s="163" t="s">
        <v>2706</v>
      </c>
      <c r="Z3" s="163" t="s">
        <v>3688</v>
      </c>
      <c r="AA3" s="163" t="s">
        <v>2194</v>
      </c>
      <c r="AB3" s="163" t="s">
        <v>36</v>
      </c>
      <c r="AC3" s="163" t="s">
        <v>2195</v>
      </c>
      <c r="AD3" s="163" t="s">
        <v>2196</v>
      </c>
      <c r="AE3" s="163" t="s">
        <v>1762</v>
      </c>
      <c r="AF3" s="163">
        <v>2</v>
      </c>
      <c r="AG3" s="163">
        <v>1</v>
      </c>
      <c r="AH3" s="163">
        <v>0.05</v>
      </c>
      <c r="AI3" s="163" t="s">
        <v>4033</v>
      </c>
      <c r="AJ3" s="163" t="s">
        <v>36</v>
      </c>
      <c r="AK3" s="163" t="s">
        <v>2197</v>
      </c>
      <c r="AL3" s="163" t="s">
        <v>36</v>
      </c>
      <c r="AM3" t="s">
        <v>4876</v>
      </c>
      <c r="AN3" s="487">
        <v>0</v>
      </c>
      <c r="AO3" s="487">
        <v>0</v>
      </c>
      <c r="BR3" t="e">
        <f>VLOOKUP($AP2,$D2:$AK999,25,FALSE)</f>
        <v>#N/A</v>
      </c>
      <c r="CE3" s="471"/>
      <c r="CF3" t="e">
        <f t="shared" ref="CF3:CF37" si="0">CF2-1</f>
        <v>#N/A</v>
      </c>
      <c r="CG3" s="471" t="s">
        <v>1885</v>
      </c>
      <c r="CH3" t="str">
        <f t="shared" ref="CH3:CH29" si="1">IF(CG4=CG$3,VLOOKUP(CF3,A$2:C$500,3,FALSE),"")</f>
        <v/>
      </c>
      <c r="CI3" s="470" t="s">
        <v>1885</v>
      </c>
      <c r="CJ3" s="470" t="s">
        <v>1885</v>
      </c>
    </row>
    <row r="4" spans="1:88" x14ac:dyDescent="0.2">
      <c r="A4">
        <v>3</v>
      </c>
      <c r="B4" s="163" t="s">
        <v>5695</v>
      </c>
      <c r="C4" s="163" t="s">
        <v>1585</v>
      </c>
      <c r="D4" s="163" t="s">
        <v>5698</v>
      </c>
      <c r="E4" s="163" t="s">
        <v>2152</v>
      </c>
      <c r="F4" s="163" t="s">
        <v>2072</v>
      </c>
      <c r="G4" s="163" t="s">
        <v>36</v>
      </c>
      <c r="H4" s="163" t="s">
        <v>2200</v>
      </c>
      <c r="I4" s="163" t="s">
        <v>5725</v>
      </c>
      <c r="J4" s="163" t="s">
        <v>1768</v>
      </c>
      <c r="K4" s="163" t="s">
        <v>3669</v>
      </c>
      <c r="L4" s="163" t="s">
        <v>3670</v>
      </c>
      <c r="M4" s="163">
        <v>311244</v>
      </c>
      <c r="N4" s="163" t="s">
        <v>1585</v>
      </c>
      <c r="O4" s="163" t="s">
        <v>2471</v>
      </c>
      <c r="P4" s="163" t="s">
        <v>3608</v>
      </c>
      <c r="Q4" s="163" t="s">
        <v>2276</v>
      </c>
      <c r="R4" s="163" t="s">
        <v>2193</v>
      </c>
      <c r="S4" s="163" t="s">
        <v>3671</v>
      </c>
      <c r="T4" s="163">
        <v>20.7</v>
      </c>
      <c r="U4" s="163" t="s">
        <v>2223</v>
      </c>
      <c r="V4" s="163" t="s">
        <v>3672</v>
      </c>
      <c r="W4" s="163" t="s">
        <v>3673</v>
      </c>
      <c r="X4" s="163" t="s">
        <v>2194</v>
      </c>
      <c r="Y4" s="163" t="s">
        <v>2706</v>
      </c>
      <c r="Z4" s="163" t="s">
        <v>3674</v>
      </c>
      <c r="AA4" s="163" t="s">
        <v>2194</v>
      </c>
      <c r="AB4" s="163" t="s">
        <v>36</v>
      </c>
      <c r="AC4" s="163" t="s">
        <v>2195</v>
      </c>
      <c r="AD4" s="163" t="s">
        <v>2196</v>
      </c>
      <c r="AE4" s="163" t="s">
        <v>1762</v>
      </c>
      <c r="AF4" s="163">
        <v>1</v>
      </c>
      <c r="AG4" s="163">
        <v>0.1</v>
      </c>
      <c r="AH4" s="163">
        <v>1.1100000000000001</v>
      </c>
      <c r="AI4" s="163" t="s">
        <v>4029</v>
      </c>
      <c r="AJ4" s="163" t="s">
        <v>36</v>
      </c>
      <c r="AK4" s="163" t="s">
        <v>2197</v>
      </c>
      <c r="AL4" s="163" t="s">
        <v>36</v>
      </c>
      <c r="AM4" t="s">
        <v>4876</v>
      </c>
      <c r="AN4" s="487">
        <v>0</v>
      </c>
      <c r="AO4" s="487">
        <v>0</v>
      </c>
      <c r="CE4" s="471"/>
      <c r="CF4" t="e">
        <f t="shared" si="0"/>
        <v>#N/A</v>
      </c>
      <c r="CG4" s="471" t="s">
        <v>849</v>
      </c>
      <c r="CH4" t="str">
        <f t="shared" si="1"/>
        <v/>
      </c>
      <c r="CI4" s="471" t="s">
        <v>849</v>
      </c>
      <c r="CJ4" s="471" t="s">
        <v>849</v>
      </c>
    </row>
    <row r="5" spans="1:88" x14ac:dyDescent="0.2">
      <c r="A5">
        <v>4</v>
      </c>
      <c r="B5" s="471" t="s">
        <v>5695</v>
      </c>
      <c r="C5" s="163" t="s">
        <v>1578</v>
      </c>
      <c r="D5" s="163" t="s">
        <v>5699</v>
      </c>
      <c r="E5" s="163" t="s">
        <v>2152</v>
      </c>
      <c r="F5" s="163" t="s">
        <v>2072</v>
      </c>
      <c r="G5" s="163" t="s">
        <v>36</v>
      </c>
      <c r="H5" s="163" t="s">
        <v>2200</v>
      </c>
      <c r="I5" s="163" t="s">
        <v>5725</v>
      </c>
      <c r="J5" s="163" t="s">
        <v>1768</v>
      </c>
      <c r="K5" s="163" t="s">
        <v>1453</v>
      </c>
      <c r="L5" s="163" t="s">
        <v>3706</v>
      </c>
      <c r="M5" s="163" t="s">
        <v>3707</v>
      </c>
      <c r="N5" s="163" t="s">
        <v>1578</v>
      </c>
      <c r="O5" s="163" t="s">
        <v>2471</v>
      </c>
      <c r="P5" s="163" t="s">
        <v>3708</v>
      </c>
      <c r="Q5" s="163" t="s">
        <v>2198</v>
      </c>
      <c r="R5" s="163" t="s">
        <v>2257</v>
      </c>
      <c r="S5" s="163" t="s">
        <v>3709</v>
      </c>
      <c r="T5" s="163">
        <v>3.1</v>
      </c>
      <c r="U5" s="163" t="s">
        <v>2223</v>
      </c>
      <c r="V5" s="163" t="s">
        <v>2832</v>
      </c>
      <c r="W5" s="163">
        <v>5684</v>
      </c>
      <c r="X5" s="163" t="s">
        <v>2194</v>
      </c>
      <c r="Y5" s="163" t="s">
        <v>2706</v>
      </c>
      <c r="Z5" s="163" t="s">
        <v>3710</v>
      </c>
      <c r="AA5" s="163" t="s">
        <v>2194</v>
      </c>
      <c r="AB5" s="163" t="s">
        <v>36</v>
      </c>
      <c r="AC5" s="163" t="s">
        <v>2195</v>
      </c>
      <c r="AD5" s="163" t="s">
        <v>2196</v>
      </c>
      <c r="AE5" s="163" t="s">
        <v>1762</v>
      </c>
      <c r="AF5" s="163">
        <v>40</v>
      </c>
      <c r="AG5" s="163">
        <v>1</v>
      </c>
      <c r="AH5" s="163">
        <v>450</v>
      </c>
      <c r="AI5" s="163" t="s">
        <v>36</v>
      </c>
      <c r="AJ5" s="163" t="s">
        <v>36</v>
      </c>
      <c r="AK5" s="163" t="s">
        <v>2197</v>
      </c>
      <c r="AL5" s="163" t="s">
        <v>36</v>
      </c>
      <c r="AM5" t="s">
        <v>4876</v>
      </c>
      <c r="AN5" s="487">
        <v>0</v>
      </c>
      <c r="AO5" s="487">
        <v>0</v>
      </c>
      <c r="CE5" s="471"/>
      <c r="CF5" t="e">
        <f t="shared" si="0"/>
        <v>#N/A</v>
      </c>
      <c r="CG5" s="471" t="s">
        <v>855</v>
      </c>
      <c r="CH5" t="str">
        <f t="shared" si="1"/>
        <v/>
      </c>
      <c r="CI5" s="471" t="s">
        <v>855</v>
      </c>
      <c r="CJ5" s="471" t="s">
        <v>855</v>
      </c>
    </row>
    <row r="6" spans="1:88" x14ac:dyDescent="0.2">
      <c r="A6">
        <v>5</v>
      </c>
      <c r="B6" s="471" t="s">
        <v>5695</v>
      </c>
      <c r="C6" s="163" t="s">
        <v>1583</v>
      </c>
      <c r="D6" s="163" t="s">
        <v>5700</v>
      </c>
      <c r="E6" s="163" t="s">
        <v>2152</v>
      </c>
      <c r="F6" s="163" t="s">
        <v>2072</v>
      </c>
      <c r="G6" s="163" t="s">
        <v>36</v>
      </c>
      <c r="H6" s="163" t="s">
        <v>2200</v>
      </c>
      <c r="I6" s="163" t="s">
        <v>5725</v>
      </c>
      <c r="J6" s="163" t="s">
        <v>1768</v>
      </c>
      <c r="K6" s="163" t="s">
        <v>1241</v>
      </c>
      <c r="L6" s="163" t="s">
        <v>3667</v>
      </c>
      <c r="M6" s="163">
        <v>116010</v>
      </c>
      <c r="N6" s="163" t="s">
        <v>1583</v>
      </c>
      <c r="O6" s="163" t="s">
        <v>2471</v>
      </c>
      <c r="P6" s="163" t="s">
        <v>2258</v>
      </c>
      <c r="Q6" s="163" t="s">
        <v>2198</v>
      </c>
      <c r="R6" s="163" t="s">
        <v>2193</v>
      </c>
      <c r="S6" s="163" t="s">
        <v>5158</v>
      </c>
      <c r="T6" s="163">
        <v>45.3</v>
      </c>
      <c r="U6" s="163" t="s">
        <v>2223</v>
      </c>
      <c r="V6" s="163" t="s">
        <v>2936</v>
      </c>
      <c r="W6" s="163">
        <v>11.2</v>
      </c>
      <c r="X6" s="163" t="s">
        <v>2194</v>
      </c>
      <c r="Y6" s="163" t="s">
        <v>111</v>
      </c>
      <c r="Z6" s="163" t="s">
        <v>111</v>
      </c>
      <c r="AA6" s="163" t="s">
        <v>111</v>
      </c>
      <c r="AB6" s="163" t="s">
        <v>36</v>
      </c>
      <c r="AC6" s="163" t="s">
        <v>2195</v>
      </c>
      <c r="AD6" s="163" t="s">
        <v>2196</v>
      </c>
      <c r="AE6" s="163" t="s">
        <v>1762</v>
      </c>
      <c r="AF6" s="163">
        <v>3.2</v>
      </c>
      <c r="AG6" s="163">
        <v>1.4</v>
      </c>
      <c r="AH6" s="163">
        <v>0.25</v>
      </c>
      <c r="AI6" s="163" t="s">
        <v>4027</v>
      </c>
      <c r="AJ6" s="163" t="s">
        <v>4028</v>
      </c>
      <c r="AK6" s="163" t="s">
        <v>2197</v>
      </c>
      <c r="AL6" s="163" t="s">
        <v>36</v>
      </c>
      <c r="AM6" t="s">
        <v>4876</v>
      </c>
      <c r="AN6" s="487">
        <v>0</v>
      </c>
      <c r="AO6" s="487">
        <v>0</v>
      </c>
      <c r="CE6" s="471"/>
      <c r="CF6" t="e">
        <f t="shared" si="0"/>
        <v>#N/A</v>
      </c>
      <c r="CG6" s="471" t="s">
        <v>861</v>
      </c>
      <c r="CH6" t="str">
        <f t="shared" si="1"/>
        <v/>
      </c>
      <c r="CI6" s="471" t="s">
        <v>861</v>
      </c>
      <c r="CJ6" s="471" t="s">
        <v>861</v>
      </c>
    </row>
    <row r="7" spans="1:88" x14ac:dyDescent="0.2">
      <c r="A7">
        <v>6</v>
      </c>
      <c r="B7" s="471" t="s">
        <v>5695</v>
      </c>
      <c r="C7" s="163" t="s">
        <v>1568</v>
      </c>
      <c r="D7" s="163" t="s">
        <v>5701</v>
      </c>
      <c r="E7" s="163" t="s">
        <v>2152</v>
      </c>
      <c r="F7" s="163" t="s">
        <v>2072</v>
      </c>
      <c r="G7" s="163" t="s">
        <v>36</v>
      </c>
      <c r="H7" s="163" t="s">
        <v>2200</v>
      </c>
      <c r="I7" s="163" t="s">
        <v>5725</v>
      </c>
      <c r="J7" s="163" t="s">
        <v>1768</v>
      </c>
      <c r="K7" s="163" t="s">
        <v>2204</v>
      </c>
      <c r="L7" s="163" t="s">
        <v>3693</v>
      </c>
      <c r="M7" s="163">
        <v>450931</v>
      </c>
      <c r="N7" s="163" t="s">
        <v>1568</v>
      </c>
      <c r="O7" s="163" t="s">
        <v>2471</v>
      </c>
      <c r="P7" s="163" t="s">
        <v>3187</v>
      </c>
      <c r="Q7" s="163" t="s">
        <v>2276</v>
      </c>
      <c r="R7" s="163" t="s">
        <v>2294</v>
      </c>
      <c r="S7" s="163" t="s">
        <v>3694</v>
      </c>
      <c r="T7" s="163">
        <v>5.2</v>
      </c>
      <c r="U7" s="163" t="s">
        <v>2223</v>
      </c>
      <c r="V7" s="163" t="s">
        <v>3695</v>
      </c>
      <c r="W7" s="163" t="s">
        <v>3696</v>
      </c>
      <c r="X7" s="163" t="s">
        <v>2810</v>
      </c>
      <c r="Y7" s="163" t="s">
        <v>2706</v>
      </c>
      <c r="Z7" s="163" t="s">
        <v>3697</v>
      </c>
      <c r="AA7" s="163" t="s">
        <v>2194</v>
      </c>
      <c r="AB7" s="163" t="s">
        <v>5814</v>
      </c>
      <c r="AC7" s="163" t="s">
        <v>2195</v>
      </c>
      <c r="AD7" s="163" t="s">
        <v>2196</v>
      </c>
      <c r="AE7" s="163" t="s">
        <v>1762</v>
      </c>
      <c r="AF7" s="163" t="s">
        <v>3419</v>
      </c>
      <c r="AG7" s="163" t="s">
        <v>36</v>
      </c>
      <c r="AH7" s="163" t="s">
        <v>36</v>
      </c>
      <c r="AI7" s="163" t="s">
        <v>36</v>
      </c>
      <c r="AJ7" s="163" t="s">
        <v>36</v>
      </c>
      <c r="AK7" s="163" t="s">
        <v>2197</v>
      </c>
      <c r="AL7" s="163" t="s">
        <v>36</v>
      </c>
      <c r="AM7" t="s">
        <v>4876</v>
      </c>
      <c r="AN7" s="487">
        <v>0</v>
      </c>
      <c r="AO7" s="487">
        <v>0</v>
      </c>
      <c r="CE7" s="471"/>
      <c r="CF7" t="e">
        <f t="shared" si="0"/>
        <v>#N/A</v>
      </c>
      <c r="CG7" s="471" t="s">
        <v>865</v>
      </c>
      <c r="CH7" t="str">
        <f t="shared" si="1"/>
        <v/>
      </c>
      <c r="CI7" s="471" t="s">
        <v>865</v>
      </c>
      <c r="CJ7" s="471" t="s">
        <v>865</v>
      </c>
    </row>
    <row r="8" spans="1:88" x14ac:dyDescent="0.2">
      <c r="A8">
        <v>7</v>
      </c>
      <c r="B8" s="471" t="s">
        <v>5695</v>
      </c>
      <c r="C8" s="163" t="s">
        <v>4753</v>
      </c>
      <c r="D8" s="163" t="s">
        <v>5702</v>
      </c>
      <c r="E8" s="163" t="s">
        <v>2152</v>
      </c>
      <c r="F8" s="163" t="s">
        <v>2072</v>
      </c>
      <c r="G8" s="163" t="s">
        <v>36</v>
      </c>
      <c r="H8" s="163" t="s">
        <v>2200</v>
      </c>
      <c r="I8" s="163" t="s">
        <v>5725</v>
      </c>
      <c r="J8" s="163" t="s">
        <v>2188</v>
      </c>
      <c r="K8" s="163" t="s">
        <v>2322</v>
      </c>
      <c r="L8" s="163" t="s">
        <v>3675</v>
      </c>
      <c r="M8" s="163" t="s">
        <v>4754</v>
      </c>
      <c r="N8" s="163" t="s">
        <v>4755</v>
      </c>
      <c r="O8" s="163" t="s">
        <v>906</v>
      </c>
      <c r="P8" s="163" t="s">
        <v>3555</v>
      </c>
      <c r="Q8" s="163" t="s">
        <v>2198</v>
      </c>
      <c r="R8" s="163" t="s">
        <v>2193</v>
      </c>
      <c r="S8" s="163" t="s">
        <v>3676</v>
      </c>
      <c r="T8" s="163">
        <v>118</v>
      </c>
      <c r="U8" s="163" t="s">
        <v>2223</v>
      </c>
      <c r="V8" s="163" t="s">
        <v>2565</v>
      </c>
      <c r="W8" s="163" t="s">
        <v>3677</v>
      </c>
      <c r="X8" s="163" t="s">
        <v>2194</v>
      </c>
      <c r="Y8" s="163" t="s">
        <v>2706</v>
      </c>
      <c r="Z8" s="163" t="s">
        <v>4756</v>
      </c>
      <c r="AA8" s="163" t="s">
        <v>2194</v>
      </c>
      <c r="AB8" s="163" t="s">
        <v>36</v>
      </c>
      <c r="AC8" s="163" t="s">
        <v>2195</v>
      </c>
      <c r="AD8" s="163" t="s">
        <v>2196</v>
      </c>
      <c r="AE8" s="163" t="s">
        <v>1762</v>
      </c>
      <c r="AF8" s="163">
        <v>22</v>
      </c>
      <c r="AG8" s="163">
        <v>137</v>
      </c>
      <c r="AH8" s="163">
        <v>34</v>
      </c>
      <c r="AI8" s="163" t="s">
        <v>4030</v>
      </c>
      <c r="AJ8" s="163" t="s">
        <v>36</v>
      </c>
      <c r="AK8" s="163" t="s">
        <v>2197</v>
      </c>
      <c r="AL8" s="163" t="s">
        <v>36</v>
      </c>
      <c r="AM8" t="s">
        <v>4876</v>
      </c>
      <c r="AN8" s="487">
        <v>0</v>
      </c>
      <c r="AO8" s="487">
        <v>0</v>
      </c>
      <c r="CE8" s="471"/>
      <c r="CF8" t="e">
        <f t="shared" si="0"/>
        <v>#N/A</v>
      </c>
      <c r="CG8" s="471" t="s">
        <v>869</v>
      </c>
      <c r="CH8" t="str">
        <f t="shared" si="1"/>
        <v/>
      </c>
      <c r="CI8" s="471" t="s">
        <v>869</v>
      </c>
      <c r="CJ8" s="471" t="s">
        <v>869</v>
      </c>
    </row>
    <row r="9" spans="1:88" x14ac:dyDescent="0.2">
      <c r="A9">
        <v>8</v>
      </c>
      <c r="B9" s="471" t="s">
        <v>5695</v>
      </c>
      <c r="C9" s="163" t="s">
        <v>1580</v>
      </c>
      <c r="D9" s="163" t="s">
        <v>5703</v>
      </c>
      <c r="E9" s="163" t="s">
        <v>2152</v>
      </c>
      <c r="F9" s="163" t="s">
        <v>2072</v>
      </c>
      <c r="G9" s="163" t="s">
        <v>36</v>
      </c>
      <c r="H9" s="163" t="s">
        <v>2200</v>
      </c>
      <c r="I9" s="163" t="s">
        <v>5725</v>
      </c>
      <c r="J9" s="163" t="s">
        <v>1768</v>
      </c>
      <c r="K9" s="163" t="s">
        <v>3678</v>
      </c>
      <c r="L9" s="163" t="s">
        <v>3679</v>
      </c>
      <c r="M9" s="163">
        <v>390366</v>
      </c>
      <c r="N9" s="163" t="s">
        <v>1580</v>
      </c>
      <c r="O9" s="163" t="s">
        <v>2471</v>
      </c>
      <c r="P9" s="163" t="s">
        <v>3680</v>
      </c>
      <c r="Q9" s="163" t="s">
        <v>2192</v>
      </c>
      <c r="R9" s="163" t="s">
        <v>2193</v>
      </c>
      <c r="S9" s="163" t="s">
        <v>3681</v>
      </c>
      <c r="T9" s="163">
        <v>36</v>
      </c>
      <c r="U9" s="163" t="s">
        <v>2223</v>
      </c>
      <c r="V9" s="163" t="s">
        <v>5556</v>
      </c>
      <c r="W9" s="163" t="s">
        <v>5557</v>
      </c>
      <c r="X9" s="163" t="s">
        <v>2194</v>
      </c>
      <c r="Y9" s="163" t="s">
        <v>2706</v>
      </c>
      <c r="Z9" s="163" t="s">
        <v>3682</v>
      </c>
      <c r="AA9" s="163" t="s">
        <v>2194</v>
      </c>
      <c r="AB9" s="163" t="s">
        <v>36</v>
      </c>
      <c r="AC9" s="163" t="s">
        <v>2195</v>
      </c>
      <c r="AD9" s="163" t="s">
        <v>2196</v>
      </c>
      <c r="AE9" s="163" t="s">
        <v>1762</v>
      </c>
      <c r="AF9" s="163">
        <v>2.5</v>
      </c>
      <c r="AG9" s="163">
        <v>0</v>
      </c>
      <c r="AH9" s="163">
        <v>10</v>
      </c>
      <c r="AI9" s="163" t="s">
        <v>4031</v>
      </c>
      <c r="AJ9" s="163" t="s">
        <v>4032</v>
      </c>
      <c r="AK9" s="163" t="s">
        <v>2197</v>
      </c>
      <c r="AL9" s="163" t="s">
        <v>36</v>
      </c>
      <c r="AM9" t="s">
        <v>4876</v>
      </c>
      <c r="AN9" s="487">
        <v>0</v>
      </c>
      <c r="AO9" s="487">
        <v>0</v>
      </c>
      <c r="CE9" s="471"/>
      <c r="CF9" t="e">
        <f t="shared" si="0"/>
        <v>#N/A</v>
      </c>
      <c r="CG9" s="471" t="s">
        <v>1888</v>
      </c>
      <c r="CH9" t="str">
        <f t="shared" si="1"/>
        <v/>
      </c>
      <c r="CI9" s="471" t="s">
        <v>1888</v>
      </c>
      <c r="CJ9" s="471" t="s">
        <v>1888</v>
      </c>
    </row>
    <row r="10" spans="1:88" x14ac:dyDescent="0.2">
      <c r="A10">
        <v>9</v>
      </c>
      <c r="B10" s="471" t="s">
        <v>5695</v>
      </c>
      <c r="C10" s="163" t="s">
        <v>1570</v>
      </c>
      <c r="D10" s="163" t="s">
        <v>5704</v>
      </c>
      <c r="E10" s="163" t="s">
        <v>2152</v>
      </c>
      <c r="F10" s="163" t="s">
        <v>2072</v>
      </c>
      <c r="G10" s="163" t="s">
        <v>36</v>
      </c>
      <c r="H10" s="163" t="s">
        <v>2200</v>
      </c>
      <c r="I10" s="163" t="s">
        <v>5725</v>
      </c>
      <c r="J10" s="163" t="s">
        <v>1768</v>
      </c>
      <c r="K10" s="163" t="s">
        <v>2204</v>
      </c>
      <c r="L10" s="163" t="s">
        <v>3698</v>
      </c>
      <c r="M10" s="163">
        <v>633775</v>
      </c>
      <c r="N10" s="163" t="s">
        <v>1570</v>
      </c>
      <c r="O10" s="163" t="s">
        <v>2471</v>
      </c>
      <c r="P10" s="163" t="s">
        <v>5558</v>
      </c>
      <c r="Q10" s="163" t="s">
        <v>2192</v>
      </c>
      <c r="R10" s="163" t="s">
        <v>2294</v>
      </c>
      <c r="S10" s="163" t="s">
        <v>3699</v>
      </c>
      <c r="T10" s="163">
        <v>0.99</v>
      </c>
      <c r="U10" s="163" t="s">
        <v>2223</v>
      </c>
      <c r="V10" s="163" t="s">
        <v>3700</v>
      </c>
      <c r="W10" s="163" t="s">
        <v>111</v>
      </c>
      <c r="X10" s="163" t="s">
        <v>2810</v>
      </c>
      <c r="Y10" s="163" t="s">
        <v>2706</v>
      </c>
      <c r="Z10" s="163" t="s">
        <v>3701</v>
      </c>
      <c r="AA10" s="163" t="s">
        <v>2194</v>
      </c>
      <c r="AB10" s="163" t="s">
        <v>3702</v>
      </c>
      <c r="AC10" s="163" t="s">
        <v>2195</v>
      </c>
      <c r="AD10" s="163" t="s">
        <v>2196</v>
      </c>
      <c r="AE10" s="163" t="s">
        <v>1762</v>
      </c>
      <c r="AF10" s="163" t="s">
        <v>3419</v>
      </c>
      <c r="AG10" s="163" t="s">
        <v>36</v>
      </c>
      <c r="AH10" s="163" t="s">
        <v>36</v>
      </c>
      <c r="AI10" s="163" t="s">
        <v>36</v>
      </c>
      <c r="AJ10" s="163" t="s">
        <v>36</v>
      </c>
      <c r="AK10" s="163" t="s">
        <v>2197</v>
      </c>
      <c r="AL10" s="163" t="s">
        <v>36</v>
      </c>
      <c r="AM10" t="s">
        <v>4876</v>
      </c>
      <c r="AN10" s="487">
        <v>0</v>
      </c>
      <c r="AO10" s="487">
        <v>0</v>
      </c>
      <c r="CE10" s="471"/>
      <c r="CF10" t="e">
        <f t="shared" si="0"/>
        <v>#N/A</v>
      </c>
      <c r="CG10" s="471" t="s">
        <v>872</v>
      </c>
      <c r="CH10" t="str">
        <f t="shared" si="1"/>
        <v/>
      </c>
      <c r="CI10" s="471" t="s">
        <v>872</v>
      </c>
      <c r="CJ10" s="471" t="s">
        <v>872</v>
      </c>
    </row>
    <row r="11" spans="1:88" x14ac:dyDescent="0.2">
      <c r="A11">
        <v>10</v>
      </c>
      <c r="B11" s="471" t="s">
        <v>5695</v>
      </c>
      <c r="C11" s="163" t="s">
        <v>1844</v>
      </c>
      <c r="D11" s="163" t="s">
        <v>5705</v>
      </c>
      <c r="E11" s="163" t="s">
        <v>2152</v>
      </c>
      <c r="F11" s="163" t="s">
        <v>2072</v>
      </c>
      <c r="G11" s="163" t="s">
        <v>36</v>
      </c>
      <c r="H11" s="163" t="s">
        <v>2200</v>
      </c>
      <c r="I11" s="163" t="s">
        <v>5725</v>
      </c>
      <c r="J11" s="163" t="s">
        <v>1768</v>
      </c>
      <c r="K11" s="163" t="s">
        <v>3397</v>
      </c>
      <c r="L11" s="163" t="s">
        <v>3659</v>
      </c>
      <c r="M11" s="163">
        <v>330692</v>
      </c>
      <c r="N11" s="163" t="s">
        <v>1844</v>
      </c>
      <c r="O11" s="163" t="s">
        <v>2471</v>
      </c>
      <c r="P11" s="163" t="s">
        <v>3680</v>
      </c>
      <c r="Q11" s="163" t="s">
        <v>2192</v>
      </c>
      <c r="R11" s="163" t="s">
        <v>2294</v>
      </c>
      <c r="S11" s="163" t="s">
        <v>2858</v>
      </c>
      <c r="T11" s="163">
        <v>8</v>
      </c>
      <c r="U11" s="163" t="s">
        <v>2223</v>
      </c>
      <c r="V11" s="163" t="s">
        <v>3660</v>
      </c>
      <c r="W11" s="163" t="s">
        <v>3661</v>
      </c>
      <c r="X11" s="163" t="s">
        <v>2194</v>
      </c>
      <c r="Y11" s="163" t="s">
        <v>2866</v>
      </c>
      <c r="Z11" s="163" t="s">
        <v>5113</v>
      </c>
      <c r="AA11" s="163" t="s">
        <v>2194</v>
      </c>
      <c r="AB11" s="163" t="s">
        <v>3662</v>
      </c>
      <c r="AC11" s="163" t="s">
        <v>2195</v>
      </c>
      <c r="AD11" s="163" t="s">
        <v>2196</v>
      </c>
      <c r="AE11" s="163" t="s">
        <v>1762</v>
      </c>
      <c r="AF11" s="163">
        <v>100</v>
      </c>
      <c r="AG11" s="163">
        <v>0.1</v>
      </c>
      <c r="AH11" s="163">
        <v>0</v>
      </c>
      <c r="AI11" s="163" t="s">
        <v>4026</v>
      </c>
      <c r="AJ11" s="163" t="s">
        <v>36</v>
      </c>
      <c r="AK11" s="163" t="s">
        <v>2197</v>
      </c>
      <c r="AL11" s="163" t="s">
        <v>36</v>
      </c>
      <c r="AM11" t="s">
        <v>4876</v>
      </c>
      <c r="AN11" s="487">
        <v>0</v>
      </c>
      <c r="AO11" s="487">
        <v>0</v>
      </c>
      <c r="CE11" s="471"/>
      <c r="CF11" t="e">
        <f t="shared" si="0"/>
        <v>#N/A</v>
      </c>
      <c r="CG11" s="471" t="s">
        <v>884</v>
      </c>
      <c r="CH11" t="str">
        <f t="shared" si="1"/>
        <v/>
      </c>
      <c r="CI11" s="471" t="s">
        <v>884</v>
      </c>
      <c r="CJ11" s="471" t="s">
        <v>884</v>
      </c>
    </row>
    <row r="12" spans="1:88" x14ac:dyDescent="0.2">
      <c r="A12">
        <v>11</v>
      </c>
      <c r="B12" s="471" t="s">
        <v>5695</v>
      </c>
      <c r="C12" s="163" t="s">
        <v>2000</v>
      </c>
      <c r="D12" s="163" t="s">
        <v>5706</v>
      </c>
      <c r="E12" s="163" t="s">
        <v>2152</v>
      </c>
      <c r="F12" s="163" t="s">
        <v>2072</v>
      </c>
      <c r="G12" s="163" t="s">
        <v>36</v>
      </c>
      <c r="H12" s="163" t="s">
        <v>2200</v>
      </c>
      <c r="I12" s="163" t="s">
        <v>5725</v>
      </c>
      <c r="J12" s="163" t="s">
        <v>1768</v>
      </c>
      <c r="K12" s="163" t="s">
        <v>1241</v>
      </c>
      <c r="L12" s="163" t="s">
        <v>3663</v>
      </c>
      <c r="M12" s="163">
        <v>166006</v>
      </c>
      <c r="N12" s="163" t="s">
        <v>2000</v>
      </c>
      <c r="O12" s="163" t="s">
        <v>2471</v>
      </c>
      <c r="P12" s="163" t="s">
        <v>2258</v>
      </c>
      <c r="Q12" s="163" t="s">
        <v>2198</v>
      </c>
      <c r="R12" s="163" t="s">
        <v>2257</v>
      </c>
      <c r="S12" s="163" t="s">
        <v>3664</v>
      </c>
      <c r="T12" s="163">
        <v>45.3</v>
      </c>
      <c r="U12" s="163" t="s">
        <v>2223</v>
      </c>
      <c r="V12" s="163" t="s">
        <v>3665</v>
      </c>
      <c r="W12" s="163" t="s">
        <v>3666</v>
      </c>
      <c r="X12" s="163" t="s">
        <v>2194</v>
      </c>
      <c r="Y12" s="163" t="s">
        <v>111</v>
      </c>
      <c r="Z12" s="163" t="s">
        <v>111</v>
      </c>
      <c r="AA12" s="163" t="s">
        <v>111</v>
      </c>
      <c r="AB12" s="163" t="s">
        <v>36</v>
      </c>
      <c r="AC12" s="163" t="s">
        <v>2195</v>
      </c>
      <c r="AD12" s="163" t="s">
        <v>2196</v>
      </c>
      <c r="AE12" s="163" t="s">
        <v>1762</v>
      </c>
      <c r="AF12" s="163" t="s">
        <v>3419</v>
      </c>
      <c r="AG12" s="163" t="s">
        <v>36</v>
      </c>
      <c r="AH12" s="163" t="s">
        <v>36</v>
      </c>
      <c r="AI12" s="163" t="s">
        <v>36</v>
      </c>
      <c r="AJ12" s="163" t="s">
        <v>36</v>
      </c>
      <c r="AK12" s="163" t="s">
        <v>2197</v>
      </c>
      <c r="AL12" s="163" t="s">
        <v>36</v>
      </c>
      <c r="AM12" t="s">
        <v>4876</v>
      </c>
      <c r="AN12" s="487">
        <v>0</v>
      </c>
      <c r="AO12" s="487">
        <v>0</v>
      </c>
      <c r="CE12" s="471"/>
      <c r="CF12" t="e">
        <f t="shared" si="0"/>
        <v>#N/A</v>
      </c>
      <c r="CG12" s="471" t="s">
        <v>904</v>
      </c>
      <c r="CH12" t="str">
        <f t="shared" si="1"/>
        <v/>
      </c>
      <c r="CI12" s="471" t="s">
        <v>904</v>
      </c>
      <c r="CJ12" s="471" t="s">
        <v>904</v>
      </c>
    </row>
    <row r="13" spans="1:88" x14ac:dyDescent="0.2">
      <c r="A13">
        <v>12</v>
      </c>
      <c r="B13" s="471" t="s">
        <v>5695</v>
      </c>
      <c r="C13" s="163" t="s">
        <v>4538</v>
      </c>
      <c r="D13" s="163" t="s">
        <v>5707</v>
      </c>
      <c r="E13" s="163" t="s">
        <v>2152</v>
      </c>
      <c r="F13" s="163" t="s">
        <v>2072</v>
      </c>
      <c r="G13" s="163" t="s">
        <v>36</v>
      </c>
      <c r="H13" s="163" t="s">
        <v>2200</v>
      </c>
      <c r="I13" s="163" t="s">
        <v>5119</v>
      </c>
      <c r="J13" s="163" t="s">
        <v>1768</v>
      </c>
      <c r="K13" s="163" t="s">
        <v>4538</v>
      </c>
      <c r="L13" s="163" t="s">
        <v>4539</v>
      </c>
      <c r="M13" s="163" t="s">
        <v>4540</v>
      </c>
      <c r="N13" s="163" t="s">
        <v>4538</v>
      </c>
      <c r="O13" s="163" t="s">
        <v>2471</v>
      </c>
      <c r="P13" s="163" t="s">
        <v>2594</v>
      </c>
      <c r="Q13" s="163" t="s">
        <v>4541</v>
      </c>
      <c r="R13" s="163" t="s">
        <v>2257</v>
      </c>
      <c r="S13" s="163" t="s">
        <v>4542</v>
      </c>
      <c r="T13" s="163">
        <v>83.3</v>
      </c>
      <c r="U13" s="163" t="s">
        <v>2223</v>
      </c>
      <c r="V13" s="163" t="s">
        <v>2832</v>
      </c>
      <c r="W13" s="163" t="s">
        <v>4543</v>
      </c>
      <c r="X13" s="163" t="s">
        <v>2194</v>
      </c>
      <c r="Y13" s="163" t="s">
        <v>2706</v>
      </c>
      <c r="Z13" s="163" t="s">
        <v>4544</v>
      </c>
      <c r="AA13" s="163" t="s">
        <v>2194</v>
      </c>
      <c r="AB13" s="163" t="s">
        <v>36</v>
      </c>
      <c r="AC13" s="163" t="s">
        <v>2195</v>
      </c>
      <c r="AD13" s="163" t="s">
        <v>2196</v>
      </c>
      <c r="AE13" s="163" t="s">
        <v>1762</v>
      </c>
      <c r="AF13" s="163">
        <v>10</v>
      </c>
      <c r="AG13" s="163">
        <v>235</v>
      </c>
      <c r="AH13" s="163">
        <v>5</v>
      </c>
      <c r="AI13" s="163" t="s">
        <v>36</v>
      </c>
      <c r="AJ13" s="163" t="s">
        <v>36</v>
      </c>
      <c r="AK13" s="163" t="s">
        <v>2197</v>
      </c>
      <c r="AL13" s="163" t="s">
        <v>36</v>
      </c>
      <c r="AM13" t="s">
        <v>4876</v>
      </c>
      <c r="AN13" s="487">
        <v>0</v>
      </c>
      <c r="AO13" s="487">
        <v>0</v>
      </c>
      <c r="CE13" s="471"/>
      <c r="CF13" t="e">
        <f t="shared" si="0"/>
        <v>#N/A</v>
      </c>
      <c r="CG13" s="471" t="s">
        <v>910</v>
      </c>
      <c r="CH13" t="str">
        <f t="shared" si="1"/>
        <v/>
      </c>
      <c r="CI13" s="471" t="s">
        <v>910</v>
      </c>
      <c r="CJ13" s="471" t="s">
        <v>910</v>
      </c>
    </row>
    <row r="14" spans="1:88" x14ac:dyDescent="0.2">
      <c r="A14">
        <v>13</v>
      </c>
      <c r="B14" s="471" t="s">
        <v>5695</v>
      </c>
      <c r="C14" s="163" t="s">
        <v>4750</v>
      </c>
      <c r="D14" s="163" t="s">
        <v>5707</v>
      </c>
      <c r="E14" s="163" t="s">
        <v>2152</v>
      </c>
      <c r="F14" s="163" t="s">
        <v>2072</v>
      </c>
      <c r="G14" s="163" t="s">
        <v>36</v>
      </c>
      <c r="H14" s="163" t="s">
        <v>2200</v>
      </c>
      <c r="I14" s="163" t="s">
        <v>5725</v>
      </c>
      <c r="J14" s="163" t="s">
        <v>1768</v>
      </c>
      <c r="K14" s="163" t="s">
        <v>1241</v>
      </c>
      <c r="L14" s="163" t="s">
        <v>3419</v>
      </c>
      <c r="M14" s="163" t="s">
        <v>4750</v>
      </c>
      <c r="N14" s="163" t="s">
        <v>4750</v>
      </c>
      <c r="O14" s="163" t="s">
        <v>2471</v>
      </c>
      <c r="P14" s="163" t="s">
        <v>2258</v>
      </c>
      <c r="Q14" s="163" t="s">
        <v>2198</v>
      </c>
      <c r="R14" s="163" t="s">
        <v>2193</v>
      </c>
      <c r="S14" s="163" t="s">
        <v>3668</v>
      </c>
      <c r="T14" s="163">
        <v>27</v>
      </c>
      <c r="U14" s="163" t="s">
        <v>2223</v>
      </c>
      <c r="V14" s="163" t="s">
        <v>4751</v>
      </c>
      <c r="W14" s="163" t="s">
        <v>4752</v>
      </c>
      <c r="X14" s="163" t="s">
        <v>2194</v>
      </c>
      <c r="Y14" s="163" t="s">
        <v>111</v>
      </c>
      <c r="Z14" s="163" t="s">
        <v>111</v>
      </c>
      <c r="AA14" s="163" t="s">
        <v>111</v>
      </c>
      <c r="AB14" s="163" t="s">
        <v>36</v>
      </c>
      <c r="AC14" s="163" t="s">
        <v>2195</v>
      </c>
      <c r="AD14" s="163" t="s">
        <v>2196</v>
      </c>
      <c r="AE14" s="163" t="s">
        <v>1762</v>
      </c>
      <c r="AF14" s="163" t="s">
        <v>3419</v>
      </c>
      <c r="AG14" s="163" t="s">
        <v>36</v>
      </c>
      <c r="AH14" s="163" t="s">
        <v>36</v>
      </c>
      <c r="AI14" s="163" t="s">
        <v>36</v>
      </c>
      <c r="AJ14" s="163" t="s">
        <v>36</v>
      </c>
      <c r="AK14" s="163" t="s">
        <v>2197</v>
      </c>
      <c r="AL14" s="163" t="s">
        <v>36</v>
      </c>
      <c r="AM14" t="s">
        <v>4876</v>
      </c>
      <c r="AN14" s="487">
        <v>0</v>
      </c>
      <c r="AO14" s="487">
        <v>0</v>
      </c>
      <c r="CE14" s="471"/>
      <c r="CF14" t="e">
        <f t="shared" si="0"/>
        <v>#N/A</v>
      </c>
      <c r="CG14" s="471" t="s">
        <v>919</v>
      </c>
      <c r="CH14" t="str">
        <f t="shared" si="1"/>
        <v/>
      </c>
      <c r="CI14" s="471" t="s">
        <v>960</v>
      </c>
      <c r="CJ14" s="471" t="s">
        <v>960</v>
      </c>
    </row>
    <row r="15" spans="1:88" x14ac:dyDescent="0.2">
      <c r="A15">
        <v>14</v>
      </c>
      <c r="B15" s="471" t="s">
        <v>5695</v>
      </c>
      <c r="C15" s="163" t="s">
        <v>1574</v>
      </c>
      <c r="D15" s="163" t="s">
        <v>5708</v>
      </c>
      <c r="E15" s="163" t="s">
        <v>2152</v>
      </c>
      <c r="F15" s="163" t="s">
        <v>2072</v>
      </c>
      <c r="G15" s="163" t="s">
        <v>36</v>
      </c>
      <c r="H15" s="163" t="s">
        <v>2200</v>
      </c>
      <c r="I15" s="163" t="s">
        <v>5725</v>
      </c>
      <c r="J15" s="163" t="s">
        <v>1768</v>
      </c>
      <c r="K15" s="163" t="s">
        <v>1453</v>
      </c>
      <c r="L15" s="163" t="s">
        <v>3689</v>
      </c>
      <c r="M15" s="163">
        <v>313256</v>
      </c>
      <c r="N15" s="163" t="s">
        <v>1574</v>
      </c>
      <c r="O15" s="163" t="s">
        <v>2471</v>
      </c>
      <c r="P15" s="163" t="s">
        <v>2860</v>
      </c>
      <c r="Q15" s="163" t="s">
        <v>2276</v>
      </c>
      <c r="R15" s="163" t="s">
        <v>2193</v>
      </c>
      <c r="S15" s="163" t="s">
        <v>3668</v>
      </c>
      <c r="T15" s="163">
        <v>27</v>
      </c>
      <c r="U15" s="163" t="s">
        <v>2223</v>
      </c>
      <c r="V15" s="163" t="s">
        <v>3692</v>
      </c>
      <c r="W15" s="163">
        <v>7142003043</v>
      </c>
      <c r="X15" s="163" t="s">
        <v>2194</v>
      </c>
      <c r="Y15" s="163" t="s">
        <v>2706</v>
      </c>
      <c r="Z15" s="163" t="s">
        <v>5071</v>
      </c>
      <c r="AA15" s="163" t="s">
        <v>2194</v>
      </c>
      <c r="AB15" s="163" t="s">
        <v>36</v>
      </c>
      <c r="AC15" s="163" t="s">
        <v>2195</v>
      </c>
      <c r="AD15" s="163" t="s">
        <v>2196</v>
      </c>
      <c r="AE15" s="163" t="s">
        <v>1762</v>
      </c>
      <c r="AF15" s="163">
        <v>3</v>
      </c>
      <c r="AG15" s="163">
        <v>0.43</v>
      </c>
      <c r="AH15" s="163">
        <v>2</v>
      </c>
      <c r="AI15" s="163" t="s">
        <v>5072</v>
      </c>
      <c r="AJ15" s="163" t="s">
        <v>4034</v>
      </c>
      <c r="AK15" s="163" t="s">
        <v>2197</v>
      </c>
      <c r="AL15" s="163" t="s">
        <v>36</v>
      </c>
      <c r="AM15" t="s">
        <v>4876</v>
      </c>
      <c r="AN15" s="487">
        <v>0</v>
      </c>
      <c r="AO15" s="487">
        <v>0</v>
      </c>
      <c r="CE15" s="471"/>
      <c r="CF15" t="e">
        <f t="shared" si="0"/>
        <v>#N/A</v>
      </c>
      <c r="CG15" s="471" t="s">
        <v>960</v>
      </c>
      <c r="CH15" t="str">
        <f t="shared" si="1"/>
        <v/>
      </c>
      <c r="CI15" s="471" t="s">
        <v>989</v>
      </c>
      <c r="CJ15" s="471" t="s">
        <v>989</v>
      </c>
    </row>
    <row r="16" spans="1:88" x14ac:dyDescent="0.2">
      <c r="A16">
        <v>15</v>
      </c>
      <c r="B16" s="471" t="s">
        <v>5695</v>
      </c>
      <c r="C16" s="163" t="s">
        <v>1576</v>
      </c>
      <c r="D16" s="163" t="s">
        <v>5709</v>
      </c>
      <c r="E16" s="163" t="s">
        <v>2152</v>
      </c>
      <c r="F16" s="163" t="s">
        <v>2072</v>
      </c>
      <c r="G16" s="163" t="s">
        <v>36</v>
      </c>
      <c r="H16" s="163" t="s">
        <v>2200</v>
      </c>
      <c r="I16" s="163" t="s">
        <v>5725</v>
      </c>
      <c r="J16" s="163" t="s">
        <v>1768</v>
      </c>
      <c r="K16" s="163" t="s">
        <v>1453</v>
      </c>
      <c r="L16" s="163" t="s">
        <v>3689</v>
      </c>
      <c r="M16" s="163">
        <v>313459</v>
      </c>
      <c r="N16" s="163" t="s">
        <v>1576</v>
      </c>
      <c r="O16" s="163" t="s">
        <v>2471</v>
      </c>
      <c r="P16" s="163" t="s">
        <v>2594</v>
      </c>
      <c r="Q16" s="163" t="s">
        <v>2192</v>
      </c>
      <c r="R16" s="163" t="s">
        <v>2193</v>
      </c>
      <c r="S16" s="163" t="s">
        <v>3668</v>
      </c>
      <c r="T16" s="163">
        <v>27</v>
      </c>
      <c r="U16" s="163" t="s">
        <v>2223</v>
      </c>
      <c r="V16" s="163" t="s">
        <v>3690</v>
      </c>
      <c r="W16" s="163" t="s">
        <v>3691</v>
      </c>
      <c r="X16" s="163" t="s">
        <v>2194</v>
      </c>
      <c r="Y16" s="163" t="s">
        <v>111</v>
      </c>
      <c r="Z16" s="163" t="s">
        <v>111</v>
      </c>
      <c r="AA16" s="163" t="s">
        <v>111</v>
      </c>
      <c r="AB16" s="163" t="s">
        <v>36</v>
      </c>
      <c r="AC16" s="163" t="s">
        <v>2195</v>
      </c>
      <c r="AD16" s="163" t="s">
        <v>2196</v>
      </c>
      <c r="AE16" s="163" t="s">
        <v>1762</v>
      </c>
      <c r="AF16" s="163">
        <v>1</v>
      </c>
      <c r="AG16" s="163">
        <v>0.1</v>
      </c>
      <c r="AH16" s="163">
        <v>1.1100000000000001</v>
      </c>
      <c r="AI16" s="163" t="s">
        <v>4026</v>
      </c>
      <c r="AJ16" s="163" t="s">
        <v>36</v>
      </c>
      <c r="AK16" s="163" t="s">
        <v>2197</v>
      </c>
      <c r="AL16" s="163" t="s">
        <v>36</v>
      </c>
      <c r="AM16" t="s">
        <v>4876</v>
      </c>
      <c r="AN16" s="487">
        <v>0</v>
      </c>
      <c r="AO16" s="487">
        <v>0</v>
      </c>
      <c r="CE16" s="471"/>
      <c r="CF16" t="e">
        <f t="shared" si="0"/>
        <v>#N/A</v>
      </c>
      <c r="CG16" s="471" t="s">
        <v>989</v>
      </c>
      <c r="CH16" t="str">
        <f t="shared" si="1"/>
        <v/>
      </c>
      <c r="CI16" s="471" t="s">
        <v>335</v>
      </c>
      <c r="CJ16" s="471" t="s">
        <v>335</v>
      </c>
    </row>
    <row r="17" spans="1:88" x14ac:dyDescent="0.2">
      <c r="A17">
        <v>16</v>
      </c>
      <c r="B17" s="471" t="s">
        <v>1885</v>
      </c>
      <c r="C17" s="163" t="s">
        <v>1835</v>
      </c>
      <c r="D17" s="163" t="s">
        <v>4048</v>
      </c>
      <c r="E17" s="163" t="s">
        <v>2021</v>
      </c>
      <c r="F17" s="163" t="s">
        <v>2018</v>
      </c>
      <c r="G17" s="163" t="s">
        <v>36</v>
      </c>
      <c r="H17" s="163" t="s">
        <v>2200</v>
      </c>
      <c r="I17" s="163" t="s">
        <v>5119</v>
      </c>
      <c r="J17" s="163" t="s">
        <v>2188</v>
      </c>
      <c r="K17" s="163" t="s">
        <v>2204</v>
      </c>
      <c r="L17" s="163" t="s">
        <v>2265</v>
      </c>
      <c r="M17" s="163">
        <v>8418.1111000000001</v>
      </c>
      <c r="N17" s="163" t="s">
        <v>1835</v>
      </c>
      <c r="O17" s="163" t="s">
        <v>906</v>
      </c>
      <c r="P17" s="163" t="s">
        <v>2266</v>
      </c>
      <c r="Q17" s="163" t="s">
        <v>4934</v>
      </c>
      <c r="R17" s="163" t="s">
        <v>2193</v>
      </c>
      <c r="S17" s="163" t="s">
        <v>2267</v>
      </c>
      <c r="T17" s="163">
        <v>2.4</v>
      </c>
      <c r="U17" s="163" t="s">
        <v>2223</v>
      </c>
      <c r="V17" s="163" t="s">
        <v>2268</v>
      </c>
      <c r="W17" s="163">
        <v>8418.1111000000001</v>
      </c>
      <c r="X17" s="163" t="s">
        <v>4935</v>
      </c>
      <c r="Y17" s="163" t="s">
        <v>2268</v>
      </c>
      <c r="Z17" s="163">
        <v>8418.1111000000001</v>
      </c>
      <c r="AA17" s="163" t="s">
        <v>4935</v>
      </c>
      <c r="AB17" s="163" t="s">
        <v>2264</v>
      </c>
      <c r="AC17" s="163" t="s">
        <v>2195</v>
      </c>
      <c r="AD17" s="163" t="s">
        <v>2196</v>
      </c>
      <c r="AE17" s="163" t="s">
        <v>1762</v>
      </c>
      <c r="AF17" s="163" t="s">
        <v>3419</v>
      </c>
      <c r="AG17" s="163" t="s">
        <v>36</v>
      </c>
      <c r="AH17" s="163" t="s">
        <v>36</v>
      </c>
      <c r="AI17" s="163" t="s">
        <v>36</v>
      </c>
      <c r="AJ17" s="163" t="s">
        <v>36</v>
      </c>
      <c r="AK17" s="163" t="s">
        <v>2197</v>
      </c>
      <c r="AL17" s="163" t="s">
        <v>36</v>
      </c>
      <c r="AM17" t="s">
        <v>4876</v>
      </c>
      <c r="AN17" s="487">
        <v>0</v>
      </c>
      <c r="AO17" s="487">
        <v>0</v>
      </c>
      <c r="CE17" s="471"/>
      <c r="CF17" t="e">
        <f t="shared" si="0"/>
        <v>#N/A</v>
      </c>
      <c r="CG17" s="471" t="s">
        <v>335</v>
      </c>
      <c r="CH17" t="str">
        <f t="shared" si="1"/>
        <v/>
      </c>
      <c r="CI17" s="471" t="s">
        <v>1025</v>
      </c>
      <c r="CJ17" s="471" t="s">
        <v>1025</v>
      </c>
    </row>
    <row r="18" spans="1:88" x14ac:dyDescent="0.2">
      <c r="A18">
        <v>17</v>
      </c>
      <c r="B18" s="471" t="s">
        <v>849</v>
      </c>
      <c r="C18" s="163" t="s">
        <v>853</v>
      </c>
      <c r="D18" s="163" t="s">
        <v>4049</v>
      </c>
      <c r="E18" s="163" t="s">
        <v>2022</v>
      </c>
      <c r="F18" s="163" t="s">
        <v>2018</v>
      </c>
      <c r="G18" s="163" t="s">
        <v>36</v>
      </c>
      <c r="H18" s="163" t="s">
        <v>2200</v>
      </c>
      <c r="I18" s="163" t="s">
        <v>5725</v>
      </c>
      <c r="J18" s="163" t="s">
        <v>1768</v>
      </c>
      <c r="K18" s="163" t="s">
        <v>1063</v>
      </c>
      <c r="L18" s="163" t="s">
        <v>2269</v>
      </c>
      <c r="M18" s="163" t="s">
        <v>111</v>
      </c>
      <c r="N18" s="163" t="s">
        <v>853</v>
      </c>
      <c r="O18" s="163" t="s">
        <v>906</v>
      </c>
      <c r="P18" s="163" t="s">
        <v>2270</v>
      </c>
      <c r="Q18" s="163" t="s">
        <v>4934</v>
      </c>
      <c r="R18" s="163" t="s">
        <v>2193</v>
      </c>
      <c r="S18" s="163" t="s">
        <v>2271</v>
      </c>
      <c r="T18" s="163">
        <v>14.6</v>
      </c>
      <c r="U18" s="163" t="s">
        <v>1952</v>
      </c>
      <c r="V18" s="163" t="s">
        <v>2272</v>
      </c>
      <c r="W18" s="163" t="s">
        <v>111</v>
      </c>
      <c r="X18" s="163" t="s">
        <v>4935</v>
      </c>
      <c r="Y18" s="163" t="s">
        <v>111</v>
      </c>
      <c r="Z18" s="163" t="s">
        <v>111</v>
      </c>
      <c r="AA18" s="163" t="s">
        <v>111</v>
      </c>
      <c r="AB18" s="163" t="s">
        <v>4450</v>
      </c>
      <c r="AC18" s="163" t="s">
        <v>2195</v>
      </c>
      <c r="AD18" s="163" t="s">
        <v>2196</v>
      </c>
      <c r="AE18" s="163" t="s">
        <v>1762</v>
      </c>
      <c r="AF18" s="163" t="s">
        <v>3419</v>
      </c>
      <c r="AG18" s="163" t="s">
        <v>36</v>
      </c>
      <c r="AH18" s="163" t="s">
        <v>36</v>
      </c>
      <c r="AI18" s="163" t="s">
        <v>36</v>
      </c>
      <c r="AJ18" s="163" t="s">
        <v>36</v>
      </c>
      <c r="AK18" s="163" t="s">
        <v>2197</v>
      </c>
      <c r="AL18" s="163" t="s">
        <v>36</v>
      </c>
      <c r="AM18" t="s">
        <v>4876</v>
      </c>
      <c r="AN18" s="487">
        <v>0</v>
      </c>
      <c r="AO18" s="487">
        <v>0</v>
      </c>
      <c r="CE18" s="471"/>
      <c r="CF18" t="e">
        <f t="shared" si="0"/>
        <v>#N/A</v>
      </c>
      <c r="CG18" s="471" t="s">
        <v>1025</v>
      </c>
      <c r="CH18" t="str">
        <f t="shared" si="1"/>
        <v/>
      </c>
      <c r="CI18" s="471" t="s">
        <v>1050</v>
      </c>
      <c r="CJ18" s="471" t="s">
        <v>1050</v>
      </c>
    </row>
    <row r="19" spans="1:88" x14ac:dyDescent="0.2">
      <c r="A19">
        <v>18</v>
      </c>
      <c r="B19" s="471" t="s">
        <v>849</v>
      </c>
      <c r="C19" s="163" t="s">
        <v>819</v>
      </c>
      <c r="D19" s="163" t="s">
        <v>4050</v>
      </c>
      <c r="E19" s="163" t="s">
        <v>2022</v>
      </c>
      <c r="F19" s="163" t="s">
        <v>2018</v>
      </c>
      <c r="G19" s="163" t="s">
        <v>36</v>
      </c>
      <c r="H19" s="163" t="s">
        <v>2200</v>
      </c>
      <c r="I19" s="163" t="s">
        <v>5725</v>
      </c>
      <c r="J19" s="163" t="s">
        <v>2188</v>
      </c>
      <c r="K19" s="163" t="s">
        <v>1063</v>
      </c>
      <c r="L19" s="163" t="s">
        <v>2274</v>
      </c>
      <c r="M19" s="163">
        <v>78863</v>
      </c>
      <c r="N19" s="163" t="s">
        <v>819</v>
      </c>
      <c r="O19" s="163" t="s">
        <v>5726</v>
      </c>
      <c r="P19" s="163" t="s">
        <v>2275</v>
      </c>
      <c r="Q19" s="163" t="s">
        <v>4936</v>
      </c>
      <c r="R19" s="163" t="s">
        <v>2193</v>
      </c>
      <c r="S19" s="163" t="s">
        <v>2277</v>
      </c>
      <c r="T19" s="163">
        <v>63.9</v>
      </c>
      <c r="U19" s="163" t="s">
        <v>2222</v>
      </c>
      <c r="V19" s="163" t="s">
        <v>2278</v>
      </c>
      <c r="W19" s="163" t="s">
        <v>2279</v>
      </c>
      <c r="X19" s="163" t="s">
        <v>4937</v>
      </c>
      <c r="Y19" s="163" t="s">
        <v>2280</v>
      </c>
      <c r="Z19" s="163" t="s">
        <v>2281</v>
      </c>
      <c r="AA19" s="163" t="s">
        <v>4937</v>
      </c>
      <c r="AB19" s="163" t="s">
        <v>36</v>
      </c>
      <c r="AC19" s="163" t="s">
        <v>2195</v>
      </c>
      <c r="AD19" s="163" t="s">
        <v>2196</v>
      </c>
      <c r="AE19" s="163" t="s">
        <v>1762</v>
      </c>
      <c r="AF19" s="163">
        <v>3.4</v>
      </c>
      <c r="AG19" s="163">
        <v>67</v>
      </c>
      <c r="AH19" s="163" t="s">
        <v>5291</v>
      </c>
      <c r="AI19" s="163" t="s">
        <v>36</v>
      </c>
      <c r="AJ19" s="163" t="s">
        <v>36</v>
      </c>
      <c r="AK19" s="163" t="s">
        <v>2197</v>
      </c>
      <c r="AL19" s="163" t="s">
        <v>36</v>
      </c>
      <c r="AM19" t="s">
        <v>4876</v>
      </c>
      <c r="AN19" s="487">
        <v>1.4583333333333332E-2</v>
      </c>
      <c r="AO19" s="487">
        <v>0</v>
      </c>
      <c r="CE19" s="471"/>
      <c r="CF19" t="e">
        <f t="shared" si="0"/>
        <v>#N/A</v>
      </c>
      <c r="CG19" s="471" t="s">
        <v>1050</v>
      </c>
      <c r="CH19" t="str">
        <f t="shared" si="1"/>
        <v/>
      </c>
      <c r="CI19" s="471" t="s">
        <v>1053</v>
      </c>
      <c r="CJ19" s="471" t="s">
        <v>1053</v>
      </c>
    </row>
    <row r="20" spans="1:88" x14ac:dyDescent="0.2">
      <c r="A20">
        <v>19</v>
      </c>
      <c r="B20" s="471" t="s">
        <v>855</v>
      </c>
      <c r="C20" s="163" t="s">
        <v>1953</v>
      </c>
      <c r="D20" s="163" t="s">
        <v>4051</v>
      </c>
      <c r="E20" s="163" t="s">
        <v>2023</v>
      </c>
      <c r="F20" s="163" t="s">
        <v>2018</v>
      </c>
      <c r="G20" s="163" t="s">
        <v>36</v>
      </c>
      <c r="H20" s="163" t="s">
        <v>2200</v>
      </c>
      <c r="I20" s="163" t="s">
        <v>5727</v>
      </c>
      <c r="J20" s="163" t="s">
        <v>1768</v>
      </c>
      <c r="K20" s="163" t="s">
        <v>1120</v>
      </c>
      <c r="L20" s="163" t="s">
        <v>2282</v>
      </c>
      <c r="M20" s="163" t="s">
        <v>4469</v>
      </c>
      <c r="N20" s="163" t="s">
        <v>1953</v>
      </c>
      <c r="O20" s="163" t="s">
        <v>906</v>
      </c>
      <c r="P20" s="163" t="s">
        <v>2283</v>
      </c>
      <c r="Q20" s="163" t="s">
        <v>4938</v>
      </c>
      <c r="R20" s="163" t="s">
        <v>2193</v>
      </c>
      <c r="S20" s="163" t="s">
        <v>2284</v>
      </c>
      <c r="T20" s="163">
        <v>2.5</v>
      </c>
      <c r="U20" s="163" t="s">
        <v>1952</v>
      </c>
      <c r="V20" s="163" t="s">
        <v>2285</v>
      </c>
      <c r="W20" s="163">
        <v>41641754</v>
      </c>
      <c r="X20" s="163" t="s">
        <v>4939</v>
      </c>
      <c r="Y20" s="163" t="s">
        <v>111</v>
      </c>
      <c r="Z20" s="163" t="s">
        <v>111</v>
      </c>
      <c r="AA20" s="163" t="s">
        <v>111</v>
      </c>
      <c r="AB20" s="163" t="s">
        <v>2264</v>
      </c>
      <c r="AC20" s="163" t="s">
        <v>2195</v>
      </c>
      <c r="AD20" s="163" t="s">
        <v>2196</v>
      </c>
      <c r="AE20" s="163" t="s">
        <v>1762</v>
      </c>
      <c r="AF20" s="163" t="s">
        <v>3419</v>
      </c>
      <c r="AG20" s="163" t="s">
        <v>36</v>
      </c>
      <c r="AH20" s="163" t="s">
        <v>36</v>
      </c>
      <c r="AI20" s="163" t="s">
        <v>36</v>
      </c>
      <c r="AJ20" s="163" t="s">
        <v>36</v>
      </c>
      <c r="AK20" s="163" t="s">
        <v>2197</v>
      </c>
      <c r="AL20" s="163" t="s">
        <v>36</v>
      </c>
      <c r="AM20" t="s">
        <v>4876</v>
      </c>
      <c r="AN20" s="487">
        <v>0</v>
      </c>
      <c r="AO20" s="487">
        <v>0</v>
      </c>
      <c r="CE20" s="471"/>
      <c r="CF20" t="e">
        <f t="shared" si="0"/>
        <v>#N/A</v>
      </c>
      <c r="CG20" s="471" t="s">
        <v>1053</v>
      </c>
      <c r="CH20" t="str">
        <f t="shared" si="1"/>
        <v/>
      </c>
      <c r="CI20" s="471" t="s">
        <v>1071</v>
      </c>
      <c r="CJ20" s="471" t="s">
        <v>1071</v>
      </c>
    </row>
    <row r="21" spans="1:88" x14ac:dyDescent="0.2">
      <c r="A21">
        <v>20</v>
      </c>
      <c r="B21" s="471" t="s">
        <v>855</v>
      </c>
      <c r="C21" s="163" t="s">
        <v>1955</v>
      </c>
      <c r="D21" s="163" t="s">
        <v>4052</v>
      </c>
      <c r="E21" s="163" t="s">
        <v>2023</v>
      </c>
      <c r="F21" s="163" t="s">
        <v>2018</v>
      </c>
      <c r="G21" s="163" t="s">
        <v>36</v>
      </c>
      <c r="H21" s="163" t="s">
        <v>2200</v>
      </c>
      <c r="I21" s="163" t="s">
        <v>5725</v>
      </c>
      <c r="J21" s="163" t="s">
        <v>1768</v>
      </c>
      <c r="K21" s="163" t="s">
        <v>1120</v>
      </c>
      <c r="L21" s="163" t="s">
        <v>2282</v>
      </c>
      <c r="M21" s="163" t="s">
        <v>4470</v>
      </c>
      <c r="N21" s="163" t="s">
        <v>1955</v>
      </c>
      <c r="O21" s="163" t="s">
        <v>906</v>
      </c>
      <c r="P21" s="163" t="s">
        <v>2283</v>
      </c>
      <c r="Q21" s="163" t="s">
        <v>4938</v>
      </c>
      <c r="R21" s="163" t="s">
        <v>2193</v>
      </c>
      <c r="S21" s="163" t="s">
        <v>2284</v>
      </c>
      <c r="T21" s="163">
        <v>2.5</v>
      </c>
      <c r="U21" s="163" t="s">
        <v>1952</v>
      </c>
      <c r="V21" s="163" t="s">
        <v>2285</v>
      </c>
      <c r="W21" s="163">
        <v>41641755</v>
      </c>
      <c r="X21" s="163" t="s">
        <v>4939</v>
      </c>
      <c r="Y21" s="163" t="s">
        <v>111</v>
      </c>
      <c r="Z21" s="163" t="s">
        <v>111</v>
      </c>
      <c r="AA21" s="163" t="s">
        <v>111</v>
      </c>
      <c r="AB21" s="163" t="s">
        <v>2264</v>
      </c>
      <c r="AC21" s="163" t="s">
        <v>2195</v>
      </c>
      <c r="AD21" s="163" t="s">
        <v>2196</v>
      </c>
      <c r="AE21" s="163" t="s">
        <v>1762</v>
      </c>
      <c r="AF21" s="163" t="s">
        <v>3419</v>
      </c>
      <c r="AG21" s="163" t="s">
        <v>36</v>
      </c>
      <c r="AH21" s="163" t="s">
        <v>36</v>
      </c>
      <c r="AI21" s="163" t="s">
        <v>36</v>
      </c>
      <c r="AJ21" s="163" t="s">
        <v>36</v>
      </c>
      <c r="AK21" s="163" t="s">
        <v>2197</v>
      </c>
      <c r="AL21" s="163" t="s">
        <v>36</v>
      </c>
      <c r="AM21" t="s">
        <v>4876</v>
      </c>
      <c r="AN21" s="487">
        <v>0</v>
      </c>
      <c r="AO21" s="487">
        <v>0</v>
      </c>
      <c r="CE21" s="471"/>
      <c r="CF21" t="e">
        <f t="shared" si="0"/>
        <v>#N/A</v>
      </c>
      <c r="CG21" s="471" t="s">
        <v>1071</v>
      </c>
      <c r="CH21" t="str">
        <f t="shared" si="1"/>
        <v/>
      </c>
      <c r="CI21" s="471" t="s">
        <v>1076</v>
      </c>
      <c r="CJ21" s="471" t="s">
        <v>1076</v>
      </c>
    </row>
    <row r="22" spans="1:88" x14ac:dyDescent="0.2">
      <c r="A22">
        <v>21</v>
      </c>
      <c r="B22" s="471" t="s">
        <v>855</v>
      </c>
      <c r="C22" s="163" t="s">
        <v>859</v>
      </c>
      <c r="D22" s="163" t="s">
        <v>4053</v>
      </c>
      <c r="E22" s="163" t="s">
        <v>2023</v>
      </c>
      <c r="F22" s="163" t="s">
        <v>2018</v>
      </c>
      <c r="G22" s="163" t="s">
        <v>36</v>
      </c>
      <c r="H22" s="163" t="s">
        <v>2200</v>
      </c>
      <c r="I22" s="163" t="s">
        <v>5725</v>
      </c>
      <c r="J22" s="163" t="s">
        <v>1768</v>
      </c>
      <c r="K22" s="163" t="s">
        <v>2286</v>
      </c>
      <c r="L22" s="163" t="s">
        <v>2298</v>
      </c>
      <c r="M22" s="163" t="s">
        <v>859</v>
      </c>
      <c r="N22" s="163" t="s">
        <v>859</v>
      </c>
      <c r="O22" s="163" t="s">
        <v>906</v>
      </c>
      <c r="P22" s="163" t="s">
        <v>2299</v>
      </c>
      <c r="Q22" s="163" t="s">
        <v>4936</v>
      </c>
      <c r="R22" s="163" t="s">
        <v>2294</v>
      </c>
      <c r="S22" s="163" t="s">
        <v>2300</v>
      </c>
      <c r="T22" s="163">
        <v>2</v>
      </c>
      <c r="U22" s="163" t="s">
        <v>1952</v>
      </c>
      <c r="V22" s="163" t="s">
        <v>2301</v>
      </c>
      <c r="W22" s="163" t="s">
        <v>859</v>
      </c>
      <c r="X22" s="163" t="s">
        <v>4940</v>
      </c>
      <c r="Y22" s="163" t="s">
        <v>111</v>
      </c>
      <c r="Z22" s="163" t="s">
        <v>111</v>
      </c>
      <c r="AA22" s="163" t="s">
        <v>111</v>
      </c>
      <c r="AB22" s="163" t="s">
        <v>2303</v>
      </c>
      <c r="AC22" s="163" t="s">
        <v>2195</v>
      </c>
      <c r="AD22" s="163" t="s">
        <v>2196</v>
      </c>
      <c r="AE22" s="163" t="s">
        <v>1762</v>
      </c>
      <c r="AF22" s="163" t="s">
        <v>3419</v>
      </c>
      <c r="AG22" s="163" t="s">
        <v>36</v>
      </c>
      <c r="AH22" s="163" t="s">
        <v>36</v>
      </c>
      <c r="AI22" s="163" t="s">
        <v>36</v>
      </c>
      <c r="AJ22" s="163" t="s">
        <v>36</v>
      </c>
      <c r="AK22" s="163" t="s">
        <v>2197</v>
      </c>
      <c r="AL22" s="163" t="s">
        <v>36</v>
      </c>
      <c r="AM22" t="s">
        <v>4876</v>
      </c>
      <c r="AN22" s="487">
        <v>0</v>
      </c>
      <c r="AO22" s="487">
        <v>0</v>
      </c>
      <c r="CE22" s="471"/>
      <c r="CF22" t="e">
        <f t="shared" si="0"/>
        <v>#N/A</v>
      </c>
      <c r="CG22" s="471" t="s">
        <v>1076</v>
      </c>
      <c r="CH22" t="str">
        <f t="shared" si="1"/>
        <v/>
      </c>
      <c r="CI22" s="471" t="s">
        <v>1659</v>
      </c>
      <c r="CJ22" s="471" t="s">
        <v>1659</v>
      </c>
    </row>
    <row r="23" spans="1:88" x14ac:dyDescent="0.2">
      <c r="A23">
        <v>22</v>
      </c>
      <c r="B23" s="471" t="s">
        <v>855</v>
      </c>
      <c r="C23" s="163" t="s">
        <v>857</v>
      </c>
      <c r="D23" s="163" t="s">
        <v>4054</v>
      </c>
      <c r="E23" s="163" t="s">
        <v>2023</v>
      </c>
      <c r="F23" s="163" t="s">
        <v>2018</v>
      </c>
      <c r="G23" s="163" t="s">
        <v>36</v>
      </c>
      <c r="H23" s="163" t="s">
        <v>2200</v>
      </c>
      <c r="I23" s="163" t="s">
        <v>5725</v>
      </c>
      <c r="J23" s="163" t="s">
        <v>1768</v>
      </c>
      <c r="K23" s="163" t="s">
        <v>2286</v>
      </c>
      <c r="L23" s="163" t="s">
        <v>2292</v>
      </c>
      <c r="M23" s="163" t="s">
        <v>2293</v>
      </c>
      <c r="N23" s="163" t="s">
        <v>857</v>
      </c>
      <c r="O23" s="163" t="s">
        <v>906</v>
      </c>
      <c r="P23" s="163" t="s">
        <v>2288</v>
      </c>
      <c r="Q23" s="163" t="s">
        <v>4936</v>
      </c>
      <c r="R23" s="163" t="s">
        <v>2294</v>
      </c>
      <c r="S23" s="163" t="s">
        <v>2295</v>
      </c>
      <c r="T23" s="163">
        <v>4.8</v>
      </c>
      <c r="U23" s="163" t="s">
        <v>1952</v>
      </c>
      <c r="V23" s="163" t="s">
        <v>2296</v>
      </c>
      <c r="W23" s="163" t="s">
        <v>2297</v>
      </c>
      <c r="X23" s="163" t="s">
        <v>4937</v>
      </c>
      <c r="Y23" s="163" t="s">
        <v>111</v>
      </c>
      <c r="Z23" s="163" t="s">
        <v>111</v>
      </c>
      <c r="AA23" s="163" t="s">
        <v>111</v>
      </c>
      <c r="AB23" s="163" t="s">
        <v>36</v>
      </c>
      <c r="AC23" s="163" t="s">
        <v>2195</v>
      </c>
      <c r="AD23" s="163" t="s">
        <v>2196</v>
      </c>
      <c r="AE23" s="163" t="s">
        <v>1762</v>
      </c>
      <c r="AF23" s="163" t="s">
        <v>3419</v>
      </c>
      <c r="AG23" s="163" t="s">
        <v>36</v>
      </c>
      <c r="AH23" s="163" t="s">
        <v>36</v>
      </c>
      <c r="AI23" s="163" t="s">
        <v>36</v>
      </c>
      <c r="AJ23" s="163" t="s">
        <v>36</v>
      </c>
      <c r="AK23" s="163" t="s">
        <v>2197</v>
      </c>
      <c r="AL23" s="163" t="s">
        <v>36</v>
      </c>
      <c r="AM23" t="s">
        <v>4876</v>
      </c>
      <c r="AN23" s="487">
        <v>0</v>
      </c>
      <c r="AO23" s="487">
        <v>0</v>
      </c>
      <c r="CE23" s="471"/>
      <c r="CF23" t="e">
        <f t="shared" si="0"/>
        <v>#N/A</v>
      </c>
      <c r="CG23" s="471" t="s">
        <v>1659</v>
      </c>
      <c r="CH23" t="str">
        <f t="shared" si="1"/>
        <v/>
      </c>
      <c r="CI23" s="471" t="s">
        <v>1118</v>
      </c>
      <c r="CJ23" s="471" t="s">
        <v>1118</v>
      </c>
    </row>
    <row r="24" spans="1:88" x14ac:dyDescent="0.2">
      <c r="A24">
        <v>23</v>
      </c>
      <c r="B24" s="471" t="s">
        <v>855</v>
      </c>
      <c r="C24" s="163" t="s">
        <v>1957</v>
      </c>
      <c r="D24" s="163" t="s">
        <v>4055</v>
      </c>
      <c r="E24" s="163" t="s">
        <v>2023</v>
      </c>
      <c r="F24" s="163" t="s">
        <v>2018</v>
      </c>
      <c r="G24" s="163" t="s">
        <v>36</v>
      </c>
      <c r="H24" s="163" t="s">
        <v>2200</v>
      </c>
      <c r="I24" s="163" t="s">
        <v>5119</v>
      </c>
      <c r="J24" s="163" t="s">
        <v>1768</v>
      </c>
      <c r="K24" s="163" t="s">
        <v>2286</v>
      </c>
      <c r="L24" s="163" t="s">
        <v>2287</v>
      </c>
      <c r="M24" s="163">
        <v>113316</v>
      </c>
      <c r="N24" s="163" t="s">
        <v>1957</v>
      </c>
      <c r="O24" s="163" t="s">
        <v>906</v>
      </c>
      <c r="P24" s="163" t="s">
        <v>5240</v>
      </c>
      <c r="Q24" s="163" t="s">
        <v>3381</v>
      </c>
      <c r="R24" s="163" t="s">
        <v>2193</v>
      </c>
      <c r="S24" s="163" t="s">
        <v>2289</v>
      </c>
      <c r="T24" s="163">
        <v>4.5</v>
      </c>
      <c r="U24" s="163" t="s">
        <v>1952</v>
      </c>
      <c r="V24" s="163" t="s">
        <v>2290</v>
      </c>
      <c r="W24" s="163">
        <v>113316</v>
      </c>
      <c r="X24" s="163" t="s">
        <v>4403</v>
      </c>
      <c r="Y24" s="163" t="s">
        <v>2290</v>
      </c>
      <c r="Z24" s="163">
        <v>113316</v>
      </c>
      <c r="AA24" s="163" t="s">
        <v>4403</v>
      </c>
      <c r="AB24" s="163" t="s">
        <v>2291</v>
      </c>
      <c r="AC24" s="163" t="s">
        <v>2195</v>
      </c>
      <c r="AD24" s="163" t="s">
        <v>2196</v>
      </c>
      <c r="AE24" s="163" t="s">
        <v>1762</v>
      </c>
      <c r="AF24" s="163" t="s">
        <v>3419</v>
      </c>
      <c r="AG24" s="163" t="s">
        <v>36</v>
      </c>
      <c r="AH24" s="163" t="s">
        <v>36</v>
      </c>
      <c r="AI24" s="163" t="s">
        <v>36</v>
      </c>
      <c r="AJ24" s="163" t="s">
        <v>36</v>
      </c>
      <c r="AK24" s="163" t="s">
        <v>2197</v>
      </c>
      <c r="AL24" s="163" t="s">
        <v>36</v>
      </c>
      <c r="AM24" t="s">
        <v>4876</v>
      </c>
      <c r="AN24" s="487">
        <v>0</v>
      </c>
      <c r="AO24" s="487">
        <v>0</v>
      </c>
      <c r="CE24" s="471"/>
      <c r="CF24" t="e">
        <f t="shared" si="0"/>
        <v>#N/A</v>
      </c>
      <c r="CG24" s="471" t="s">
        <v>1118</v>
      </c>
      <c r="CH24" t="str">
        <f t="shared" si="1"/>
        <v/>
      </c>
      <c r="CI24" s="471" t="s">
        <v>1098</v>
      </c>
      <c r="CJ24" s="471" t="s">
        <v>1098</v>
      </c>
    </row>
    <row r="25" spans="1:88" x14ac:dyDescent="0.2">
      <c r="A25">
        <v>24</v>
      </c>
      <c r="B25" s="471" t="s">
        <v>855</v>
      </c>
      <c r="C25" s="163" t="s">
        <v>4677</v>
      </c>
      <c r="D25" s="163" t="s">
        <v>4678</v>
      </c>
      <c r="E25" s="163" t="s">
        <v>2023</v>
      </c>
      <c r="F25" s="163" t="s">
        <v>2018</v>
      </c>
      <c r="G25" s="163" t="s">
        <v>36</v>
      </c>
      <c r="H25" s="163" t="s">
        <v>2200</v>
      </c>
      <c r="I25" s="163" t="s">
        <v>5725</v>
      </c>
      <c r="J25" s="163" t="s">
        <v>1768</v>
      </c>
      <c r="K25" s="163" t="s">
        <v>4679</v>
      </c>
      <c r="L25" s="163" t="s">
        <v>4680</v>
      </c>
      <c r="M25" s="163">
        <v>2019080326</v>
      </c>
      <c r="N25" s="163" t="s">
        <v>4677</v>
      </c>
      <c r="O25" s="163" t="s">
        <v>906</v>
      </c>
      <c r="P25" s="163" t="s">
        <v>4681</v>
      </c>
      <c r="Q25" s="163" t="s">
        <v>4936</v>
      </c>
      <c r="R25" s="163" t="s">
        <v>2193</v>
      </c>
      <c r="S25" s="163" t="s">
        <v>5038</v>
      </c>
      <c r="T25" s="163">
        <v>0.52</v>
      </c>
      <c r="U25" s="163" t="s">
        <v>1952</v>
      </c>
      <c r="V25" s="163" t="s">
        <v>2290</v>
      </c>
      <c r="W25" s="163" t="s">
        <v>4682</v>
      </c>
      <c r="X25" s="163" t="s">
        <v>4940</v>
      </c>
      <c r="Y25" s="163" t="s">
        <v>111</v>
      </c>
      <c r="Z25" s="163" t="s">
        <v>111</v>
      </c>
      <c r="AA25" s="163" t="s">
        <v>111</v>
      </c>
      <c r="AB25" s="163" t="s">
        <v>3789</v>
      </c>
      <c r="AC25" s="163" t="s">
        <v>2195</v>
      </c>
      <c r="AD25" s="163" t="s">
        <v>2196</v>
      </c>
      <c r="AE25" s="163" t="s">
        <v>1762</v>
      </c>
      <c r="AF25" s="163" t="s">
        <v>3419</v>
      </c>
      <c r="AG25" s="163" t="s">
        <v>36</v>
      </c>
      <c r="AH25" s="163" t="s">
        <v>36</v>
      </c>
      <c r="AI25" s="163" t="s">
        <v>36</v>
      </c>
      <c r="AJ25" s="163" t="s">
        <v>36</v>
      </c>
      <c r="AK25" s="163" t="s">
        <v>2197</v>
      </c>
      <c r="AL25" s="163" t="s">
        <v>36</v>
      </c>
      <c r="AM25" t="s">
        <v>4876</v>
      </c>
      <c r="AN25" s="487">
        <v>0</v>
      </c>
      <c r="AO25" s="487">
        <v>0</v>
      </c>
      <c r="CE25" s="471"/>
      <c r="CF25" t="e">
        <f t="shared" si="0"/>
        <v>#N/A</v>
      </c>
      <c r="CG25" s="471" t="s">
        <v>1098</v>
      </c>
      <c r="CH25" t="str">
        <f t="shared" si="1"/>
        <v/>
      </c>
      <c r="CI25" s="471" t="s">
        <v>1109</v>
      </c>
      <c r="CJ25" s="471" t="s">
        <v>1109</v>
      </c>
    </row>
    <row r="26" spans="1:88" x14ac:dyDescent="0.2">
      <c r="A26">
        <v>25</v>
      </c>
      <c r="B26" s="471" t="s">
        <v>861</v>
      </c>
      <c r="C26" s="163" t="s">
        <v>863</v>
      </c>
      <c r="D26" s="163" t="s">
        <v>4056</v>
      </c>
      <c r="E26" s="163" t="s">
        <v>2304</v>
      </c>
      <c r="F26" s="163" t="s">
        <v>2025</v>
      </c>
      <c r="G26" s="163" t="s">
        <v>36</v>
      </c>
      <c r="H26" s="163" t="s">
        <v>2200</v>
      </c>
      <c r="I26" s="163" t="s">
        <v>5725</v>
      </c>
      <c r="J26" s="163" t="s">
        <v>1768</v>
      </c>
      <c r="K26" s="163" t="s">
        <v>2305</v>
      </c>
      <c r="L26" s="163" t="s">
        <v>2306</v>
      </c>
      <c r="M26" s="549" t="s">
        <v>2313</v>
      </c>
      <c r="N26" s="163" t="s">
        <v>863</v>
      </c>
      <c r="O26" s="163" t="s">
        <v>906</v>
      </c>
      <c r="P26" s="163" t="s">
        <v>2308</v>
      </c>
      <c r="Q26" s="163" t="s">
        <v>4938</v>
      </c>
      <c r="R26" s="163" t="s">
        <v>2309</v>
      </c>
      <c r="S26" s="163" t="s">
        <v>2310</v>
      </c>
      <c r="T26" s="163">
        <v>800</v>
      </c>
      <c r="U26" s="163" t="s">
        <v>1952</v>
      </c>
      <c r="V26" s="163" t="s">
        <v>2311</v>
      </c>
      <c r="W26" s="163" t="s">
        <v>2314</v>
      </c>
      <c r="X26" s="163" t="s">
        <v>4937</v>
      </c>
      <c r="Y26" s="163" t="s">
        <v>111</v>
      </c>
      <c r="Z26" s="163" t="s">
        <v>111</v>
      </c>
      <c r="AA26" s="163" t="s">
        <v>111</v>
      </c>
      <c r="AB26" s="163" t="s">
        <v>2264</v>
      </c>
      <c r="AC26" s="163" t="s">
        <v>2195</v>
      </c>
      <c r="AD26" s="163" t="s">
        <v>2196</v>
      </c>
      <c r="AE26" s="163" t="s">
        <v>1762</v>
      </c>
      <c r="AF26" s="163" t="s">
        <v>3419</v>
      </c>
      <c r="AG26" s="163" t="s">
        <v>36</v>
      </c>
      <c r="AH26" s="163" t="s">
        <v>36</v>
      </c>
      <c r="AI26" s="163" t="s">
        <v>36</v>
      </c>
      <c r="AJ26" s="163" t="s">
        <v>36</v>
      </c>
      <c r="AK26" s="163" t="s">
        <v>2197</v>
      </c>
      <c r="AL26" s="163" t="s">
        <v>36</v>
      </c>
      <c r="AM26" t="s">
        <v>4876</v>
      </c>
      <c r="AN26" s="487">
        <v>0</v>
      </c>
      <c r="AO26" s="487">
        <v>0</v>
      </c>
      <c r="CE26" s="471"/>
      <c r="CF26" t="e">
        <f t="shared" si="0"/>
        <v>#N/A</v>
      </c>
      <c r="CG26" s="471" t="s">
        <v>1109</v>
      </c>
      <c r="CH26" t="str">
        <f t="shared" si="1"/>
        <v/>
      </c>
      <c r="CI26" s="471" t="s">
        <v>1125</v>
      </c>
      <c r="CJ26" s="471" t="s">
        <v>1125</v>
      </c>
    </row>
    <row r="27" spans="1:88" x14ac:dyDescent="0.2">
      <c r="A27">
        <v>26</v>
      </c>
      <c r="B27" s="471" t="s">
        <v>861</v>
      </c>
      <c r="C27" s="163" t="s">
        <v>1842</v>
      </c>
      <c r="D27" s="163" t="s">
        <v>4057</v>
      </c>
      <c r="E27" s="163" t="s">
        <v>2304</v>
      </c>
      <c r="F27" s="163" t="s">
        <v>2025</v>
      </c>
      <c r="G27" s="163" t="s">
        <v>36</v>
      </c>
      <c r="H27" s="163" t="s">
        <v>2200</v>
      </c>
      <c r="I27" s="163" t="s">
        <v>5725</v>
      </c>
      <c r="J27" s="163" t="s">
        <v>1768</v>
      </c>
      <c r="K27" s="163" t="s">
        <v>2305</v>
      </c>
      <c r="L27" s="163" t="s">
        <v>2306</v>
      </c>
      <c r="M27" s="163" t="s">
        <v>2307</v>
      </c>
      <c r="N27" s="163" t="s">
        <v>1842</v>
      </c>
      <c r="O27" s="163" t="s">
        <v>906</v>
      </c>
      <c r="P27" s="163" t="s">
        <v>2308</v>
      </c>
      <c r="Q27" s="163" t="s">
        <v>4938</v>
      </c>
      <c r="R27" s="163" t="s">
        <v>2309</v>
      </c>
      <c r="S27" s="163" t="s">
        <v>2310</v>
      </c>
      <c r="T27" s="163">
        <v>800</v>
      </c>
      <c r="U27" s="163" t="s">
        <v>1952</v>
      </c>
      <c r="V27" s="163" t="s">
        <v>2311</v>
      </c>
      <c r="W27" s="163" t="s">
        <v>2312</v>
      </c>
      <c r="X27" s="163" t="s">
        <v>4937</v>
      </c>
      <c r="Y27" s="163" t="s">
        <v>111</v>
      </c>
      <c r="Z27" s="163" t="s">
        <v>111</v>
      </c>
      <c r="AA27" s="163" t="s">
        <v>111</v>
      </c>
      <c r="AB27" s="163" t="s">
        <v>2264</v>
      </c>
      <c r="AC27" s="163" t="s">
        <v>2195</v>
      </c>
      <c r="AD27" s="163" t="s">
        <v>2196</v>
      </c>
      <c r="AE27" s="163" t="s">
        <v>1762</v>
      </c>
      <c r="AF27" s="163" t="s">
        <v>3419</v>
      </c>
      <c r="AG27" s="163" t="s">
        <v>36</v>
      </c>
      <c r="AH27" s="163" t="s">
        <v>36</v>
      </c>
      <c r="AI27" s="163" t="s">
        <v>36</v>
      </c>
      <c r="AJ27" s="163" t="s">
        <v>36</v>
      </c>
      <c r="AK27" s="163" t="s">
        <v>2197</v>
      </c>
      <c r="AL27" s="163" t="s">
        <v>36</v>
      </c>
      <c r="AM27" t="s">
        <v>4876</v>
      </c>
      <c r="AN27" s="487">
        <v>0</v>
      </c>
      <c r="AO27" s="487">
        <v>0</v>
      </c>
      <c r="CE27" s="471"/>
      <c r="CF27" t="e">
        <f t="shared" si="0"/>
        <v>#N/A</v>
      </c>
      <c r="CG27" s="471" t="s">
        <v>1125</v>
      </c>
      <c r="CH27" t="str">
        <f t="shared" si="1"/>
        <v/>
      </c>
      <c r="CI27" s="471" t="s">
        <v>1149</v>
      </c>
      <c r="CJ27" s="471" t="s">
        <v>1149</v>
      </c>
    </row>
    <row r="28" spans="1:88" x14ac:dyDescent="0.2">
      <c r="A28">
        <v>27</v>
      </c>
      <c r="B28" s="471" t="s">
        <v>861</v>
      </c>
      <c r="C28" s="163" t="s">
        <v>4706</v>
      </c>
      <c r="D28" s="163" t="s">
        <v>4707</v>
      </c>
      <c r="E28" s="163" t="s">
        <v>2304</v>
      </c>
      <c r="F28" s="163" t="s">
        <v>2025</v>
      </c>
      <c r="G28" s="163" t="s">
        <v>36</v>
      </c>
      <c r="H28" s="163" t="s">
        <v>2200</v>
      </c>
      <c r="I28" s="163" t="s">
        <v>5725</v>
      </c>
      <c r="J28" s="163" t="s">
        <v>1768</v>
      </c>
      <c r="K28" s="163" t="s">
        <v>2305</v>
      </c>
      <c r="L28" s="163" t="s">
        <v>2306</v>
      </c>
      <c r="M28" s="163" t="s">
        <v>4708</v>
      </c>
      <c r="N28" s="163" t="s">
        <v>4706</v>
      </c>
      <c r="O28" s="163" t="s">
        <v>906</v>
      </c>
      <c r="P28" s="163" t="s">
        <v>2308</v>
      </c>
      <c r="Q28" s="163" t="s">
        <v>4938</v>
      </c>
      <c r="R28" s="163" t="s">
        <v>2309</v>
      </c>
      <c r="S28" s="163" t="s">
        <v>4709</v>
      </c>
      <c r="T28" s="163">
        <v>1152</v>
      </c>
      <c r="U28" s="163" t="s">
        <v>1952</v>
      </c>
      <c r="V28" s="163" t="s">
        <v>3327</v>
      </c>
      <c r="W28" s="163" t="s">
        <v>4710</v>
      </c>
      <c r="X28" s="163" t="s">
        <v>2810</v>
      </c>
      <c r="Y28" s="163" t="s">
        <v>111</v>
      </c>
      <c r="Z28" s="163" t="s">
        <v>111</v>
      </c>
      <c r="AA28" s="163" t="s">
        <v>111</v>
      </c>
      <c r="AB28" s="163" t="s">
        <v>5781</v>
      </c>
      <c r="AC28" s="163" t="s">
        <v>2195</v>
      </c>
      <c r="AD28" s="163" t="s">
        <v>2196</v>
      </c>
      <c r="AE28" s="163" t="s">
        <v>1762</v>
      </c>
      <c r="AF28" s="163" t="s">
        <v>3419</v>
      </c>
      <c r="AG28" s="163" t="s">
        <v>36</v>
      </c>
      <c r="AH28" s="163" t="s">
        <v>36</v>
      </c>
      <c r="AI28" s="163" t="s">
        <v>36</v>
      </c>
      <c r="AJ28" s="163" t="s">
        <v>36</v>
      </c>
      <c r="AK28" s="163" t="s">
        <v>2197</v>
      </c>
      <c r="AL28" s="163" t="s">
        <v>36</v>
      </c>
      <c r="AM28" t="s">
        <v>4876</v>
      </c>
      <c r="AN28" s="487">
        <v>0</v>
      </c>
      <c r="AO28" s="487">
        <v>0</v>
      </c>
      <c r="CE28" s="471"/>
      <c r="CF28" t="e">
        <f t="shared" si="0"/>
        <v>#N/A</v>
      </c>
      <c r="CG28" s="471" t="s">
        <v>1149</v>
      </c>
      <c r="CH28" t="str">
        <f t="shared" si="1"/>
        <v/>
      </c>
      <c r="CI28" s="471" t="s">
        <v>3773</v>
      </c>
      <c r="CJ28" s="471" t="s">
        <v>3773</v>
      </c>
    </row>
    <row r="29" spans="1:88" x14ac:dyDescent="0.2">
      <c r="A29">
        <v>28</v>
      </c>
      <c r="B29" s="471" t="s">
        <v>865</v>
      </c>
      <c r="C29" s="163" t="s">
        <v>867</v>
      </c>
      <c r="D29" s="163" t="s">
        <v>4058</v>
      </c>
      <c r="E29" s="163" t="s">
        <v>2026</v>
      </c>
      <c r="F29" s="163" t="s">
        <v>2027</v>
      </c>
      <c r="G29" s="163" t="s">
        <v>36</v>
      </c>
      <c r="H29" s="163" t="s">
        <v>2200</v>
      </c>
      <c r="I29" s="163" t="s">
        <v>5725</v>
      </c>
      <c r="J29" s="163" t="s">
        <v>1768</v>
      </c>
      <c r="K29" s="163" t="s">
        <v>1241</v>
      </c>
      <c r="L29" s="163" t="s">
        <v>2315</v>
      </c>
      <c r="M29" s="163" t="s">
        <v>2316</v>
      </c>
      <c r="N29" s="163" t="s">
        <v>867</v>
      </c>
      <c r="O29" s="163" t="s">
        <v>906</v>
      </c>
      <c r="P29" s="163" t="s">
        <v>2317</v>
      </c>
      <c r="Q29" s="163" t="s">
        <v>2318</v>
      </c>
      <c r="R29" s="163" t="s">
        <v>2193</v>
      </c>
      <c r="S29" s="163" t="s">
        <v>2319</v>
      </c>
      <c r="T29" s="163">
        <v>42.3</v>
      </c>
      <c r="U29" s="163" t="s">
        <v>1952</v>
      </c>
      <c r="V29" s="163" t="s">
        <v>2320</v>
      </c>
      <c r="W29" s="163" t="s">
        <v>2321</v>
      </c>
      <c r="X29" s="163" t="s">
        <v>4937</v>
      </c>
      <c r="Y29" s="163" t="s">
        <v>111</v>
      </c>
      <c r="Z29" s="163" t="s">
        <v>111</v>
      </c>
      <c r="AA29" s="163" t="s">
        <v>111</v>
      </c>
      <c r="AB29" s="163" t="s">
        <v>36</v>
      </c>
      <c r="AC29" s="163" t="s">
        <v>2195</v>
      </c>
      <c r="AD29" s="163" t="s">
        <v>2196</v>
      </c>
      <c r="AE29" s="163" t="s">
        <v>1762</v>
      </c>
      <c r="AF29" s="163">
        <v>3.2</v>
      </c>
      <c r="AG29" s="163">
        <v>1.4</v>
      </c>
      <c r="AH29" s="163">
        <v>0.25</v>
      </c>
      <c r="AI29" s="163" t="s">
        <v>3960</v>
      </c>
      <c r="AJ29" s="163" t="s">
        <v>36</v>
      </c>
      <c r="AK29" s="163" t="s">
        <v>2197</v>
      </c>
      <c r="AL29" s="163" t="s">
        <v>36</v>
      </c>
      <c r="AM29" t="s">
        <v>4876</v>
      </c>
      <c r="AN29" s="487">
        <v>0</v>
      </c>
      <c r="AO29" s="487">
        <v>0</v>
      </c>
      <c r="CE29" s="471"/>
      <c r="CF29" t="e">
        <f t="shared" si="0"/>
        <v>#N/A</v>
      </c>
      <c r="CG29" s="471" t="s">
        <v>3773</v>
      </c>
      <c r="CH29" t="str">
        <f t="shared" si="1"/>
        <v/>
      </c>
      <c r="CI29" s="471" t="s">
        <v>1168</v>
      </c>
      <c r="CJ29" s="471" t="s">
        <v>1168</v>
      </c>
    </row>
    <row r="30" spans="1:88" x14ac:dyDescent="0.2">
      <c r="A30">
        <v>29</v>
      </c>
      <c r="B30" s="471" t="s">
        <v>869</v>
      </c>
      <c r="C30" s="163" t="s">
        <v>4523</v>
      </c>
      <c r="D30" s="163" t="s">
        <v>4524</v>
      </c>
      <c r="E30" s="163" t="s">
        <v>2052</v>
      </c>
      <c r="F30" s="163" t="s">
        <v>4525</v>
      </c>
      <c r="G30" s="163" t="s">
        <v>36</v>
      </c>
      <c r="H30" s="163" t="s">
        <v>2200</v>
      </c>
      <c r="I30" s="163" t="s">
        <v>5119</v>
      </c>
      <c r="J30" s="163" t="s">
        <v>1768</v>
      </c>
      <c r="K30" s="163" t="s">
        <v>2322</v>
      </c>
      <c r="L30" s="163" t="s">
        <v>4523</v>
      </c>
      <c r="M30" s="163" t="s">
        <v>4526</v>
      </c>
      <c r="N30" s="163" t="s">
        <v>2322</v>
      </c>
      <c r="O30" s="163" t="s">
        <v>906</v>
      </c>
      <c r="P30" s="163" t="s">
        <v>4527</v>
      </c>
      <c r="Q30" s="163" t="s">
        <v>4941</v>
      </c>
      <c r="R30" s="163" t="s">
        <v>2193</v>
      </c>
      <c r="S30" s="163" t="s">
        <v>4528</v>
      </c>
      <c r="T30" s="163">
        <v>4.0999999999999996</v>
      </c>
      <c r="U30" s="163" t="s">
        <v>1952</v>
      </c>
      <c r="V30" s="163" t="s">
        <v>3546</v>
      </c>
      <c r="W30" s="163" t="s">
        <v>4526</v>
      </c>
      <c r="X30" s="163" t="s">
        <v>2323</v>
      </c>
      <c r="Y30" s="163" t="s">
        <v>4529</v>
      </c>
      <c r="Z30" s="163">
        <v>14905990004</v>
      </c>
      <c r="AA30" s="163" t="s">
        <v>4942</v>
      </c>
      <c r="AB30" s="163" t="s">
        <v>2264</v>
      </c>
      <c r="AC30" s="163" t="s">
        <v>2195</v>
      </c>
      <c r="AD30" s="163" t="s">
        <v>2196</v>
      </c>
      <c r="AE30" s="163" t="s">
        <v>1762</v>
      </c>
      <c r="AF30" s="163" t="s">
        <v>3419</v>
      </c>
      <c r="AG30" s="163" t="s">
        <v>36</v>
      </c>
      <c r="AH30" s="163" t="s">
        <v>36</v>
      </c>
      <c r="AI30" s="163" t="s">
        <v>36</v>
      </c>
      <c r="AJ30" s="163" t="s">
        <v>36</v>
      </c>
      <c r="AK30" s="163" t="s">
        <v>2197</v>
      </c>
      <c r="AL30" s="163" t="s">
        <v>36</v>
      </c>
      <c r="AM30" t="s">
        <v>4877</v>
      </c>
      <c r="AN30" s="487">
        <v>0</v>
      </c>
      <c r="AO30" s="487">
        <v>0</v>
      </c>
      <c r="CE30" s="471"/>
      <c r="CF30" t="e">
        <f t="shared" si="0"/>
        <v>#N/A</v>
      </c>
      <c r="CG30" s="471" t="s">
        <v>1168</v>
      </c>
      <c r="CH30" t="str">
        <f t="shared" ref="CH30:CH37" si="2">IF(CG32=CG$3,VLOOKUP(CF30,A$2:C$500,3,FALSE),"")</f>
        <v/>
      </c>
      <c r="CI30" s="471" t="s">
        <v>1173</v>
      </c>
      <c r="CJ30" s="471" t="s">
        <v>1173</v>
      </c>
    </row>
    <row r="31" spans="1:88" x14ac:dyDescent="0.2">
      <c r="A31">
        <v>30</v>
      </c>
      <c r="B31" s="471" t="s">
        <v>1888</v>
      </c>
      <c r="C31" s="163" t="s">
        <v>1891</v>
      </c>
      <c r="D31" s="163" t="s">
        <v>4059</v>
      </c>
      <c r="E31" s="163" t="s">
        <v>2325</v>
      </c>
      <c r="F31" s="163" t="s">
        <v>2030</v>
      </c>
      <c r="G31" s="163" t="s">
        <v>36</v>
      </c>
      <c r="H31" s="163" t="s">
        <v>2200</v>
      </c>
      <c r="I31" s="163" t="s">
        <v>5725</v>
      </c>
      <c r="J31" s="163" t="s">
        <v>2188</v>
      </c>
      <c r="K31" s="163" t="s">
        <v>1891</v>
      </c>
      <c r="L31" s="163" t="s">
        <v>2327</v>
      </c>
      <c r="M31" s="163" t="s">
        <v>1891</v>
      </c>
      <c r="N31" s="163" t="s">
        <v>1891</v>
      </c>
      <c r="O31" s="163" t="s">
        <v>906</v>
      </c>
      <c r="P31" s="163" t="s">
        <v>2335</v>
      </c>
      <c r="Q31" s="163" t="s">
        <v>2335</v>
      </c>
      <c r="R31" s="163" t="s">
        <v>2199</v>
      </c>
      <c r="S31" s="163" t="s">
        <v>2336</v>
      </c>
      <c r="T31" s="163">
        <v>324.5</v>
      </c>
      <c r="U31" s="163" t="s">
        <v>1952</v>
      </c>
      <c r="V31" s="163" t="s">
        <v>2332</v>
      </c>
      <c r="W31" s="163" t="s">
        <v>111</v>
      </c>
      <c r="X31" s="163" t="s">
        <v>4935</v>
      </c>
      <c r="Y31" s="163" t="s">
        <v>2332</v>
      </c>
      <c r="Z31" s="163" t="s">
        <v>111</v>
      </c>
      <c r="AA31" s="163" t="s">
        <v>4935</v>
      </c>
      <c r="AB31" s="163" t="s">
        <v>2337</v>
      </c>
      <c r="AC31" s="163" t="s">
        <v>2195</v>
      </c>
      <c r="AD31" s="163" t="s">
        <v>2196</v>
      </c>
      <c r="AE31" s="163" t="s">
        <v>1762</v>
      </c>
      <c r="AF31" s="163" t="s">
        <v>3419</v>
      </c>
      <c r="AG31" s="163" t="s">
        <v>36</v>
      </c>
      <c r="AH31" s="163" t="s">
        <v>36</v>
      </c>
      <c r="AI31" s="163" t="s">
        <v>36</v>
      </c>
      <c r="AJ31" s="163" t="s">
        <v>36</v>
      </c>
      <c r="AK31" s="163" t="s">
        <v>2197</v>
      </c>
      <c r="AL31" s="163" t="s">
        <v>36</v>
      </c>
      <c r="AM31" t="s">
        <v>4876</v>
      </c>
      <c r="AN31" s="487">
        <v>0</v>
      </c>
      <c r="AO31" s="487">
        <v>0</v>
      </c>
      <c r="CE31" s="471"/>
      <c r="CF31" t="e">
        <f t="shared" si="0"/>
        <v>#N/A</v>
      </c>
      <c r="CG31" s="471" t="s">
        <v>5562</v>
      </c>
      <c r="CH31" t="str">
        <f t="shared" si="2"/>
        <v/>
      </c>
      <c r="CI31" s="471" t="s">
        <v>1190</v>
      </c>
      <c r="CJ31" s="471" t="s">
        <v>1190</v>
      </c>
    </row>
    <row r="32" spans="1:88" x14ac:dyDescent="0.2">
      <c r="A32">
        <v>31</v>
      </c>
      <c r="B32" s="471" t="s">
        <v>1888</v>
      </c>
      <c r="C32" s="163" t="s">
        <v>1848</v>
      </c>
      <c r="D32" s="163" t="s">
        <v>4060</v>
      </c>
      <c r="E32" s="163" t="s">
        <v>2325</v>
      </c>
      <c r="F32" s="163" t="s">
        <v>2030</v>
      </c>
      <c r="G32" s="163" t="s">
        <v>36</v>
      </c>
      <c r="H32" s="163" t="s">
        <v>2200</v>
      </c>
      <c r="I32" s="163" t="s">
        <v>5725</v>
      </c>
      <c r="J32" s="163" t="s">
        <v>1768</v>
      </c>
      <c r="K32" s="163" t="s">
        <v>1910</v>
      </c>
      <c r="L32" s="163" t="s">
        <v>2355</v>
      </c>
      <c r="M32" s="163" t="s">
        <v>2356</v>
      </c>
      <c r="N32" s="163" t="s">
        <v>1848</v>
      </c>
      <c r="O32" s="163" t="s">
        <v>906</v>
      </c>
      <c r="P32" s="163" t="s">
        <v>2357</v>
      </c>
      <c r="Q32" s="163" t="s">
        <v>4936</v>
      </c>
      <c r="R32" s="163" t="s">
        <v>2358</v>
      </c>
      <c r="S32" s="163" t="s">
        <v>2359</v>
      </c>
      <c r="T32" s="163">
        <v>1862</v>
      </c>
      <c r="U32" s="163" t="s">
        <v>2222</v>
      </c>
      <c r="V32" s="163" t="s">
        <v>2360</v>
      </c>
      <c r="W32" s="163" t="s">
        <v>2361</v>
      </c>
      <c r="X32" s="163" t="s">
        <v>4937</v>
      </c>
      <c r="Y32" s="163" t="s">
        <v>2362</v>
      </c>
      <c r="Z32" s="163" t="s">
        <v>2363</v>
      </c>
      <c r="AA32" s="163" t="s">
        <v>4937</v>
      </c>
      <c r="AB32" s="163" t="s">
        <v>36</v>
      </c>
      <c r="AC32" s="163" t="s">
        <v>2195</v>
      </c>
      <c r="AD32" s="163" t="s">
        <v>2196</v>
      </c>
      <c r="AE32" s="163" t="s">
        <v>1762</v>
      </c>
      <c r="AF32" s="163" t="s">
        <v>3419</v>
      </c>
      <c r="AG32" s="163" t="s">
        <v>36</v>
      </c>
      <c r="AH32" s="163" t="s">
        <v>36</v>
      </c>
      <c r="AI32" s="163" t="s">
        <v>36</v>
      </c>
      <c r="AJ32" s="163" t="s">
        <v>36</v>
      </c>
      <c r="AK32" s="163" t="s">
        <v>2197</v>
      </c>
      <c r="AL32" s="163" t="s">
        <v>36</v>
      </c>
      <c r="AM32" t="s">
        <v>4876</v>
      </c>
      <c r="AN32" s="487">
        <v>0</v>
      </c>
      <c r="AO32" s="487">
        <v>0</v>
      </c>
      <c r="CE32" s="471"/>
      <c r="CF32" t="e">
        <f t="shared" si="0"/>
        <v>#N/A</v>
      </c>
      <c r="CG32" s="471" t="s">
        <v>1173</v>
      </c>
      <c r="CH32" t="str">
        <f t="shared" si="2"/>
        <v/>
      </c>
      <c r="CI32" s="471" t="s">
        <v>1198</v>
      </c>
      <c r="CJ32" s="471" t="s">
        <v>1198</v>
      </c>
    </row>
    <row r="33" spans="1:88" x14ac:dyDescent="0.2">
      <c r="A33">
        <v>32</v>
      </c>
      <c r="B33" s="471" t="s">
        <v>1888</v>
      </c>
      <c r="C33" s="163" t="s">
        <v>1857</v>
      </c>
      <c r="D33" s="163" t="s">
        <v>4061</v>
      </c>
      <c r="E33" s="163" t="s">
        <v>2325</v>
      </c>
      <c r="F33" s="163" t="s">
        <v>2030</v>
      </c>
      <c r="G33" s="163" t="s">
        <v>36</v>
      </c>
      <c r="H33" s="163" t="s">
        <v>2200</v>
      </c>
      <c r="I33" s="163" t="s">
        <v>5725</v>
      </c>
      <c r="J33" s="163" t="s">
        <v>1768</v>
      </c>
      <c r="K33" s="163" t="s">
        <v>1857</v>
      </c>
      <c r="L33" s="163" t="s">
        <v>2327</v>
      </c>
      <c r="M33" s="163" t="s">
        <v>2347</v>
      </c>
      <c r="N33" s="163" t="s">
        <v>1857</v>
      </c>
      <c r="O33" s="163" t="s">
        <v>906</v>
      </c>
      <c r="P33" s="163" t="s">
        <v>2258</v>
      </c>
      <c r="Q33" s="163" t="s">
        <v>4936</v>
      </c>
      <c r="R33" s="163" t="s">
        <v>2193</v>
      </c>
      <c r="S33" s="163" t="s">
        <v>2348</v>
      </c>
      <c r="T33" s="163">
        <v>87.5</v>
      </c>
      <c r="U33" s="163" t="s">
        <v>2222</v>
      </c>
      <c r="V33" s="163" t="s">
        <v>2349</v>
      </c>
      <c r="W33" s="163" t="s">
        <v>2350</v>
      </c>
      <c r="X33" s="163" t="s">
        <v>4937</v>
      </c>
      <c r="Y33" s="163" t="s">
        <v>111</v>
      </c>
      <c r="Z33" s="163" t="s">
        <v>111</v>
      </c>
      <c r="AA33" s="163" t="s">
        <v>111</v>
      </c>
      <c r="AB33" s="163" t="s">
        <v>36</v>
      </c>
      <c r="AC33" s="163" t="s">
        <v>2195</v>
      </c>
      <c r="AD33" s="163" t="s">
        <v>2196</v>
      </c>
      <c r="AE33" s="163" t="s">
        <v>1762</v>
      </c>
      <c r="AF33" s="163" t="s">
        <v>3419</v>
      </c>
      <c r="AG33" s="163" t="s">
        <v>36</v>
      </c>
      <c r="AH33" s="163" t="s">
        <v>36</v>
      </c>
      <c r="AI33" s="163" t="s">
        <v>36</v>
      </c>
      <c r="AJ33" s="163" t="s">
        <v>36</v>
      </c>
      <c r="AK33" s="163" t="s">
        <v>2197</v>
      </c>
      <c r="AL33" s="163" t="s">
        <v>36</v>
      </c>
      <c r="AM33" t="s">
        <v>4878</v>
      </c>
      <c r="AN33" s="487">
        <v>0</v>
      </c>
      <c r="AO33" s="487">
        <v>0</v>
      </c>
      <c r="CE33" s="471"/>
      <c r="CF33" t="e">
        <f t="shared" si="0"/>
        <v>#N/A</v>
      </c>
      <c r="CG33" s="471" t="s">
        <v>1190</v>
      </c>
      <c r="CH33" t="str">
        <f t="shared" si="2"/>
        <v/>
      </c>
      <c r="CI33" s="471" t="s">
        <v>1966</v>
      </c>
      <c r="CJ33" s="471" t="s">
        <v>1966</v>
      </c>
    </row>
    <row r="34" spans="1:88" x14ac:dyDescent="0.2">
      <c r="A34">
        <v>33</v>
      </c>
      <c r="B34" s="471" t="s">
        <v>1888</v>
      </c>
      <c r="C34" s="163" t="s">
        <v>1894</v>
      </c>
      <c r="D34" s="163" t="s">
        <v>4062</v>
      </c>
      <c r="E34" s="163" t="s">
        <v>2325</v>
      </c>
      <c r="F34" s="163" t="s">
        <v>2030</v>
      </c>
      <c r="G34" s="163" t="s">
        <v>36</v>
      </c>
      <c r="H34" s="163" t="s">
        <v>2200</v>
      </c>
      <c r="I34" s="163" t="s">
        <v>5725</v>
      </c>
      <c r="J34" s="163" t="s">
        <v>1768</v>
      </c>
      <c r="K34" s="163" t="s">
        <v>2338</v>
      </c>
      <c r="L34" s="163" t="s">
        <v>2327</v>
      </c>
      <c r="M34" s="163" t="s">
        <v>2338</v>
      </c>
      <c r="N34" s="163" t="s">
        <v>1894</v>
      </c>
      <c r="O34" s="163" t="s">
        <v>906</v>
      </c>
      <c r="P34" s="163" t="s">
        <v>2341</v>
      </c>
      <c r="Q34" s="163" t="s">
        <v>4938</v>
      </c>
      <c r="R34" s="163" t="s">
        <v>2199</v>
      </c>
      <c r="S34" s="163" t="s">
        <v>2331</v>
      </c>
      <c r="T34" s="163">
        <v>310.60000000000002</v>
      </c>
      <c r="U34" s="163" t="s">
        <v>1952</v>
      </c>
      <c r="V34" s="163" t="s">
        <v>2332</v>
      </c>
      <c r="W34" s="163" t="s">
        <v>111</v>
      </c>
      <c r="X34" s="163" t="s">
        <v>4939</v>
      </c>
      <c r="Y34" s="163" t="s">
        <v>2332</v>
      </c>
      <c r="Z34" s="163" t="s">
        <v>111</v>
      </c>
      <c r="AA34" s="163" t="s">
        <v>4939</v>
      </c>
      <c r="AB34" s="163" t="s">
        <v>2334</v>
      </c>
      <c r="AC34" s="163" t="s">
        <v>2195</v>
      </c>
      <c r="AD34" s="163" t="s">
        <v>2196</v>
      </c>
      <c r="AE34" s="163" t="s">
        <v>1762</v>
      </c>
      <c r="AF34" s="163" t="s">
        <v>3419</v>
      </c>
      <c r="AG34" s="163" t="s">
        <v>36</v>
      </c>
      <c r="AH34" s="163" t="s">
        <v>36</v>
      </c>
      <c r="AI34" s="163" t="s">
        <v>36</v>
      </c>
      <c r="AJ34" s="163" t="s">
        <v>36</v>
      </c>
      <c r="AK34" s="163" t="s">
        <v>2197</v>
      </c>
      <c r="AL34" s="163" t="s">
        <v>36</v>
      </c>
      <c r="AM34" t="s">
        <v>4876</v>
      </c>
      <c r="AN34" s="487">
        <v>0</v>
      </c>
      <c r="AO34" s="487">
        <v>0</v>
      </c>
      <c r="CE34" s="471"/>
      <c r="CF34" t="e">
        <f t="shared" si="0"/>
        <v>#N/A</v>
      </c>
      <c r="CG34" s="471" t="s">
        <v>1198</v>
      </c>
      <c r="CH34" t="str">
        <f t="shared" si="2"/>
        <v/>
      </c>
      <c r="CI34" s="471" t="s">
        <v>1205</v>
      </c>
      <c r="CJ34" s="471" t="s">
        <v>1205</v>
      </c>
    </row>
    <row r="35" spans="1:88" x14ac:dyDescent="0.2">
      <c r="A35">
        <v>34</v>
      </c>
      <c r="B35" s="471" t="s">
        <v>1888</v>
      </c>
      <c r="C35" s="163" t="s">
        <v>5124</v>
      </c>
      <c r="D35" s="163" t="s">
        <v>5125</v>
      </c>
      <c r="E35" s="163" t="s">
        <v>2325</v>
      </c>
      <c r="F35" s="163" t="s">
        <v>2030</v>
      </c>
      <c r="G35" s="163" t="s">
        <v>36</v>
      </c>
      <c r="H35" s="163" t="s">
        <v>2200</v>
      </c>
      <c r="I35" s="163" t="s">
        <v>5725</v>
      </c>
      <c r="J35" s="163" t="s">
        <v>1768</v>
      </c>
      <c r="K35" s="163" t="s">
        <v>5126</v>
      </c>
      <c r="L35" s="163" t="s">
        <v>2327</v>
      </c>
      <c r="M35" s="163" t="s">
        <v>5126</v>
      </c>
      <c r="N35" s="163" t="s">
        <v>5124</v>
      </c>
      <c r="O35" s="163" t="s">
        <v>906</v>
      </c>
      <c r="P35" s="163" t="s">
        <v>5127</v>
      </c>
      <c r="Q35" s="163" t="s">
        <v>4938</v>
      </c>
      <c r="R35" s="163" t="s">
        <v>2199</v>
      </c>
      <c r="S35" s="163" t="s">
        <v>2331</v>
      </c>
      <c r="T35" s="163">
        <v>310.60000000000002</v>
      </c>
      <c r="U35" s="163" t="s">
        <v>1952</v>
      </c>
      <c r="V35" s="163" t="s">
        <v>2332</v>
      </c>
      <c r="W35" s="163" t="s">
        <v>111</v>
      </c>
      <c r="X35" s="163" t="s">
        <v>4939</v>
      </c>
      <c r="Y35" s="163" t="s">
        <v>2332</v>
      </c>
      <c r="Z35" s="163" t="s">
        <v>111</v>
      </c>
      <c r="AA35" s="163" t="s">
        <v>4939</v>
      </c>
      <c r="AB35" s="163" t="s">
        <v>2334</v>
      </c>
      <c r="AC35" s="163" t="s">
        <v>2195</v>
      </c>
      <c r="AD35" s="163" t="s">
        <v>2196</v>
      </c>
      <c r="AE35" s="163" t="s">
        <v>1762</v>
      </c>
      <c r="AF35" s="163" t="s">
        <v>3419</v>
      </c>
      <c r="AG35" s="163" t="s">
        <v>36</v>
      </c>
      <c r="AH35" s="163" t="s">
        <v>36</v>
      </c>
      <c r="AI35" s="163" t="s">
        <v>36</v>
      </c>
      <c r="AJ35" s="163" t="s">
        <v>36</v>
      </c>
      <c r="AK35" s="163" t="s">
        <v>2197</v>
      </c>
      <c r="AL35" s="163" t="s">
        <v>36</v>
      </c>
      <c r="AM35" t="s">
        <v>4876</v>
      </c>
      <c r="AN35" s="487"/>
      <c r="AO35" s="487"/>
      <c r="CE35" s="471"/>
      <c r="CF35" t="e">
        <f t="shared" si="0"/>
        <v>#N/A</v>
      </c>
      <c r="CG35" s="471" t="s">
        <v>5084</v>
      </c>
      <c r="CH35" t="str">
        <f t="shared" si="2"/>
        <v/>
      </c>
      <c r="CI35" s="471" t="s">
        <v>1230</v>
      </c>
      <c r="CJ35" s="471" t="s">
        <v>1230</v>
      </c>
    </row>
    <row r="36" spans="1:88" x14ac:dyDescent="0.2">
      <c r="A36">
        <v>35</v>
      </c>
      <c r="B36" s="471" t="s">
        <v>1888</v>
      </c>
      <c r="C36" s="163" t="s">
        <v>1898</v>
      </c>
      <c r="D36" s="163" t="s">
        <v>4063</v>
      </c>
      <c r="E36" s="163" t="s">
        <v>2325</v>
      </c>
      <c r="F36" s="163" t="s">
        <v>2030</v>
      </c>
      <c r="G36" s="163" t="s">
        <v>36</v>
      </c>
      <c r="H36" s="163" t="s">
        <v>2200</v>
      </c>
      <c r="I36" s="163" t="s">
        <v>5725</v>
      </c>
      <c r="J36" s="163" t="s">
        <v>1768</v>
      </c>
      <c r="K36" s="163" t="s">
        <v>2343</v>
      </c>
      <c r="L36" s="163" t="s">
        <v>2327</v>
      </c>
      <c r="M36" s="163" t="s">
        <v>2343</v>
      </c>
      <c r="N36" s="163" t="s">
        <v>1898</v>
      </c>
      <c r="O36" s="163" t="s">
        <v>906</v>
      </c>
      <c r="P36" s="163" t="s">
        <v>5128</v>
      </c>
      <c r="Q36" s="163" t="s">
        <v>4938</v>
      </c>
      <c r="R36" s="163" t="s">
        <v>2199</v>
      </c>
      <c r="S36" s="163" t="s">
        <v>2331</v>
      </c>
      <c r="T36" s="163">
        <v>310.60000000000002</v>
      </c>
      <c r="U36" s="163" t="s">
        <v>1952</v>
      </c>
      <c r="V36" s="163" t="s">
        <v>2332</v>
      </c>
      <c r="W36" s="163" t="s">
        <v>111</v>
      </c>
      <c r="X36" s="163" t="s">
        <v>4939</v>
      </c>
      <c r="Y36" s="163" t="s">
        <v>2332</v>
      </c>
      <c r="Z36" s="163" t="s">
        <v>111</v>
      </c>
      <c r="AA36" s="163" t="s">
        <v>4939</v>
      </c>
      <c r="AB36" s="163" t="s">
        <v>2334</v>
      </c>
      <c r="AC36" s="163" t="s">
        <v>2195</v>
      </c>
      <c r="AD36" s="163" t="s">
        <v>2196</v>
      </c>
      <c r="AE36" s="163" t="s">
        <v>1762</v>
      </c>
      <c r="AF36" s="163" t="s">
        <v>3419</v>
      </c>
      <c r="AG36" s="163" t="s">
        <v>36</v>
      </c>
      <c r="AH36" s="163" t="s">
        <v>36</v>
      </c>
      <c r="AI36" s="163" t="s">
        <v>36</v>
      </c>
      <c r="AJ36" s="163" t="s">
        <v>36</v>
      </c>
      <c r="AK36" s="163" t="s">
        <v>2197</v>
      </c>
      <c r="AL36" s="163" t="s">
        <v>36</v>
      </c>
      <c r="AM36" t="s">
        <v>4876</v>
      </c>
      <c r="AN36" s="487">
        <v>0</v>
      </c>
      <c r="AO36" s="487">
        <v>0</v>
      </c>
      <c r="CE36" s="471"/>
      <c r="CF36" t="e">
        <f t="shared" si="0"/>
        <v>#N/A</v>
      </c>
      <c r="CG36" s="471" t="s">
        <v>1966</v>
      </c>
      <c r="CH36" t="str">
        <f t="shared" si="2"/>
        <v/>
      </c>
      <c r="CI36" s="471" t="s">
        <v>4807</v>
      </c>
      <c r="CJ36" s="471" t="s">
        <v>4807</v>
      </c>
    </row>
    <row r="37" spans="1:88" x14ac:dyDescent="0.2">
      <c r="A37">
        <v>36</v>
      </c>
      <c r="B37" s="471" t="s">
        <v>1888</v>
      </c>
      <c r="C37" s="163" t="s">
        <v>5129</v>
      </c>
      <c r="D37" s="163" t="s">
        <v>5130</v>
      </c>
      <c r="E37" s="163" t="s">
        <v>2325</v>
      </c>
      <c r="F37" s="163" t="s">
        <v>2030</v>
      </c>
      <c r="G37" s="163" t="s">
        <v>36</v>
      </c>
      <c r="H37" s="163" t="s">
        <v>2200</v>
      </c>
      <c r="I37" s="163" t="s">
        <v>5725</v>
      </c>
      <c r="J37" s="163" t="s">
        <v>1768</v>
      </c>
      <c r="K37" s="163" t="s">
        <v>5131</v>
      </c>
      <c r="L37" s="163" t="s">
        <v>2327</v>
      </c>
      <c r="M37" s="163" t="s">
        <v>5131</v>
      </c>
      <c r="N37" s="163" t="s">
        <v>5129</v>
      </c>
      <c r="O37" s="163" t="s">
        <v>906</v>
      </c>
      <c r="P37" s="163" t="s">
        <v>5127</v>
      </c>
      <c r="Q37" s="163" t="s">
        <v>4938</v>
      </c>
      <c r="R37" s="163" t="s">
        <v>2199</v>
      </c>
      <c r="S37" s="163" t="s">
        <v>2331</v>
      </c>
      <c r="T37" s="163">
        <v>310.60000000000002</v>
      </c>
      <c r="U37" s="163" t="s">
        <v>1952</v>
      </c>
      <c r="V37" s="163" t="s">
        <v>2332</v>
      </c>
      <c r="W37" s="163" t="s">
        <v>111</v>
      </c>
      <c r="X37" s="163" t="s">
        <v>4939</v>
      </c>
      <c r="Y37" s="163" t="s">
        <v>2332</v>
      </c>
      <c r="Z37" s="163" t="s">
        <v>111</v>
      </c>
      <c r="AA37" s="163" t="s">
        <v>4939</v>
      </c>
      <c r="AB37" s="163" t="s">
        <v>2334</v>
      </c>
      <c r="AC37" s="163" t="s">
        <v>2195</v>
      </c>
      <c r="AD37" s="163" t="s">
        <v>2196</v>
      </c>
      <c r="AE37" s="163" t="s">
        <v>1762</v>
      </c>
      <c r="AF37" s="163" t="s">
        <v>3419</v>
      </c>
      <c r="AG37" s="163" t="s">
        <v>36</v>
      </c>
      <c r="AH37" s="163" t="s">
        <v>36</v>
      </c>
      <c r="AI37" s="163" t="s">
        <v>36</v>
      </c>
      <c r="AJ37" s="163" t="s">
        <v>36</v>
      </c>
      <c r="AK37" s="163" t="s">
        <v>2197</v>
      </c>
      <c r="AL37" s="163" t="s">
        <v>36</v>
      </c>
      <c r="AM37" t="s">
        <v>4876</v>
      </c>
      <c r="AN37" s="487"/>
      <c r="AO37" s="487"/>
      <c r="CE37" s="471"/>
      <c r="CF37" t="e">
        <f t="shared" si="0"/>
        <v>#N/A</v>
      </c>
      <c r="CG37" s="471" t="s">
        <v>1205</v>
      </c>
      <c r="CH37" t="str">
        <f t="shared" si="2"/>
        <v/>
      </c>
      <c r="CI37" s="471" t="s">
        <v>1777</v>
      </c>
      <c r="CJ37" s="471" t="s">
        <v>1777</v>
      </c>
    </row>
    <row r="38" spans="1:88" x14ac:dyDescent="0.2">
      <c r="A38">
        <v>37</v>
      </c>
      <c r="B38" s="471" t="s">
        <v>1888</v>
      </c>
      <c r="C38" s="163" t="s">
        <v>1896</v>
      </c>
      <c r="D38" s="163" t="s">
        <v>4064</v>
      </c>
      <c r="E38" s="163" t="s">
        <v>2325</v>
      </c>
      <c r="F38" s="163" t="s">
        <v>2030</v>
      </c>
      <c r="G38" s="163" t="s">
        <v>36</v>
      </c>
      <c r="H38" s="163" t="s">
        <v>2200</v>
      </c>
      <c r="I38" s="163" t="s">
        <v>5725</v>
      </c>
      <c r="J38" s="163" t="s">
        <v>1768</v>
      </c>
      <c r="K38" s="163" t="s">
        <v>2339</v>
      </c>
      <c r="L38" s="163" t="s">
        <v>2327</v>
      </c>
      <c r="M38" s="163" t="s">
        <v>2339</v>
      </c>
      <c r="N38" s="163" t="s">
        <v>1896</v>
      </c>
      <c r="O38" s="163" t="s">
        <v>906</v>
      </c>
      <c r="P38" s="163" t="s">
        <v>2346</v>
      </c>
      <c r="Q38" s="163" t="s">
        <v>4938</v>
      </c>
      <c r="R38" s="163" t="s">
        <v>2199</v>
      </c>
      <c r="S38" s="163" t="s">
        <v>2331</v>
      </c>
      <c r="T38" s="163">
        <v>310.60000000000002</v>
      </c>
      <c r="U38" s="163" t="s">
        <v>1952</v>
      </c>
      <c r="V38" s="163" t="s">
        <v>2332</v>
      </c>
      <c r="W38" s="163" t="s">
        <v>111</v>
      </c>
      <c r="X38" s="163" t="s">
        <v>4939</v>
      </c>
      <c r="Y38" s="163" t="s">
        <v>2332</v>
      </c>
      <c r="Z38" s="163" t="s">
        <v>111</v>
      </c>
      <c r="AA38" s="163" t="s">
        <v>4939</v>
      </c>
      <c r="AB38" s="163" t="s">
        <v>2334</v>
      </c>
      <c r="AC38" s="163" t="s">
        <v>2195</v>
      </c>
      <c r="AD38" s="163" t="s">
        <v>2196</v>
      </c>
      <c r="AE38" s="163" t="s">
        <v>1762</v>
      </c>
      <c r="AF38" s="163" t="s">
        <v>3419</v>
      </c>
      <c r="AG38" s="163" t="s">
        <v>36</v>
      </c>
      <c r="AH38" s="163" t="s">
        <v>36</v>
      </c>
      <c r="AI38" s="163" t="s">
        <v>36</v>
      </c>
      <c r="AJ38" s="163" t="s">
        <v>36</v>
      </c>
      <c r="AK38" s="163" t="s">
        <v>2197</v>
      </c>
      <c r="AL38" s="163" t="s">
        <v>36</v>
      </c>
      <c r="AM38" t="s">
        <v>4876</v>
      </c>
      <c r="AN38" s="487">
        <v>0</v>
      </c>
      <c r="AO38" s="487">
        <v>0</v>
      </c>
      <c r="CE38" s="471"/>
      <c r="CG38" s="471" t="s">
        <v>1230</v>
      </c>
      <c r="CI38" s="471" t="s">
        <v>1239</v>
      </c>
      <c r="CJ38" s="471" t="s">
        <v>1239</v>
      </c>
    </row>
    <row r="39" spans="1:88" x14ac:dyDescent="0.2">
      <c r="A39">
        <v>38</v>
      </c>
      <c r="B39" s="471" t="s">
        <v>1888</v>
      </c>
      <c r="C39" s="163" t="s">
        <v>1900</v>
      </c>
      <c r="D39" s="163" t="s">
        <v>4065</v>
      </c>
      <c r="E39" s="163" t="s">
        <v>2325</v>
      </c>
      <c r="F39" s="163" t="s">
        <v>2030</v>
      </c>
      <c r="G39" s="163" t="s">
        <v>36</v>
      </c>
      <c r="H39" s="163" t="s">
        <v>2200</v>
      </c>
      <c r="I39" s="163" t="s">
        <v>5725</v>
      </c>
      <c r="J39" s="163" t="s">
        <v>1768</v>
      </c>
      <c r="K39" s="163" t="s">
        <v>2344</v>
      </c>
      <c r="L39" s="163" t="s">
        <v>2327</v>
      </c>
      <c r="M39" s="163" t="s">
        <v>2344</v>
      </c>
      <c r="N39" s="163" t="s">
        <v>1900</v>
      </c>
      <c r="O39" s="163" t="s">
        <v>906</v>
      </c>
      <c r="P39" s="163" t="s">
        <v>2351</v>
      </c>
      <c r="Q39" s="163" t="s">
        <v>4938</v>
      </c>
      <c r="R39" s="163" t="s">
        <v>2352</v>
      </c>
      <c r="S39" s="163" t="s">
        <v>2331</v>
      </c>
      <c r="T39" s="163">
        <v>310.60000000000002</v>
      </c>
      <c r="U39" s="163" t="s">
        <v>1952</v>
      </c>
      <c r="V39" s="163" t="s">
        <v>2353</v>
      </c>
      <c r="W39" s="163" t="s">
        <v>111</v>
      </c>
      <c r="X39" s="163" t="s">
        <v>111</v>
      </c>
      <c r="Y39" s="163" t="s">
        <v>2353</v>
      </c>
      <c r="Z39" s="163" t="s">
        <v>111</v>
      </c>
      <c r="AA39" s="163" t="s">
        <v>111</v>
      </c>
      <c r="AB39" s="163" t="s">
        <v>2354</v>
      </c>
      <c r="AC39" s="163" t="s">
        <v>2195</v>
      </c>
      <c r="AD39" s="163" t="s">
        <v>2196</v>
      </c>
      <c r="AE39" s="163" t="s">
        <v>1762</v>
      </c>
      <c r="AF39" s="163" t="s">
        <v>3419</v>
      </c>
      <c r="AG39" s="163" t="s">
        <v>36</v>
      </c>
      <c r="AH39" s="163" t="s">
        <v>36</v>
      </c>
      <c r="AI39" s="163" t="s">
        <v>36</v>
      </c>
      <c r="AJ39" s="163" t="s">
        <v>36</v>
      </c>
      <c r="AK39" s="163" t="s">
        <v>2197</v>
      </c>
      <c r="AL39" s="163" t="s">
        <v>36</v>
      </c>
      <c r="AM39" t="s">
        <v>4876</v>
      </c>
      <c r="AN39" s="487">
        <v>0</v>
      </c>
      <c r="AO39" s="487">
        <v>0</v>
      </c>
      <c r="CE39" s="471"/>
      <c r="CG39" s="471" t="s">
        <v>4807</v>
      </c>
      <c r="CI39" s="471" t="s">
        <v>1245</v>
      </c>
      <c r="CJ39" s="471" t="s">
        <v>1245</v>
      </c>
    </row>
    <row r="40" spans="1:88" x14ac:dyDescent="0.2">
      <c r="A40">
        <v>39</v>
      </c>
      <c r="B40" s="471" t="s">
        <v>1888</v>
      </c>
      <c r="C40" s="163" t="s">
        <v>1902</v>
      </c>
      <c r="D40" s="163" t="s">
        <v>4066</v>
      </c>
      <c r="E40" s="163" t="s">
        <v>2325</v>
      </c>
      <c r="F40" s="163" t="s">
        <v>2030</v>
      </c>
      <c r="G40" s="163" t="s">
        <v>36</v>
      </c>
      <c r="H40" s="163" t="s">
        <v>2200</v>
      </c>
      <c r="I40" s="163" t="s">
        <v>5725</v>
      </c>
      <c r="J40" s="163" t="s">
        <v>1768</v>
      </c>
      <c r="K40" s="163" t="s">
        <v>2345</v>
      </c>
      <c r="L40" s="163" t="s">
        <v>2327</v>
      </c>
      <c r="M40" s="163" t="s">
        <v>2345</v>
      </c>
      <c r="N40" s="163" t="s">
        <v>1902</v>
      </c>
      <c r="O40" s="163" t="s">
        <v>906</v>
      </c>
      <c r="P40" s="163" t="s">
        <v>2351</v>
      </c>
      <c r="Q40" s="163" t="s">
        <v>4938</v>
      </c>
      <c r="R40" s="163" t="s">
        <v>2352</v>
      </c>
      <c r="S40" s="163" t="s">
        <v>2331</v>
      </c>
      <c r="T40" s="163">
        <v>310.60000000000002</v>
      </c>
      <c r="U40" s="163" t="s">
        <v>1952</v>
      </c>
      <c r="V40" s="163" t="s">
        <v>2353</v>
      </c>
      <c r="W40" s="163" t="s">
        <v>111</v>
      </c>
      <c r="X40" s="163" t="s">
        <v>111</v>
      </c>
      <c r="Y40" s="163" t="s">
        <v>2353</v>
      </c>
      <c r="Z40" s="163" t="s">
        <v>111</v>
      </c>
      <c r="AA40" s="163" t="s">
        <v>111</v>
      </c>
      <c r="AB40" s="163" t="s">
        <v>2354</v>
      </c>
      <c r="AC40" s="163" t="s">
        <v>2195</v>
      </c>
      <c r="AD40" s="163" t="s">
        <v>2196</v>
      </c>
      <c r="AE40" s="163" t="s">
        <v>1762</v>
      </c>
      <c r="AF40" s="163" t="s">
        <v>3419</v>
      </c>
      <c r="AG40" s="163" t="s">
        <v>36</v>
      </c>
      <c r="AH40" s="163" t="s">
        <v>36</v>
      </c>
      <c r="AI40" s="163" t="s">
        <v>36</v>
      </c>
      <c r="AJ40" s="163" t="s">
        <v>36</v>
      </c>
      <c r="AK40" s="163" t="s">
        <v>2197</v>
      </c>
      <c r="AL40" s="163" t="s">
        <v>36</v>
      </c>
      <c r="AM40" t="s">
        <v>4876</v>
      </c>
      <c r="AN40" s="487">
        <v>0</v>
      </c>
      <c r="AO40" s="487">
        <v>0</v>
      </c>
      <c r="CE40" s="471"/>
      <c r="CG40" s="471" t="s">
        <v>1777</v>
      </c>
      <c r="CI40" s="471" t="s">
        <v>1249</v>
      </c>
      <c r="CJ40" s="471" t="s">
        <v>1249</v>
      </c>
    </row>
    <row r="41" spans="1:88" x14ac:dyDescent="0.2">
      <c r="A41">
        <v>40</v>
      </c>
      <c r="B41" s="471" t="s">
        <v>1888</v>
      </c>
      <c r="C41" s="163" t="s">
        <v>1889</v>
      </c>
      <c r="D41" s="163" t="s">
        <v>4067</v>
      </c>
      <c r="E41" s="163" t="s">
        <v>2325</v>
      </c>
      <c r="F41" s="163" t="s">
        <v>2030</v>
      </c>
      <c r="G41" s="163" t="s">
        <v>36</v>
      </c>
      <c r="H41" s="163" t="s">
        <v>2200</v>
      </c>
      <c r="I41" s="163" t="s">
        <v>5725</v>
      </c>
      <c r="J41" s="163" t="s">
        <v>1768</v>
      </c>
      <c r="K41" s="163" t="s">
        <v>2326</v>
      </c>
      <c r="L41" s="163" t="s">
        <v>2327</v>
      </c>
      <c r="M41" s="163" t="s">
        <v>2328</v>
      </c>
      <c r="N41" s="163" t="s">
        <v>1889</v>
      </c>
      <c r="O41" s="163" t="s">
        <v>906</v>
      </c>
      <c r="P41" s="163" t="s">
        <v>2329</v>
      </c>
      <c r="Q41" s="163" t="s">
        <v>4943</v>
      </c>
      <c r="R41" s="163" t="s">
        <v>2199</v>
      </c>
      <c r="S41" s="163" t="s">
        <v>2331</v>
      </c>
      <c r="T41" s="163">
        <v>310.60000000000002</v>
      </c>
      <c r="U41" s="163" t="s">
        <v>1952</v>
      </c>
      <c r="V41" s="163" t="s">
        <v>2332</v>
      </c>
      <c r="W41" s="163" t="s">
        <v>111</v>
      </c>
      <c r="X41" s="163" t="s">
        <v>4939</v>
      </c>
      <c r="Y41" s="163" t="s">
        <v>2332</v>
      </c>
      <c r="Z41" s="163" t="s">
        <v>111</v>
      </c>
      <c r="AA41" s="163" t="s">
        <v>4939</v>
      </c>
      <c r="AB41" s="163" t="s">
        <v>2334</v>
      </c>
      <c r="AC41" s="163" t="s">
        <v>2195</v>
      </c>
      <c r="AD41" s="163" t="s">
        <v>2196</v>
      </c>
      <c r="AE41" s="163" t="s">
        <v>1762</v>
      </c>
      <c r="AF41" s="163" t="s">
        <v>3419</v>
      </c>
      <c r="AG41" s="163" t="s">
        <v>36</v>
      </c>
      <c r="AH41" s="163" t="s">
        <v>36</v>
      </c>
      <c r="AI41" s="163" t="s">
        <v>36</v>
      </c>
      <c r="AJ41" s="163" t="s">
        <v>36</v>
      </c>
      <c r="AK41" s="163" t="s">
        <v>2197</v>
      </c>
      <c r="AL41" s="163" t="s">
        <v>36</v>
      </c>
      <c r="AM41" t="s">
        <v>4876</v>
      </c>
      <c r="AN41" s="487">
        <v>0</v>
      </c>
      <c r="AO41" s="487">
        <v>0</v>
      </c>
      <c r="CE41" s="471"/>
      <c r="CG41" s="471" t="s">
        <v>1239</v>
      </c>
      <c r="CI41" s="471" t="s">
        <v>1252</v>
      </c>
      <c r="CJ41" s="471" t="s">
        <v>1252</v>
      </c>
    </row>
    <row r="42" spans="1:88" x14ac:dyDescent="0.2">
      <c r="A42">
        <v>41</v>
      </c>
      <c r="B42" s="471" t="s">
        <v>1888</v>
      </c>
      <c r="C42" s="163" t="s">
        <v>5132</v>
      </c>
      <c r="D42" s="163" t="s">
        <v>5133</v>
      </c>
      <c r="E42" s="163" t="s">
        <v>2325</v>
      </c>
      <c r="F42" s="163" t="s">
        <v>2030</v>
      </c>
      <c r="G42" s="163" t="s">
        <v>36</v>
      </c>
      <c r="H42" s="163" t="s">
        <v>2200</v>
      </c>
      <c r="I42" s="163" t="s">
        <v>5119</v>
      </c>
      <c r="J42" s="163" t="s">
        <v>1768</v>
      </c>
      <c r="K42" s="163" t="s">
        <v>5134</v>
      </c>
      <c r="L42" s="163" t="s">
        <v>2327</v>
      </c>
      <c r="M42" s="163" t="s">
        <v>5134</v>
      </c>
      <c r="N42" s="163" t="s">
        <v>5132</v>
      </c>
      <c r="O42" s="163" t="s">
        <v>906</v>
      </c>
      <c r="P42" s="163" t="s">
        <v>2340</v>
      </c>
      <c r="Q42" s="163" t="s">
        <v>4936</v>
      </c>
      <c r="R42" s="163" t="s">
        <v>2199</v>
      </c>
      <c r="S42" s="163" t="s">
        <v>2331</v>
      </c>
      <c r="T42" s="163">
        <v>310.60000000000002</v>
      </c>
      <c r="U42" s="163" t="s">
        <v>1952</v>
      </c>
      <c r="V42" s="163" t="s">
        <v>2332</v>
      </c>
      <c r="W42" s="163" t="s">
        <v>111</v>
      </c>
      <c r="X42" s="163" t="s">
        <v>4944</v>
      </c>
      <c r="Y42" s="163" t="s">
        <v>2332</v>
      </c>
      <c r="Z42" s="163" t="s">
        <v>111</v>
      </c>
      <c r="AA42" s="163" t="s">
        <v>4944</v>
      </c>
      <c r="AB42" s="163" t="s">
        <v>2334</v>
      </c>
      <c r="AC42" s="163" t="s">
        <v>2195</v>
      </c>
      <c r="AD42" s="163" t="s">
        <v>2196</v>
      </c>
      <c r="AE42" s="163" t="s">
        <v>1762</v>
      </c>
      <c r="AF42" s="163" t="s">
        <v>3419</v>
      </c>
      <c r="AG42" s="163" t="s">
        <v>36</v>
      </c>
      <c r="AH42" s="163" t="s">
        <v>36</v>
      </c>
      <c r="AI42" s="163" t="s">
        <v>36</v>
      </c>
      <c r="AJ42" s="163" t="s">
        <v>36</v>
      </c>
      <c r="AK42" s="163" t="s">
        <v>2197</v>
      </c>
      <c r="AL42" s="163" t="s">
        <v>36</v>
      </c>
      <c r="AM42" t="s">
        <v>4876</v>
      </c>
      <c r="AN42" s="487"/>
      <c r="AO42" s="487"/>
      <c r="CE42" s="471"/>
      <c r="CG42" s="471" t="s">
        <v>1245</v>
      </c>
      <c r="CI42" s="471" t="s">
        <v>1862</v>
      </c>
      <c r="CJ42" s="471" t="s">
        <v>1862</v>
      </c>
    </row>
    <row r="43" spans="1:88" x14ac:dyDescent="0.2">
      <c r="A43">
        <v>42</v>
      </c>
      <c r="B43" s="471" t="s">
        <v>872</v>
      </c>
      <c r="C43" s="163" t="s">
        <v>880</v>
      </c>
      <c r="D43" s="163" t="s">
        <v>4068</v>
      </c>
      <c r="E43" s="163" t="s">
        <v>2031</v>
      </c>
      <c r="F43" s="163" t="s">
        <v>2032</v>
      </c>
      <c r="G43" s="163" t="s">
        <v>36</v>
      </c>
      <c r="H43" s="163" t="s">
        <v>2200</v>
      </c>
      <c r="I43" s="163" t="s">
        <v>5725</v>
      </c>
      <c r="J43" s="163" t="s">
        <v>1768</v>
      </c>
      <c r="K43" s="163" t="s">
        <v>2376</v>
      </c>
      <c r="L43" s="163" t="s">
        <v>4044</v>
      </c>
      <c r="M43" s="163">
        <v>1020</v>
      </c>
      <c r="N43" s="163" t="s">
        <v>880</v>
      </c>
      <c r="O43" s="163" t="s">
        <v>906</v>
      </c>
      <c r="P43" s="163" t="s">
        <v>2379</v>
      </c>
      <c r="Q43" s="163" t="s">
        <v>4936</v>
      </c>
      <c r="R43" s="163" t="s">
        <v>2193</v>
      </c>
      <c r="S43" s="163" t="s">
        <v>4045</v>
      </c>
      <c r="T43" s="163">
        <v>57.7</v>
      </c>
      <c r="U43" s="163" t="s">
        <v>2222</v>
      </c>
      <c r="V43" s="163" t="s">
        <v>4046</v>
      </c>
      <c r="W43" s="163">
        <v>95040103</v>
      </c>
      <c r="X43" s="163" t="s">
        <v>4937</v>
      </c>
      <c r="Y43" s="163" t="s">
        <v>2375</v>
      </c>
      <c r="Z43" s="163" t="s">
        <v>4047</v>
      </c>
      <c r="AA43" s="163" t="s">
        <v>4937</v>
      </c>
      <c r="AB43" s="163" t="s">
        <v>36</v>
      </c>
      <c r="AC43" s="163" t="s">
        <v>2195</v>
      </c>
      <c r="AD43" s="163" t="s">
        <v>2196</v>
      </c>
      <c r="AE43" s="163" t="s">
        <v>1762</v>
      </c>
      <c r="AF43" s="163" t="s">
        <v>3419</v>
      </c>
      <c r="AG43" s="163" t="s">
        <v>36</v>
      </c>
      <c r="AH43" s="163" t="s">
        <v>36</v>
      </c>
      <c r="AI43" s="163" t="s">
        <v>36</v>
      </c>
      <c r="AJ43" s="163" t="s">
        <v>36</v>
      </c>
      <c r="AK43" s="163" t="s">
        <v>2197</v>
      </c>
      <c r="AL43" s="163" t="s">
        <v>36</v>
      </c>
      <c r="AM43" t="s">
        <v>4879</v>
      </c>
      <c r="AN43" s="487">
        <v>0</v>
      </c>
      <c r="AO43" s="487">
        <v>0</v>
      </c>
      <c r="CE43" s="471"/>
      <c r="CG43" s="471" t="s">
        <v>1249</v>
      </c>
      <c r="CI43" s="471" t="s">
        <v>1257</v>
      </c>
      <c r="CJ43" s="471" t="s">
        <v>1257</v>
      </c>
    </row>
    <row r="44" spans="1:88" x14ac:dyDescent="0.2">
      <c r="A44">
        <v>43</v>
      </c>
      <c r="B44" s="471" t="s">
        <v>872</v>
      </c>
      <c r="C44" s="163" t="s">
        <v>878</v>
      </c>
      <c r="D44" s="163" t="s">
        <v>4069</v>
      </c>
      <c r="E44" s="163" t="s">
        <v>2031</v>
      </c>
      <c r="F44" s="163" t="s">
        <v>2032</v>
      </c>
      <c r="G44" s="163" t="s">
        <v>36</v>
      </c>
      <c r="H44" s="163" t="s">
        <v>2200</v>
      </c>
      <c r="I44" s="163" t="s">
        <v>5725</v>
      </c>
      <c r="J44" s="163" t="s">
        <v>1768</v>
      </c>
      <c r="K44" s="163" t="s">
        <v>2376</v>
      </c>
      <c r="L44" s="163" t="s">
        <v>2378</v>
      </c>
      <c r="M44" s="163">
        <v>5514</v>
      </c>
      <c r="N44" s="163" t="s">
        <v>878</v>
      </c>
      <c r="O44" s="163" t="s">
        <v>906</v>
      </c>
      <c r="P44" s="163" t="s">
        <v>5254</v>
      </c>
      <c r="Q44" s="163" t="s">
        <v>4936</v>
      </c>
      <c r="R44" s="163" t="s">
        <v>2193</v>
      </c>
      <c r="S44" s="163" t="s">
        <v>2380</v>
      </c>
      <c r="T44" s="163">
        <v>1005.1</v>
      </c>
      <c r="U44" s="163" t="s">
        <v>2222</v>
      </c>
      <c r="V44" s="163" t="s">
        <v>2381</v>
      </c>
      <c r="W44" s="163" t="s">
        <v>2382</v>
      </c>
      <c r="X44" s="163" t="s">
        <v>4937</v>
      </c>
      <c r="Y44" s="163" t="s">
        <v>2381</v>
      </c>
      <c r="Z44" s="163" t="s">
        <v>2382</v>
      </c>
      <c r="AA44" s="163" t="s">
        <v>4937</v>
      </c>
      <c r="AB44" s="163" t="s">
        <v>2383</v>
      </c>
      <c r="AC44" s="163" t="s">
        <v>2195</v>
      </c>
      <c r="AD44" s="163" t="s">
        <v>2196</v>
      </c>
      <c r="AE44" s="163" t="s">
        <v>1762</v>
      </c>
      <c r="AF44" s="163" t="s">
        <v>3419</v>
      </c>
      <c r="AG44" s="163" t="s">
        <v>36</v>
      </c>
      <c r="AH44" s="163" t="s">
        <v>36</v>
      </c>
      <c r="AI44" s="163" t="s">
        <v>36</v>
      </c>
      <c r="AJ44" s="163" t="s">
        <v>36</v>
      </c>
      <c r="AK44" s="163" t="s">
        <v>2197</v>
      </c>
      <c r="AL44" s="163" t="s">
        <v>36</v>
      </c>
      <c r="AM44" t="s">
        <v>4876</v>
      </c>
      <c r="AN44" s="487">
        <v>0</v>
      </c>
      <c r="AO44" s="487">
        <v>0</v>
      </c>
      <c r="CE44" s="471"/>
      <c r="CG44" s="471" t="s">
        <v>1252</v>
      </c>
      <c r="CI44" s="471" t="s">
        <v>1283</v>
      </c>
      <c r="CJ44" s="471" t="s">
        <v>1283</v>
      </c>
    </row>
    <row r="45" spans="1:88" x14ac:dyDescent="0.2">
      <c r="A45">
        <v>44</v>
      </c>
      <c r="B45" s="471" t="s">
        <v>872</v>
      </c>
      <c r="C45" s="163" t="s">
        <v>4711</v>
      </c>
      <c r="D45" s="163" t="s">
        <v>4712</v>
      </c>
      <c r="E45" s="163" t="s">
        <v>2031</v>
      </c>
      <c r="F45" s="163" t="s">
        <v>2032</v>
      </c>
      <c r="G45" s="163" t="s">
        <v>36</v>
      </c>
      <c r="H45" s="163" t="s">
        <v>4713</v>
      </c>
      <c r="I45" s="163" t="s">
        <v>5725</v>
      </c>
      <c r="J45" s="163" t="s">
        <v>2188</v>
      </c>
      <c r="K45" s="163" t="s">
        <v>1910</v>
      </c>
      <c r="L45" s="163" t="s">
        <v>4714</v>
      </c>
      <c r="M45" s="163" t="s">
        <v>4715</v>
      </c>
      <c r="N45" s="163" t="s">
        <v>4711</v>
      </c>
      <c r="O45" s="163" t="s">
        <v>2471</v>
      </c>
      <c r="P45" s="163" t="s">
        <v>4716</v>
      </c>
      <c r="Q45" s="163" t="s">
        <v>4938</v>
      </c>
      <c r="R45" s="163" t="s">
        <v>2294</v>
      </c>
      <c r="S45" s="163" t="s">
        <v>2610</v>
      </c>
      <c r="T45" s="163">
        <v>116</v>
      </c>
      <c r="U45" s="163" t="s">
        <v>2223</v>
      </c>
      <c r="V45" s="163" t="s">
        <v>4717</v>
      </c>
      <c r="W45" s="163">
        <v>8270792</v>
      </c>
      <c r="X45" s="163" t="s">
        <v>4937</v>
      </c>
      <c r="Y45" s="163" t="s">
        <v>4718</v>
      </c>
      <c r="Z45" s="163" t="s">
        <v>2371</v>
      </c>
      <c r="AA45" s="163" t="s">
        <v>4937</v>
      </c>
      <c r="AB45" s="163" t="s">
        <v>36</v>
      </c>
      <c r="AC45" s="163" t="s">
        <v>2195</v>
      </c>
      <c r="AD45" s="163" t="s">
        <v>2196</v>
      </c>
      <c r="AE45" s="163" t="s">
        <v>1762</v>
      </c>
      <c r="AF45" s="163" t="s">
        <v>3419</v>
      </c>
      <c r="AG45" s="163" t="s">
        <v>3419</v>
      </c>
      <c r="AH45" s="163" t="s">
        <v>3419</v>
      </c>
      <c r="AI45" s="163" t="s">
        <v>3419</v>
      </c>
      <c r="AJ45" s="163" t="s">
        <v>3419</v>
      </c>
      <c r="AK45" s="163" t="s">
        <v>2197</v>
      </c>
      <c r="AL45" s="163" t="s">
        <v>36</v>
      </c>
      <c r="AM45" t="s">
        <v>4876</v>
      </c>
      <c r="AN45" s="487">
        <v>0</v>
      </c>
      <c r="AO45" s="487">
        <v>0</v>
      </c>
      <c r="CE45" s="471"/>
      <c r="CG45" s="471" t="s">
        <v>1862</v>
      </c>
      <c r="CI45" s="471" t="s">
        <v>1908</v>
      </c>
      <c r="CJ45" s="471" t="s">
        <v>1908</v>
      </c>
    </row>
    <row r="46" spans="1:88" x14ac:dyDescent="0.2">
      <c r="A46">
        <v>45</v>
      </c>
      <c r="B46" s="471" t="s">
        <v>872</v>
      </c>
      <c r="C46" s="163" t="s">
        <v>831</v>
      </c>
      <c r="D46" s="163" t="s">
        <v>4070</v>
      </c>
      <c r="E46" s="163" t="s">
        <v>2031</v>
      </c>
      <c r="F46" s="163" t="s">
        <v>2032</v>
      </c>
      <c r="G46" s="163" t="s">
        <v>36</v>
      </c>
      <c r="H46" s="163" t="s">
        <v>2200</v>
      </c>
      <c r="I46" s="163" t="s">
        <v>5725</v>
      </c>
      <c r="J46" s="163" t="s">
        <v>2188</v>
      </c>
      <c r="K46" s="163" t="s">
        <v>2364</v>
      </c>
      <c r="L46" s="163" t="s">
        <v>2327</v>
      </c>
      <c r="M46" s="163" t="s">
        <v>2365</v>
      </c>
      <c r="N46" s="163" t="s">
        <v>2365</v>
      </c>
      <c r="O46" s="163" t="s">
        <v>5726</v>
      </c>
      <c r="P46" s="163" t="s">
        <v>2366</v>
      </c>
      <c r="Q46" s="163" t="s">
        <v>4936</v>
      </c>
      <c r="R46" s="163" t="s">
        <v>2367</v>
      </c>
      <c r="S46" s="163" t="s">
        <v>2368</v>
      </c>
      <c r="T46" s="163">
        <v>509.8</v>
      </c>
      <c r="U46" s="163" t="s">
        <v>2222</v>
      </c>
      <c r="V46" s="163" t="s">
        <v>2369</v>
      </c>
      <c r="W46" s="163">
        <v>8310260</v>
      </c>
      <c r="X46" s="163" t="s">
        <v>4937</v>
      </c>
      <c r="Y46" s="163" t="s">
        <v>2370</v>
      </c>
      <c r="Z46" s="163" t="s">
        <v>2371</v>
      </c>
      <c r="AA46" s="163" t="s">
        <v>4937</v>
      </c>
      <c r="AB46" s="163" t="s">
        <v>2372</v>
      </c>
      <c r="AC46" s="163" t="s">
        <v>2195</v>
      </c>
      <c r="AD46" s="163" t="s">
        <v>2196</v>
      </c>
      <c r="AE46" s="163" t="s">
        <v>1762</v>
      </c>
      <c r="AF46" s="163">
        <v>25.5</v>
      </c>
      <c r="AG46" s="163">
        <v>135</v>
      </c>
      <c r="AH46" s="163">
        <v>32.4</v>
      </c>
      <c r="AI46" s="163" t="s">
        <v>36</v>
      </c>
      <c r="AJ46" s="163" t="s">
        <v>36</v>
      </c>
      <c r="AK46" s="163" t="s">
        <v>2197</v>
      </c>
      <c r="AL46" s="163" t="s">
        <v>36</v>
      </c>
      <c r="AM46" t="s">
        <v>4876</v>
      </c>
      <c r="AN46" s="487">
        <v>0</v>
      </c>
      <c r="AO46" s="487">
        <v>0</v>
      </c>
      <c r="CE46" s="471"/>
      <c r="CG46" s="471" t="s">
        <v>1257</v>
      </c>
      <c r="CI46" s="471" t="s">
        <v>3844</v>
      </c>
      <c r="CJ46" s="471" t="s">
        <v>3844</v>
      </c>
    </row>
    <row r="47" spans="1:88" x14ac:dyDescent="0.2">
      <c r="A47">
        <v>46</v>
      </c>
      <c r="B47" s="471" t="s">
        <v>884</v>
      </c>
      <c r="C47" s="163" t="s">
        <v>888</v>
      </c>
      <c r="D47" s="163" t="s">
        <v>4071</v>
      </c>
      <c r="E47" s="163" t="s">
        <v>2033</v>
      </c>
      <c r="F47" s="163" t="s">
        <v>2034</v>
      </c>
      <c r="G47" s="163" t="s">
        <v>36</v>
      </c>
      <c r="H47" s="163" t="s">
        <v>2200</v>
      </c>
      <c r="I47" s="163" t="s">
        <v>5725</v>
      </c>
      <c r="J47" s="163" t="s">
        <v>2188</v>
      </c>
      <c r="K47" s="163" t="s">
        <v>1422</v>
      </c>
      <c r="L47" s="163" t="s">
        <v>2394</v>
      </c>
      <c r="M47" s="163">
        <v>3199</v>
      </c>
      <c r="N47" s="163" t="s">
        <v>888</v>
      </c>
      <c r="O47" s="163" t="s">
        <v>5728</v>
      </c>
      <c r="P47" s="163" t="s">
        <v>2395</v>
      </c>
      <c r="Q47" s="163" t="s">
        <v>4938</v>
      </c>
      <c r="R47" s="163" t="s">
        <v>2193</v>
      </c>
      <c r="S47" s="163" t="s">
        <v>2396</v>
      </c>
      <c r="T47" s="163">
        <v>258.89999999999998</v>
      </c>
      <c r="U47" s="163" t="s">
        <v>2220</v>
      </c>
      <c r="V47" s="163" t="s">
        <v>2278</v>
      </c>
      <c r="W47" s="163" t="s">
        <v>2397</v>
      </c>
      <c r="X47" s="163" t="s">
        <v>4937</v>
      </c>
      <c r="Y47" s="163" t="s">
        <v>2391</v>
      </c>
      <c r="Z47" s="163" t="s">
        <v>2392</v>
      </c>
      <c r="AA47" s="163" t="s">
        <v>4937</v>
      </c>
      <c r="AB47" s="163" t="s">
        <v>36</v>
      </c>
      <c r="AC47" s="163" t="s">
        <v>2195</v>
      </c>
      <c r="AD47" s="163" t="s">
        <v>2196</v>
      </c>
      <c r="AE47" s="163" t="s">
        <v>1762</v>
      </c>
      <c r="AF47" s="163">
        <v>6.7</v>
      </c>
      <c r="AG47" s="163">
        <v>99</v>
      </c>
      <c r="AH47" s="163">
        <v>16</v>
      </c>
      <c r="AI47" s="163" t="s">
        <v>36</v>
      </c>
      <c r="AJ47" s="163" t="s">
        <v>36</v>
      </c>
      <c r="AK47" s="163" t="s">
        <v>2197</v>
      </c>
      <c r="AL47" s="163" t="s">
        <v>36</v>
      </c>
      <c r="AM47" t="s">
        <v>4879</v>
      </c>
      <c r="AN47" s="487">
        <v>1.4583333333333332E-2</v>
      </c>
      <c r="AO47" s="487">
        <v>0</v>
      </c>
      <c r="CE47" s="471"/>
      <c r="CG47" s="471" t="s">
        <v>1283</v>
      </c>
      <c r="CI47" s="471" t="s">
        <v>1302</v>
      </c>
      <c r="CJ47" s="471" t="s">
        <v>1302</v>
      </c>
    </row>
    <row r="48" spans="1:88" x14ac:dyDescent="0.2">
      <c r="A48">
        <v>47</v>
      </c>
      <c r="B48" s="471" t="s">
        <v>884</v>
      </c>
      <c r="C48" s="163" t="s">
        <v>894</v>
      </c>
      <c r="D48" s="163" t="s">
        <v>4072</v>
      </c>
      <c r="E48" s="163" t="s">
        <v>2033</v>
      </c>
      <c r="F48" s="163" t="s">
        <v>2034</v>
      </c>
      <c r="G48" s="163" t="s">
        <v>36</v>
      </c>
      <c r="H48" s="163" t="s">
        <v>2200</v>
      </c>
      <c r="I48" s="163" t="s">
        <v>5725</v>
      </c>
      <c r="J48" s="163" t="s">
        <v>2188</v>
      </c>
      <c r="K48" s="163" t="s">
        <v>2415</v>
      </c>
      <c r="L48" s="163" t="s">
        <v>2416</v>
      </c>
      <c r="M48" s="163">
        <v>1240</v>
      </c>
      <c r="N48" s="163" t="s">
        <v>894</v>
      </c>
      <c r="O48" s="163" t="s">
        <v>5728</v>
      </c>
      <c r="P48" s="163" t="s">
        <v>2395</v>
      </c>
      <c r="Q48" s="163" t="s">
        <v>4938</v>
      </c>
      <c r="R48" s="163" t="s">
        <v>2193</v>
      </c>
      <c r="S48" s="163" t="s">
        <v>2417</v>
      </c>
      <c r="T48" s="163">
        <v>12.9</v>
      </c>
      <c r="U48" s="163" t="s">
        <v>2220</v>
      </c>
      <c r="V48" s="163" t="s">
        <v>2278</v>
      </c>
      <c r="W48" s="163" t="s">
        <v>2418</v>
      </c>
      <c r="X48" s="163" t="s">
        <v>4937</v>
      </c>
      <c r="Y48" s="163" t="s">
        <v>2391</v>
      </c>
      <c r="Z48" s="163" t="s">
        <v>4548</v>
      </c>
      <c r="AA48" s="163" t="s">
        <v>4937</v>
      </c>
      <c r="AB48" s="163" t="s">
        <v>36</v>
      </c>
      <c r="AC48" s="163" t="s">
        <v>2195</v>
      </c>
      <c r="AD48" s="163" t="s">
        <v>2196</v>
      </c>
      <c r="AE48" s="163" t="s">
        <v>1762</v>
      </c>
      <c r="AF48" s="163">
        <v>32.200000000000003</v>
      </c>
      <c r="AG48" s="163">
        <v>277</v>
      </c>
      <c r="AH48" s="163" t="s">
        <v>4471</v>
      </c>
      <c r="AI48" s="163" t="s">
        <v>3965</v>
      </c>
      <c r="AJ48" s="163" t="s">
        <v>3966</v>
      </c>
      <c r="AK48" s="163" t="s">
        <v>2197</v>
      </c>
      <c r="AL48" s="163" t="s">
        <v>36</v>
      </c>
      <c r="AM48" t="s">
        <v>4879</v>
      </c>
      <c r="AN48" s="487">
        <v>0</v>
      </c>
      <c r="AO48" s="487">
        <v>0</v>
      </c>
      <c r="CE48" s="471"/>
      <c r="CG48" s="471" t="s">
        <v>1908</v>
      </c>
      <c r="CI48" s="471" t="s">
        <v>4485</v>
      </c>
      <c r="CJ48" s="471" t="s">
        <v>4485</v>
      </c>
    </row>
    <row r="49" spans="1:88" x14ac:dyDescent="0.2">
      <c r="A49">
        <v>48</v>
      </c>
      <c r="B49" s="471" t="s">
        <v>884</v>
      </c>
      <c r="C49" s="163" t="s">
        <v>890</v>
      </c>
      <c r="D49" s="163" t="s">
        <v>4073</v>
      </c>
      <c r="E49" s="163" t="s">
        <v>2033</v>
      </c>
      <c r="F49" s="163" t="s">
        <v>2034</v>
      </c>
      <c r="G49" s="163" t="s">
        <v>36</v>
      </c>
      <c r="H49" s="163" t="s">
        <v>2200</v>
      </c>
      <c r="I49" s="163" t="s">
        <v>5725</v>
      </c>
      <c r="J49" s="163" t="s">
        <v>1768</v>
      </c>
      <c r="K49" s="163" t="s">
        <v>2427</v>
      </c>
      <c r="L49" s="163" t="s">
        <v>111</v>
      </c>
      <c r="M49" s="163" t="s">
        <v>2428</v>
      </c>
      <c r="N49" s="163" t="s">
        <v>890</v>
      </c>
      <c r="O49" s="163" t="s">
        <v>906</v>
      </c>
      <c r="P49" s="163">
        <v>0</v>
      </c>
      <c r="Q49" s="163">
        <v>0</v>
      </c>
      <c r="R49" s="163">
        <v>0</v>
      </c>
      <c r="S49" s="163">
        <v>0</v>
      </c>
      <c r="T49" s="163">
        <v>0</v>
      </c>
      <c r="U49" s="163">
        <v>0</v>
      </c>
      <c r="V49" s="163">
        <v>0</v>
      </c>
      <c r="W49" s="163">
        <v>0</v>
      </c>
      <c r="X49" s="163">
        <v>0</v>
      </c>
      <c r="Y49" s="163">
        <v>0</v>
      </c>
      <c r="Z49" s="163">
        <v>0</v>
      </c>
      <c r="AA49" s="163">
        <v>0</v>
      </c>
      <c r="AB49" s="163" t="s">
        <v>36</v>
      </c>
      <c r="AC49" s="163" t="s">
        <v>2195</v>
      </c>
      <c r="AD49" s="163" t="s">
        <v>2196</v>
      </c>
      <c r="AE49" s="163" t="s">
        <v>1762</v>
      </c>
      <c r="AF49" s="163" t="s">
        <v>3419</v>
      </c>
      <c r="AG49" s="163" t="s">
        <v>36</v>
      </c>
      <c r="AH49" s="163" t="s">
        <v>36</v>
      </c>
      <c r="AI49" s="163" t="s">
        <v>36</v>
      </c>
      <c r="AJ49" s="163" t="s">
        <v>36</v>
      </c>
      <c r="AK49" s="163" t="s">
        <v>2197</v>
      </c>
      <c r="AL49" s="163" t="s">
        <v>36</v>
      </c>
      <c r="AM49" t="s">
        <v>4880</v>
      </c>
      <c r="AN49" s="487">
        <v>0</v>
      </c>
      <c r="AO49" s="487">
        <v>0</v>
      </c>
      <c r="CE49" s="471"/>
      <c r="CG49" s="471" t="s">
        <v>3844</v>
      </c>
      <c r="CI49" s="471" t="s">
        <v>3085</v>
      </c>
      <c r="CJ49" s="471" t="s">
        <v>3085</v>
      </c>
    </row>
    <row r="50" spans="1:88" x14ac:dyDescent="0.2">
      <c r="A50">
        <v>49</v>
      </c>
      <c r="B50" s="471" t="s">
        <v>884</v>
      </c>
      <c r="C50" s="163" t="s">
        <v>1769</v>
      </c>
      <c r="D50" s="163" t="s">
        <v>4074</v>
      </c>
      <c r="E50" s="163" t="s">
        <v>2033</v>
      </c>
      <c r="F50" s="163" t="s">
        <v>2034</v>
      </c>
      <c r="G50" s="163" t="s">
        <v>36</v>
      </c>
      <c r="H50" s="163" t="s">
        <v>2200</v>
      </c>
      <c r="I50" s="163" t="s">
        <v>5725</v>
      </c>
      <c r="J50" s="163" t="s">
        <v>2188</v>
      </c>
      <c r="K50" s="163" t="s">
        <v>2398</v>
      </c>
      <c r="L50" s="163" t="s">
        <v>2327</v>
      </c>
      <c r="M50" s="163" t="s">
        <v>1769</v>
      </c>
      <c r="N50" s="163" t="s">
        <v>1769</v>
      </c>
      <c r="O50" s="163" t="s">
        <v>5726</v>
      </c>
      <c r="P50" s="163" t="s">
        <v>2399</v>
      </c>
      <c r="Q50" s="163" t="s">
        <v>4936</v>
      </c>
      <c r="R50" s="163" t="s">
        <v>2367</v>
      </c>
      <c r="S50" s="163" t="s">
        <v>2400</v>
      </c>
      <c r="T50" s="163">
        <v>385</v>
      </c>
      <c r="U50" s="163" t="s">
        <v>2220</v>
      </c>
      <c r="V50" s="163" t="s">
        <v>2401</v>
      </c>
      <c r="W50" s="163" t="s">
        <v>2402</v>
      </c>
      <c r="X50" s="163" t="s">
        <v>4937</v>
      </c>
      <c r="Y50" s="163" t="s">
        <v>2403</v>
      </c>
      <c r="Z50" s="163">
        <v>27289</v>
      </c>
      <c r="AA50" s="163" t="s">
        <v>4937</v>
      </c>
      <c r="AB50" s="163" t="s">
        <v>36</v>
      </c>
      <c r="AC50" s="163" t="s">
        <v>2195</v>
      </c>
      <c r="AD50" s="163" t="s">
        <v>2196</v>
      </c>
      <c r="AE50" s="163" t="s">
        <v>1762</v>
      </c>
      <c r="AF50" s="163">
        <v>3.2</v>
      </c>
      <c r="AG50" s="163">
        <v>349</v>
      </c>
      <c r="AH50" s="163">
        <v>58</v>
      </c>
      <c r="AI50" s="163" t="s">
        <v>36</v>
      </c>
      <c r="AJ50" s="163" t="s">
        <v>36</v>
      </c>
      <c r="AK50" s="163" t="s">
        <v>2197</v>
      </c>
      <c r="AL50" s="163" t="s">
        <v>36</v>
      </c>
      <c r="AM50" t="s">
        <v>4876</v>
      </c>
      <c r="AN50" s="487">
        <v>1.4583333333333332E-2</v>
      </c>
      <c r="AO50" s="487">
        <v>2.1527777777777781E-2</v>
      </c>
      <c r="CE50" s="471"/>
      <c r="CG50" s="471" t="s">
        <v>5589</v>
      </c>
      <c r="CI50" s="471" t="s">
        <v>1341</v>
      </c>
      <c r="CJ50" s="471" t="s">
        <v>1341</v>
      </c>
    </row>
    <row r="51" spans="1:88" x14ac:dyDescent="0.2">
      <c r="A51">
        <v>50</v>
      </c>
      <c r="B51" s="471" t="s">
        <v>884</v>
      </c>
      <c r="C51" s="163" t="s">
        <v>892</v>
      </c>
      <c r="D51" s="163" t="s">
        <v>4075</v>
      </c>
      <c r="E51" s="163" t="s">
        <v>2033</v>
      </c>
      <c r="F51" s="163" t="s">
        <v>2034</v>
      </c>
      <c r="G51" s="163" t="s">
        <v>36</v>
      </c>
      <c r="H51" s="163" t="s">
        <v>2200</v>
      </c>
      <c r="I51" s="163" t="s">
        <v>5725</v>
      </c>
      <c r="J51" s="163" t="s">
        <v>2188</v>
      </c>
      <c r="K51" s="163" t="s">
        <v>2419</v>
      </c>
      <c r="L51" s="163" t="s">
        <v>2420</v>
      </c>
      <c r="M51" s="163" t="s">
        <v>2421</v>
      </c>
      <c r="N51" s="163" t="s">
        <v>892</v>
      </c>
      <c r="O51" s="163" t="s">
        <v>5729</v>
      </c>
      <c r="P51" s="163" t="s">
        <v>2422</v>
      </c>
      <c r="Q51" s="163" t="s">
        <v>4962</v>
      </c>
      <c r="R51" s="163" t="s">
        <v>2193</v>
      </c>
      <c r="S51" s="163" t="s">
        <v>2423</v>
      </c>
      <c r="T51" s="163">
        <v>28.8</v>
      </c>
      <c r="U51" s="163" t="s">
        <v>2222</v>
      </c>
      <c r="V51" s="163" t="s">
        <v>2424</v>
      </c>
      <c r="W51" s="163" t="s">
        <v>2425</v>
      </c>
      <c r="X51" s="163" t="s">
        <v>4963</v>
      </c>
      <c r="Y51" s="163" t="s">
        <v>2403</v>
      </c>
      <c r="Z51" s="163" t="s">
        <v>2426</v>
      </c>
      <c r="AA51" s="163" t="s">
        <v>4963</v>
      </c>
      <c r="AB51" s="163" t="s">
        <v>36</v>
      </c>
      <c r="AC51" s="163" t="s">
        <v>2195</v>
      </c>
      <c r="AD51" s="163" t="s">
        <v>2196</v>
      </c>
      <c r="AE51" s="163" t="s">
        <v>1762</v>
      </c>
      <c r="AF51" s="163">
        <v>1</v>
      </c>
      <c r="AG51" s="163">
        <v>3</v>
      </c>
      <c r="AH51" s="163">
        <v>0.5</v>
      </c>
      <c r="AI51" s="163" t="s">
        <v>3963</v>
      </c>
      <c r="AJ51" s="163" t="s">
        <v>3964</v>
      </c>
      <c r="AK51" s="163" t="s">
        <v>2197</v>
      </c>
      <c r="AL51" s="163" t="s">
        <v>36</v>
      </c>
      <c r="AM51" t="s">
        <v>4879</v>
      </c>
      <c r="AN51" s="487">
        <v>0</v>
      </c>
      <c r="AO51" s="487">
        <v>0</v>
      </c>
      <c r="CE51" s="471"/>
      <c r="CG51" s="471" t="s">
        <v>1302</v>
      </c>
      <c r="CI51" s="471" t="s">
        <v>1781</v>
      </c>
      <c r="CJ51" s="471" t="s">
        <v>1781</v>
      </c>
    </row>
    <row r="52" spans="1:88" x14ac:dyDescent="0.2">
      <c r="A52">
        <v>51</v>
      </c>
      <c r="B52" s="471" t="s">
        <v>884</v>
      </c>
      <c r="C52" s="163" t="s">
        <v>875</v>
      </c>
      <c r="D52" s="163" t="s">
        <v>4076</v>
      </c>
      <c r="E52" s="163" t="s">
        <v>2033</v>
      </c>
      <c r="F52" s="163" t="s">
        <v>2034</v>
      </c>
      <c r="G52" s="163" t="s">
        <v>36</v>
      </c>
      <c r="H52" s="163" t="s">
        <v>2200</v>
      </c>
      <c r="I52" s="163" t="s">
        <v>5725</v>
      </c>
      <c r="J52" s="163" t="s">
        <v>2188</v>
      </c>
      <c r="K52" s="163">
        <v>0</v>
      </c>
      <c r="L52" s="163">
        <v>0</v>
      </c>
      <c r="M52" s="163">
        <v>0</v>
      </c>
      <c r="N52" s="163">
        <v>0</v>
      </c>
      <c r="O52" s="163">
        <v>0</v>
      </c>
      <c r="P52" s="163">
        <v>0</v>
      </c>
      <c r="Q52" s="163">
        <v>0</v>
      </c>
      <c r="R52" s="163">
        <v>0</v>
      </c>
      <c r="S52" s="163">
        <v>0</v>
      </c>
      <c r="T52" s="163">
        <v>0</v>
      </c>
      <c r="U52" s="163">
        <v>0</v>
      </c>
      <c r="V52" s="163">
        <v>0</v>
      </c>
      <c r="W52" s="163">
        <v>0</v>
      </c>
      <c r="X52" s="163">
        <v>0</v>
      </c>
      <c r="Y52" s="163">
        <v>0</v>
      </c>
      <c r="Z52" s="163">
        <v>0</v>
      </c>
      <c r="AA52" s="163">
        <v>0</v>
      </c>
      <c r="AB52" s="163" t="s">
        <v>36</v>
      </c>
      <c r="AC52" s="163" t="s">
        <v>2195</v>
      </c>
      <c r="AD52" s="163" t="s">
        <v>2196</v>
      </c>
      <c r="AE52" s="163" t="s">
        <v>1762</v>
      </c>
      <c r="AF52" s="163" t="s">
        <v>3419</v>
      </c>
      <c r="AG52" s="163" t="s">
        <v>36</v>
      </c>
      <c r="AH52" s="163" t="s">
        <v>36</v>
      </c>
      <c r="AI52" s="163" t="s">
        <v>36</v>
      </c>
      <c r="AJ52" s="163" t="s">
        <v>36</v>
      </c>
      <c r="AK52" s="163" t="s">
        <v>2197</v>
      </c>
      <c r="AL52" s="163" t="s">
        <v>36</v>
      </c>
      <c r="AM52" t="s">
        <v>4876</v>
      </c>
      <c r="AN52" s="487">
        <v>0</v>
      </c>
      <c r="AO52" s="487">
        <v>0</v>
      </c>
      <c r="CE52" s="471"/>
      <c r="CG52" s="471" t="s">
        <v>4485</v>
      </c>
      <c r="CI52" s="471" t="s">
        <v>1346</v>
      </c>
      <c r="CJ52" s="471" t="s">
        <v>1346</v>
      </c>
    </row>
    <row r="53" spans="1:88" x14ac:dyDescent="0.2">
      <c r="A53">
        <v>52</v>
      </c>
      <c r="B53" s="471" t="s">
        <v>884</v>
      </c>
      <c r="C53" s="163" t="s">
        <v>1770</v>
      </c>
      <c r="D53" s="163" t="s">
        <v>4077</v>
      </c>
      <c r="E53" s="163" t="s">
        <v>2033</v>
      </c>
      <c r="F53" s="163" t="s">
        <v>2034</v>
      </c>
      <c r="G53" s="163" t="s">
        <v>36</v>
      </c>
      <c r="H53" s="163" t="s">
        <v>2200</v>
      </c>
      <c r="I53" s="163" t="s">
        <v>5725</v>
      </c>
      <c r="J53" s="163" t="s">
        <v>2188</v>
      </c>
      <c r="K53" s="163" t="s">
        <v>1241</v>
      </c>
      <c r="L53" s="163" t="s">
        <v>2191</v>
      </c>
      <c r="M53" s="163" t="s">
        <v>1770</v>
      </c>
      <c r="N53" s="163" t="s">
        <v>1770</v>
      </c>
      <c r="O53" s="163" t="s">
        <v>906</v>
      </c>
      <c r="P53" s="163" t="s">
        <v>2411</v>
      </c>
      <c r="Q53" s="163" t="s">
        <v>4949</v>
      </c>
      <c r="R53" s="163" t="s">
        <v>2294</v>
      </c>
      <c r="S53" s="163" t="s">
        <v>2412</v>
      </c>
      <c r="T53" s="163">
        <v>48.6</v>
      </c>
      <c r="U53" s="163" t="s">
        <v>2222</v>
      </c>
      <c r="V53" s="163" t="s">
        <v>2413</v>
      </c>
      <c r="W53" s="163" t="s">
        <v>2414</v>
      </c>
      <c r="X53" s="163" t="s">
        <v>4937</v>
      </c>
      <c r="Y53" s="163" t="s">
        <v>111</v>
      </c>
      <c r="Z53" s="163" t="s">
        <v>111</v>
      </c>
      <c r="AA53" s="163" t="s">
        <v>111</v>
      </c>
      <c r="AB53" s="163" t="s">
        <v>36</v>
      </c>
      <c r="AC53" s="163" t="s">
        <v>2195</v>
      </c>
      <c r="AD53" s="163" t="s">
        <v>2196</v>
      </c>
      <c r="AE53" s="163" t="s">
        <v>1762</v>
      </c>
      <c r="AF53" s="163">
        <v>0</v>
      </c>
      <c r="AG53" s="163" t="s">
        <v>4909</v>
      </c>
      <c r="AH53" s="163" t="s">
        <v>4910</v>
      </c>
      <c r="AI53" s="163" t="s">
        <v>4911</v>
      </c>
      <c r="AJ53" s="163" t="s">
        <v>36</v>
      </c>
      <c r="AK53" s="163" t="s">
        <v>2197</v>
      </c>
      <c r="AL53" s="163" t="s">
        <v>36</v>
      </c>
      <c r="AM53" t="s">
        <v>4876</v>
      </c>
      <c r="AN53" s="487">
        <v>0</v>
      </c>
      <c r="AO53" s="487">
        <v>0</v>
      </c>
      <c r="CE53" s="471"/>
      <c r="CG53" s="471" t="s">
        <v>3085</v>
      </c>
      <c r="CI53" s="471" t="s">
        <v>1381</v>
      </c>
      <c r="CJ53" s="471" t="s">
        <v>1381</v>
      </c>
    </row>
    <row r="54" spans="1:88" x14ac:dyDescent="0.2">
      <c r="A54">
        <v>53</v>
      </c>
      <c r="B54" s="471" t="s">
        <v>884</v>
      </c>
      <c r="C54" s="163" t="s">
        <v>901</v>
      </c>
      <c r="D54" s="163" t="s">
        <v>4078</v>
      </c>
      <c r="E54" s="163" t="s">
        <v>2033</v>
      </c>
      <c r="F54" s="163" t="s">
        <v>2034</v>
      </c>
      <c r="G54" s="163" t="s">
        <v>36</v>
      </c>
      <c r="H54" s="163" t="s">
        <v>2200</v>
      </c>
      <c r="I54" s="163" t="s">
        <v>5725</v>
      </c>
      <c r="J54" s="163" t="s">
        <v>1768</v>
      </c>
      <c r="K54" s="163" t="s">
        <v>1123</v>
      </c>
      <c r="L54" s="163" t="s">
        <v>2315</v>
      </c>
      <c r="M54" s="163" t="s">
        <v>901</v>
      </c>
      <c r="N54" s="163" t="s">
        <v>901</v>
      </c>
      <c r="O54" s="163" t="s">
        <v>906</v>
      </c>
      <c r="P54" s="163" t="s">
        <v>2407</v>
      </c>
      <c r="Q54" s="163" t="s">
        <v>4934</v>
      </c>
      <c r="R54" s="163" t="s">
        <v>2257</v>
      </c>
      <c r="S54" s="163" t="s">
        <v>2408</v>
      </c>
      <c r="T54" s="163">
        <v>540</v>
      </c>
      <c r="U54" s="163" t="s">
        <v>2223</v>
      </c>
      <c r="V54" s="163" t="s">
        <v>2409</v>
      </c>
      <c r="W54" s="163" t="s">
        <v>2410</v>
      </c>
      <c r="X54" s="163" t="s">
        <v>4937</v>
      </c>
      <c r="Y54" s="163" t="s">
        <v>111</v>
      </c>
      <c r="Z54" s="163" t="s">
        <v>111</v>
      </c>
      <c r="AA54" s="163" t="s">
        <v>111</v>
      </c>
      <c r="AB54" s="163" t="s">
        <v>36</v>
      </c>
      <c r="AC54" s="163" t="s">
        <v>2195</v>
      </c>
      <c r="AD54" s="163" t="s">
        <v>2196</v>
      </c>
      <c r="AE54" s="163" t="s">
        <v>1762</v>
      </c>
      <c r="AF54" s="163" t="s">
        <v>3419</v>
      </c>
      <c r="AG54" s="163" t="s">
        <v>36</v>
      </c>
      <c r="AH54" s="163" t="s">
        <v>36</v>
      </c>
      <c r="AI54" s="163" t="s">
        <v>36</v>
      </c>
      <c r="AJ54" s="163" t="s">
        <v>36</v>
      </c>
      <c r="AK54" s="163" t="s">
        <v>2197</v>
      </c>
      <c r="AL54" s="163" t="s">
        <v>36</v>
      </c>
      <c r="AM54" t="s">
        <v>4876</v>
      </c>
      <c r="AN54" s="487">
        <v>0</v>
      </c>
      <c r="AO54" s="487">
        <v>0</v>
      </c>
      <c r="CE54" s="471"/>
      <c r="CG54" s="471" t="s">
        <v>1341</v>
      </c>
      <c r="CI54" s="471" t="s">
        <v>1351</v>
      </c>
      <c r="CJ54" s="471" t="s">
        <v>1351</v>
      </c>
    </row>
    <row r="55" spans="1:88" x14ac:dyDescent="0.2">
      <c r="A55">
        <v>54</v>
      </c>
      <c r="B55" s="471" t="s">
        <v>884</v>
      </c>
      <c r="C55" s="163" t="s">
        <v>899</v>
      </c>
      <c r="D55" s="163" t="s">
        <v>4079</v>
      </c>
      <c r="E55" s="163" t="s">
        <v>2033</v>
      </c>
      <c r="F55" s="163" t="s">
        <v>2034</v>
      </c>
      <c r="G55" s="163" t="s">
        <v>36</v>
      </c>
      <c r="H55" s="163" t="s">
        <v>2200</v>
      </c>
      <c r="I55" s="163" t="s">
        <v>5725</v>
      </c>
      <c r="J55" s="163" t="s">
        <v>1768</v>
      </c>
      <c r="K55" s="163" t="s">
        <v>1453</v>
      </c>
      <c r="L55" s="163" t="s">
        <v>2404</v>
      </c>
      <c r="M55" s="163">
        <v>79175</v>
      </c>
      <c r="N55" s="163" t="s">
        <v>899</v>
      </c>
      <c r="O55" s="163" t="s">
        <v>5730</v>
      </c>
      <c r="P55" s="163" t="s">
        <v>2405</v>
      </c>
      <c r="Q55" s="163" t="s">
        <v>4936</v>
      </c>
      <c r="R55" s="163" t="s">
        <v>2294</v>
      </c>
      <c r="S55" s="163" t="s">
        <v>2406</v>
      </c>
      <c r="T55" s="163">
        <v>172.5</v>
      </c>
      <c r="U55" s="163" t="s">
        <v>2220</v>
      </c>
      <c r="V55" s="163" t="s">
        <v>2613</v>
      </c>
      <c r="W55" s="163" t="s">
        <v>5073</v>
      </c>
      <c r="X55" s="163" t="s">
        <v>4937</v>
      </c>
      <c r="Y55" s="163" t="s">
        <v>2391</v>
      </c>
      <c r="Z55" s="163" t="s">
        <v>2392</v>
      </c>
      <c r="AA55" s="163" t="s">
        <v>4937</v>
      </c>
      <c r="AB55" s="163" t="s">
        <v>36</v>
      </c>
      <c r="AC55" s="163" t="s">
        <v>2195</v>
      </c>
      <c r="AD55" s="163" t="s">
        <v>2196</v>
      </c>
      <c r="AE55" s="163" t="s">
        <v>1762</v>
      </c>
      <c r="AF55" s="163" t="s">
        <v>3419</v>
      </c>
      <c r="AG55" s="163" t="s">
        <v>36</v>
      </c>
      <c r="AH55" s="163" t="s">
        <v>36</v>
      </c>
      <c r="AI55" s="163" t="s">
        <v>36</v>
      </c>
      <c r="AJ55" s="163" t="s">
        <v>36</v>
      </c>
      <c r="AK55" s="163" t="s">
        <v>2197</v>
      </c>
      <c r="AL55" s="163" t="s">
        <v>36</v>
      </c>
      <c r="AM55" t="s">
        <v>4876</v>
      </c>
      <c r="AN55" s="487">
        <v>0</v>
      </c>
      <c r="AO55" s="487">
        <v>0</v>
      </c>
      <c r="CE55" s="471"/>
      <c r="CG55" s="471" t="s">
        <v>1781</v>
      </c>
      <c r="CI55" s="471" t="s">
        <v>1387</v>
      </c>
      <c r="CJ55" s="471" t="s">
        <v>1387</v>
      </c>
    </row>
    <row r="56" spans="1:88" x14ac:dyDescent="0.2">
      <c r="A56">
        <v>55</v>
      </c>
      <c r="B56" s="471" t="s">
        <v>884</v>
      </c>
      <c r="C56" s="163" t="s">
        <v>886</v>
      </c>
      <c r="D56" s="163" t="s">
        <v>4080</v>
      </c>
      <c r="E56" s="163" t="s">
        <v>2033</v>
      </c>
      <c r="F56" s="163" t="s">
        <v>2034</v>
      </c>
      <c r="G56" s="163" t="s">
        <v>36</v>
      </c>
      <c r="H56" s="163" t="s">
        <v>2200</v>
      </c>
      <c r="I56" s="163" t="s">
        <v>5725</v>
      </c>
      <c r="J56" s="163" t="s">
        <v>2188</v>
      </c>
      <c r="K56" s="163" t="s">
        <v>2384</v>
      </c>
      <c r="L56" s="163" t="s">
        <v>2385</v>
      </c>
      <c r="M56" s="163" t="s">
        <v>2386</v>
      </c>
      <c r="N56" s="163" t="s">
        <v>886</v>
      </c>
      <c r="O56" s="163" t="s">
        <v>5731</v>
      </c>
      <c r="P56" s="163" t="s">
        <v>2387</v>
      </c>
      <c r="Q56" s="163" t="s">
        <v>4964</v>
      </c>
      <c r="R56" s="163" t="s">
        <v>2193</v>
      </c>
      <c r="S56" s="163" t="s">
        <v>2388</v>
      </c>
      <c r="T56" s="163">
        <v>182.2</v>
      </c>
      <c r="U56" s="163" t="s">
        <v>2220</v>
      </c>
      <c r="V56" s="163" t="s">
        <v>2389</v>
      </c>
      <c r="W56" s="163" t="s">
        <v>2390</v>
      </c>
      <c r="X56" s="163" t="s">
        <v>4937</v>
      </c>
      <c r="Y56" s="163" t="s">
        <v>2391</v>
      </c>
      <c r="Z56" s="163" t="s">
        <v>2392</v>
      </c>
      <c r="AA56" s="163" t="s">
        <v>4937</v>
      </c>
      <c r="AB56" s="163" t="s">
        <v>2393</v>
      </c>
      <c r="AC56" s="163" t="s">
        <v>2195</v>
      </c>
      <c r="AD56" s="163" t="s">
        <v>2196</v>
      </c>
      <c r="AE56" s="163" t="s">
        <v>1762</v>
      </c>
      <c r="AF56" s="163">
        <v>3</v>
      </c>
      <c r="AG56" s="163">
        <v>1.5</v>
      </c>
      <c r="AH56" s="163">
        <v>1</v>
      </c>
      <c r="AI56" s="163" t="s">
        <v>3961</v>
      </c>
      <c r="AJ56" s="163" t="s">
        <v>3962</v>
      </c>
      <c r="AK56" s="163" t="s">
        <v>2197</v>
      </c>
      <c r="AL56" s="163" t="s">
        <v>36</v>
      </c>
      <c r="AM56" t="s">
        <v>4879</v>
      </c>
      <c r="AN56" s="487">
        <v>1.3888888888888888E-2</v>
      </c>
      <c r="AO56" s="487">
        <v>0</v>
      </c>
      <c r="CE56" s="471"/>
      <c r="CG56" s="471" t="s">
        <v>1346</v>
      </c>
      <c r="CI56" s="471" t="s">
        <v>1391</v>
      </c>
      <c r="CJ56" s="471" t="s">
        <v>1391</v>
      </c>
    </row>
    <row r="57" spans="1:88" x14ac:dyDescent="0.2">
      <c r="A57">
        <v>56</v>
      </c>
      <c r="B57" s="471" t="s">
        <v>884</v>
      </c>
      <c r="C57" s="163" t="s">
        <v>5011</v>
      </c>
      <c r="D57" s="163" t="s">
        <v>5012</v>
      </c>
      <c r="E57" s="163" t="s">
        <v>2033</v>
      </c>
      <c r="F57" s="163" t="s">
        <v>2034</v>
      </c>
      <c r="G57" s="163" t="s">
        <v>36</v>
      </c>
      <c r="H57" s="163" t="s">
        <v>2200</v>
      </c>
      <c r="I57" s="163" t="s">
        <v>5725</v>
      </c>
      <c r="J57" s="163" t="s">
        <v>2188</v>
      </c>
      <c r="K57" s="163" t="s">
        <v>5013</v>
      </c>
      <c r="L57" s="163" t="s">
        <v>5014</v>
      </c>
      <c r="M57" s="163" t="s">
        <v>5015</v>
      </c>
      <c r="N57" s="163" t="s">
        <v>5011</v>
      </c>
      <c r="O57" s="163" t="s">
        <v>5732</v>
      </c>
      <c r="P57" s="163" t="s">
        <v>5016</v>
      </c>
      <c r="Q57" s="163" t="s">
        <v>4934</v>
      </c>
      <c r="R57" s="163" t="s">
        <v>4444</v>
      </c>
      <c r="S57" s="163" t="s">
        <v>5017</v>
      </c>
      <c r="T57" s="163">
        <v>70</v>
      </c>
      <c r="U57" s="163" t="s">
        <v>2222</v>
      </c>
      <c r="V57" s="163" t="s">
        <v>4957</v>
      </c>
      <c r="W57" s="163">
        <v>26304</v>
      </c>
      <c r="X57" s="163" t="s">
        <v>5058</v>
      </c>
      <c r="Y57" s="163" t="s">
        <v>2403</v>
      </c>
      <c r="Z57" s="163" t="s">
        <v>2392</v>
      </c>
      <c r="AA57" s="163" t="s">
        <v>5058</v>
      </c>
      <c r="AB57" s="163" t="s">
        <v>36</v>
      </c>
      <c r="AC57" s="163" t="s">
        <v>2195</v>
      </c>
      <c r="AD57" s="163" t="s">
        <v>2196</v>
      </c>
      <c r="AE57" s="163" t="s">
        <v>1762</v>
      </c>
      <c r="AF57" s="163">
        <v>111</v>
      </c>
      <c r="AG57" s="163">
        <v>208</v>
      </c>
      <c r="AH57" s="163">
        <v>35</v>
      </c>
      <c r="AI57" s="163" t="s">
        <v>5018</v>
      </c>
      <c r="AJ57" s="163" t="s">
        <v>36</v>
      </c>
      <c r="AK57" s="163" t="s">
        <v>2197</v>
      </c>
      <c r="AL57" s="163" t="s">
        <v>36</v>
      </c>
      <c r="AM57" t="s">
        <v>5019</v>
      </c>
      <c r="AN57" s="487"/>
      <c r="AO57" s="487"/>
      <c r="CE57" s="471"/>
      <c r="CG57" s="471" t="s">
        <v>1381</v>
      </c>
      <c r="CI57" s="471" t="s">
        <v>1405</v>
      </c>
      <c r="CJ57" s="471" t="s">
        <v>1405</v>
      </c>
    </row>
    <row r="58" spans="1:88" x14ac:dyDescent="0.2">
      <c r="A58">
        <v>57</v>
      </c>
      <c r="B58" s="471" t="s">
        <v>904</v>
      </c>
      <c r="C58" s="163" t="s">
        <v>908</v>
      </c>
      <c r="D58" s="163" t="s">
        <v>4081</v>
      </c>
      <c r="E58" s="163" t="s">
        <v>2035</v>
      </c>
      <c r="F58" s="163" t="s">
        <v>2036</v>
      </c>
      <c r="G58" s="163" t="s">
        <v>36</v>
      </c>
      <c r="H58" s="163" t="s">
        <v>2200</v>
      </c>
      <c r="I58" s="163" t="s">
        <v>5725</v>
      </c>
      <c r="J58" s="163" t="s">
        <v>1768</v>
      </c>
      <c r="K58" s="163" t="s">
        <v>1120</v>
      </c>
      <c r="L58" s="163" t="s">
        <v>2429</v>
      </c>
      <c r="M58" s="163" t="s">
        <v>908</v>
      </c>
      <c r="N58" s="163" t="s">
        <v>908</v>
      </c>
      <c r="O58" s="163" t="s">
        <v>906</v>
      </c>
      <c r="P58" s="163" t="s">
        <v>2430</v>
      </c>
      <c r="Q58" s="163" t="s">
        <v>4936</v>
      </c>
      <c r="R58" s="163" t="s">
        <v>2193</v>
      </c>
      <c r="S58" s="163" t="s">
        <v>2431</v>
      </c>
      <c r="T58" s="163">
        <v>26.4</v>
      </c>
      <c r="U58" s="163" t="s">
        <v>1952</v>
      </c>
      <c r="V58" s="163" t="s">
        <v>2432</v>
      </c>
      <c r="W58" s="163" t="s">
        <v>2433</v>
      </c>
      <c r="X58" s="163" t="s">
        <v>4937</v>
      </c>
      <c r="Y58" s="163" t="s">
        <v>111</v>
      </c>
      <c r="Z58" s="163" t="s">
        <v>111</v>
      </c>
      <c r="AA58" s="163" t="s">
        <v>111</v>
      </c>
      <c r="AB58" s="163" t="s">
        <v>36</v>
      </c>
      <c r="AC58" s="163" t="s">
        <v>2195</v>
      </c>
      <c r="AD58" s="163" t="s">
        <v>2196</v>
      </c>
      <c r="AE58" s="163" t="s">
        <v>1762</v>
      </c>
      <c r="AF58" s="163" t="s">
        <v>3419</v>
      </c>
      <c r="AG58" s="163" t="s">
        <v>36</v>
      </c>
      <c r="AH58" s="163" t="s">
        <v>36</v>
      </c>
      <c r="AI58" s="163" t="s">
        <v>36</v>
      </c>
      <c r="AJ58" s="163" t="s">
        <v>36</v>
      </c>
      <c r="AK58" s="163" t="s">
        <v>2197</v>
      </c>
      <c r="AL58" s="163" t="s">
        <v>36</v>
      </c>
      <c r="AM58" t="s">
        <v>4876</v>
      </c>
      <c r="AN58" s="487">
        <v>0</v>
      </c>
      <c r="AO58" s="487">
        <v>0</v>
      </c>
      <c r="CE58" s="471"/>
      <c r="CG58" s="471" t="s">
        <v>1351</v>
      </c>
      <c r="CI58" s="471" t="s">
        <v>1983</v>
      </c>
      <c r="CJ58" s="471" t="s">
        <v>1983</v>
      </c>
    </row>
    <row r="59" spans="1:88" x14ac:dyDescent="0.2">
      <c r="A59">
        <v>58</v>
      </c>
      <c r="B59" s="471" t="s">
        <v>904</v>
      </c>
      <c r="C59" s="163" t="s">
        <v>1771</v>
      </c>
      <c r="D59" s="163" t="s">
        <v>4082</v>
      </c>
      <c r="E59" s="163" t="s">
        <v>2035</v>
      </c>
      <c r="F59" s="163" t="s">
        <v>2036</v>
      </c>
      <c r="G59" s="163" t="s">
        <v>36</v>
      </c>
      <c r="H59" s="163" t="s">
        <v>2200</v>
      </c>
      <c r="I59" s="163" t="s">
        <v>5725</v>
      </c>
      <c r="J59" s="163" t="s">
        <v>1768</v>
      </c>
      <c r="K59" s="163" t="s">
        <v>1771</v>
      </c>
      <c r="L59" s="163" t="s">
        <v>2434</v>
      </c>
      <c r="M59" s="163" t="s">
        <v>2435</v>
      </c>
      <c r="N59" s="163" t="s">
        <v>1771</v>
      </c>
      <c r="O59" s="163" t="s">
        <v>906</v>
      </c>
      <c r="P59" s="163" t="s">
        <v>2436</v>
      </c>
      <c r="Q59" s="163" t="s">
        <v>4936</v>
      </c>
      <c r="R59" s="163" t="s">
        <v>2193</v>
      </c>
      <c r="S59" s="163" t="s">
        <v>2437</v>
      </c>
      <c r="T59" s="163">
        <v>600</v>
      </c>
      <c r="U59" s="163" t="s">
        <v>1952</v>
      </c>
      <c r="V59" s="163" t="s">
        <v>2438</v>
      </c>
      <c r="W59" s="163" t="s">
        <v>2439</v>
      </c>
      <c r="X59" s="163" t="s">
        <v>4937</v>
      </c>
      <c r="Y59" s="163" t="s">
        <v>2440</v>
      </c>
      <c r="Z59" s="163" t="s">
        <v>2441</v>
      </c>
      <c r="AA59" s="163" t="s">
        <v>4937</v>
      </c>
      <c r="AB59" s="163" t="s">
        <v>36</v>
      </c>
      <c r="AC59" s="163" t="s">
        <v>2195</v>
      </c>
      <c r="AD59" s="163" t="s">
        <v>2196</v>
      </c>
      <c r="AE59" s="163" t="s">
        <v>1762</v>
      </c>
      <c r="AF59" s="163">
        <v>2</v>
      </c>
      <c r="AG59" s="163">
        <v>25</v>
      </c>
      <c r="AH59" s="163">
        <v>150</v>
      </c>
      <c r="AI59" s="163" t="s">
        <v>36</v>
      </c>
      <c r="AJ59" s="163" t="s">
        <v>36</v>
      </c>
      <c r="AK59" s="163" t="s">
        <v>2197</v>
      </c>
      <c r="AL59" s="163" t="s">
        <v>36</v>
      </c>
      <c r="AM59" t="s">
        <v>4876</v>
      </c>
      <c r="AN59" s="487">
        <v>0</v>
      </c>
      <c r="AO59" s="487">
        <v>0</v>
      </c>
      <c r="CE59" s="471"/>
      <c r="CG59" s="471" t="s">
        <v>1387</v>
      </c>
      <c r="CI59" s="471" t="s">
        <v>1747</v>
      </c>
      <c r="CJ59" s="471" t="s">
        <v>1747</v>
      </c>
    </row>
    <row r="60" spans="1:88" x14ac:dyDescent="0.2">
      <c r="A60">
        <v>59</v>
      </c>
      <c r="B60" s="471" t="s">
        <v>910</v>
      </c>
      <c r="C60" s="163" t="s">
        <v>912</v>
      </c>
      <c r="D60" s="163" t="s">
        <v>4083</v>
      </c>
      <c r="E60" s="163" t="s">
        <v>2037</v>
      </c>
      <c r="F60" s="163" t="s">
        <v>2038</v>
      </c>
      <c r="G60" s="163" t="s">
        <v>36</v>
      </c>
      <c r="H60" s="163" t="s">
        <v>2200</v>
      </c>
      <c r="I60" s="163" t="s">
        <v>5725</v>
      </c>
      <c r="J60" s="163" t="s">
        <v>1768</v>
      </c>
      <c r="K60" s="163" t="s">
        <v>2448</v>
      </c>
      <c r="L60" s="163" t="s">
        <v>2442</v>
      </c>
      <c r="M60" s="163" t="s">
        <v>2449</v>
      </c>
      <c r="N60" s="163" t="s">
        <v>2450</v>
      </c>
      <c r="O60" s="163" t="s">
        <v>906</v>
      </c>
      <c r="P60" s="163" t="s">
        <v>4409</v>
      </c>
      <c r="Q60" s="163" t="s">
        <v>4409</v>
      </c>
      <c r="R60" s="163" t="s">
        <v>2257</v>
      </c>
      <c r="S60" s="163" t="s">
        <v>2452</v>
      </c>
      <c r="T60" s="163">
        <v>180</v>
      </c>
      <c r="U60" s="163" t="s">
        <v>2223</v>
      </c>
      <c r="V60" s="163" t="s">
        <v>2445</v>
      </c>
      <c r="W60" s="163" t="s">
        <v>2453</v>
      </c>
      <c r="X60" s="163" t="s">
        <v>2194</v>
      </c>
      <c r="Y60" s="163" t="s">
        <v>111</v>
      </c>
      <c r="Z60" s="163" t="s">
        <v>111</v>
      </c>
      <c r="AA60" s="163" t="s">
        <v>111</v>
      </c>
      <c r="AB60" s="163" t="s">
        <v>2447</v>
      </c>
      <c r="AC60" s="163" t="s">
        <v>2195</v>
      </c>
      <c r="AD60" s="163" t="s">
        <v>2196</v>
      </c>
      <c r="AE60" s="163" t="s">
        <v>1762</v>
      </c>
      <c r="AF60" s="163" t="s">
        <v>3419</v>
      </c>
      <c r="AG60" s="163" t="s">
        <v>36</v>
      </c>
      <c r="AH60" s="163" t="s">
        <v>36</v>
      </c>
      <c r="AI60" s="163" t="s">
        <v>36</v>
      </c>
      <c r="AJ60" s="163" t="s">
        <v>36</v>
      </c>
      <c r="AK60" s="163" t="s">
        <v>2197</v>
      </c>
      <c r="AL60" s="163" t="s">
        <v>36</v>
      </c>
      <c r="AM60" t="s">
        <v>4880</v>
      </c>
      <c r="AN60" s="487">
        <v>0</v>
      </c>
      <c r="AO60" s="487">
        <v>0</v>
      </c>
      <c r="CE60" s="471"/>
      <c r="CG60" s="471" t="s">
        <v>1391</v>
      </c>
      <c r="CI60" s="471" t="s">
        <v>1418</v>
      </c>
      <c r="CJ60" s="471" t="s">
        <v>1418</v>
      </c>
    </row>
    <row r="61" spans="1:88" x14ac:dyDescent="0.2">
      <c r="A61">
        <v>60</v>
      </c>
      <c r="B61" s="471" t="s">
        <v>910</v>
      </c>
      <c r="C61" s="163" t="s">
        <v>914</v>
      </c>
      <c r="D61" s="163" t="s">
        <v>4084</v>
      </c>
      <c r="E61" s="163" t="s">
        <v>2037</v>
      </c>
      <c r="F61" s="163" t="s">
        <v>2038</v>
      </c>
      <c r="G61" s="163" t="s">
        <v>36</v>
      </c>
      <c r="H61" s="163" t="s">
        <v>2200</v>
      </c>
      <c r="I61" s="163" t="s">
        <v>5725</v>
      </c>
      <c r="J61" s="163" t="s">
        <v>1768</v>
      </c>
      <c r="K61" s="163" t="s">
        <v>2377</v>
      </c>
      <c r="L61" s="163" t="s">
        <v>2442</v>
      </c>
      <c r="M61" s="163" t="s">
        <v>914</v>
      </c>
      <c r="N61" s="163" t="s">
        <v>914</v>
      </c>
      <c r="O61" s="163" t="s">
        <v>906</v>
      </c>
      <c r="P61" s="163" t="s">
        <v>2443</v>
      </c>
      <c r="Q61" s="163" t="s">
        <v>2443</v>
      </c>
      <c r="R61" s="163" t="s">
        <v>2257</v>
      </c>
      <c r="S61" s="163" t="s">
        <v>2444</v>
      </c>
      <c r="T61" s="163">
        <v>882</v>
      </c>
      <c r="U61" s="163" t="s">
        <v>2223</v>
      </c>
      <c r="V61" s="163" t="s">
        <v>2445</v>
      </c>
      <c r="W61" s="163" t="s">
        <v>2446</v>
      </c>
      <c r="X61" s="163" t="s">
        <v>2194</v>
      </c>
      <c r="Y61" s="163" t="s">
        <v>111</v>
      </c>
      <c r="Z61" s="163" t="s">
        <v>111</v>
      </c>
      <c r="AA61" s="163" t="s">
        <v>111</v>
      </c>
      <c r="AB61" s="163" t="s">
        <v>2447</v>
      </c>
      <c r="AC61" s="163" t="s">
        <v>2195</v>
      </c>
      <c r="AD61" s="163" t="s">
        <v>2196</v>
      </c>
      <c r="AE61" s="163" t="s">
        <v>1762</v>
      </c>
      <c r="AF61" s="163" t="s">
        <v>3419</v>
      </c>
      <c r="AG61" s="163" t="s">
        <v>36</v>
      </c>
      <c r="AH61" s="163" t="s">
        <v>36</v>
      </c>
      <c r="AI61" s="163" t="s">
        <v>36</v>
      </c>
      <c r="AJ61" s="163" t="s">
        <v>36</v>
      </c>
      <c r="AK61" s="163" t="s">
        <v>2197</v>
      </c>
      <c r="AL61" s="163" t="s">
        <v>36</v>
      </c>
      <c r="AM61" t="s">
        <v>4880</v>
      </c>
      <c r="AN61" s="487">
        <v>0</v>
      </c>
      <c r="AO61" s="487">
        <v>0</v>
      </c>
      <c r="CE61" s="471"/>
      <c r="CG61" s="471" t="s">
        <v>5339</v>
      </c>
      <c r="CI61" s="471" t="s">
        <v>1787</v>
      </c>
      <c r="CJ61" s="471" t="s">
        <v>1787</v>
      </c>
    </row>
    <row r="62" spans="1:88" x14ac:dyDescent="0.2">
      <c r="A62">
        <v>61</v>
      </c>
      <c r="B62" s="471" t="s">
        <v>919</v>
      </c>
      <c r="C62" s="163" t="s">
        <v>5375</v>
      </c>
      <c r="D62" s="163" t="s">
        <v>5376</v>
      </c>
      <c r="E62" s="163" t="s">
        <v>2041</v>
      </c>
      <c r="F62" s="163" t="s">
        <v>2018</v>
      </c>
      <c r="G62" s="163" t="s">
        <v>36</v>
      </c>
      <c r="H62" s="163" t="s">
        <v>2200</v>
      </c>
      <c r="I62" s="163" t="s">
        <v>5725</v>
      </c>
      <c r="J62" s="163" t="s">
        <v>2188</v>
      </c>
      <c r="K62" s="163" t="s">
        <v>5377</v>
      </c>
      <c r="L62" s="163" t="s">
        <v>5378</v>
      </c>
      <c r="M62" s="163" t="s">
        <v>5375</v>
      </c>
      <c r="N62" s="163" t="s">
        <v>5375</v>
      </c>
      <c r="O62" s="163" t="s">
        <v>5733</v>
      </c>
      <c r="P62" s="163" t="s">
        <v>5379</v>
      </c>
      <c r="Q62" s="163" t="s">
        <v>5380</v>
      </c>
      <c r="R62" s="163" t="s">
        <v>2193</v>
      </c>
      <c r="S62" s="163" t="s">
        <v>5381</v>
      </c>
      <c r="T62" s="163">
        <v>24.89</v>
      </c>
      <c r="U62" s="163" t="s">
        <v>5382</v>
      </c>
      <c r="V62" s="163" t="s">
        <v>5383</v>
      </c>
      <c r="W62" s="163">
        <v>162408210</v>
      </c>
      <c r="X62" s="163" t="s">
        <v>2194</v>
      </c>
      <c r="Y62" s="163" t="s">
        <v>5384</v>
      </c>
      <c r="Z62" s="163" t="s">
        <v>5385</v>
      </c>
      <c r="AA62" s="163" t="s">
        <v>2194</v>
      </c>
      <c r="AB62" s="163" t="s">
        <v>5386</v>
      </c>
      <c r="AC62" s="163" t="s">
        <v>2195</v>
      </c>
      <c r="AD62" s="163" t="s">
        <v>2196</v>
      </c>
      <c r="AE62" s="163" t="s">
        <v>1762</v>
      </c>
      <c r="AF62" s="163" t="s">
        <v>3419</v>
      </c>
      <c r="AG62" s="163" t="s">
        <v>36</v>
      </c>
      <c r="AH62" s="163" t="s">
        <v>36</v>
      </c>
      <c r="AI62" s="163" t="s">
        <v>36</v>
      </c>
      <c r="AJ62" s="163" t="s">
        <v>36</v>
      </c>
      <c r="AK62" s="163" t="s">
        <v>2197</v>
      </c>
      <c r="AL62" s="163" t="s">
        <v>36</v>
      </c>
      <c r="AM62" t="s">
        <v>4881</v>
      </c>
      <c r="AN62" s="487"/>
      <c r="AO62" s="487"/>
      <c r="CE62" s="471"/>
      <c r="CG62" s="471" t="s">
        <v>1405</v>
      </c>
      <c r="CI62" s="471" t="s">
        <v>1424</v>
      </c>
      <c r="CJ62" s="471" t="s">
        <v>1424</v>
      </c>
    </row>
    <row r="63" spans="1:88" x14ac:dyDescent="0.2">
      <c r="A63">
        <v>62</v>
      </c>
      <c r="B63" s="471" t="s">
        <v>960</v>
      </c>
      <c r="C63" s="163" t="s">
        <v>5639</v>
      </c>
      <c r="D63" s="163" t="s">
        <v>5640</v>
      </c>
      <c r="E63" s="163" t="s">
        <v>2043</v>
      </c>
      <c r="F63" s="163" t="s">
        <v>2027</v>
      </c>
      <c r="G63" s="163" t="s">
        <v>36</v>
      </c>
      <c r="H63" s="163" t="s">
        <v>2200</v>
      </c>
      <c r="I63" s="163" t="s">
        <v>5725</v>
      </c>
      <c r="J63" s="163" t="s">
        <v>2188</v>
      </c>
      <c r="K63" s="163" t="s">
        <v>5641</v>
      </c>
      <c r="L63" s="163" t="s">
        <v>5642</v>
      </c>
      <c r="M63" s="163">
        <v>49518</v>
      </c>
      <c r="N63" s="163" t="s">
        <v>5643</v>
      </c>
      <c r="O63" s="163" t="s">
        <v>5644</v>
      </c>
      <c r="P63" s="163" t="s">
        <v>5645</v>
      </c>
      <c r="Q63" s="163" t="s">
        <v>2192</v>
      </c>
      <c r="R63" s="163" t="s">
        <v>5646</v>
      </c>
      <c r="S63" s="163" t="s">
        <v>5647</v>
      </c>
      <c r="T63" s="163">
        <v>468.02</v>
      </c>
      <c r="U63" s="163" t="s">
        <v>2220</v>
      </c>
      <c r="V63" s="163" t="s">
        <v>2865</v>
      </c>
      <c r="W63" s="163">
        <v>4.25</v>
      </c>
      <c r="X63" s="163" t="s">
        <v>2194</v>
      </c>
      <c r="Y63" s="163" t="s">
        <v>111</v>
      </c>
      <c r="Z63" s="163" t="s">
        <v>111</v>
      </c>
      <c r="AA63" s="163" t="s">
        <v>111</v>
      </c>
      <c r="AB63" s="163" t="s">
        <v>36</v>
      </c>
      <c r="AC63" s="163" t="s">
        <v>2195</v>
      </c>
      <c r="AD63" s="163" t="s">
        <v>5648</v>
      </c>
      <c r="AE63" s="163" t="s">
        <v>1762</v>
      </c>
      <c r="AF63" s="163">
        <v>2.5</v>
      </c>
      <c r="AG63" s="163">
        <v>0.15</v>
      </c>
      <c r="AH63" s="163">
        <v>5.0000000000000001E-3</v>
      </c>
      <c r="AI63" s="163" t="s">
        <v>5649</v>
      </c>
      <c r="AJ63" s="163" t="s">
        <v>36</v>
      </c>
      <c r="AK63" s="163" t="s">
        <v>2197</v>
      </c>
      <c r="AL63" s="163" t="s">
        <v>36</v>
      </c>
      <c r="AM63" t="s">
        <v>4876</v>
      </c>
      <c r="AN63" s="487">
        <v>0</v>
      </c>
      <c r="AO63" s="487">
        <v>0</v>
      </c>
      <c r="CE63" s="471"/>
      <c r="CG63" s="471" t="s">
        <v>1983</v>
      </c>
      <c r="CI63" s="471" t="s">
        <v>1434</v>
      </c>
      <c r="CJ63" s="471" t="s">
        <v>1434</v>
      </c>
    </row>
    <row r="64" spans="1:88" x14ac:dyDescent="0.2">
      <c r="A64">
        <v>63</v>
      </c>
      <c r="B64" s="471" t="s">
        <v>960</v>
      </c>
      <c r="C64" s="163" t="s">
        <v>1859</v>
      </c>
      <c r="D64" s="163" t="s">
        <v>4085</v>
      </c>
      <c r="E64" s="163" t="s">
        <v>2043</v>
      </c>
      <c r="F64" s="163" t="s">
        <v>2027</v>
      </c>
      <c r="G64" s="163" t="s">
        <v>36</v>
      </c>
      <c r="H64" s="163" t="s">
        <v>2200</v>
      </c>
      <c r="I64" s="163" t="s">
        <v>5725</v>
      </c>
      <c r="J64" s="163" t="s">
        <v>1768</v>
      </c>
      <c r="K64" s="163" t="s">
        <v>2454</v>
      </c>
      <c r="L64" s="163" t="s">
        <v>2455</v>
      </c>
      <c r="M64" s="163" t="s">
        <v>2456</v>
      </c>
      <c r="N64" s="163" t="s">
        <v>1859</v>
      </c>
      <c r="O64" s="163" t="s">
        <v>906</v>
      </c>
      <c r="P64" s="163" t="s">
        <v>2457</v>
      </c>
      <c r="Q64" s="163" t="s">
        <v>2458</v>
      </c>
      <c r="R64" s="163" t="s">
        <v>2193</v>
      </c>
      <c r="S64" s="163" t="s">
        <v>2459</v>
      </c>
      <c r="T64" s="163">
        <v>5.8</v>
      </c>
      <c r="U64" s="163" t="s">
        <v>2223</v>
      </c>
      <c r="V64" s="163" t="s">
        <v>2460</v>
      </c>
      <c r="W64" s="163" t="s">
        <v>2456</v>
      </c>
      <c r="X64" s="163" t="s">
        <v>2203</v>
      </c>
      <c r="Y64" s="163" t="s">
        <v>111</v>
      </c>
      <c r="Z64" s="163" t="s">
        <v>111</v>
      </c>
      <c r="AA64" s="163" t="s">
        <v>111</v>
      </c>
      <c r="AB64" s="163" t="s">
        <v>2461</v>
      </c>
      <c r="AC64" s="163" t="s">
        <v>2195</v>
      </c>
      <c r="AD64" s="163" t="s">
        <v>2196</v>
      </c>
      <c r="AE64" s="163" t="s">
        <v>1762</v>
      </c>
      <c r="AF64" s="163" t="s">
        <v>36</v>
      </c>
      <c r="AG64" s="163" t="s">
        <v>36</v>
      </c>
      <c r="AH64" s="163" t="s">
        <v>36</v>
      </c>
      <c r="AI64" s="163" t="s">
        <v>36</v>
      </c>
      <c r="AJ64" s="163" t="s">
        <v>36</v>
      </c>
      <c r="AK64" s="163" t="s">
        <v>2197</v>
      </c>
      <c r="AL64" s="163" t="s">
        <v>36</v>
      </c>
      <c r="AM64" t="s">
        <v>4881</v>
      </c>
      <c r="AN64" s="487">
        <v>0</v>
      </c>
      <c r="AO64" s="487">
        <v>0</v>
      </c>
      <c r="CE64" s="471"/>
      <c r="CG64" s="471" t="s">
        <v>5239</v>
      </c>
      <c r="CI64" s="471" t="s">
        <v>1447</v>
      </c>
      <c r="CJ64" s="471" t="s">
        <v>1447</v>
      </c>
    </row>
    <row r="65" spans="1:88" x14ac:dyDescent="0.2">
      <c r="A65">
        <v>64</v>
      </c>
      <c r="B65" s="471" t="s">
        <v>989</v>
      </c>
      <c r="C65" s="163" t="s">
        <v>1912</v>
      </c>
      <c r="D65" s="163" t="s">
        <v>4846</v>
      </c>
      <c r="E65" s="163" t="s">
        <v>2044</v>
      </c>
      <c r="F65" s="163" t="s">
        <v>2045</v>
      </c>
      <c r="G65" s="163" t="s">
        <v>36</v>
      </c>
      <c r="H65" s="163" t="s">
        <v>2200</v>
      </c>
      <c r="I65" s="163" t="s">
        <v>5734</v>
      </c>
      <c r="J65" s="163" t="s">
        <v>3123</v>
      </c>
      <c r="K65" s="163" t="s">
        <v>3353</v>
      </c>
      <c r="L65" s="163" t="s">
        <v>4847</v>
      </c>
      <c r="M65" s="163">
        <v>1947</v>
      </c>
      <c r="N65" s="163" t="s">
        <v>4848</v>
      </c>
      <c r="O65" s="163" t="s">
        <v>3123</v>
      </c>
      <c r="P65" s="163" t="s">
        <v>2472</v>
      </c>
      <c r="Q65" s="163" t="s">
        <v>2276</v>
      </c>
      <c r="R65" s="163" t="s">
        <v>4849</v>
      </c>
      <c r="S65" s="163" t="s">
        <v>4850</v>
      </c>
      <c r="T65" s="163">
        <v>100.48</v>
      </c>
      <c r="U65" s="163" t="s">
        <v>1952</v>
      </c>
      <c r="V65" s="163" t="s">
        <v>2278</v>
      </c>
      <c r="W65" s="163" t="s">
        <v>4851</v>
      </c>
      <c r="X65" s="163" t="s">
        <v>2194</v>
      </c>
      <c r="Y65" s="163" t="s">
        <v>2391</v>
      </c>
      <c r="Z65" s="163" t="s">
        <v>2476</v>
      </c>
      <c r="AA65" s="163" t="s">
        <v>2194</v>
      </c>
      <c r="AB65" s="163" t="s">
        <v>5431</v>
      </c>
      <c r="AC65" s="163" t="s">
        <v>2195</v>
      </c>
      <c r="AD65" s="163" t="s">
        <v>2196</v>
      </c>
      <c r="AE65" s="163" t="s">
        <v>1762</v>
      </c>
      <c r="AF65" s="163">
        <v>2</v>
      </c>
      <c r="AG65" s="163">
        <v>2.5</v>
      </c>
      <c r="AH65" s="163">
        <v>1</v>
      </c>
      <c r="AI65" s="163" t="s">
        <v>36</v>
      </c>
      <c r="AJ65" s="163" t="s">
        <v>36</v>
      </c>
      <c r="AK65" s="163" t="s">
        <v>2197</v>
      </c>
      <c r="AL65" s="163" t="s">
        <v>36</v>
      </c>
      <c r="AM65" t="s">
        <v>4882</v>
      </c>
      <c r="AN65" s="487">
        <v>0</v>
      </c>
      <c r="AO65" s="487">
        <v>0</v>
      </c>
      <c r="CE65" s="471"/>
      <c r="CG65" s="471" t="s">
        <v>1747</v>
      </c>
      <c r="CI65" s="471" t="s">
        <v>1451</v>
      </c>
      <c r="CJ65" s="471" t="s">
        <v>1451</v>
      </c>
    </row>
    <row r="66" spans="1:88" x14ac:dyDescent="0.2">
      <c r="A66">
        <v>65</v>
      </c>
      <c r="B66" s="471" t="s">
        <v>989</v>
      </c>
      <c r="C66" s="163" t="s">
        <v>4638</v>
      </c>
      <c r="D66" s="163" t="s">
        <v>4639</v>
      </c>
      <c r="E66" s="163" t="s">
        <v>2044</v>
      </c>
      <c r="F66" s="163" t="s">
        <v>2045</v>
      </c>
      <c r="G66" s="163" t="s">
        <v>36</v>
      </c>
      <c r="H66" s="163" t="s">
        <v>2200</v>
      </c>
      <c r="I66" s="163" t="s">
        <v>5734</v>
      </c>
      <c r="J66" s="163" t="s">
        <v>3123</v>
      </c>
      <c r="K66" s="163" t="s">
        <v>4638</v>
      </c>
      <c r="L66" s="163" t="s">
        <v>4640</v>
      </c>
      <c r="M66" s="163">
        <v>7893</v>
      </c>
      <c r="N66" s="163" t="s">
        <v>4638</v>
      </c>
      <c r="O66" s="163" t="s">
        <v>906</v>
      </c>
      <c r="P66" s="163" t="s">
        <v>4641</v>
      </c>
      <c r="Q66" s="163" t="s">
        <v>4642</v>
      </c>
      <c r="R66" s="163" t="s">
        <v>4643</v>
      </c>
      <c r="S66" s="163" t="s">
        <v>4644</v>
      </c>
      <c r="T66" s="163">
        <v>882.1</v>
      </c>
      <c r="U66" s="163" t="s">
        <v>1952</v>
      </c>
      <c r="V66" s="163" t="s">
        <v>4645</v>
      </c>
      <c r="W66" s="163" t="s">
        <v>4646</v>
      </c>
      <c r="X66" s="163" t="s">
        <v>2194</v>
      </c>
      <c r="Y66" s="163" t="s">
        <v>2391</v>
      </c>
      <c r="Z66" s="163" t="s">
        <v>4647</v>
      </c>
      <c r="AA66" s="163" t="s">
        <v>2194</v>
      </c>
      <c r="AB66" s="163" t="s">
        <v>4648</v>
      </c>
      <c r="AC66" s="163" t="s">
        <v>2195</v>
      </c>
      <c r="AD66" s="163" t="s">
        <v>2196</v>
      </c>
      <c r="AE66" s="163" t="s">
        <v>1762</v>
      </c>
      <c r="AF66" s="163" t="s">
        <v>4649</v>
      </c>
      <c r="AG66" s="163" t="s">
        <v>36</v>
      </c>
      <c r="AH66" s="163" t="s">
        <v>36</v>
      </c>
      <c r="AI66" s="163" t="s">
        <v>36</v>
      </c>
      <c r="AJ66" s="163" t="s">
        <v>36</v>
      </c>
      <c r="AK66" s="163" t="s">
        <v>2197</v>
      </c>
      <c r="AL66" s="163" t="s">
        <v>36</v>
      </c>
      <c r="AM66" t="s">
        <v>4882</v>
      </c>
      <c r="AN66" s="487">
        <v>0</v>
      </c>
      <c r="AO66" s="487">
        <v>0</v>
      </c>
      <c r="CG66" t="s">
        <v>1418</v>
      </c>
      <c r="CI66" s="471" t="s">
        <v>1459</v>
      </c>
      <c r="CJ66" s="471" t="s">
        <v>1459</v>
      </c>
    </row>
    <row r="67" spans="1:88" x14ac:dyDescent="0.2">
      <c r="A67">
        <v>66</v>
      </c>
      <c r="B67" s="471" t="s">
        <v>989</v>
      </c>
      <c r="C67" s="163" t="s">
        <v>992</v>
      </c>
      <c r="D67" s="163" t="s">
        <v>4086</v>
      </c>
      <c r="E67" s="163" t="s">
        <v>2044</v>
      </c>
      <c r="F67" s="163" t="s">
        <v>2045</v>
      </c>
      <c r="G67" s="163" t="s">
        <v>36</v>
      </c>
      <c r="H67" s="163" t="s">
        <v>2200</v>
      </c>
      <c r="I67" s="163" t="s">
        <v>5725</v>
      </c>
      <c r="J67" s="163" t="s">
        <v>1768</v>
      </c>
      <c r="K67" s="163" t="s">
        <v>2204</v>
      </c>
      <c r="L67" s="163" t="s">
        <v>2462</v>
      </c>
      <c r="M67" s="163" t="s">
        <v>2463</v>
      </c>
      <c r="N67" s="163" t="s">
        <v>992</v>
      </c>
      <c r="O67" s="163" t="s">
        <v>906</v>
      </c>
      <c r="P67" s="163" t="s">
        <v>2464</v>
      </c>
      <c r="Q67" s="163" t="s">
        <v>2276</v>
      </c>
      <c r="R67" s="163" t="s">
        <v>2367</v>
      </c>
      <c r="S67" s="163" t="s">
        <v>2465</v>
      </c>
      <c r="T67" s="163">
        <v>544</v>
      </c>
      <c r="U67" s="163" t="s">
        <v>1952</v>
      </c>
      <c r="V67" s="163" t="s">
        <v>2278</v>
      </c>
      <c r="W67" s="163" t="s">
        <v>2466</v>
      </c>
      <c r="X67" s="163" t="s">
        <v>2194</v>
      </c>
      <c r="Y67" s="163" t="s">
        <v>2391</v>
      </c>
      <c r="Z67" s="163" t="s">
        <v>2467</v>
      </c>
      <c r="AA67" s="163" t="s">
        <v>2194</v>
      </c>
      <c r="AB67" s="163" t="s">
        <v>36</v>
      </c>
      <c r="AC67" s="163" t="s">
        <v>2195</v>
      </c>
      <c r="AD67" s="163" t="s">
        <v>2196</v>
      </c>
      <c r="AE67" s="163" t="s">
        <v>1762</v>
      </c>
      <c r="AF67" s="163">
        <v>65</v>
      </c>
      <c r="AG67" s="163">
        <v>154</v>
      </c>
      <c r="AH67" s="163">
        <v>10</v>
      </c>
      <c r="AI67" s="163" t="s">
        <v>36</v>
      </c>
      <c r="AJ67" s="163" t="s">
        <v>36</v>
      </c>
      <c r="AK67" s="163" t="s">
        <v>2197</v>
      </c>
      <c r="AL67" s="163" t="s">
        <v>3797</v>
      </c>
      <c r="AM67" t="s">
        <v>4876</v>
      </c>
      <c r="AN67" s="487">
        <v>0</v>
      </c>
      <c r="AO67" s="487">
        <v>0</v>
      </c>
      <c r="CG67" t="s">
        <v>1787</v>
      </c>
      <c r="CI67" s="471" t="s">
        <v>1496</v>
      </c>
      <c r="CJ67" s="471" t="s">
        <v>1496</v>
      </c>
    </row>
    <row r="68" spans="1:88" x14ac:dyDescent="0.2">
      <c r="A68">
        <v>67</v>
      </c>
      <c r="B68" s="471" t="s">
        <v>989</v>
      </c>
      <c r="C68" s="163" t="s">
        <v>1927</v>
      </c>
      <c r="D68" s="163" t="s">
        <v>4087</v>
      </c>
      <c r="E68" s="163" t="s">
        <v>2044</v>
      </c>
      <c r="F68" s="163" t="s">
        <v>2045</v>
      </c>
      <c r="G68" s="163" t="s">
        <v>36</v>
      </c>
      <c r="H68" s="163" t="s">
        <v>2200</v>
      </c>
      <c r="I68" s="163" t="s">
        <v>5734</v>
      </c>
      <c r="J68" s="163" t="s">
        <v>3123</v>
      </c>
      <c r="K68" s="163" t="s">
        <v>2204</v>
      </c>
      <c r="L68" s="163" t="s">
        <v>2469</v>
      </c>
      <c r="M68" s="163" t="s">
        <v>2470</v>
      </c>
      <c r="N68" s="163" t="s">
        <v>1927</v>
      </c>
      <c r="O68" s="163" t="s">
        <v>2471</v>
      </c>
      <c r="P68" s="163" t="s">
        <v>2472</v>
      </c>
      <c r="Q68" s="163" t="s">
        <v>2473</v>
      </c>
      <c r="R68" s="163" t="s">
        <v>2193</v>
      </c>
      <c r="S68" s="163" t="s">
        <v>2474</v>
      </c>
      <c r="T68" s="163">
        <v>73.5</v>
      </c>
      <c r="U68" s="163" t="s">
        <v>1952</v>
      </c>
      <c r="V68" s="163" t="s">
        <v>2475</v>
      </c>
      <c r="W68" s="163">
        <v>5856</v>
      </c>
      <c r="X68" s="163" t="s">
        <v>2194</v>
      </c>
      <c r="Y68" s="163" t="s">
        <v>2391</v>
      </c>
      <c r="Z68" s="163" t="s">
        <v>2476</v>
      </c>
      <c r="AA68" s="163" t="s">
        <v>2194</v>
      </c>
      <c r="AB68" s="163" t="s">
        <v>4410</v>
      </c>
      <c r="AC68" s="163" t="s">
        <v>2195</v>
      </c>
      <c r="AD68" s="163" t="s">
        <v>2196</v>
      </c>
      <c r="AE68" s="163" t="s">
        <v>1762</v>
      </c>
      <c r="AF68" s="163">
        <v>5</v>
      </c>
      <c r="AG68" s="163">
        <v>0.08</v>
      </c>
      <c r="AH68" s="163">
        <v>0.32</v>
      </c>
      <c r="AI68" s="163" t="s">
        <v>36</v>
      </c>
      <c r="AJ68" s="163" t="s">
        <v>36</v>
      </c>
      <c r="AK68" s="163" t="s">
        <v>2197</v>
      </c>
      <c r="AL68" s="163" t="s">
        <v>3797</v>
      </c>
      <c r="AM68" t="s">
        <v>4882</v>
      </c>
      <c r="AN68" s="487">
        <v>0</v>
      </c>
      <c r="AO68" s="487">
        <v>0</v>
      </c>
      <c r="CG68" t="s">
        <v>1424</v>
      </c>
      <c r="CI68" t="s">
        <v>1833</v>
      </c>
      <c r="CJ68" t="s">
        <v>1833</v>
      </c>
    </row>
    <row r="69" spans="1:88" x14ac:dyDescent="0.2">
      <c r="A69">
        <v>68</v>
      </c>
      <c r="B69" s="471" t="s">
        <v>989</v>
      </c>
      <c r="C69" s="163" t="s">
        <v>839</v>
      </c>
      <c r="D69" s="163" t="s">
        <v>4088</v>
      </c>
      <c r="E69" s="163" t="s">
        <v>2044</v>
      </c>
      <c r="F69" s="163" t="s">
        <v>2045</v>
      </c>
      <c r="G69" s="163" t="s">
        <v>36</v>
      </c>
      <c r="H69" s="163" t="s">
        <v>2200</v>
      </c>
      <c r="I69" s="163" t="s">
        <v>5734</v>
      </c>
      <c r="J69" s="163" t="s">
        <v>1768</v>
      </c>
      <c r="K69" s="163" t="s">
        <v>1453</v>
      </c>
      <c r="L69" s="163" t="s">
        <v>2477</v>
      </c>
      <c r="M69" s="163" t="s">
        <v>2478</v>
      </c>
      <c r="N69" s="163" t="s">
        <v>839</v>
      </c>
      <c r="O69" s="163" t="s">
        <v>906</v>
      </c>
      <c r="P69" s="163" t="s">
        <v>2472</v>
      </c>
      <c r="Q69" s="163" t="s">
        <v>2276</v>
      </c>
      <c r="R69" s="163" t="s">
        <v>2193</v>
      </c>
      <c r="S69" s="163" t="s">
        <v>2479</v>
      </c>
      <c r="T69" s="163">
        <v>19.8</v>
      </c>
      <c r="U69" s="163" t="s">
        <v>1952</v>
      </c>
      <c r="V69" s="163" t="s">
        <v>2480</v>
      </c>
      <c r="W69" s="163" t="s">
        <v>2481</v>
      </c>
      <c r="X69" s="163" t="s">
        <v>2194</v>
      </c>
      <c r="Y69" s="163" t="s">
        <v>2391</v>
      </c>
      <c r="Z69" s="163" t="s">
        <v>2476</v>
      </c>
      <c r="AA69" s="163" t="s">
        <v>2194</v>
      </c>
      <c r="AB69" s="163" t="s">
        <v>4411</v>
      </c>
      <c r="AC69" s="163" t="s">
        <v>2195</v>
      </c>
      <c r="AD69" s="163" t="s">
        <v>2196</v>
      </c>
      <c r="AE69" s="163" t="s">
        <v>1762</v>
      </c>
      <c r="AF69" s="163">
        <v>1.1000000000000001</v>
      </c>
      <c r="AG69" s="163">
        <v>0.5</v>
      </c>
      <c r="AH69" s="163">
        <v>0.13</v>
      </c>
      <c r="AI69" s="163" t="s">
        <v>3968</v>
      </c>
      <c r="AJ69" s="163" t="s">
        <v>3969</v>
      </c>
      <c r="AK69" s="163" t="s">
        <v>2197</v>
      </c>
      <c r="AL69" s="163" t="s">
        <v>3797</v>
      </c>
      <c r="AM69" t="s">
        <v>4876</v>
      </c>
      <c r="AN69" s="487">
        <v>0</v>
      </c>
      <c r="AO69" s="487">
        <v>0</v>
      </c>
      <c r="CG69" t="s">
        <v>5521</v>
      </c>
      <c r="CI69" t="s">
        <v>4980</v>
      </c>
      <c r="CJ69" t="s">
        <v>4980</v>
      </c>
    </row>
    <row r="70" spans="1:88" x14ac:dyDescent="0.2">
      <c r="A70">
        <v>69</v>
      </c>
      <c r="B70" s="471" t="s">
        <v>989</v>
      </c>
      <c r="C70" s="163" t="s">
        <v>827</v>
      </c>
      <c r="D70" s="163" t="s">
        <v>4575</v>
      </c>
      <c r="E70" s="163" t="s">
        <v>2044</v>
      </c>
      <c r="F70" s="163" t="s">
        <v>2045</v>
      </c>
      <c r="G70" s="163" t="s">
        <v>36</v>
      </c>
      <c r="H70" s="163" t="s">
        <v>2200</v>
      </c>
      <c r="I70" s="163" t="s">
        <v>5725</v>
      </c>
      <c r="J70" s="163" t="s">
        <v>1768</v>
      </c>
      <c r="K70" s="163" t="s">
        <v>1453</v>
      </c>
      <c r="L70" s="163" t="s">
        <v>2477</v>
      </c>
      <c r="M70" s="163" t="s">
        <v>4576</v>
      </c>
      <c r="N70" s="163" t="s">
        <v>4577</v>
      </c>
      <c r="O70" s="163" t="s">
        <v>906</v>
      </c>
      <c r="P70" s="163" t="s">
        <v>3608</v>
      </c>
      <c r="Q70" s="163" t="s">
        <v>2192</v>
      </c>
      <c r="R70" s="163" t="s">
        <v>2193</v>
      </c>
      <c r="S70" s="163" t="s">
        <v>4578</v>
      </c>
      <c r="T70" s="163">
        <v>13.6</v>
      </c>
      <c r="U70" s="163" t="s">
        <v>4579</v>
      </c>
      <c r="V70" s="163" t="s">
        <v>2480</v>
      </c>
      <c r="W70" s="163" t="s">
        <v>4580</v>
      </c>
      <c r="X70" s="163" t="s">
        <v>2194</v>
      </c>
      <c r="Y70" s="163" t="s">
        <v>2391</v>
      </c>
      <c r="Z70" s="163" t="s">
        <v>2476</v>
      </c>
      <c r="AA70" s="163" t="s">
        <v>2194</v>
      </c>
      <c r="AB70" s="163" t="s">
        <v>4581</v>
      </c>
      <c r="AC70" s="163" t="s">
        <v>2195</v>
      </c>
      <c r="AD70" s="163" t="s">
        <v>2196</v>
      </c>
      <c r="AE70" s="163" t="s">
        <v>1762</v>
      </c>
      <c r="AF70" s="163">
        <v>3.1</v>
      </c>
      <c r="AG70" s="163">
        <v>2</v>
      </c>
      <c r="AH70" s="163">
        <v>0.3</v>
      </c>
      <c r="AI70" s="163" t="s">
        <v>4582</v>
      </c>
      <c r="AJ70" s="163" t="s">
        <v>36</v>
      </c>
      <c r="AK70" s="163" t="s">
        <v>2197</v>
      </c>
      <c r="AL70" s="163" t="s">
        <v>3797</v>
      </c>
      <c r="AM70" t="s">
        <v>4876</v>
      </c>
      <c r="AN70" s="487">
        <v>0</v>
      </c>
      <c r="AO70" s="487">
        <v>0</v>
      </c>
      <c r="CG70" t="s">
        <v>1434</v>
      </c>
      <c r="CI70" t="s">
        <v>3878</v>
      </c>
      <c r="CJ70" t="s">
        <v>3878</v>
      </c>
    </row>
    <row r="71" spans="1:88" x14ac:dyDescent="0.2">
      <c r="A71">
        <v>70</v>
      </c>
      <c r="B71" s="471" t="s">
        <v>989</v>
      </c>
      <c r="C71" s="163" t="s">
        <v>825</v>
      </c>
      <c r="D71" s="163" t="s">
        <v>4089</v>
      </c>
      <c r="E71" s="163" t="s">
        <v>2044</v>
      </c>
      <c r="F71" s="163" t="s">
        <v>2045</v>
      </c>
      <c r="G71" s="163" t="s">
        <v>36</v>
      </c>
      <c r="H71" s="163" t="s">
        <v>2200</v>
      </c>
      <c r="I71" s="163" t="s">
        <v>5725</v>
      </c>
      <c r="J71" s="163" t="s">
        <v>1768</v>
      </c>
      <c r="K71" s="163" t="s">
        <v>2204</v>
      </c>
      <c r="L71" s="163" t="s">
        <v>2482</v>
      </c>
      <c r="M71" s="163">
        <v>27676</v>
      </c>
      <c r="N71" s="163" t="s">
        <v>825</v>
      </c>
      <c r="O71" s="163" t="s">
        <v>906</v>
      </c>
      <c r="P71" s="163" t="s">
        <v>3654</v>
      </c>
      <c r="Q71" s="163" t="s">
        <v>2276</v>
      </c>
      <c r="R71" s="163" t="s">
        <v>2367</v>
      </c>
      <c r="S71" s="163" t="s">
        <v>5559</v>
      </c>
      <c r="T71" s="163">
        <v>275</v>
      </c>
      <c r="U71" s="163" t="s">
        <v>1952</v>
      </c>
      <c r="V71" s="163" t="s">
        <v>2475</v>
      </c>
      <c r="W71" s="163">
        <v>2489</v>
      </c>
      <c r="X71" s="163" t="s">
        <v>2194</v>
      </c>
      <c r="Y71" s="163" t="s">
        <v>2391</v>
      </c>
      <c r="Z71" s="163" t="s">
        <v>2483</v>
      </c>
      <c r="AA71" s="163" t="s">
        <v>2194</v>
      </c>
      <c r="AB71" s="163" t="s">
        <v>36</v>
      </c>
      <c r="AC71" s="163" t="s">
        <v>2195</v>
      </c>
      <c r="AD71" s="163" t="s">
        <v>2196</v>
      </c>
      <c r="AE71" s="163" t="s">
        <v>1762</v>
      </c>
      <c r="AF71" s="163">
        <v>10</v>
      </c>
      <c r="AG71" s="163">
        <v>0.05</v>
      </c>
      <c r="AH71" s="163">
        <v>0.02</v>
      </c>
      <c r="AI71" s="163" t="s">
        <v>36</v>
      </c>
      <c r="AJ71" s="163" t="s">
        <v>36</v>
      </c>
      <c r="AK71" s="163" t="s">
        <v>2197</v>
      </c>
      <c r="AL71" s="163" t="s">
        <v>3797</v>
      </c>
      <c r="AM71" t="s">
        <v>4876</v>
      </c>
      <c r="AN71" s="487">
        <v>0</v>
      </c>
      <c r="AO71" s="487">
        <v>0</v>
      </c>
      <c r="CG71" t="s">
        <v>1447</v>
      </c>
      <c r="CI71" t="s">
        <v>1589</v>
      </c>
      <c r="CJ71" t="s">
        <v>1589</v>
      </c>
    </row>
    <row r="72" spans="1:88" x14ac:dyDescent="0.2">
      <c r="A72">
        <v>71</v>
      </c>
      <c r="B72" s="471" t="s">
        <v>335</v>
      </c>
      <c r="C72" s="163" t="s">
        <v>1021</v>
      </c>
      <c r="D72" s="163" t="s">
        <v>4090</v>
      </c>
      <c r="E72" s="163" t="s">
        <v>2046</v>
      </c>
      <c r="F72" s="163" t="s">
        <v>2018</v>
      </c>
      <c r="G72" s="163" t="s">
        <v>36</v>
      </c>
      <c r="H72" s="163" t="s">
        <v>2200</v>
      </c>
      <c r="I72" s="163" t="s">
        <v>5735</v>
      </c>
      <c r="J72" s="163" t="s">
        <v>2468</v>
      </c>
      <c r="K72" s="163" t="s">
        <v>1063</v>
      </c>
      <c r="L72" s="163" t="s">
        <v>2491</v>
      </c>
      <c r="M72" s="163" t="s">
        <v>2492</v>
      </c>
      <c r="N72" s="163" t="s">
        <v>1021</v>
      </c>
      <c r="O72" s="163" t="s">
        <v>5736</v>
      </c>
      <c r="P72" s="163" t="s">
        <v>2493</v>
      </c>
      <c r="Q72" s="163" t="s">
        <v>4938</v>
      </c>
      <c r="R72" s="163" t="s">
        <v>2193</v>
      </c>
      <c r="S72" s="163" t="s">
        <v>2494</v>
      </c>
      <c r="T72" s="163">
        <v>288</v>
      </c>
      <c r="U72" s="163" t="s">
        <v>2222</v>
      </c>
      <c r="V72" s="163" t="s">
        <v>2495</v>
      </c>
      <c r="W72" s="163" t="s">
        <v>2496</v>
      </c>
      <c r="X72" s="163" t="s">
        <v>4937</v>
      </c>
      <c r="Y72" s="163" t="s">
        <v>2489</v>
      </c>
      <c r="Z72" s="163" t="s">
        <v>2490</v>
      </c>
      <c r="AA72" s="163" t="s">
        <v>4937</v>
      </c>
      <c r="AB72" s="163" t="s">
        <v>5782</v>
      </c>
      <c r="AC72" s="163" t="s">
        <v>2195</v>
      </c>
      <c r="AD72" s="163" t="s">
        <v>2196</v>
      </c>
      <c r="AE72" s="163" t="s">
        <v>1762</v>
      </c>
      <c r="AF72" s="163">
        <v>8</v>
      </c>
      <c r="AG72" s="163">
        <v>251</v>
      </c>
      <c r="AH72" s="163">
        <v>43</v>
      </c>
      <c r="AI72" s="163" t="s">
        <v>3971</v>
      </c>
      <c r="AJ72" s="163" t="s">
        <v>3972</v>
      </c>
      <c r="AK72" s="163" t="s">
        <v>2197</v>
      </c>
      <c r="AL72" s="163" t="s">
        <v>3797</v>
      </c>
      <c r="AM72" t="s">
        <v>4879</v>
      </c>
      <c r="AN72" s="487">
        <v>1.4583333333333332E-2</v>
      </c>
      <c r="AO72" s="487">
        <v>0</v>
      </c>
      <c r="CG72" t="s">
        <v>1451</v>
      </c>
      <c r="CI72" t="s">
        <v>1623</v>
      </c>
      <c r="CJ72" t="s">
        <v>1623</v>
      </c>
    </row>
    <row r="73" spans="1:88" x14ac:dyDescent="0.2">
      <c r="A73">
        <v>72</v>
      </c>
      <c r="B73" s="471" t="s">
        <v>335</v>
      </c>
      <c r="C73" s="163" t="s">
        <v>1023</v>
      </c>
      <c r="D73" s="163" t="s">
        <v>4091</v>
      </c>
      <c r="E73" s="163" t="s">
        <v>2046</v>
      </c>
      <c r="F73" s="163" t="s">
        <v>2018</v>
      </c>
      <c r="G73" s="163" t="s">
        <v>36</v>
      </c>
      <c r="H73" s="163" t="s">
        <v>2200</v>
      </c>
      <c r="I73" s="163" t="s">
        <v>5735</v>
      </c>
      <c r="J73" s="163" t="s">
        <v>2468</v>
      </c>
      <c r="K73" s="163" t="s">
        <v>2509</v>
      </c>
      <c r="L73" s="163" t="s">
        <v>2510</v>
      </c>
      <c r="M73" s="163" t="s">
        <v>2514</v>
      </c>
      <c r="N73" s="163" t="s">
        <v>1023</v>
      </c>
      <c r="O73" s="163" t="s">
        <v>5736</v>
      </c>
      <c r="P73" s="163" t="s">
        <v>2493</v>
      </c>
      <c r="Q73" s="163" t="s">
        <v>4938</v>
      </c>
      <c r="R73" s="163" t="s">
        <v>2193</v>
      </c>
      <c r="S73" s="163" t="s">
        <v>2512</v>
      </c>
      <c r="T73" s="163">
        <v>24.8</v>
      </c>
      <c r="U73" s="163" t="s">
        <v>2222</v>
      </c>
      <c r="V73" s="163" t="s">
        <v>2495</v>
      </c>
      <c r="W73" s="163" t="s">
        <v>2513</v>
      </c>
      <c r="X73" s="163" t="s">
        <v>4937</v>
      </c>
      <c r="Y73" s="163" t="s">
        <v>2489</v>
      </c>
      <c r="Z73" s="163" t="s">
        <v>2490</v>
      </c>
      <c r="AA73" s="163" t="s">
        <v>4937</v>
      </c>
      <c r="AB73" s="163" t="s">
        <v>5782</v>
      </c>
      <c r="AC73" s="163" t="s">
        <v>2195</v>
      </c>
      <c r="AD73" s="163" t="s">
        <v>2196</v>
      </c>
      <c r="AE73" s="163" t="s">
        <v>1762</v>
      </c>
      <c r="AF73" s="163">
        <v>4</v>
      </c>
      <c r="AG73" s="163" t="s">
        <v>3936</v>
      </c>
      <c r="AH73" s="163">
        <v>13</v>
      </c>
      <c r="AI73" s="163" t="s">
        <v>3975</v>
      </c>
      <c r="AJ73" s="163" t="s">
        <v>36</v>
      </c>
      <c r="AK73" s="163" t="s">
        <v>2197</v>
      </c>
      <c r="AL73" s="163" t="s">
        <v>3797</v>
      </c>
      <c r="AM73" t="s">
        <v>4877</v>
      </c>
      <c r="AN73" s="487">
        <v>1.4583333333333332E-2</v>
      </c>
      <c r="AO73" s="487">
        <v>0</v>
      </c>
      <c r="CG73" t="s">
        <v>1459</v>
      </c>
      <c r="CI73" t="s">
        <v>1627</v>
      </c>
      <c r="CJ73" t="s">
        <v>1627</v>
      </c>
    </row>
    <row r="74" spans="1:88" x14ac:dyDescent="0.2">
      <c r="A74">
        <v>73</v>
      </c>
      <c r="B74" s="471" t="s">
        <v>335</v>
      </c>
      <c r="C74" s="163" t="s">
        <v>1013</v>
      </c>
      <c r="D74" s="163" t="s">
        <v>4092</v>
      </c>
      <c r="E74" s="163" t="s">
        <v>2046</v>
      </c>
      <c r="F74" s="163" t="s">
        <v>2018</v>
      </c>
      <c r="G74" s="163" t="s">
        <v>36</v>
      </c>
      <c r="H74" s="163" t="s">
        <v>2200</v>
      </c>
      <c r="I74" s="163" t="s">
        <v>5735</v>
      </c>
      <c r="J74" s="163" t="s">
        <v>2468</v>
      </c>
      <c r="K74" s="163" t="s">
        <v>2509</v>
      </c>
      <c r="L74" s="163" t="s">
        <v>2510</v>
      </c>
      <c r="M74" s="163" t="s">
        <v>2511</v>
      </c>
      <c r="N74" s="163" t="s">
        <v>1013</v>
      </c>
      <c r="O74" s="163" t="s">
        <v>5736</v>
      </c>
      <c r="P74" s="163" t="s">
        <v>2493</v>
      </c>
      <c r="Q74" s="163" t="s">
        <v>4938</v>
      </c>
      <c r="R74" s="163" t="s">
        <v>2193</v>
      </c>
      <c r="S74" s="163" t="s">
        <v>2512</v>
      </c>
      <c r="T74" s="163">
        <v>24.8</v>
      </c>
      <c r="U74" s="163" t="s">
        <v>2222</v>
      </c>
      <c r="V74" s="163" t="s">
        <v>2495</v>
      </c>
      <c r="W74" s="163" t="s">
        <v>5477</v>
      </c>
      <c r="X74" s="163" t="s">
        <v>4937</v>
      </c>
      <c r="Y74" s="163" t="s">
        <v>2489</v>
      </c>
      <c r="Z74" s="163" t="s">
        <v>2490</v>
      </c>
      <c r="AA74" s="163" t="s">
        <v>4937</v>
      </c>
      <c r="AB74" s="163" t="s">
        <v>5782</v>
      </c>
      <c r="AC74" s="163" t="s">
        <v>2195</v>
      </c>
      <c r="AD74" s="163" t="s">
        <v>2196</v>
      </c>
      <c r="AE74" s="163" t="s">
        <v>1762</v>
      </c>
      <c r="AF74" s="163">
        <v>8</v>
      </c>
      <c r="AG74" s="163">
        <v>140</v>
      </c>
      <c r="AH74" s="163">
        <v>20</v>
      </c>
      <c r="AI74" s="163" t="s">
        <v>3973</v>
      </c>
      <c r="AJ74" s="163" t="s">
        <v>3974</v>
      </c>
      <c r="AK74" s="163" t="s">
        <v>2197</v>
      </c>
      <c r="AL74" s="163" t="s">
        <v>3797</v>
      </c>
      <c r="AM74" t="s">
        <v>4877</v>
      </c>
      <c r="AN74" s="487">
        <v>1.4583333333333332E-2</v>
      </c>
      <c r="AO74" s="487">
        <v>0</v>
      </c>
      <c r="CG74" t="s">
        <v>1496</v>
      </c>
    </row>
    <row r="75" spans="1:88" x14ac:dyDescent="0.2">
      <c r="A75">
        <v>74</v>
      </c>
      <c r="B75" s="471" t="s">
        <v>335</v>
      </c>
      <c r="C75" s="163" t="s">
        <v>336</v>
      </c>
      <c r="D75" s="163" t="s">
        <v>4093</v>
      </c>
      <c r="E75" s="163" t="s">
        <v>2046</v>
      </c>
      <c r="F75" s="163" t="s">
        <v>2018</v>
      </c>
      <c r="G75" s="163"/>
      <c r="H75" s="163" t="s">
        <v>2200</v>
      </c>
      <c r="I75" s="163" t="s">
        <v>5735</v>
      </c>
      <c r="J75" s="163" t="s">
        <v>2468</v>
      </c>
      <c r="K75" s="163" t="s">
        <v>1063</v>
      </c>
      <c r="L75" s="163" t="s">
        <v>2484</v>
      </c>
      <c r="M75" s="163">
        <v>11108</v>
      </c>
      <c r="N75" s="163" t="s">
        <v>336</v>
      </c>
      <c r="O75" s="163" t="s">
        <v>5737</v>
      </c>
      <c r="P75" s="163" t="s">
        <v>2485</v>
      </c>
      <c r="Q75" s="163" t="s">
        <v>4965</v>
      </c>
      <c r="R75" s="163" t="s">
        <v>2193</v>
      </c>
      <c r="S75" s="163" t="s">
        <v>2486</v>
      </c>
      <c r="T75" s="163">
        <v>1394.9</v>
      </c>
      <c r="U75" s="163" t="s">
        <v>2222</v>
      </c>
      <c r="V75" s="163" t="s">
        <v>2487</v>
      </c>
      <c r="W75" s="163" t="s">
        <v>2488</v>
      </c>
      <c r="X75" s="163" t="s">
        <v>4937</v>
      </c>
      <c r="Y75" s="163" t="s">
        <v>2489</v>
      </c>
      <c r="Z75" s="163" t="s">
        <v>2490</v>
      </c>
      <c r="AA75" s="163" t="s">
        <v>4937</v>
      </c>
      <c r="AB75" s="163" t="s">
        <v>5783</v>
      </c>
      <c r="AC75" s="163" t="s">
        <v>2195</v>
      </c>
      <c r="AD75" s="163" t="s">
        <v>2196</v>
      </c>
      <c r="AE75" s="163" t="s">
        <v>1762</v>
      </c>
      <c r="AF75" s="163">
        <v>8</v>
      </c>
      <c r="AG75" s="163">
        <v>101</v>
      </c>
      <c r="AH75" s="163">
        <v>16</v>
      </c>
      <c r="AI75" s="163" t="s">
        <v>3970</v>
      </c>
      <c r="AJ75" s="163"/>
      <c r="AK75" s="163" t="s">
        <v>2197</v>
      </c>
      <c r="AL75" s="163" t="s">
        <v>3797</v>
      </c>
      <c r="AM75" t="s">
        <v>4879</v>
      </c>
      <c r="AN75" s="487">
        <v>1.4583333333333332E-2</v>
      </c>
      <c r="AO75" s="487"/>
      <c r="CG75" t="s">
        <v>1833</v>
      </c>
    </row>
    <row r="76" spans="1:88" x14ac:dyDescent="0.2">
      <c r="A76">
        <v>75</v>
      </c>
      <c r="B76" s="471" t="s">
        <v>335</v>
      </c>
      <c r="C76" s="163" t="s">
        <v>1663</v>
      </c>
      <c r="D76" s="163" t="s">
        <v>5159</v>
      </c>
      <c r="E76" s="163" t="s">
        <v>2046</v>
      </c>
      <c r="F76" s="163" t="s">
        <v>2018</v>
      </c>
      <c r="G76" s="163" t="s">
        <v>36</v>
      </c>
      <c r="H76" s="163" t="s">
        <v>2200</v>
      </c>
      <c r="I76" s="163" t="s">
        <v>5735</v>
      </c>
      <c r="J76" s="163" t="s">
        <v>2468</v>
      </c>
      <c r="K76" s="163" t="s">
        <v>1063</v>
      </c>
      <c r="L76" s="163" t="s">
        <v>5160</v>
      </c>
      <c r="M76" s="163" t="s">
        <v>5161</v>
      </c>
      <c r="N76" s="163" t="s">
        <v>1663</v>
      </c>
      <c r="O76" s="163" t="s">
        <v>5736</v>
      </c>
      <c r="P76" s="163" t="s">
        <v>2493</v>
      </c>
      <c r="Q76" s="163" t="s">
        <v>4938</v>
      </c>
      <c r="R76" s="163" t="s">
        <v>5162</v>
      </c>
      <c r="S76" s="163" t="s">
        <v>5163</v>
      </c>
      <c r="T76" s="163">
        <v>495</v>
      </c>
      <c r="U76" s="163" t="s">
        <v>2222</v>
      </c>
      <c r="V76" s="163" t="s">
        <v>2613</v>
      </c>
      <c r="W76" s="163" t="s">
        <v>5164</v>
      </c>
      <c r="X76" s="163" t="s">
        <v>4937</v>
      </c>
      <c r="Y76" s="163" t="s">
        <v>2489</v>
      </c>
      <c r="Z76" s="163" t="s">
        <v>2490</v>
      </c>
      <c r="AA76" s="163" t="s">
        <v>4937</v>
      </c>
      <c r="AB76" s="163" t="s">
        <v>5784</v>
      </c>
      <c r="AC76" s="163" t="s">
        <v>2195</v>
      </c>
      <c r="AD76" s="163" t="s">
        <v>2196</v>
      </c>
      <c r="AE76" s="163" t="s">
        <v>1762</v>
      </c>
      <c r="AF76" s="163">
        <v>10.199999999999999</v>
      </c>
      <c r="AG76" s="163">
        <v>131</v>
      </c>
      <c r="AH76" s="163">
        <v>22</v>
      </c>
      <c r="AI76" s="163">
        <v>22</v>
      </c>
      <c r="AJ76" s="163">
        <v>16.399999999999999</v>
      </c>
      <c r="AK76" s="163" t="s">
        <v>2197</v>
      </c>
      <c r="AL76" s="163" t="s">
        <v>3797</v>
      </c>
      <c r="AM76" t="s">
        <v>4879</v>
      </c>
      <c r="AN76" s="487"/>
      <c r="AO76" s="487"/>
      <c r="CG76" t="s">
        <v>5353</v>
      </c>
    </row>
    <row r="77" spans="1:88" x14ac:dyDescent="0.2">
      <c r="A77">
        <v>76</v>
      </c>
      <c r="B77" s="471" t="s">
        <v>335</v>
      </c>
      <c r="C77" s="163" t="s">
        <v>1009</v>
      </c>
      <c r="D77" s="163" t="s">
        <v>4094</v>
      </c>
      <c r="E77" s="163" t="s">
        <v>2046</v>
      </c>
      <c r="F77" s="163" t="s">
        <v>2018</v>
      </c>
      <c r="G77" s="163" t="s">
        <v>36</v>
      </c>
      <c r="H77" s="163" t="s">
        <v>2200</v>
      </c>
      <c r="I77" s="163" t="s">
        <v>5735</v>
      </c>
      <c r="J77" s="163" t="s">
        <v>2468</v>
      </c>
      <c r="K77" s="163" t="s">
        <v>1065</v>
      </c>
      <c r="L77" s="163" t="s">
        <v>2507</v>
      </c>
      <c r="M77" s="163">
        <v>146046</v>
      </c>
      <c r="N77" s="163" t="s">
        <v>1009</v>
      </c>
      <c r="O77" s="163" t="s">
        <v>5738</v>
      </c>
      <c r="P77" s="163" t="s">
        <v>4698</v>
      </c>
      <c r="Q77" s="163" t="s">
        <v>4936</v>
      </c>
      <c r="R77" s="163" t="s">
        <v>2193</v>
      </c>
      <c r="S77" s="163" t="s">
        <v>2508</v>
      </c>
      <c r="T77" s="163">
        <v>1185.7</v>
      </c>
      <c r="U77" s="163" t="s">
        <v>2222</v>
      </c>
      <c r="V77" s="163" t="s">
        <v>5420</v>
      </c>
      <c r="W77" s="163" t="s">
        <v>5421</v>
      </c>
      <c r="X77" s="163" t="s">
        <v>4937</v>
      </c>
      <c r="Y77" s="163" t="s">
        <v>2489</v>
      </c>
      <c r="Z77" s="163" t="s">
        <v>2490</v>
      </c>
      <c r="AA77" s="163" t="s">
        <v>4937</v>
      </c>
      <c r="AB77" s="163" t="s">
        <v>36</v>
      </c>
      <c r="AC77" s="163" t="s">
        <v>2195</v>
      </c>
      <c r="AD77" s="163" t="s">
        <v>2196</v>
      </c>
      <c r="AE77" s="163" t="s">
        <v>1762</v>
      </c>
      <c r="AF77" s="163">
        <v>32000</v>
      </c>
      <c r="AG77" s="163">
        <v>3000</v>
      </c>
      <c r="AH77" s="163">
        <v>12000</v>
      </c>
      <c r="AI77" s="163" t="s">
        <v>36</v>
      </c>
      <c r="AJ77" s="163" t="s">
        <v>36</v>
      </c>
      <c r="AK77" s="163" t="s">
        <v>2197</v>
      </c>
      <c r="AL77" s="163" t="s">
        <v>3797</v>
      </c>
      <c r="AM77" t="s">
        <v>4883</v>
      </c>
      <c r="AN77" s="487">
        <v>1.4583333333333332E-2</v>
      </c>
      <c r="AO77" s="487">
        <v>2.1527777777777781E-2</v>
      </c>
      <c r="CG77" t="s">
        <v>3878</v>
      </c>
    </row>
    <row r="78" spans="1:88" x14ac:dyDescent="0.2">
      <c r="A78">
        <v>77</v>
      </c>
      <c r="B78" s="471" t="s">
        <v>335</v>
      </c>
      <c r="C78" s="163" t="s">
        <v>3838</v>
      </c>
      <c r="D78" s="163" t="s">
        <v>4412</v>
      </c>
      <c r="E78" s="163" t="s">
        <v>2046</v>
      </c>
      <c r="F78" s="163" t="s">
        <v>2018</v>
      </c>
      <c r="G78" s="163" t="s">
        <v>36</v>
      </c>
      <c r="H78" s="163" t="s">
        <v>2200</v>
      </c>
      <c r="I78" s="163" t="s">
        <v>5735</v>
      </c>
      <c r="J78" s="163" t="s">
        <v>2468</v>
      </c>
      <c r="K78" s="163" t="s">
        <v>2497</v>
      </c>
      <c r="L78" s="163" t="s">
        <v>2498</v>
      </c>
      <c r="M78" s="163">
        <v>146905</v>
      </c>
      <c r="N78" s="163" t="s">
        <v>2499</v>
      </c>
      <c r="O78" s="163" t="s">
        <v>5738</v>
      </c>
      <c r="P78" s="163" t="s">
        <v>2500</v>
      </c>
      <c r="Q78" s="163" t="s">
        <v>4936</v>
      </c>
      <c r="R78" s="163" t="s">
        <v>2193</v>
      </c>
      <c r="S78" s="163" t="s">
        <v>2501</v>
      </c>
      <c r="T78" s="163">
        <v>737.5</v>
      </c>
      <c r="U78" s="163" t="s">
        <v>2222</v>
      </c>
      <c r="V78" s="163" t="s">
        <v>2502</v>
      </c>
      <c r="W78" s="163" t="s">
        <v>2503</v>
      </c>
      <c r="X78" s="163" t="s">
        <v>4937</v>
      </c>
      <c r="Y78" s="163" t="s">
        <v>2489</v>
      </c>
      <c r="Z78" s="163" t="s">
        <v>2490</v>
      </c>
      <c r="AA78" s="163" t="s">
        <v>4937</v>
      </c>
      <c r="AB78" s="163" t="s">
        <v>36</v>
      </c>
      <c r="AC78" s="163" t="s">
        <v>2195</v>
      </c>
      <c r="AD78" s="163" t="s">
        <v>2196</v>
      </c>
      <c r="AE78" s="163" t="s">
        <v>1762</v>
      </c>
      <c r="AF78" s="163" t="s">
        <v>3935</v>
      </c>
      <c r="AG78" s="163">
        <v>9</v>
      </c>
      <c r="AH78" s="163">
        <v>0</v>
      </c>
      <c r="AI78" s="163" t="s">
        <v>36</v>
      </c>
      <c r="AJ78" s="163" t="s">
        <v>36</v>
      </c>
      <c r="AK78" s="163" t="s">
        <v>2197</v>
      </c>
      <c r="AL78" s="163" t="s">
        <v>3797</v>
      </c>
      <c r="AM78" t="s">
        <v>4879</v>
      </c>
      <c r="AN78" s="487">
        <v>1.4583333333333332E-2</v>
      </c>
      <c r="AO78" s="487">
        <v>2.1527777777777781E-2</v>
      </c>
      <c r="CG78" t="s">
        <v>1589</v>
      </c>
    </row>
    <row r="79" spans="1:88" x14ac:dyDescent="0.2">
      <c r="A79">
        <v>78</v>
      </c>
      <c r="B79" s="471" t="s">
        <v>335</v>
      </c>
      <c r="C79" s="163" t="s">
        <v>1015</v>
      </c>
      <c r="D79" s="163" t="s">
        <v>4095</v>
      </c>
      <c r="E79" s="163" t="s">
        <v>2046</v>
      </c>
      <c r="F79" s="163" t="s">
        <v>2018</v>
      </c>
      <c r="G79" s="163" t="s">
        <v>36</v>
      </c>
      <c r="H79" s="163" t="s">
        <v>2200</v>
      </c>
      <c r="I79" s="163" t="s">
        <v>5725</v>
      </c>
      <c r="J79" s="163" t="s">
        <v>1768</v>
      </c>
      <c r="K79" s="163" t="s">
        <v>2504</v>
      </c>
      <c r="L79" s="163" t="s">
        <v>2315</v>
      </c>
      <c r="M79" s="163" t="s">
        <v>1015</v>
      </c>
      <c r="N79" s="163" t="s">
        <v>1015</v>
      </c>
      <c r="O79" s="163" t="s">
        <v>906</v>
      </c>
      <c r="P79" s="163" t="s">
        <v>2505</v>
      </c>
      <c r="Q79" s="163" t="s">
        <v>2273</v>
      </c>
      <c r="R79" s="163" t="s">
        <v>2193</v>
      </c>
      <c r="S79" s="163" t="s">
        <v>2506</v>
      </c>
      <c r="T79" s="163">
        <v>536.29999999999995</v>
      </c>
      <c r="U79" s="163">
        <v>0</v>
      </c>
      <c r="V79" s="163">
        <v>0</v>
      </c>
      <c r="W79" s="163">
        <v>0</v>
      </c>
      <c r="X79" s="163">
        <v>0</v>
      </c>
      <c r="Y79" s="163">
        <v>0</v>
      </c>
      <c r="Z79" s="163">
        <v>0</v>
      </c>
      <c r="AA79" s="163">
        <v>0</v>
      </c>
      <c r="AB79" s="163" t="s">
        <v>36</v>
      </c>
      <c r="AC79" s="163" t="s">
        <v>2195</v>
      </c>
      <c r="AD79" s="163" t="s">
        <v>2196</v>
      </c>
      <c r="AE79" s="163" t="s">
        <v>1762</v>
      </c>
      <c r="AF79" s="163" t="s">
        <v>3419</v>
      </c>
      <c r="AG79" s="163" t="s">
        <v>36</v>
      </c>
      <c r="AH79" s="163" t="s">
        <v>36</v>
      </c>
      <c r="AI79" s="163" t="s">
        <v>36</v>
      </c>
      <c r="AJ79" s="163" t="s">
        <v>36</v>
      </c>
      <c r="AK79" s="163" t="s">
        <v>2197</v>
      </c>
      <c r="AL79" s="163" t="s">
        <v>36</v>
      </c>
      <c r="AM79" t="s">
        <v>4876</v>
      </c>
      <c r="AN79" s="487">
        <v>0</v>
      </c>
      <c r="AO79" s="487">
        <v>0</v>
      </c>
      <c r="CG79" t="s">
        <v>1623</v>
      </c>
    </row>
    <row r="80" spans="1:88" x14ac:dyDescent="0.2">
      <c r="A80">
        <v>79</v>
      </c>
      <c r="B80" s="471" t="s">
        <v>1025</v>
      </c>
      <c r="C80" s="163" t="s">
        <v>1048</v>
      </c>
      <c r="D80" s="163" t="s">
        <v>4096</v>
      </c>
      <c r="E80" s="163" t="s">
        <v>2047</v>
      </c>
      <c r="F80" s="163" t="s">
        <v>2018</v>
      </c>
      <c r="G80" s="163" t="s">
        <v>36</v>
      </c>
      <c r="H80" s="163" t="s">
        <v>2200</v>
      </c>
      <c r="I80" s="163" t="s">
        <v>5739</v>
      </c>
      <c r="J80" s="163" t="s">
        <v>2468</v>
      </c>
      <c r="K80" s="163">
        <v>0</v>
      </c>
      <c r="L80" s="163">
        <v>0</v>
      </c>
      <c r="M80" s="163">
        <v>0</v>
      </c>
      <c r="N80" s="163">
        <v>0</v>
      </c>
      <c r="O80" s="163">
        <v>0</v>
      </c>
      <c r="P80" s="163">
        <v>0</v>
      </c>
      <c r="Q80" s="163">
        <v>0</v>
      </c>
      <c r="R80" s="163">
        <v>0</v>
      </c>
      <c r="S80" s="163">
        <v>0</v>
      </c>
      <c r="T80" s="163">
        <v>0</v>
      </c>
      <c r="U80" s="163">
        <v>0</v>
      </c>
      <c r="V80" s="163">
        <v>0</v>
      </c>
      <c r="W80" s="163">
        <v>0</v>
      </c>
      <c r="X80" s="163">
        <v>0</v>
      </c>
      <c r="Y80" s="163">
        <v>0</v>
      </c>
      <c r="Z80" s="163">
        <v>0</v>
      </c>
      <c r="AA80" s="163">
        <v>0</v>
      </c>
      <c r="AB80" s="163" t="s">
        <v>36</v>
      </c>
      <c r="AC80" s="163" t="s">
        <v>2195</v>
      </c>
      <c r="AD80" s="163" t="s">
        <v>2196</v>
      </c>
      <c r="AE80" s="163" t="s">
        <v>1762</v>
      </c>
      <c r="AF80" s="163" t="s">
        <v>3419</v>
      </c>
      <c r="AG80" s="163" t="s">
        <v>36</v>
      </c>
      <c r="AH80" s="163" t="s">
        <v>36</v>
      </c>
      <c r="AI80" s="163" t="s">
        <v>36</v>
      </c>
      <c r="AJ80" s="163" t="s">
        <v>36</v>
      </c>
      <c r="AK80" s="163" t="s">
        <v>2197</v>
      </c>
      <c r="AL80" s="163" t="s">
        <v>36</v>
      </c>
      <c r="AM80" t="s">
        <v>4876</v>
      </c>
      <c r="AN80" s="487">
        <v>0</v>
      </c>
      <c r="AO80" s="487">
        <v>0</v>
      </c>
      <c r="CG80" t="s">
        <v>1627</v>
      </c>
    </row>
    <row r="81" spans="1:41" x14ac:dyDescent="0.2">
      <c r="A81">
        <v>80</v>
      </c>
      <c r="B81" s="471" t="s">
        <v>1025</v>
      </c>
      <c r="C81" s="163" t="s">
        <v>1046</v>
      </c>
      <c r="D81" s="163" t="s">
        <v>4097</v>
      </c>
      <c r="E81" s="163" t="s">
        <v>2047</v>
      </c>
      <c r="F81" s="163" t="s">
        <v>2018</v>
      </c>
      <c r="G81" s="163" t="s">
        <v>36</v>
      </c>
      <c r="H81" s="163" t="s">
        <v>2200</v>
      </c>
      <c r="I81" s="163" t="s">
        <v>5725</v>
      </c>
      <c r="J81" s="163" t="s">
        <v>2468</v>
      </c>
      <c r="K81" s="163" t="s">
        <v>1214</v>
      </c>
      <c r="L81" s="163" t="s">
        <v>2515</v>
      </c>
      <c r="M81" s="163" t="s">
        <v>2516</v>
      </c>
      <c r="N81" s="163" t="s">
        <v>1046</v>
      </c>
      <c r="O81" s="163" t="s">
        <v>4989</v>
      </c>
      <c r="P81" s="163" t="s">
        <v>2517</v>
      </c>
      <c r="Q81" s="163" t="s">
        <v>4949</v>
      </c>
      <c r="R81" s="163" t="s">
        <v>2257</v>
      </c>
      <c r="S81" s="163" t="s">
        <v>2518</v>
      </c>
      <c r="T81" s="163">
        <v>80</v>
      </c>
      <c r="U81" s="163" t="s">
        <v>2222</v>
      </c>
      <c r="V81" s="163" t="s">
        <v>2519</v>
      </c>
      <c r="W81" s="163" t="s">
        <v>5051</v>
      </c>
      <c r="X81" s="163" t="s">
        <v>4937</v>
      </c>
      <c r="Y81" s="163" t="s">
        <v>2520</v>
      </c>
      <c r="Z81" s="163" t="s">
        <v>2521</v>
      </c>
      <c r="AA81" s="163" t="s">
        <v>4937</v>
      </c>
      <c r="AB81" s="163" t="s">
        <v>36</v>
      </c>
      <c r="AC81" s="163" t="s">
        <v>2195</v>
      </c>
      <c r="AD81" s="163" t="s">
        <v>2196</v>
      </c>
      <c r="AE81" s="163" t="s">
        <v>1762</v>
      </c>
      <c r="AF81" s="163" t="s">
        <v>3419</v>
      </c>
      <c r="AG81" s="163" t="s">
        <v>36</v>
      </c>
      <c r="AH81" s="163" t="s">
        <v>36</v>
      </c>
      <c r="AI81" s="163" t="s">
        <v>36</v>
      </c>
      <c r="AJ81" s="163" t="s">
        <v>36</v>
      </c>
      <c r="AK81" s="163" t="s">
        <v>2197</v>
      </c>
      <c r="AL81" s="163" t="s">
        <v>36</v>
      </c>
      <c r="AM81" t="s">
        <v>4879</v>
      </c>
      <c r="AN81" s="487">
        <v>0</v>
      </c>
      <c r="AO81" s="487">
        <v>0</v>
      </c>
    </row>
    <row r="82" spans="1:41" x14ac:dyDescent="0.2">
      <c r="A82">
        <v>81</v>
      </c>
      <c r="B82" s="471" t="s">
        <v>1025</v>
      </c>
      <c r="C82" s="163" t="s">
        <v>1027</v>
      </c>
      <c r="D82" s="163" t="s">
        <v>4098</v>
      </c>
      <c r="E82" s="163" t="s">
        <v>2047</v>
      </c>
      <c r="F82" s="163" t="s">
        <v>2018</v>
      </c>
      <c r="G82" s="163" t="s">
        <v>36</v>
      </c>
      <c r="H82" s="163" t="s">
        <v>2200</v>
      </c>
      <c r="I82" s="163" t="s">
        <v>5725</v>
      </c>
      <c r="J82" s="163" t="s">
        <v>2468</v>
      </c>
      <c r="K82" s="163" t="s">
        <v>2527</v>
      </c>
      <c r="L82" s="163" t="s">
        <v>2515</v>
      </c>
      <c r="M82" s="163" t="s">
        <v>2528</v>
      </c>
      <c r="N82" s="163" t="s">
        <v>1027</v>
      </c>
      <c r="O82" s="163" t="s">
        <v>5730</v>
      </c>
      <c r="P82" s="163" t="s">
        <v>2523</v>
      </c>
      <c r="Q82" s="163" t="s">
        <v>4936</v>
      </c>
      <c r="R82" s="163" t="s">
        <v>2257</v>
      </c>
      <c r="S82" s="163" t="s">
        <v>2529</v>
      </c>
      <c r="T82" s="163">
        <v>1725</v>
      </c>
      <c r="U82" s="163" t="s">
        <v>2221</v>
      </c>
      <c r="V82" s="163" t="s">
        <v>2519</v>
      </c>
      <c r="W82" s="163">
        <v>9.06</v>
      </c>
      <c r="X82" s="163" t="s">
        <v>4937</v>
      </c>
      <c r="Y82" s="163" t="s">
        <v>2520</v>
      </c>
      <c r="Z82" s="163" t="s">
        <v>2521</v>
      </c>
      <c r="AA82" s="163" t="s">
        <v>4937</v>
      </c>
      <c r="AB82" s="163" t="s">
        <v>36</v>
      </c>
      <c r="AC82" s="163" t="s">
        <v>2195</v>
      </c>
      <c r="AD82" s="163" t="s">
        <v>2196</v>
      </c>
      <c r="AE82" s="163" t="s">
        <v>1762</v>
      </c>
      <c r="AF82" s="163">
        <v>15.7</v>
      </c>
      <c r="AG82" s="163">
        <v>2.31</v>
      </c>
      <c r="AH82" s="163">
        <v>0.38</v>
      </c>
      <c r="AI82" s="163" t="s">
        <v>3968</v>
      </c>
      <c r="AJ82" s="163" t="s">
        <v>36</v>
      </c>
      <c r="AK82" s="163" t="s">
        <v>2197</v>
      </c>
      <c r="AL82" s="163" t="s">
        <v>36</v>
      </c>
      <c r="AM82" t="s">
        <v>4878</v>
      </c>
      <c r="AN82" s="487">
        <v>0</v>
      </c>
      <c r="AO82" s="487">
        <v>0</v>
      </c>
    </row>
    <row r="83" spans="1:41" x14ac:dyDescent="0.2">
      <c r="A83">
        <v>82</v>
      </c>
      <c r="B83" s="471" t="s">
        <v>1025</v>
      </c>
      <c r="C83" s="163" t="s">
        <v>1029</v>
      </c>
      <c r="D83" s="163" t="s">
        <v>4099</v>
      </c>
      <c r="E83" s="163" t="s">
        <v>2047</v>
      </c>
      <c r="F83" s="163" t="s">
        <v>2018</v>
      </c>
      <c r="G83" s="163" t="s">
        <v>36</v>
      </c>
      <c r="H83" s="163" t="s">
        <v>2200</v>
      </c>
      <c r="I83" s="163" t="s">
        <v>5725</v>
      </c>
      <c r="J83" s="163" t="s">
        <v>2468</v>
      </c>
      <c r="K83" s="163" t="s">
        <v>1123</v>
      </c>
      <c r="L83" s="163" t="s">
        <v>2522</v>
      </c>
      <c r="M83" s="163">
        <v>389</v>
      </c>
      <c r="N83" s="163" t="s">
        <v>1029</v>
      </c>
      <c r="O83" s="163" t="s">
        <v>5730</v>
      </c>
      <c r="P83" s="163" t="s">
        <v>2523</v>
      </c>
      <c r="Q83" s="163" t="s">
        <v>4936</v>
      </c>
      <c r="R83" s="163" t="s">
        <v>2358</v>
      </c>
      <c r="S83" s="163" t="s">
        <v>2524</v>
      </c>
      <c r="T83" s="163">
        <v>588</v>
      </c>
      <c r="U83" s="163" t="s">
        <v>2221</v>
      </c>
      <c r="V83" s="163" t="s">
        <v>2525</v>
      </c>
      <c r="W83" s="163" t="s">
        <v>2526</v>
      </c>
      <c r="X83" s="163" t="s">
        <v>4937</v>
      </c>
      <c r="Y83" s="163" t="s">
        <v>2489</v>
      </c>
      <c r="Z83" s="163" t="s">
        <v>2521</v>
      </c>
      <c r="AA83" s="163" t="s">
        <v>4937</v>
      </c>
      <c r="AB83" s="163" t="s">
        <v>36</v>
      </c>
      <c r="AC83" s="163" t="s">
        <v>2195</v>
      </c>
      <c r="AD83" s="163" t="s">
        <v>2196</v>
      </c>
      <c r="AE83" s="163" t="s">
        <v>1762</v>
      </c>
      <c r="AF83" s="163">
        <v>0.6</v>
      </c>
      <c r="AG83" s="163">
        <v>127</v>
      </c>
      <c r="AH83" s="163">
        <v>1</v>
      </c>
      <c r="AI83" s="163" t="s">
        <v>36</v>
      </c>
      <c r="AJ83" s="163" t="s">
        <v>36</v>
      </c>
      <c r="AK83" s="163" t="s">
        <v>2197</v>
      </c>
      <c r="AL83" s="163" t="s">
        <v>36</v>
      </c>
      <c r="AM83" t="s">
        <v>4876</v>
      </c>
      <c r="AN83" s="487">
        <v>0</v>
      </c>
      <c r="AO83" s="487">
        <v>0</v>
      </c>
    </row>
    <row r="84" spans="1:41" x14ac:dyDescent="0.2">
      <c r="A84">
        <v>83</v>
      </c>
      <c r="B84" s="471" t="s">
        <v>1025</v>
      </c>
      <c r="C84" s="163" t="s">
        <v>1011</v>
      </c>
      <c r="D84" s="163" t="s">
        <v>4100</v>
      </c>
      <c r="E84" s="163" t="s">
        <v>2047</v>
      </c>
      <c r="F84" s="163" t="s">
        <v>2018</v>
      </c>
      <c r="G84" s="163" t="s">
        <v>36</v>
      </c>
      <c r="H84" s="163" t="s">
        <v>2200</v>
      </c>
      <c r="I84" s="163" t="s">
        <v>5739</v>
      </c>
      <c r="J84" s="163" t="s">
        <v>2468</v>
      </c>
      <c r="K84" s="163" t="s">
        <v>3798</v>
      </c>
      <c r="L84" s="163" t="s">
        <v>2315</v>
      </c>
      <c r="M84" s="163" t="s">
        <v>1011</v>
      </c>
      <c r="N84" s="163" t="s">
        <v>1011</v>
      </c>
      <c r="O84" s="163" t="s">
        <v>3799</v>
      </c>
      <c r="P84" s="163" t="s">
        <v>3227</v>
      </c>
      <c r="Q84" s="163" t="s">
        <v>2273</v>
      </c>
      <c r="R84" s="163" t="s">
        <v>2193</v>
      </c>
      <c r="S84" s="163" t="s">
        <v>2506</v>
      </c>
      <c r="T84" s="163">
        <v>536.29999999999995</v>
      </c>
      <c r="U84" s="163" t="s">
        <v>1952</v>
      </c>
      <c r="V84" s="163" t="s">
        <v>3801</v>
      </c>
      <c r="W84" s="163" t="s">
        <v>3805</v>
      </c>
      <c r="X84" s="163" t="s">
        <v>2194</v>
      </c>
      <c r="Y84" s="163" t="s">
        <v>2629</v>
      </c>
      <c r="Z84" s="163" t="s">
        <v>2521</v>
      </c>
      <c r="AA84" s="163" t="s">
        <v>2194</v>
      </c>
      <c r="AB84" s="163" t="s">
        <v>36</v>
      </c>
      <c r="AC84" s="163" t="s">
        <v>2195</v>
      </c>
      <c r="AD84" s="163" t="s">
        <v>2196</v>
      </c>
      <c r="AE84" s="163" t="s">
        <v>1762</v>
      </c>
      <c r="AF84" s="163" t="s">
        <v>3419</v>
      </c>
      <c r="AG84" s="163" t="s">
        <v>36</v>
      </c>
      <c r="AH84" s="163" t="s">
        <v>36</v>
      </c>
      <c r="AI84" s="163" t="s">
        <v>36</v>
      </c>
      <c r="AJ84" s="163" t="s">
        <v>36</v>
      </c>
      <c r="AK84" s="163" t="s">
        <v>2197</v>
      </c>
      <c r="AL84" s="163" t="s">
        <v>3797</v>
      </c>
      <c r="AM84" t="s">
        <v>4876</v>
      </c>
      <c r="AN84" s="487">
        <v>0</v>
      </c>
      <c r="AO84" s="487">
        <v>0</v>
      </c>
    </row>
    <row r="85" spans="1:41" x14ac:dyDescent="0.2">
      <c r="A85">
        <v>84</v>
      </c>
      <c r="B85" s="471" t="s">
        <v>1025</v>
      </c>
      <c r="C85" s="163" t="s">
        <v>1033</v>
      </c>
      <c r="D85" s="163" t="s">
        <v>4101</v>
      </c>
      <c r="E85" s="163" t="s">
        <v>2047</v>
      </c>
      <c r="F85" s="163" t="s">
        <v>2018</v>
      </c>
      <c r="G85" s="163" t="s">
        <v>36</v>
      </c>
      <c r="H85" s="163" t="s">
        <v>2200</v>
      </c>
      <c r="I85" s="163" t="s">
        <v>5739</v>
      </c>
      <c r="J85" s="163" t="s">
        <v>2468</v>
      </c>
      <c r="K85" s="163" t="s">
        <v>3806</v>
      </c>
      <c r="L85" s="163" t="s">
        <v>2315</v>
      </c>
      <c r="M85" s="163" t="s">
        <v>1033</v>
      </c>
      <c r="N85" s="163" t="s">
        <v>1033</v>
      </c>
      <c r="O85" s="163" t="s">
        <v>3799</v>
      </c>
      <c r="P85" s="163" t="s">
        <v>3809</v>
      </c>
      <c r="Q85" s="163" t="s">
        <v>2273</v>
      </c>
      <c r="R85" s="163" t="s">
        <v>2193</v>
      </c>
      <c r="S85" s="163" t="s">
        <v>2506</v>
      </c>
      <c r="T85" s="163">
        <v>536.29999999999995</v>
      </c>
      <c r="U85" s="163" t="s">
        <v>1952</v>
      </c>
      <c r="V85" s="163" t="s">
        <v>3801</v>
      </c>
      <c r="W85" s="163" t="s">
        <v>3810</v>
      </c>
      <c r="X85" s="163" t="s">
        <v>2194</v>
      </c>
      <c r="Y85" s="163" t="s">
        <v>2489</v>
      </c>
      <c r="Z85" s="163" t="s">
        <v>2521</v>
      </c>
      <c r="AA85" s="163" t="s">
        <v>2194</v>
      </c>
      <c r="AB85" s="163" t="s">
        <v>36</v>
      </c>
      <c r="AC85" s="163" t="s">
        <v>2195</v>
      </c>
      <c r="AD85" s="163" t="s">
        <v>2196</v>
      </c>
      <c r="AE85" s="163" t="s">
        <v>1762</v>
      </c>
      <c r="AF85" s="163" t="s">
        <v>3419</v>
      </c>
      <c r="AG85" s="163" t="s">
        <v>36</v>
      </c>
      <c r="AH85" s="163" t="s">
        <v>36</v>
      </c>
      <c r="AI85" s="163" t="s">
        <v>36</v>
      </c>
      <c r="AJ85" s="163" t="s">
        <v>36</v>
      </c>
      <c r="AK85" s="163" t="s">
        <v>2197</v>
      </c>
      <c r="AL85" s="163" t="s">
        <v>3797</v>
      </c>
      <c r="AM85" t="s">
        <v>4876</v>
      </c>
      <c r="AN85" s="487">
        <v>0</v>
      </c>
      <c r="AO85" s="487">
        <v>0</v>
      </c>
    </row>
    <row r="86" spans="1:41" x14ac:dyDescent="0.2">
      <c r="A86">
        <v>85</v>
      </c>
      <c r="B86" s="471" t="s">
        <v>1025</v>
      </c>
      <c r="C86" s="163" t="s">
        <v>1007</v>
      </c>
      <c r="D86" s="163" t="s">
        <v>4102</v>
      </c>
      <c r="E86" s="163" t="s">
        <v>2047</v>
      </c>
      <c r="F86" s="163" t="s">
        <v>2018</v>
      </c>
      <c r="G86" s="163" t="s">
        <v>36</v>
      </c>
      <c r="H86" s="163" t="s">
        <v>2200</v>
      </c>
      <c r="I86" s="163" t="s">
        <v>5739</v>
      </c>
      <c r="J86" s="163" t="s">
        <v>2468</v>
      </c>
      <c r="K86" s="163" t="s">
        <v>2847</v>
      </c>
      <c r="L86" s="163" t="s">
        <v>2315</v>
      </c>
      <c r="M86" s="163" t="s">
        <v>1007</v>
      </c>
      <c r="N86" s="163" t="s">
        <v>1007</v>
      </c>
      <c r="O86" s="163" t="s">
        <v>3799</v>
      </c>
      <c r="P86" s="163" t="s">
        <v>3802</v>
      </c>
      <c r="Q86" s="163" t="s">
        <v>2273</v>
      </c>
      <c r="R86" s="163" t="s">
        <v>2193</v>
      </c>
      <c r="S86" s="163" t="s">
        <v>2506</v>
      </c>
      <c r="T86" s="163">
        <v>536.29999999999995</v>
      </c>
      <c r="U86" s="163" t="s">
        <v>1952</v>
      </c>
      <c r="V86" s="163" t="s">
        <v>3801</v>
      </c>
      <c r="W86" s="163" t="s">
        <v>3804</v>
      </c>
      <c r="X86" s="163" t="s">
        <v>2194</v>
      </c>
      <c r="Y86" s="163" t="s">
        <v>2629</v>
      </c>
      <c r="Z86" s="163" t="s">
        <v>2521</v>
      </c>
      <c r="AA86" s="163" t="s">
        <v>2194</v>
      </c>
      <c r="AB86" s="163" t="s">
        <v>36</v>
      </c>
      <c r="AC86" s="163" t="s">
        <v>2195</v>
      </c>
      <c r="AD86" s="163" t="s">
        <v>2196</v>
      </c>
      <c r="AE86" s="163" t="s">
        <v>1762</v>
      </c>
      <c r="AF86" s="163" t="s">
        <v>3419</v>
      </c>
      <c r="AG86" s="163" t="s">
        <v>36</v>
      </c>
      <c r="AH86" s="163" t="s">
        <v>36</v>
      </c>
      <c r="AI86" s="163" t="s">
        <v>36</v>
      </c>
      <c r="AJ86" s="163" t="s">
        <v>36</v>
      </c>
      <c r="AK86" s="163" t="s">
        <v>2197</v>
      </c>
      <c r="AL86" s="163" t="s">
        <v>3797</v>
      </c>
      <c r="AM86" t="s">
        <v>4876</v>
      </c>
      <c r="AN86" s="487">
        <v>0</v>
      </c>
      <c r="AO86" s="487">
        <v>0</v>
      </c>
    </row>
    <row r="87" spans="1:41" x14ac:dyDescent="0.2">
      <c r="A87">
        <v>86</v>
      </c>
      <c r="B87" s="471" t="s">
        <v>1025</v>
      </c>
      <c r="C87" s="163" t="s">
        <v>1005</v>
      </c>
      <c r="D87" s="163" t="s">
        <v>4103</v>
      </c>
      <c r="E87" s="163" t="s">
        <v>2047</v>
      </c>
      <c r="F87" s="163" t="s">
        <v>2018</v>
      </c>
      <c r="G87" s="163" t="s">
        <v>36</v>
      </c>
      <c r="H87" s="163" t="s">
        <v>2200</v>
      </c>
      <c r="I87" s="163" t="s">
        <v>5739</v>
      </c>
      <c r="J87" s="163" t="s">
        <v>2468</v>
      </c>
      <c r="K87" s="163" t="s">
        <v>2845</v>
      </c>
      <c r="L87" s="163" t="s">
        <v>2315</v>
      </c>
      <c r="M87" s="163" t="s">
        <v>1005</v>
      </c>
      <c r="N87" s="163" t="s">
        <v>1005</v>
      </c>
      <c r="O87" s="163" t="s">
        <v>3799</v>
      </c>
      <c r="P87" s="163" t="s">
        <v>3800</v>
      </c>
      <c r="Q87" s="163" t="s">
        <v>2273</v>
      </c>
      <c r="R87" s="163" t="s">
        <v>2193</v>
      </c>
      <c r="S87" s="163" t="s">
        <v>2506</v>
      </c>
      <c r="T87" s="163">
        <v>536.29999999999995</v>
      </c>
      <c r="U87" s="163" t="s">
        <v>1952</v>
      </c>
      <c r="V87" s="163" t="s">
        <v>3801</v>
      </c>
      <c r="W87" s="163" t="s">
        <v>3803</v>
      </c>
      <c r="X87" s="163" t="s">
        <v>2194</v>
      </c>
      <c r="Y87" s="163" t="s">
        <v>2629</v>
      </c>
      <c r="Z87" s="163" t="s">
        <v>2521</v>
      </c>
      <c r="AA87" s="163" t="s">
        <v>2194</v>
      </c>
      <c r="AB87" s="163" t="s">
        <v>36</v>
      </c>
      <c r="AC87" s="163" t="s">
        <v>2195</v>
      </c>
      <c r="AD87" s="163" t="s">
        <v>2196</v>
      </c>
      <c r="AE87" s="163" t="s">
        <v>1762</v>
      </c>
      <c r="AF87" s="163" t="s">
        <v>3419</v>
      </c>
      <c r="AG87" s="163" t="s">
        <v>36</v>
      </c>
      <c r="AH87" s="163" t="s">
        <v>36</v>
      </c>
      <c r="AI87" s="163" t="s">
        <v>36</v>
      </c>
      <c r="AJ87" s="163" t="s">
        <v>36</v>
      </c>
      <c r="AK87" s="163" t="s">
        <v>2197</v>
      </c>
      <c r="AL87" s="163" t="s">
        <v>3797</v>
      </c>
      <c r="AM87" t="s">
        <v>4876</v>
      </c>
      <c r="AN87" s="487">
        <v>0</v>
      </c>
      <c r="AO87" s="487">
        <v>0</v>
      </c>
    </row>
    <row r="88" spans="1:41" x14ac:dyDescent="0.2">
      <c r="A88">
        <v>87</v>
      </c>
      <c r="B88" s="471" t="s">
        <v>1025</v>
      </c>
      <c r="C88" s="163" t="s">
        <v>1042</v>
      </c>
      <c r="D88" s="163" t="s">
        <v>4104</v>
      </c>
      <c r="E88" s="163" t="s">
        <v>2047</v>
      </c>
      <c r="F88" s="163" t="s">
        <v>2018</v>
      </c>
      <c r="G88" s="163" t="s">
        <v>36</v>
      </c>
      <c r="H88" s="163" t="s">
        <v>2200</v>
      </c>
      <c r="I88" s="163" t="s">
        <v>5739</v>
      </c>
      <c r="J88" s="163" t="s">
        <v>2468</v>
      </c>
      <c r="K88" s="163" t="s">
        <v>3818</v>
      </c>
      <c r="L88" s="163" t="s">
        <v>2315</v>
      </c>
      <c r="M88" s="163" t="s">
        <v>1042</v>
      </c>
      <c r="N88" s="163" t="s">
        <v>1042</v>
      </c>
      <c r="O88" s="163" t="s">
        <v>3799</v>
      </c>
      <c r="P88" s="163" t="s">
        <v>3819</v>
      </c>
      <c r="Q88" s="163" t="s">
        <v>2273</v>
      </c>
      <c r="R88" s="163" t="s">
        <v>2193</v>
      </c>
      <c r="S88" s="163" t="s">
        <v>2506</v>
      </c>
      <c r="T88" s="163">
        <v>536.29999999999995</v>
      </c>
      <c r="U88" s="163" t="s">
        <v>1952</v>
      </c>
      <c r="V88" s="163" t="s">
        <v>3801</v>
      </c>
      <c r="W88" s="163" t="s">
        <v>3820</v>
      </c>
      <c r="X88" s="163" t="s">
        <v>2194</v>
      </c>
      <c r="Y88" s="163" t="s">
        <v>2489</v>
      </c>
      <c r="Z88" s="163" t="s">
        <v>2521</v>
      </c>
      <c r="AA88" s="163" t="s">
        <v>2194</v>
      </c>
      <c r="AB88" s="163" t="s">
        <v>36</v>
      </c>
      <c r="AC88" s="163" t="s">
        <v>2195</v>
      </c>
      <c r="AD88" s="163" t="s">
        <v>2196</v>
      </c>
      <c r="AE88" s="163" t="s">
        <v>1762</v>
      </c>
      <c r="AF88" s="163" t="s">
        <v>3419</v>
      </c>
      <c r="AG88" s="163" t="s">
        <v>36</v>
      </c>
      <c r="AH88" s="163" t="s">
        <v>36</v>
      </c>
      <c r="AI88" s="163" t="s">
        <v>36</v>
      </c>
      <c r="AJ88" s="163" t="s">
        <v>36</v>
      </c>
      <c r="AK88" s="163" t="s">
        <v>2197</v>
      </c>
      <c r="AL88" s="163" t="s">
        <v>3797</v>
      </c>
      <c r="AM88" t="s">
        <v>4876</v>
      </c>
      <c r="AN88" s="487">
        <v>0</v>
      </c>
      <c r="AO88" s="487">
        <v>0</v>
      </c>
    </row>
    <row r="89" spans="1:41" x14ac:dyDescent="0.2">
      <c r="A89">
        <v>88</v>
      </c>
      <c r="B89" s="471" t="s">
        <v>1025</v>
      </c>
      <c r="C89" s="163" t="s">
        <v>1039</v>
      </c>
      <c r="D89" s="163" t="s">
        <v>4105</v>
      </c>
      <c r="E89" s="163" t="s">
        <v>2047</v>
      </c>
      <c r="F89" s="163" t="s">
        <v>2018</v>
      </c>
      <c r="G89" s="163" t="s">
        <v>36</v>
      </c>
      <c r="H89" s="163" t="s">
        <v>2200</v>
      </c>
      <c r="I89" s="163" t="s">
        <v>5739</v>
      </c>
      <c r="J89" s="163" t="s">
        <v>2468</v>
      </c>
      <c r="K89" s="163" t="s">
        <v>3815</v>
      </c>
      <c r="L89" s="163" t="s">
        <v>2315</v>
      </c>
      <c r="M89" s="163" t="s">
        <v>1039</v>
      </c>
      <c r="N89" s="163" t="s">
        <v>1039</v>
      </c>
      <c r="O89" s="163" t="s">
        <v>3799</v>
      </c>
      <c r="P89" s="163" t="s">
        <v>3816</v>
      </c>
      <c r="Q89" s="163" t="s">
        <v>2273</v>
      </c>
      <c r="R89" s="163" t="s">
        <v>2193</v>
      </c>
      <c r="S89" s="163" t="s">
        <v>2506</v>
      </c>
      <c r="T89" s="163">
        <v>536.29999999999995</v>
      </c>
      <c r="U89" s="163" t="s">
        <v>1952</v>
      </c>
      <c r="V89" s="163" t="s">
        <v>3801</v>
      </c>
      <c r="W89" s="163" t="s">
        <v>3817</v>
      </c>
      <c r="X89" s="163" t="s">
        <v>2194</v>
      </c>
      <c r="Y89" s="163" t="s">
        <v>2489</v>
      </c>
      <c r="Z89" s="163" t="s">
        <v>2521</v>
      </c>
      <c r="AA89" s="163" t="s">
        <v>2194</v>
      </c>
      <c r="AB89" s="163" t="s">
        <v>36</v>
      </c>
      <c r="AC89" s="163" t="s">
        <v>2195</v>
      </c>
      <c r="AD89" s="163" t="s">
        <v>2196</v>
      </c>
      <c r="AE89" s="163" t="s">
        <v>1762</v>
      </c>
      <c r="AF89" s="163" t="s">
        <v>3419</v>
      </c>
      <c r="AG89" s="163" t="s">
        <v>36</v>
      </c>
      <c r="AH89" s="163" t="s">
        <v>36</v>
      </c>
      <c r="AI89" s="163" t="s">
        <v>36</v>
      </c>
      <c r="AJ89" s="163" t="s">
        <v>36</v>
      </c>
      <c r="AK89" s="163" t="s">
        <v>2197</v>
      </c>
      <c r="AL89" s="163" t="s">
        <v>3797</v>
      </c>
      <c r="AM89" t="s">
        <v>4876</v>
      </c>
      <c r="AN89" s="487">
        <v>0</v>
      </c>
      <c r="AO89" s="487">
        <v>0</v>
      </c>
    </row>
    <row r="90" spans="1:41" x14ac:dyDescent="0.2">
      <c r="A90">
        <v>89</v>
      </c>
      <c r="B90" s="471" t="s">
        <v>1025</v>
      </c>
      <c r="C90" s="163" t="s">
        <v>1035</v>
      </c>
      <c r="D90" s="163" t="s">
        <v>4106</v>
      </c>
      <c r="E90" s="163" t="s">
        <v>2047</v>
      </c>
      <c r="F90" s="163" t="s">
        <v>2018</v>
      </c>
      <c r="G90" s="163" t="s">
        <v>36</v>
      </c>
      <c r="H90" s="163" t="s">
        <v>2200</v>
      </c>
      <c r="I90" s="163" t="s">
        <v>5739</v>
      </c>
      <c r="J90" s="163" t="s">
        <v>2468</v>
      </c>
      <c r="K90" s="163" t="s">
        <v>3811</v>
      </c>
      <c r="L90" s="163" t="s">
        <v>2315</v>
      </c>
      <c r="M90" s="163" t="s">
        <v>1035</v>
      </c>
      <c r="N90" s="163" t="s">
        <v>1035</v>
      </c>
      <c r="O90" s="163" t="s">
        <v>3799</v>
      </c>
      <c r="P90" s="163" t="s">
        <v>3812</v>
      </c>
      <c r="Q90" s="163" t="s">
        <v>2273</v>
      </c>
      <c r="R90" s="163" t="s">
        <v>2193</v>
      </c>
      <c r="S90" s="163" t="s">
        <v>2506</v>
      </c>
      <c r="T90" s="163">
        <v>536.29999999999995</v>
      </c>
      <c r="U90" s="163" t="s">
        <v>1952</v>
      </c>
      <c r="V90" s="163" t="s">
        <v>3801</v>
      </c>
      <c r="W90" s="163" t="s">
        <v>3813</v>
      </c>
      <c r="X90" s="163" t="s">
        <v>2194</v>
      </c>
      <c r="Y90" s="163" t="s">
        <v>2489</v>
      </c>
      <c r="Z90" s="163" t="s">
        <v>2521</v>
      </c>
      <c r="AA90" s="163" t="s">
        <v>2194</v>
      </c>
      <c r="AB90" s="163" t="s">
        <v>36</v>
      </c>
      <c r="AC90" s="163" t="s">
        <v>2195</v>
      </c>
      <c r="AD90" s="163" t="s">
        <v>2196</v>
      </c>
      <c r="AE90" s="163" t="s">
        <v>1762</v>
      </c>
      <c r="AF90" s="163" t="s">
        <v>3419</v>
      </c>
      <c r="AG90" s="163" t="s">
        <v>36</v>
      </c>
      <c r="AH90" s="163" t="s">
        <v>36</v>
      </c>
      <c r="AI90" s="163" t="s">
        <v>36</v>
      </c>
      <c r="AJ90" s="163" t="s">
        <v>36</v>
      </c>
      <c r="AK90" s="163" t="s">
        <v>2197</v>
      </c>
      <c r="AL90" s="163" t="s">
        <v>3797</v>
      </c>
      <c r="AM90" t="s">
        <v>4876</v>
      </c>
      <c r="AN90" s="487">
        <v>0</v>
      </c>
      <c r="AO90" s="487">
        <v>0</v>
      </c>
    </row>
    <row r="91" spans="1:41" x14ac:dyDescent="0.2">
      <c r="A91">
        <v>90</v>
      </c>
      <c r="B91" s="471" t="s">
        <v>1025</v>
      </c>
      <c r="C91" s="163" t="s">
        <v>1031</v>
      </c>
      <c r="D91" s="163" t="s">
        <v>4107</v>
      </c>
      <c r="E91" s="163" t="s">
        <v>2047</v>
      </c>
      <c r="F91" s="163" t="s">
        <v>2018</v>
      </c>
      <c r="G91" s="163" t="s">
        <v>36</v>
      </c>
      <c r="H91" s="163" t="s">
        <v>2200</v>
      </c>
      <c r="I91" s="163" t="s">
        <v>5739</v>
      </c>
      <c r="J91" s="163" t="s">
        <v>2468</v>
      </c>
      <c r="K91" s="163" t="s">
        <v>3806</v>
      </c>
      <c r="L91" s="163" t="s">
        <v>2315</v>
      </c>
      <c r="M91" s="549" t="s">
        <v>1031</v>
      </c>
      <c r="N91" s="163" t="s">
        <v>1031</v>
      </c>
      <c r="O91" s="163" t="s">
        <v>3799</v>
      </c>
      <c r="P91" s="163" t="s">
        <v>3807</v>
      </c>
      <c r="Q91" s="163" t="s">
        <v>2273</v>
      </c>
      <c r="R91" s="163" t="s">
        <v>2294</v>
      </c>
      <c r="S91" s="163" t="s">
        <v>2506</v>
      </c>
      <c r="T91" s="163">
        <v>536.29999999999995</v>
      </c>
      <c r="U91" s="163" t="s">
        <v>1952</v>
      </c>
      <c r="V91" s="163" t="s">
        <v>3801</v>
      </c>
      <c r="W91" s="163" t="s">
        <v>3808</v>
      </c>
      <c r="X91" s="163" t="s">
        <v>2194</v>
      </c>
      <c r="Y91" s="163" t="s">
        <v>2489</v>
      </c>
      <c r="Z91" s="163" t="s">
        <v>2521</v>
      </c>
      <c r="AA91" s="163" t="s">
        <v>2194</v>
      </c>
      <c r="AB91" s="163" t="s">
        <v>36</v>
      </c>
      <c r="AC91" s="163" t="s">
        <v>2195</v>
      </c>
      <c r="AD91" s="163" t="s">
        <v>2196</v>
      </c>
      <c r="AE91" s="163" t="s">
        <v>1762</v>
      </c>
      <c r="AF91" s="163" t="s">
        <v>3419</v>
      </c>
      <c r="AG91" s="163" t="s">
        <v>36</v>
      </c>
      <c r="AH91" s="163" t="s">
        <v>36</v>
      </c>
      <c r="AI91" s="163" t="s">
        <v>36</v>
      </c>
      <c r="AJ91" s="163" t="s">
        <v>36</v>
      </c>
      <c r="AK91" s="163" t="s">
        <v>2197</v>
      </c>
      <c r="AL91" s="163" t="s">
        <v>3797</v>
      </c>
      <c r="AM91" t="s">
        <v>4876</v>
      </c>
      <c r="AN91" s="487">
        <v>0</v>
      </c>
      <c r="AO91" s="487">
        <v>0</v>
      </c>
    </row>
    <row r="92" spans="1:41" x14ac:dyDescent="0.2">
      <c r="A92">
        <v>91</v>
      </c>
      <c r="B92" s="471" t="s">
        <v>1025</v>
      </c>
      <c r="C92" s="163" t="s">
        <v>1037</v>
      </c>
      <c r="D92" s="163" t="s">
        <v>4108</v>
      </c>
      <c r="E92" s="163" t="s">
        <v>2047</v>
      </c>
      <c r="F92" s="163" t="s">
        <v>2018</v>
      </c>
      <c r="G92" s="163" t="s">
        <v>36</v>
      </c>
      <c r="H92" s="163" t="s">
        <v>2200</v>
      </c>
      <c r="I92" s="163" t="s">
        <v>5739</v>
      </c>
      <c r="J92" s="163" t="s">
        <v>2468</v>
      </c>
      <c r="K92" s="163" t="s">
        <v>5259</v>
      </c>
      <c r="L92" s="163" t="s">
        <v>2315</v>
      </c>
      <c r="M92" s="163" t="s">
        <v>1037</v>
      </c>
      <c r="N92" s="163" t="s">
        <v>1037</v>
      </c>
      <c r="O92" s="163" t="s">
        <v>3799</v>
      </c>
      <c r="P92" s="163" t="s">
        <v>2843</v>
      </c>
      <c r="Q92" s="163" t="s">
        <v>2273</v>
      </c>
      <c r="R92" s="163" t="s">
        <v>2294</v>
      </c>
      <c r="S92" s="163" t="s">
        <v>3814</v>
      </c>
      <c r="T92" s="163">
        <v>25</v>
      </c>
      <c r="U92" s="163" t="s">
        <v>1952</v>
      </c>
      <c r="V92" s="163" t="s">
        <v>3801</v>
      </c>
      <c r="W92" s="163" t="s">
        <v>3808</v>
      </c>
      <c r="X92" s="163" t="s">
        <v>2194</v>
      </c>
      <c r="Y92" s="163" t="s">
        <v>111</v>
      </c>
      <c r="Z92" s="163" t="s">
        <v>111</v>
      </c>
      <c r="AA92" s="163" t="s">
        <v>111</v>
      </c>
      <c r="AB92" s="163" t="s">
        <v>36</v>
      </c>
      <c r="AC92" s="163" t="s">
        <v>2195</v>
      </c>
      <c r="AD92" s="163" t="s">
        <v>2196</v>
      </c>
      <c r="AE92" s="163" t="s">
        <v>1762</v>
      </c>
      <c r="AF92" s="163" t="s">
        <v>3419</v>
      </c>
      <c r="AG92" s="163" t="s">
        <v>36</v>
      </c>
      <c r="AH92" s="163" t="s">
        <v>36</v>
      </c>
      <c r="AI92" s="163" t="s">
        <v>36</v>
      </c>
      <c r="AJ92" s="163" t="s">
        <v>36</v>
      </c>
      <c r="AK92" s="163" t="s">
        <v>2197</v>
      </c>
      <c r="AL92" s="163" t="s">
        <v>3797</v>
      </c>
      <c r="AM92" t="s">
        <v>4876</v>
      </c>
      <c r="AN92" s="487">
        <v>0</v>
      </c>
      <c r="AO92" s="487">
        <v>0</v>
      </c>
    </row>
    <row r="93" spans="1:41" x14ac:dyDescent="0.2">
      <c r="A93">
        <v>92</v>
      </c>
      <c r="B93" s="471" t="s">
        <v>1050</v>
      </c>
      <c r="C93" s="163" t="s">
        <v>819</v>
      </c>
      <c r="D93" s="163" t="s">
        <v>4109</v>
      </c>
      <c r="E93" s="163" t="s">
        <v>2048</v>
      </c>
      <c r="F93" s="163" t="s">
        <v>2049</v>
      </c>
      <c r="G93" s="163" t="s">
        <v>36</v>
      </c>
      <c r="H93" s="163" t="s">
        <v>2200</v>
      </c>
      <c r="I93" s="163" t="s">
        <v>5725</v>
      </c>
      <c r="J93" s="163" t="s">
        <v>2468</v>
      </c>
      <c r="K93" s="163" t="s">
        <v>1120</v>
      </c>
      <c r="L93" s="163" t="s">
        <v>2530</v>
      </c>
      <c r="M93" s="163">
        <v>1</v>
      </c>
      <c r="N93" s="163" t="s">
        <v>819</v>
      </c>
      <c r="O93" s="163" t="s">
        <v>5740</v>
      </c>
      <c r="P93" s="163" t="s">
        <v>2531</v>
      </c>
      <c r="Q93" s="163" t="s">
        <v>4934</v>
      </c>
      <c r="R93" s="163" t="s">
        <v>2257</v>
      </c>
      <c r="S93" s="163" t="s">
        <v>2532</v>
      </c>
      <c r="T93" s="163">
        <v>3</v>
      </c>
      <c r="U93" s="163" t="s">
        <v>2223</v>
      </c>
      <c r="V93" s="163" t="s">
        <v>2533</v>
      </c>
      <c r="W93" s="163">
        <v>1704112167</v>
      </c>
      <c r="X93" s="163" t="s">
        <v>4937</v>
      </c>
      <c r="Y93" s="163" t="s">
        <v>2533</v>
      </c>
      <c r="Z93" s="163">
        <v>1704112167</v>
      </c>
      <c r="AA93" s="163" t="s">
        <v>4937</v>
      </c>
      <c r="AB93" s="163" t="s">
        <v>36</v>
      </c>
      <c r="AC93" s="163" t="s">
        <v>2195</v>
      </c>
      <c r="AD93" s="163" t="s">
        <v>2196</v>
      </c>
      <c r="AE93" s="163" t="s">
        <v>1762</v>
      </c>
      <c r="AF93" s="163" t="s">
        <v>3419</v>
      </c>
      <c r="AG93" s="163" t="s">
        <v>36</v>
      </c>
      <c r="AH93" s="163" t="s">
        <v>36</v>
      </c>
      <c r="AI93" s="163" t="s">
        <v>36</v>
      </c>
      <c r="AJ93" s="163" t="s">
        <v>36</v>
      </c>
      <c r="AK93" s="163" t="s">
        <v>2197</v>
      </c>
      <c r="AL93" s="163" t="s">
        <v>36</v>
      </c>
      <c r="AM93" t="s">
        <v>4876</v>
      </c>
      <c r="AN93" s="487">
        <v>0</v>
      </c>
      <c r="AO93" s="487">
        <v>0</v>
      </c>
    </row>
    <row r="94" spans="1:41" x14ac:dyDescent="0.2">
      <c r="A94">
        <v>93</v>
      </c>
      <c r="B94" s="471" t="s">
        <v>1053</v>
      </c>
      <c r="C94" s="163" t="s">
        <v>1057</v>
      </c>
      <c r="D94" s="163" t="s">
        <v>4110</v>
      </c>
      <c r="E94" s="163" t="s">
        <v>2534</v>
      </c>
      <c r="F94" s="163" t="s">
        <v>2050</v>
      </c>
      <c r="G94" s="163" t="s">
        <v>36</v>
      </c>
      <c r="H94" s="163" t="s">
        <v>2200</v>
      </c>
      <c r="I94" s="163" t="s">
        <v>5725</v>
      </c>
      <c r="J94" s="163" t="s">
        <v>2468</v>
      </c>
      <c r="K94" s="163" t="s">
        <v>1063</v>
      </c>
      <c r="L94" s="163" t="s">
        <v>2547</v>
      </c>
      <c r="M94" s="163">
        <v>411110</v>
      </c>
      <c r="N94" s="163" t="s">
        <v>1057</v>
      </c>
      <c r="O94" s="163" t="s">
        <v>5730</v>
      </c>
      <c r="P94" s="163" t="s">
        <v>2535</v>
      </c>
      <c r="Q94" s="163" t="s">
        <v>4936</v>
      </c>
      <c r="R94" s="163" t="s">
        <v>2358</v>
      </c>
      <c r="S94" s="163" t="s">
        <v>2536</v>
      </c>
      <c r="T94" s="163">
        <v>225</v>
      </c>
      <c r="U94" s="163" t="s">
        <v>2221</v>
      </c>
      <c r="V94" s="163" t="s">
        <v>2401</v>
      </c>
      <c r="W94" s="163" t="s">
        <v>2548</v>
      </c>
      <c r="X94" s="163" t="s">
        <v>4937</v>
      </c>
      <c r="Y94" s="163" t="s">
        <v>2549</v>
      </c>
      <c r="Z94" s="163" t="s">
        <v>2550</v>
      </c>
      <c r="AA94" s="163" t="s">
        <v>4937</v>
      </c>
      <c r="AB94" s="163" t="s">
        <v>36</v>
      </c>
      <c r="AC94" s="163" t="s">
        <v>2195</v>
      </c>
      <c r="AD94" s="163" t="s">
        <v>2196</v>
      </c>
      <c r="AE94" s="163" t="s">
        <v>1762</v>
      </c>
      <c r="AF94" s="163">
        <v>2</v>
      </c>
      <c r="AG94" s="163">
        <v>0.5</v>
      </c>
      <c r="AH94" s="163">
        <v>0.05</v>
      </c>
      <c r="AI94" s="163" t="s">
        <v>3978</v>
      </c>
      <c r="AJ94" s="163" t="s">
        <v>36</v>
      </c>
      <c r="AK94" s="163" t="s">
        <v>2197</v>
      </c>
      <c r="AL94" s="163" t="s">
        <v>36</v>
      </c>
      <c r="AM94" t="s">
        <v>4876</v>
      </c>
      <c r="AN94" s="487">
        <v>1.4583333333333332E-2</v>
      </c>
      <c r="AO94" s="487">
        <v>0</v>
      </c>
    </row>
    <row r="95" spans="1:41" x14ac:dyDescent="0.2">
      <c r="A95">
        <v>94</v>
      </c>
      <c r="B95" s="471" t="s">
        <v>1053</v>
      </c>
      <c r="C95" s="163" t="s">
        <v>1059</v>
      </c>
      <c r="D95" s="163" t="s">
        <v>4111</v>
      </c>
      <c r="E95" s="163" t="s">
        <v>2534</v>
      </c>
      <c r="F95" s="163" t="s">
        <v>2050</v>
      </c>
      <c r="G95" s="163" t="s">
        <v>36</v>
      </c>
      <c r="H95" s="163" t="s">
        <v>2200</v>
      </c>
      <c r="I95" s="163" t="s">
        <v>5725</v>
      </c>
      <c r="J95" s="163" t="s">
        <v>2468</v>
      </c>
      <c r="K95" s="163" t="s">
        <v>1063</v>
      </c>
      <c r="L95" s="163">
        <v>501</v>
      </c>
      <c r="M95" s="163">
        <v>212</v>
      </c>
      <c r="N95" s="163" t="s">
        <v>1059</v>
      </c>
      <c r="O95" s="163" t="s">
        <v>5730</v>
      </c>
      <c r="P95" s="163" t="s">
        <v>2535</v>
      </c>
      <c r="Q95" s="163" t="s">
        <v>4936</v>
      </c>
      <c r="R95" s="163" t="s">
        <v>2358</v>
      </c>
      <c r="S95" s="163" t="s">
        <v>2536</v>
      </c>
      <c r="T95" s="163">
        <v>225</v>
      </c>
      <c r="U95" s="163" t="s">
        <v>2221</v>
      </c>
      <c r="V95" s="163" t="s">
        <v>2537</v>
      </c>
      <c r="W95" s="163" t="s">
        <v>2538</v>
      </c>
      <c r="X95" s="163" t="s">
        <v>4937</v>
      </c>
      <c r="Y95" s="163" t="s">
        <v>2539</v>
      </c>
      <c r="Z95" s="163" t="s">
        <v>2540</v>
      </c>
      <c r="AA95" s="163" t="s">
        <v>4937</v>
      </c>
      <c r="AB95" s="163" t="s">
        <v>36</v>
      </c>
      <c r="AC95" s="163" t="s">
        <v>2195</v>
      </c>
      <c r="AD95" s="163" t="s">
        <v>2196</v>
      </c>
      <c r="AE95" s="163" t="s">
        <v>1762</v>
      </c>
      <c r="AF95" s="163">
        <v>2.5</v>
      </c>
      <c r="AG95" s="163">
        <v>0.9</v>
      </c>
      <c r="AH95" s="163">
        <v>0</v>
      </c>
      <c r="AI95" s="163" t="s">
        <v>3976</v>
      </c>
      <c r="AJ95" s="163" t="s">
        <v>36</v>
      </c>
      <c r="AK95" s="163" t="s">
        <v>2197</v>
      </c>
      <c r="AL95" s="163" t="s">
        <v>36</v>
      </c>
      <c r="AM95" t="s">
        <v>4876</v>
      </c>
      <c r="AN95" s="487">
        <v>1.4583333333333332E-2</v>
      </c>
      <c r="AO95" s="487">
        <v>0</v>
      </c>
    </row>
    <row r="96" spans="1:41" x14ac:dyDescent="0.2">
      <c r="A96">
        <v>95</v>
      </c>
      <c r="B96" s="471" t="s">
        <v>1053</v>
      </c>
      <c r="C96" s="163" t="s">
        <v>5311</v>
      </c>
      <c r="D96" s="163" t="s">
        <v>5312</v>
      </c>
      <c r="E96" s="163" t="s">
        <v>2534</v>
      </c>
      <c r="F96" s="163" t="s">
        <v>2050</v>
      </c>
      <c r="G96" s="163" t="s">
        <v>36</v>
      </c>
      <c r="H96" s="163" t="s">
        <v>2200</v>
      </c>
      <c r="I96" s="163" t="s">
        <v>5725</v>
      </c>
      <c r="J96" s="163" t="s">
        <v>2468</v>
      </c>
      <c r="K96" s="163" t="s">
        <v>5313</v>
      </c>
      <c r="L96" s="163" t="s">
        <v>5314</v>
      </c>
      <c r="M96" s="163" t="s">
        <v>5315</v>
      </c>
      <c r="N96" s="163" t="s">
        <v>5311</v>
      </c>
      <c r="O96" s="163" t="s">
        <v>5741</v>
      </c>
      <c r="P96" s="163" t="s">
        <v>5316</v>
      </c>
      <c r="Q96" s="163" t="s">
        <v>4936</v>
      </c>
      <c r="R96" s="163" t="s">
        <v>2367</v>
      </c>
      <c r="S96" s="163" t="s">
        <v>5317</v>
      </c>
      <c r="T96" s="163">
        <v>39.6</v>
      </c>
      <c r="U96" s="163" t="s">
        <v>5785</v>
      </c>
      <c r="V96" s="163" t="s">
        <v>3412</v>
      </c>
      <c r="W96" s="163" t="s">
        <v>5318</v>
      </c>
      <c r="X96" s="163" t="s">
        <v>4937</v>
      </c>
      <c r="Y96" s="163" t="s">
        <v>5319</v>
      </c>
      <c r="Z96" s="163" t="s">
        <v>5320</v>
      </c>
      <c r="AA96" s="163" t="s">
        <v>4937</v>
      </c>
      <c r="AB96" s="163" t="s">
        <v>36</v>
      </c>
      <c r="AC96" s="163" t="s">
        <v>2195</v>
      </c>
      <c r="AD96" s="163" t="s">
        <v>2196</v>
      </c>
      <c r="AE96" s="163" t="s">
        <v>1762</v>
      </c>
      <c r="AF96" s="163">
        <v>40</v>
      </c>
      <c r="AG96" s="163">
        <v>200</v>
      </c>
      <c r="AH96" s="163">
        <v>15</v>
      </c>
      <c r="AI96" s="163" t="s">
        <v>5478</v>
      </c>
      <c r="AJ96" s="163" t="s">
        <v>5479</v>
      </c>
      <c r="AK96" s="163" t="s">
        <v>2197</v>
      </c>
      <c r="AL96" s="163" t="s">
        <v>36</v>
      </c>
      <c r="AM96" t="s">
        <v>4876</v>
      </c>
      <c r="AN96" s="487"/>
      <c r="AO96" s="487"/>
    </row>
    <row r="97" spans="1:41" x14ac:dyDescent="0.2">
      <c r="A97">
        <v>96</v>
      </c>
      <c r="B97" s="471" t="s">
        <v>1053</v>
      </c>
      <c r="C97" s="163" t="s">
        <v>1055</v>
      </c>
      <c r="D97" s="163" t="s">
        <v>4112</v>
      </c>
      <c r="E97" s="163" t="s">
        <v>2534</v>
      </c>
      <c r="F97" s="163" t="s">
        <v>2050</v>
      </c>
      <c r="G97" s="163" t="s">
        <v>36</v>
      </c>
      <c r="H97" s="163" t="s">
        <v>2200</v>
      </c>
      <c r="I97" s="163" t="s">
        <v>5725</v>
      </c>
      <c r="J97" s="163" t="s">
        <v>2468</v>
      </c>
      <c r="K97" s="163" t="s">
        <v>1420</v>
      </c>
      <c r="L97" s="163" t="s">
        <v>2541</v>
      </c>
      <c r="M97" s="163" t="s">
        <v>2542</v>
      </c>
      <c r="N97" s="163" t="s">
        <v>1055</v>
      </c>
      <c r="O97" s="163" t="s">
        <v>906</v>
      </c>
      <c r="P97" s="163" t="s">
        <v>2543</v>
      </c>
      <c r="Q97" s="163" t="s">
        <v>4936</v>
      </c>
      <c r="R97" s="163" t="s">
        <v>2358</v>
      </c>
      <c r="S97" s="163" t="s">
        <v>2544</v>
      </c>
      <c r="T97" s="163">
        <v>180</v>
      </c>
      <c r="U97" s="163" t="s">
        <v>2223</v>
      </c>
      <c r="V97" s="163" t="s">
        <v>2401</v>
      </c>
      <c r="W97" s="163" t="s">
        <v>2545</v>
      </c>
      <c r="X97" s="163" t="s">
        <v>4937</v>
      </c>
      <c r="Y97" s="163" t="s">
        <v>2539</v>
      </c>
      <c r="Z97" s="163" t="s">
        <v>2546</v>
      </c>
      <c r="AA97" s="163" t="s">
        <v>4937</v>
      </c>
      <c r="AB97" s="163" t="s">
        <v>36</v>
      </c>
      <c r="AC97" s="163" t="s">
        <v>2195</v>
      </c>
      <c r="AD97" s="163" t="s">
        <v>2196</v>
      </c>
      <c r="AE97" s="163" t="s">
        <v>1762</v>
      </c>
      <c r="AF97" s="163">
        <v>3</v>
      </c>
      <c r="AG97" s="163">
        <v>5.51</v>
      </c>
      <c r="AH97" s="163" t="s">
        <v>3977</v>
      </c>
      <c r="AI97" s="163" t="s">
        <v>36</v>
      </c>
      <c r="AJ97" s="163" t="s">
        <v>36</v>
      </c>
      <c r="AK97" s="163" t="s">
        <v>2197</v>
      </c>
      <c r="AL97" s="163" t="s">
        <v>36</v>
      </c>
      <c r="AM97" t="s">
        <v>4876</v>
      </c>
      <c r="AN97" s="487">
        <v>1.4583333333333332E-2</v>
      </c>
      <c r="AO97" s="487">
        <v>2.1527777777777781E-2</v>
      </c>
    </row>
    <row r="98" spans="1:41" x14ac:dyDescent="0.2">
      <c r="A98">
        <v>97</v>
      </c>
      <c r="B98" s="471" t="s">
        <v>1071</v>
      </c>
      <c r="C98" s="163" t="s">
        <v>1073</v>
      </c>
      <c r="D98" s="163" t="s">
        <v>4113</v>
      </c>
      <c r="E98" s="163" t="s">
        <v>2057</v>
      </c>
      <c r="F98" s="163" t="s">
        <v>2058</v>
      </c>
      <c r="G98" s="163" t="s">
        <v>36</v>
      </c>
      <c r="H98" s="163" t="s">
        <v>2200</v>
      </c>
      <c r="I98" s="163" t="s">
        <v>5739</v>
      </c>
      <c r="J98" s="163" t="s">
        <v>2468</v>
      </c>
      <c r="K98" s="163" t="s">
        <v>1013</v>
      </c>
      <c r="L98" s="163" t="s">
        <v>2555</v>
      </c>
      <c r="M98" s="163" t="s">
        <v>1073</v>
      </c>
      <c r="N98" s="163" t="s">
        <v>1073</v>
      </c>
      <c r="O98" s="163" t="s">
        <v>5742</v>
      </c>
      <c r="P98" s="163" t="s">
        <v>2493</v>
      </c>
      <c r="Q98" s="163" t="s">
        <v>4936</v>
      </c>
      <c r="R98" s="163" t="s">
        <v>2367</v>
      </c>
      <c r="S98" s="163" t="s">
        <v>2556</v>
      </c>
      <c r="T98" s="163">
        <v>618.79999999999995</v>
      </c>
      <c r="U98" s="163" t="s">
        <v>2220</v>
      </c>
      <c r="V98" s="163" t="s">
        <v>2475</v>
      </c>
      <c r="W98" s="163">
        <v>53128</v>
      </c>
      <c r="X98" s="163" t="s">
        <v>4937</v>
      </c>
      <c r="Y98" s="163" t="s">
        <v>2391</v>
      </c>
      <c r="Z98" s="163" t="s">
        <v>2553</v>
      </c>
      <c r="AA98" s="163" t="s">
        <v>4937</v>
      </c>
      <c r="AB98" s="163" t="s">
        <v>2554</v>
      </c>
      <c r="AC98" s="163" t="s">
        <v>2195</v>
      </c>
      <c r="AD98" s="163" t="s">
        <v>2196</v>
      </c>
      <c r="AE98" s="163" t="s">
        <v>1762</v>
      </c>
      <c r="AF98" s="163">
        <v>17</v>
      </c>
      <c r="AG98" s="163">
        <v>0.17</v>
      </c>
      <c r="AH98" s="163">
        <v>0.15</v>
      </c>
      <c r="AI98" s="163" t="s">
        <v>36</v>
      </c>
      <c r="AJ98" s="163" t="s">
        <v>36</v>
      </c>
      <c r="AK98" s="163" t="s">
        <v>2197</v>
      </c>
      <c r="AL98" s="163" t="s">
        <v>36</v>
      </c>
      <c r="AM98" t="s">
        <v>4876</v>
      </c>
      <c r="AN98" s="487">
        <v>1.4583333333333332E-2</v>
      </c>
      <c r="AO98" s="487">
        <v>0</v>
      </c>
    </row>
    <row r="99" spans="1:41" x14ac:dyDescent="0.2">
      <c r="A99">
        <v>98</v>
      </c>
      <c r="B99" s="471" t="s">
        <v>1071</v>
      </c>
      <c r="C99" s="163">
        <v>411623</v>
      </c>
      <c r="D99" s="163" t="s">
        <v>4114</v>
      </c>
      <c r="E99" s="163" t="s">
        <v>2057</v>
      </c>
      <c r="F99" s="163" t="s">
        <v>2058</v>
      </c>
      <c r="G99" s="163" t="s">
        <v>36</v>
      </c>
      <c r="H99" s="163" t="s">
        <v>2200</v>
      </c>
      <c r="I99" s="163" t="s">
        <v>5739</v>
      </c>
      <c r="J99" s="163" t="s">
        <v>2468</v>
      </c>
      <c r="K99" s="163" t="s">
        <v>1063</v>
      </c>
      <c r="L99" s="163" t="s">
        <v>2551</v>
      </c>
      <c r="M99" s="163">
        <v>411623</v>
      </c>
      <c r="N99" s="163">
        <v>411623</v>
      </c>
      <c r="O99" s="163" t="s">
        <v>5742</v>
      </c>
      <c r="P99" s="163" t="s">
        <v>2493</v>
      </c>
      <c r="Q99" s="163" t="s">
        <v>4936</v>
      </c>
      <c r="R99" s="163" t="s">
        <v>2193</v>
      </c>
      <c r="S99" s="163" t="s">
        <v>2552</v>
      </c>
      <c r="T99" s="163">
        <v>348.5</v>
      </c>
      <c r="U99" s="163" t="s">
        <v>2220</v>
      </c>
      <c r="V99" s="163" t="s">
        <v>2475</v>
      </c>
      <c r="W99" s="163">
        <v>47092</v>
      </c>
      <c r="X99" s="163" t="s">
        <v>4937</v>
      </c>
      <c r="Y99" s="163" t="s">
        <v>2391</v>
      </c>
      <c r="Z99" s="163" t="s">
        <v>2553</v>
      </c>
      <c r="AA99" s="163" t="s">
        <v>4937</v>
      </c>
      <c r="AB99" s="163" t="s">
        <v>2554</v>
      </c>
      <c r="AC99" s="163" t="s">
        <v>2195</v>
      </c>
      <c r="AD99" s="163" t="s">
        <v>2196</v>
      </c>
      <c r="AE99" s="163" t="s">
        <v>1762</v>
      </c>
      <c r="AF99" s="163">
        <v>16</v>
      </c>
      <c r="AG99" s="163">
        <v>14.35</v>
      </c>
      <c r="AH99" s="163">
        <v>0.55000000000000004</v>
      </c>
      <c r="AI99" s="163" t="s">
        <v>3979</v>
      </c>
      <c r="AJ99" s="163" t="s">
        <v>36</v>
      </c>
      <c r="AK99" s="163" t="s">
        <v>2197</v>
      </c>
      <c r="AL99" s="163" t="s">
        <v>36</v>
      </c>
      <c r="AM99" t="s">
        <v>4876</v>
      </c>
      <c r="AN99" s="487">
        <v>1.4583333333333332E-2</v>
      </c>
      <c r="AO99" s="487">
        <v>0</v>
      </c>
    </row>
    <row r="100" spans="1:41" x14ac:dyDescent="0.2">
      <c r="A100">
        <v>99</v>
      </c>
      <c r="B100" s="471" t="s">
        <v>1076</v>
      </c>
      <c r="C100" s="163" t="s">
        <v>819</v>
      </c>
      <c r="D100" s="163" t="s">
        <v>4115</v>
      </c>
      <c r="E100" s="163" t="s">
        <v>2557</v>
      </c>
      <c r="F100" s="163" t="s">
        <v>2050</v>
      </c>
      <c r="G100" s="163" t="s">
        <v>36</v>
      </c>
      <c r="H100" s="163" t="s">
        <v>2200</v>
      </c>
      <c r="I100" s="163" t="s">
        <v>5725</v>
      </c>
      <c r="J100" s="163" t="s">
        <v>2468</v>
      </c>
      <c r="K100" s="163" t="s">
        <v>1123</v>
      </c>
      <c r="L100" s="163" t="s">
        <v>2558</v>
      </c>
      <c r="M100" s="163" t="s">
        <v>2559</v>
      </c>
      <c r="N100" s="163" t="s">
        <v>819</v>
      </c>
      <c r="O100" s="163" t="s">
        <v>5743</v>
      </c>
      <c r="P100" s="163" t="s">
        <v>2373</v>
      </c>
      <c r="Q100" s="163" t="s">
        <v>4934</v>
      </c>
      <c r="R100" s="163" t="s">
        <v>2193</v>
      </c>
      <c r="S100" s="163" t="s">
        <v>2560</v>
      </c>
      <c r="T100" s="163">
        <v>539</v>
      </c>
      <c r="U100" s="163" t="s">
        <v>2222</v>
      </c>
      <c r="V100" s="163" t="s">
        <v>2561</v>
      </c>
      <c r="W100" s="163">
        <v>675626</v>
      </c>
      <c r="X100" s="163" t="s">
        <v>4937</v>
      </c>
      <c r="Y100" s="163" t="s">
        <v>2280</v>
      </c>
      <c r="Z100" s="163" t="s">
        <v>2562</v>
      </c>
      <c r="AA100" s="163" t="s">
        <v>4937</v>
      </c>
      <c r="AB100" s="163" t="s">
        <v>36</v>
      </c>
      <c r="AC100" s="163" t="s">
        <v>2195</v>
      </c>
      <c r="AD100" s="163" t="s">
        <v>2196</v>
      </c>
      <c r="AE100" s="163" t="s">
        <v>1762</v>
      </c>
      <c r="AF100" s="163" t="s">
        <v>3419</v>
      </c>
      <c r="AG100" s="163" t="s">
        <v>36</v>
      </c>
      <c r="AH100" s="163" t="s">
        <v>36</v>
      </c>
      <c r="AI100" s="163" t="s">
        <v>36</v>
      </c>
      <c r="AJ100" s="163" t="s">
        <v>36</v>
      </c>
      <c r="AK100" s="163" t="s">
        <v>2197</v>
      </c>
      <c r="AL100" s="163" t="s">
        <v>4982</v>
      </c>
      <c r="AM100" t="s">
        <v>4876</v>
      </c>
      <c r="AN100" s="487">
        <v>0</v>
      </c>
      <c r="AO100" s="487">
        <v>0</v>
      </c>
    </row>
    <row r="101" spans="1:41" x14ac:dyDescent="0.2">
      <c r="A101">
        <v>100</v>
      </c>
      <c r="B101" s="471" t="s">
        <v>1076</v>
      </c>
      <c r="C101" s="163" t="s">
        <v>837</v>
      </c>
      <c r="D101" s="163" t="s">
        <v>4116</v>
      </c>
      <c r="E101" s="163" t="s">
        <v>2557</v>
      </c>
      <c r="F101" s="163" t="s">
        <v>2050</v>
      </c>
      <c r="G101" s="163" t="s">
        <v>36</v>
      </c>
      <c r="H101" s="163" t="s">
        <v>2200</v>
      </c>
      <c r="I101" s="163" t="s">
        <v>4912</v>
      </c>
      <c r="J101" s="163" t="s">
        <v>2468</v>
      </c>
      <c r="K101" s="163" t="s">
        <v>2620</v>
      </c>
      <c r="L101" s="163" t="s">
        <v>2621</v>
      </c>
      <c r="M101" s="163" t="s">
        <v>2622</v>
      </c>
      <c r="N101" s="163" t="s">
        <v>837</v>
      </c>
      <c r="O101" s="163" t="s">
        <v>4913</v>
      </c>
      <c r="P101" s="163" t="s">
        <v>2623</v>
      </c>
      <c r="Q101" s="163" t="s">
        <v>4949</v>
      </c>
      <c r="R101" s="163" t="s">
        <v>2193</v>
      </c>
      <c r="S101" s="163" t="s">
        <v>2624</v>
      </c>
      <c r="T101" s="163">
        <v>525</v>
      </c>
      <c r="U101" s="163" t="s">
        <v>2222</v>
      </c>
      <c r="V101" s="163" t="s">
        <v>2561</v>
      </c>
      <c r="W101" s="163">
        <v>675624</v>
      </c>
      <c r="X101" s="163" t="s">
        <v>4937</v>
      </c>
      <c r="Y101" s="163" t="s">
        <v>111</v>
      </c>
      <c r="Z101" s="163" t="s">
        <v>111</v>
      </c>
      <c r="AA101" s="163" t="s">
        <v>111</v>
      </c>
      <c r="AB101" s="163" t="s">
        <v>36</v>
      </c>
      <c r="AC101" s="163" t="s">
        <v>2195</v>
      </c>
      <c r="AD101" s="163" t="s">
        <v>2196</v>
      </c>
      <c r="AE101" s="163" t="s">
        <v>1762</v>
      </c>
      <c r="AF101" s="163" t="s">
        <v>3419</v>
      </c>
      <c r="AG101" s="163" t="s">
        <v>36</v>
      </c>
      <c r="AH101" s="163" t="s">
        <v>36</v>
      </c>
      <c r="AI101" s="163" t="s">
        <v>36</v>
      </c>
      <c r="AJ101" s="163" t="s">
        <v>36</v>
      </c>
      <c r="AK101" s="163" t="s">
        <v>2197</v>
      </c>
      <c r="AL101" s="163" t="s">
        <v>4982</v>
      </c>
      <c r="AM101" t="s">
        <v>4876</v>
      </c>
      <c r="AN101" s="487">
        <v>0</v>
      </c>
      <c r="AO101" s="487">
        <v>0</v>
      </c>
    </row>
    <row r="102" spans="1:41" x14ac:dyDescent="0.2">
      <c r="A102">
        <v>101</v>
      </c>
      <c r="B102" s="471" t="s">
        <v>1076</v>
      </c>
      <c r="C102" s="163" t="s">
        <v>839</v>
      </c>
      <c r="D102" s="163" t="s">
        <v>4117</v>
      </c>
      <c r="E102" s="163" t="s">
        <v>2557</v>
      </c>
      <c r="F102" s="163" t="s">
        <v>2050</v>
      </c>
      <c r="G102" s="163" t="s">
        <v>36</v>
      </c>
      <c r="H102" s="163" t="s">
        <v>2200</v>
      </c>
      <c r="I102" s="163" t="s">
        <v>5725</v>
      </c>
      <c r="J102" s="163" t="s">
        <v>2468</v>
      </c>
      <c r="K102" s="163" t="s">
        <v>2591</v>
      </c>
      <c r="L102" s="163" t="s">
        <v>2592</v>
      </c>
      <c r="M102" s="163" t="s">
        <v>2593</v>
      </c>
      <c r="N102" s="163" t="s">
        <v>839</v>
      </c>
      <c r="O102" s="163" t="s">
        <v>5743</v>
      </c>
      <c r="P102" s="163" t="s">
        <v>2594</v>
      </c>
      <c r="Q102" s="163" t="s">
        <v>4934</v>
      </c>
      <c r="R102" s="163" t="s">
        <v>2193</v>
      </c>
      <c r="S102" s="163" t="s">
        <v>2595</v>
      </c>
      <c r="T102" s="163">
        <v>188.1</v>
      </c>
      <c r="U102" s="163" t="s">
        <v>2222</v>
      </c>
      <c r="V102" s="163" t="s">
        <v>2596</v>
      </c>
      <c r="W102" s="163" t="s">
        <v>2597</v>
      </c>
      <c r="X102" s="163" t="s">
        <v>4937</v>
      </c>
      <c r="Y102" s="163" t="s">
        <v>2571</v>
      </c>
      <c r="Z102" s="163">
        <v>5256764</v>
      </c>
      <c r="AA102" s="163" t="s">
        <v>4937</v>
      </c>
      <c r="AB102" s="163" t="s">
        <v>36</v>
      </c>
      <c r="AC102" s="163" t="s">
        <v>2195</v>
      </c>
      <c r="AD102" s="163" t="s">
        <v>2196</v>
      </c>
      <c r="AE102" s="163" t="s">
        <v>1762</v>
      </c>
      <c r="AF102" s="163" t="s">
        <v>3419</v>
      </c>
      <c r="AG102" s="163" t="s">
        <v>36</v>
      </c>
      <c r="AH102" s="163" t="s">
        <v>36</v>
      </c>
      <c r="AI102" s="163" t="s">
        <v>36</v>
      </c>
      <c r="AJ102" s="163" t="s">
        <v>36</v>
      </c>
      <c r="AK102" s="163" t="s">
        <v>2197</v>
      </c>
      <c r="AL102" s="163" t="s">
        <v>4982</v>
      </c>
      <c r="AM102" t="s">
        <v>4879</v>
      </c>
      <c r="AN102" s="487">
        <v>0</v>
      </c>
      <c r="AO102" s="487">
        <v>0</v>
      </c>
    </row>
    <row r="103" spans="1:41" x14ac:dyDescent="0.2">
      <c r="A103">
        <v>102</v>
      </c>
      <c r="B103" s="471" t="s">
        <v>1076</v>
      </c>
      <c r="C103" s="163" t="s">
        <v>827</v>
      </c>
      <c r="D103" s="163" t="s">
        <v>4118</v>
      </c>
      <c r="E103" s="163" t="s">
        <v>2557</v>
      </c>
      <c r="F103" s="163" t="s">
        <v>2050</v>
      </c>
      <c r="G103" s="163" t="s">
        <v>36</v>
      </c>
      <c r="H103" s="163" t="s">
        <v>2200</v>
      </c>
      <c r="I103" s="163" t="s">
        <v>5725</v>
      </c>
      <c r="J103" s="163" t="s">
        <v>2468</v>
      </c>
      <c r="K103" s="163" t="s">
        <v>1123</v>
      </c>
      <c r="L103" s="163" t="s">
        <v>2558</v>
      </c>
      <c r="M103" s="163" t="s">
        <v>2598</v>
      </c>
      <c r="N103" s="163" t="s">
        <v>827</v>
      </c>
      <c r="O103" s="163" t="s">
        <v>5744</v>
      </c>
      <c r="P103" s="163" t="s">
        <v>2599</v>
      </c>
      <c r="Q103" s="163" t="s">
        <v>4949</v>
      </c>
      <c r="R103" s="163" t="s">
        <v>2193</v>
      </c>
      <c r="S103" s="163" t="s">
        <v>2600</v>
      </c>
      <c r="T103" s="163">
        <v>577.5</v>
      </c>
      <c r="U103" s="163" t="s">
        <v>2222</v>
      </c>
      <c r="V103" s="163" t="s">
        <v>2601</v>
      </c>
      <c r="W103" s="163" t="s">
        <v>2602</v>
      </c>
      <c r="X103" s="163" t="s">
        <v>4937</v>
      </c>
      <c r="Y103" s="163" t="s">
        <v>2413</v>
      </c>
      <c r="Z103" s="163" t="s">
        <v>2562</v>
      </c>
      <c r="AA103" s="163" t="s">
        <v>4937</v>
      </c>
      <c r="AB103" s="163" t="s">
        <v>36</v>
      </c>
      <c r="AC103" s="163" t="s">
        <v>2195</v>
      </c>
      <c r="AD103" s="163" t="s">
        <v>2196</v>
      </c>
      <c r="AE103" s="163" t="s">
        <v>1762</v>
      </c>
      <c r="AF103" s="163" t="s">
        <v>3419</v>
      </c>
      <c r="AG103" s="163" t="s">
        <v>36</v>
      </c>
      <c r="AH103" s="163" t="s">
        <v>36</v>
      </c>
      <c r="AI103" s="163" t="s">
        <v>36</v>
      </c>
      <c r="AJ103" s="163" t="s">
        <v>36</v>
      </c>
      <c r="AK103" s="163" t="s">
        <v>2197</v>
      </c>
      <c r="AL103" s="163" t="s">
        <v>4982</v>
      </c>
      <c r="AM103" t="s">
        <v>4876</v>
      </c>
      <c r="AN103" s="487">
        <v>0</v>
      </c>
      <c r="AO103" s="487">
        <v>0</v>
      </c>
    </row>
    <row r="104" spans="1:41" x14ac:dyDescent="0.2">
      <c r="A104">
        <v>103</v>
      </c>
      <c r="B104" s="471" t="s">
        <v>1076</v>
      </c>
      <c r="C104" s="163" t="s">
        <v>1093</v>
      </c>
      <c r="D104" s="163" t="s">
        <v>4119</v>
      </c>
      <c r="E104" s="163" t="s">
        <v>2557</v>
      </c>
      <c r="F104" s="163" t="s">
        <v>2050</v>
      </c>
      <c r="G104" s="163" t="s">
        <v>36</v>
      </c>
      <c r="H104" s="163" t="s">
        <v>2200</v>
      </c>
      <c r="I104" s="163" t="s">
        <v>5725</v>
      </c>
      <c r="J104" s="163" t="s">
        <v>2468</v>
      </c>
      <c r="K104" s="163" t="s">
        <v>1120</v>
      </c>
      <c r="L104" s="163" t="s">
        <v>2585</v>
      </c>
      <c r="M104" s="163" t="s">
        <v>2586</v>
      </c>
      <c r="N104" s="163" t="s">
        <v>1093</v>
      </c>
      <c r="O104" s="163" t="s">
        <v>5730</v>
      </c>
      <c r="P104" s="163" t="s">
        <v>2587</v>
      </c>
      <c r="Q104" s="163" t="s">
        <v>4936</v>
      </c>
      <c r="R104" s="163" t="s">
        <v>2193</v>
      </c>
      <c r="S104" s="163" t="s">
        <v>2588</v>
      </c>
      <c r="T104" s="163">
        <v>7.9</v>
      </c>
      <c r="U104" s="163" t="s">
        <v>2220</v>
      </c>
      <c r="V104" s="163" t="s">
        <v>2589</v>
      </c>
      <c r="W104" s="163" t="s">
        <v>2590</v>
      </c>
      <c r="X104" s="163" t="s">
        <v>4937</v>
      </c>
      <c r="Y104" s="163" t="s">
        <v>2571</v>
      </c>
      <c r="Z104" s="163" t="s">
        <v>2584</v>
      </c>
      <c r="AA104" s="163" t="s">
        <v>4937</v>
      </c>
      <c r="AB104" s="163" t="s">
        <v>36</v>
      </c>
      <c r="AC104" s="163" t="s">
        <v>2195</v>
      </c>
      <c r="AD104" s="163" t="s">
        <v>2196</v>
      </c>
      <c r="AE104" s="163" t="s">
        <v>1762</v>
      </c>
      <c r="AF104" s="163" t="s">
        <v>5188</v>
      </c>
      <c r="AG104" s="163" t="s">
        <v>36</v>
      </c>
      <c r="AH104" s="163" t="s">
        <v>36</v>
      </c>
      <c r="AI104" s="163" t="s">
        <v>36</v>
      </c>
      <c r="AJ104" s="163" t="s">
        <v>36</v>
      </c>
      <c r="AK104" s="163" t="s">
        <v>2197</v>
      </c>
      <c r="AL104" s="163" t="s">
        <v>4982</v>
      </c>
      <c r="AM104" t="s">
        <v>4876</v>
      </c>
      <c r="AN104" s="487">
        <v>0</v>
      </c>
      <c r="AO104" s="487">
        <v>0</v>
      </c>
    </row>
    <row r="105" spans="1:41" x14ac:dyDescent="0.2">
      <c r="A105">
        <v>104</v>
      </c>
      <c r="B105" s="471" t="s">
        <v>1076</v>
      </c>
      <c r="C105" s="163" t="s">
        <v>825</v>
      </c>
      <c r="D105" s="163" t="s">
        <v>4120</v>
      </c>
      <c r="E105" s="163" t="s">
        <v>2557</v>
      </c>
      <c r="F105" s="163" t="s">
        <v>2050</v>
      </c>
      <c r="G105" s="163" t="s">
        <v>36</v>
      </c>
      <c r="H105" s="163" t="s">
        <v>2200</v>
      </c>
      <c r="I105" s="163" t="s">
        <v>5725</v>
      </c>
      <c r="J105" s="163" t="s">
        <v>2468</v>
      </c>
      <c r="K105" s="163" t="s">
        <v>2419</v>
      </c>
      <c r="L105" s="163">
        <v>80573</v>
      </c>
      <c r="M105" s="163" t="s">
        <v>2611</v>
      </c>
      <c r="N105" s="163" t="s">
        <v>825</v>
      </c>
      <c r="O105" s="163" t="s">
        <v>5745</v>
      </c>
      <c r="P105" s="163" t="s">
        <v>5020</v>
      </c>
      <c r="Q105" s="163" t="s">
        <v>4966</v>
      </c>
      <c r="R105" s="163" t="s">
        <v>2193</v>
      </c>
      <c r="S105" s="163" t="s">
        <v>2612</v>
      </c>
      <c r="T105" s="163">
        <v>19.399999999999999</v>
      </c>
      <c r="U105" s="163" t="s">
        <v>2222</v>
      </c>
      <c r="V105" s="163" t="s">
        <v>2613</v>
      </c>
      <c r="W105" s="163" t="s">
        <v>2614</v>
      </c>
      <c r="X105" s="163" t="s">
        <v>4937</v>
      </c>
      <c r="Y105" s="163" t="s">
        <v>2280</v>
      </c>
      <c r="Z105" s="163">
        <v>5256764</v>
      </c>
      <c r="AA105" s="163" t="s">
        <v>4937</v>
      </c>
      <c r="AB105" s="163" t="s">
        <v>36</v>
      </c>
      <c r="AC105" s="163" t="s">
        <v>2195</v>
      </c>
      <c r="AD105" s="163" t="s">
        <v>2196</v>
      </c>
      <c r="AE105" s="163" t="s">
        <v>1762</v>
      </c>
      <c r="AF105" s="163" t="s">
        <v>3419</v>
      </c>
      <c r="AG105" s="163" t="s">
        <v>36</v>
      </c>
      <c r="AH105" s="163" t="s">
        <v>36</v>
      </c>
      <c r="AI105" s="163" t="s">
        <v>36</v>
      </c>
      <c r="AJ105" s="163" t="s">
        <v>36</v>
      </c>
      <c r="AK105" s="163" t="s">
        <v>2197</v>
      </c>
      <c r="AL105" s="163" t="s">
        <v>4982</v>
      </c>
      <c r="AM105" t="s">
        <v>4876</v>
      </c>
      <c r="AN105" s="487">
        <v>0</v>
      </c>
      <c r="AO105" s="487">
        <v>0</v>
      </c>
    </row>
    <row r="106" spans="1:41" x14ac:dyDescent="0.2">
      <c r="A106">
        <v>105</v>
      </c>
      <c r="B106" s="471" t="s">
        <v>1076</v>
      </c>
      <c r="C106" s="163" t="s">
        <v>841</v>
      </c>
      <c r="D106" s="163" t="s">
        <v>4121</v>
      </c>
      <c r="E106" s="163" t="s">
        <v>2557</v>
      </c>
      <c r="F106" s="163" t="s">
        <v>2050</v>
      </c>
      <c r="G106" s="163" t="s">
        <v>36</v>
      </c>
      <c r="H106" s="163" t="s">
        <v>2200</v>
      </c>
      <c r="I106" s="163" t="s">
        <v>5725</v>
      </c>
      <c r="J106" s="163" t="s">
        <v>2468</v>
      </c>
      <c r="K106" s="163" t="s">
        <v>2615</v>
      </c>
      <c r="L106" s="163" t="s">
        <v>2616</v>
      </c>
      <c r="M106" s="163" t="s">
        <v>2617</v>
      </c>
      <c r="N106" s="163" t="s">
        <v>841</v>
      </c>
      <c r="O106" s="163" t="s">
        <v>5744</v>
      </c>
      <c r="P106" s="163" t="s">
        <v>5432</v>
      </c>
      <c r="Q106" s="163" t="s">
        <v>4949</v>
      </c>
      <c r="R106" s="163" t="s">
        <v>2257</v>
      </c>
      <c r="S106" s="163" t="s">
        <v>5433</v>
      </c>
      <c r="T106" s="163">
        <v>12</v>
      </c>
      <c r="U106" s="163" t="s">
        <v>2222</v>
      </c>
      <c r="V106" s="163" t="s">
        <v>5434</v>
      </c>
      <c r="W106" s="163" t="s">
        <v>5435</v>
      </c>
      <c r="X106" s="163" t="s">
        <v>4937</v>
      </c>
      <c r="Y106" s="163" t="s">
        <v>2280</v>
      </c>
      <c r="Z106" s="163" t="s">
        <v>2619</v>
      </c>
      <c r="AA106" s="163" t="s">
        <v>4937</v>
      </c>
      <c r="AB106" s="163" t="s">
        <v>36</v>
      </c>
      <c r="AC106" s="163" t="s">
        <v>2195</v>
      </c>
      <c r="AD106" s="163" t="s">
        <v>2196</v>
      </c>
      <c r="AE106" s="163" t="s">
        <v>1762</v>
      </c>
      <c r="AF106" s="163" t="s">
        <v>3419</v>
      </c>
      <c r="AG106" s="163" t="s">
        <v>36</v>
      </c>
      <c r="AH106" s="163" t="s">
        <v>36</v>
      </c>
      <c r="AI106" s="163" t="s">
        <v>36</v>
      </c>
      <c r="AJ106" s="163" t="s">
        <v>36</v>
      </c>
      <c r="AK106" s="163" t="s">
        <v>2197</v>
      </c>
      <c r="AL106" s="163" t="s">
        <v>4982</v>
      </c>
      <c r="AM106" t="s">
        <v>4877</v>
      </c>
      <c r="AN106" s="487">
        <v>0</v>
      </c>
      <c r="AO106" s="487">
        <v>0</v>
      </c>
    </row>
    <row r="107" spans="1:41" x14ac:dyDescent="0.2">
      <c r="A107">
        <v>106</v>
      </c>
      <c r="B107" s="471" t="s">
        <v>1076</v>
      </c>
      <c r="C107" s="163" t="s">
        <v>1750</v>
      </c>
      <c r="D107" s="163" t="s">
        <v>4122</v>
      </c>
      <c r="E107" s="163" t="s">
        <v>2557</v>
      </c>
      <c r="F107" s="163" t="s">
        <v>2050</v>
      </c>
      <c r="G107" s="163" t="s">
        <v>36</v>
      </c>
      <c r="H107" s="163" t="s">
        <v>2200</v>
      </c>
      <c r="I107" s="163" t="s">
        <v>5725</v>
      </c>
      <c r="J107" s="163" t="s">
        <v>2468</v>
      </c>
      <c r="K107" s="163" t="s">
        <v>833</v>
      </c>
      <c r="L107" s="163" t="s">
        <v>2566</v>
      </c>
      <c r="M107" s="163" t="s">
        <v>2567</v>
      </c>
      <c r="N107" s="163" t="s">
        <v>1750</v>
      </c>
      <c r="O107" s="163" t="s">
        <v>5743</v>
      </c>
      <c r="P107" s="163" t="s">
        <v>2568</v>
      </c>
      <c r="Q107" s="163" t="s">
        <v>4934</v>
      </c>
      <c r="R107" s="163" t="s">
        <v>2193</v>
      </c>
      <c r="S107" s="163" t="s">
        <v>2569</v>
      </c>
      <c r="T107" s="163">
        <v>17.3</v>
      </c>
      <c r="U107" s="163" t="s">
        <v>2222</v>
      </c>
      <c r="V107" s="163" t="s">
        <v>2570</v>
      </c>
      <c r="W107" s="163" t="s">
        <v>2570</v>
      </c>
      <c r="X107" s="163" t="s">
        <v>4937</v>
      </c>
      <c r="Y107" s="163" t="s">
        <v>2571</v>
      </c>
      <c r="Z107" s="163">
        <v>5256764</v>
      </c>
      <c r="AA107" s="163" t="s">
        <v>4937</v>
      </c>
      <c r="AB107" s="163" t="s">
        <v>36</v>
      </c>
      <c r="AC107" s="163" t="s">
        <v>2195</v>
      </c>
      <c r="AD107" s="163" t="s">
        <v>2196</v>
      </c>
      <c r="AE107" s="163" t="s">
        <v>1762</v>
      </c>
      <c r="AF107" s="163" t="s">
        <v>3419</v>
      </c>
      <c r="AG107" s="163" t="s">
        <v>36</v>
      </c>
      <c r="AH107" s="163" t="s">
        <v>36</v>
      </c>
      <c r="AI107" s="163" t="s">
        <v>36</v>
      </c>
      <c r="AJ107" s="163" t="s">
        <v>36</v>
      </c>
      <c r="AK107" s="163" t="s">
        <v>2197</v>
      </c>
      <c r="AL107" s="163" t="s">
        <v>4982</v>
      </c>
      <c r="AM107" t="s">
        <v>4876</v>
      </c>
      <c r="AN107" s="487">
        <v>0</v>
      </c>
      <c r="AO107" s="487">
        <v>0</v>
      </c>
    </row>
    <row r="108" spans="1:41" x14ac:dyDescent="0.2">
      <c r="A108">
        <v>107</v>
      </c>
      <c r="B108" s="471" t="s">
        <v>1076</v>
      </c>
      <c r="C108" s="163" t="s">
        <v>1959</v>
      </c>
      <c r="D108" s="163" t="s">
        <v>4123</v>
      </c>
      <c r="E108" s="163" t="s">
        <v>2557</v>
      </c>
      <c r="F108" s="163" t="s">
        <v>2050</v>
      </c>
      <c r="G108" s="163" t="s">
        <v>36</v>
      </c>
      <c r="H108" s="163" t="s">
        <v>2200</v>
      </c>
      <c r="I108" s="163" t="s">
        <v>5725</v>
      </c>
      <c r="J108" s="163" t="s">
        <v>2468</v>
      </c>
      <c r="K108" s="163" t="s">
        <v>835</v>
      </c>
      <c r="L108" s="163" t="s">
        <v>2563</v>
      </c>
      <c r="M108" s="163">
        <v>1280</v>
      </c>
      <c r="N108" s="163" t="s">
        <v>1959</v>
      </c>
      <c r="O108" s="163" t="s">
        <v>5730</v>
      </c>
      <c r="P108" s="163" t="s">
        <v>2652</v>
      </c>
      <c r="Q108" s="163" t="s">
        <v>4936</v>
      </c>
      <c r="R108" s="163" t="s">
        <v>2193</v>
      </c>
      <c r="S108" s="163" t="s">
        <v>2564</v>
      </c>
      <c r="T108" s="163">
        <v>480</v>
      </c>
      <c r="U108" s="163" t="s">
        <v>2220</v>
      </c>
      <c r="V108" s="163" t="s">
        <v>4650</v>
      </c>
      <c r="W108" s="163">
        <v>22973</v>
      </c>
      <c r="X108" s="163" t="s">
        <v>4937</v>
      </c>
      <c r="Y108" s="163" t="s">
        <v>2280</v>
      </c>
      <c r="Z108" s="163" t="s">
        <v>2562</v>
      </c>
      <c r="AA108" s="163" t="s">
        <v>4937</v>
      </c>
      <c r="AB108" s="163" t="s">
        <v>36</v>
      </c>
      <c r="AC108" s="163" t="s">
        <v>2195</v>
      </c>
      <c r="AD108" s="163" t="s">
        <v>2196</v>
      </c>
      <c r="AE108" s="163" t="s">
        <v>1762</v>
      </c>
      <c r="AF108" s="163" t="s">
        <v>3419</v>
      </c>
      <c r="AG108" s="163" t="s">
        <v>36</v>
      </c>
      <c r="AH108" s="163" t="s">
        <v>36</v>
      </c>
      <c r="AI108" s="163" t="s">
        <v>36</v>
      </c>
      <c r="AJ108" s="163" t="s">
        <v>36</v>
      </c>
      <c r="AK108" s="163" t="s">
        <v>2197</v>
      </c>
      <c r="AL108" s="163" t="s">
        <v>4982</v>
      </c>
      <c r="AM108" t="s">
        <v>4876</v>
      </c>
      <c r="AN108" s="487">
        <v>0</v>
      </c>
      <c r="AO108" s="487">
        <v>0</v>
      </c>
    </row>
    <row r="109" spans="1:41" x14ac:dyDescent="0.2">
      <c r="A109">
        <v>108</v>
      </c>
      <c r="B109" s="471" t="s">
        <v>1076</v>
      </c>
      <c r="C109" s="163" t="s">
        <v>1905</v>
      </c>
      <c r="D109" s="163" t="s">
        <v>4124</v>
      </c>
      <c r="E109" s="163" t="s">
        <v>2557</v>
      </c>
      <c r="F109" s="163" t="s">
        <v>2050</v>
      </c>
      <c r="G109" s="163" t="s">
        <v>36</v>
      </c>
      <c r="H109" s="163" t="s">
        <v>2200</v>
      </c>
      <c r="I109" s="163" t="s">
        <v>5725</v>
      </c>
      <c r="J109" s="163" t="s">
        <v>2468</v>
      </c>
      <c r="K109" s="163" t="s">
        <v>2575</v>
      </c>
      <c r="L109" s="163" t="s">
        <v>2576</v>
      </c>
      <c r="M109" s="549">
        <v>54087</v>
      </c>
      <c r="N109" s="163" t="s">
        <v>1905</v>
      </c>
      <c r="O109" s="163" t="s">
        <v>5744</v>
      </c>
      <c r="P109" s="163" t="s">
        <v>2568</v>
      </c>
      <c r="Q109" s="163" t="s">
        <v>4949</v>
      </c>
      <c r="R109" s="163" t="s">
        <v>2257</v>
      </c>
      <c r="S109" s="163" t="s">
        <v>2577</v>
      </c>
      <c r="T109" s="163">
        <v>60.5</v>
      </c>
      <c r="U109" s="163" t="s">
        <v>2222</v>
      </c>
      <c r="V109" s="163" t="s">
        <v>2578</v>
      </c>
      <c r="W109" s="163" t="s">
        <v>2579</v>
      </c>
      <c r="X109" s="163" t="s">
        <v>4937</v>
      </c>
      <c r="Y109" s="163" t="s">
        <v>2571</v>
      </c>
      <c r="Z109" s="163">
        <v>5256764</v>
      </c>
      <c r="AA109" s="163" t="s">
        <v>4937</v>
      </c>
      <c r="AB109" s="163" t="s">
        <v>36</v>
      </c>
      <c r="AC109" s="163" t="s">
        <v>2195</v>
      </c>
      <c r="AD109" s="163" t="s">
        <v>2196</v>
      </c>
      <c r="AE109" s="163" t="s">
        <v>1762</v>
      </c>
      <c r="AF109" s="163" t="s">
        <v>3419</v>
      </c>
      <c r="AG109" s="163" t="s">
        <v>36</v>
      </c>
      <c r="AH109" s="163" t="s">
        <v>36</v>
      </c>
      <c r="AI109" s="163" t="s">
        <v>36</v>
      </c>
      <c r="AJ109" s="163" t="s">
        <v>36</v>
      </c>
      <c r="AK109" s="163" t="s">
        <v>2197</v>
      </c>
      <c r="AL109" s="163" t="s">
        <v>4982</v>
      </c>
      <c r="AM109" t="s">
        <v>4877</v>
      </c>
      <c r="AN109" s="487">
        <v>0</v>
      </c>
      <c r="AO109" s="487">
        <v>0</v>
      </c>
    </row>
    <row r="110" spans="1:41" x14ac:dyDescent="0.2">
      <c r="A110">
        <v>109</v>
      </c>
      <c r="B110" s="471" t="s">
        <v>1076</v>
      </c>
      <c r="C110" s="163" t="s">
        <v>1773</v>
      </c>
      <c r="D110" s="163" t="s">
        <v>4125</v>
      </c>
      <c r="E110" s="163" t="s">
        <v>2557</v>
      </c>
      <c r="F110" s="163" t="s">
        <v>2050</v>
      </c>
      <c r="G110" s="163" t="s">
        <v>36</v>
      </c>
      <c r="H110" s="163" t="s">
        <v>2200</v>
      </c>
      <c r="I110" s="163" t="s">
        <v>5725</v>
      </c>
      <c r="J110" s="163" t="s">
        <v>2468</v>
      </c>
      <c r="K110" s="163" t="s">
        <v>823</v>
      </c>
      <c r="L110" s="163" t="s">
        <v>2580</v>
      </c>
      <c r="M110" s="163">
        <v>370334</v>
      </c>
      <c r="N110" s="163" t="s">
        <v>1773</v>
      </c>
      <c r="O110" s="163" t="s">
        <v>5730</v>
      </c>
      <c r="P110" s="163" t="s">
        <v>3013</v>
      </c>
      <c r="Q110" s="163" t="s">
        <v>4936</v>
      </c>
      <c r="R110" s="163" t="s">
        <v>2193</v>
      </c>
      <c r="S110" s="163" t="s">
        <v>2581</v>
      </c>
      <c r="T110" s="163">
        <v>12</v>
      </c>
      <c r="U110" s="163" t="s">
        <v>2221</v>
      </c>
      <c r="V110" s="163" t="s">
        <v>2582</v>
      </c>
      <c r="W110" s="163" t="s">
        <v>2583</v>
      </c>
      <c r="X110" s="163" t="s">
        <v>4937</v>
      </c>
      <c r="Y110" s="163" t="s">
        <v>2571</v>
      </c>
      <c r="Z110" s="163" t="s">
        <v>2584</v>
      </c>
      <c r="AA110" s="163" t="s">
        <v>4937</v>
      </c>
      <c r="AB110" s="163" t="s">
        <v>36</v>
      </c>
      <c r="AC110" s="163" t="s">
        <v>2195</v>
      </c>
      <c r="AD110" s="163" t="s">
        <v>2196</v>
      </c>
      <c r="AE110" s="163" t="s">
        <v>1762</v>
      </c>
      <c r="AF110" s="163" t="s">
        <v>3419</v>
      </c>
      <c r="AG110" s="163" t="s">
        <v>36</v>
      </c>
      <c r="AH110" s="163" t="s">
        <v>36</v>
      </c>
      <c r="AI110" s="163" t="s">
        <v>36</v>
      </c>
      <c r="AJ110" s="163" t="s">
        <v>36</v>
      </c>
      <c r="AK110" s="163" t="s">
        <v>2197</v>
      </c>
      <c r="AL110" s="163" t="s">
        <v>4982</v>
      </c>
      <c r="AM110" t="s">
        <v>4877</v>
      </c>
      <c r="AN110" s="487">
        <v>0</v>
      </c>
      <c r="AO110" s="487">
        <v>0</v>
      </c>
    </row>
    <row r="111" spans="1:41" x14ac:dyDescent="0.2">
      <c r="A111">
        <v>110</v>
      </c>
      <c r="B111" s="471" t="s">
        <v>1076</v>
      </c>
      <c r="C111" s="163" t="s">
        <v>3827</v>
      </c>
      <c r="D111" s="163" t="s">
        <v>4126</v>
      </c>
      <c r="E111" s="163" t="s">
        <v>2557</v>
      </c>
      <c r="F111" s="163" t="s">
        <v>2050</v>
      </c>
      <c r="G111" s="163" t="s">
        <v>36</v>
      </c>
      <c r="H111" s="163" t="s">
        <v>2200</v>
      </c>
      <c r="I111" s="163" t="s">
        <v>5725</v>
      </c>
      <c r="J111" s="163" t="s">
        <v>2468</v>
      </c>
      <c r="K111" s="163" t="s">
        <v>843</v>
      </c>
      <c r="L111" s="163" t="s">
        <v>2572</v>
      </c>
      <c r="M111" s="163">
        <v>70773</v>
      </c>
      <c r="N111" s="163" t="s">
        <v>1088</v>
      </c>
      <c r="O111" s="163" t="s">
        <v>5730</v>
      </c>
      <c r="P111" s="163" t="s">
        <v>5746</v>
      </c>
      <c r="Q111" s="163" t="s">
        <v>4936</v>
      </c>
      <c r="R111" s="163" t="s">
        <v>2367</v>
      </c>
      <c r="S111" s="163" t="s">
        <v>2573</v>
      </c>
      <c r="T111" s="163">
        <v>121</v>
      </c>
      <c r="U111" s="163" t="s">
        <v>2220</v>
      </c>
      <c r="V111" s="163" t="s">
        <v>2574</v>
      </c>
      <c r="W111" s="163">
        <v>5.25</v>
      </c>
      <c r="X111" s="163" t="s">
        <v>4937</v>
      </c>
      <c r="Y111" s="163" t="s">
        <v>2571</v>
      </c>
      <c r="Z111" s="163">
        <v>5256764</v>
      </c>
      <c r="AA111" s="163" t="s">
        <v>4937</v>
      </c>
      <c r="AB111" s="163" t="s">
        <v>36</v>
      </c>
      <c r="AC111" s="163" t="s">
        <v>2195</v>
      </c>
      <c r="AD111" s="163" t="s">
        <v>2196</v>
      </c>
      <c r="AE111" s="163" t="s">
        <v>1762</v>
      </c>
      <c r="AF111" s="163" t="s">
        <v>3419</v>
      </c>
      <c r="AG111" s="163" t="s">
        <v>36</v>
      </c>
      <c r="AH111" s="163" t="s">
        <v>36</v>
      </c>
      <c r="AI111" s="163" t="s">
        <v>36</v>
      </c>
      <c r="AJ111" s="163" t="s">
        <v>36</v>
      </c>
      <c r="AK111" s="163" t="s">
        <v>2197</v>
      </c>
      <c r="AL111" s="163" t="s">
        <v>4982</v>
      </c>
      <c r="AM111" t="s">
        <v>4879</v>
      </c>
      <c r="AN111" s="487">
        <v>0</v>
      </c>
      <c r="AO111" s="487">
        <v>0</v>
      </c>
    </row>
    <row r="112" spans="1:41" x14ac:dyDescent="0.2">
      <c r="A112">
        <v>111</v>
      </c>
      <c r="B112" s="471" t="s">
        <v>1076</v>
      </c>
      <c r="C112" s="163" t="s">
        <v>3829</v>
      </c>
      <c r="D112" s="163" t="s">
        <v>4127</v>
      </c>
      <c r="E112" s="163" t="s">
        <v>2557</v>
      </c>
      <c r="F112" s="163" t="s">
        <v>2050</v>
      </c>
      <c r="G112" s="163" t="s">
        <v>36</v>
      </c>
      <c r="H112" s="163" t="s">
        <v>2200</v>
      </c>
      <c r="I112" s="163" t="s">
        <v>5725</v>
      </c>
      <c r="J112" s="163" t="s">
        <v>2468</v>
      </c>
      <c r="K112" s="163" t="s">
        <v>1123</v>
      </c>
      <c r="L112" s="163" t="s">
        <v>2603</v>
      </c>
      <c r="M112" s="163" t="s">
        <v>2608</v>
      </c>
      <c r="N112" s="163" t="s">
        <v>1082</v>
      </c>
      <c r="O112" s="163" t="s">
        <v>5744</v>
      </c>
      <c r="P112" s="163" t="s">
        <v>2609</v>
      </c>
      <c r="Q112" s="163" t="s">
        <v>4949</v>
      </c>
      <c r="R112" s="163" t="s">
        <v>2367</v>
      </c>
      <c r="S112" s="163" t="s">
        <v>2610</v>
      </c>
      <c r="T112" s="163">
        <v>1298</v>
      </c>
      <c r="U112" s="163" t="s">
        <v>2222</v>
      </c>
      <c r="V112" s="163" t="s">
        <v>2525</v>
      </c>
      <c r="W112" s="163">
        <v>23144</v>
      </c>
      <c r="X112" s="163" t="s">
        <v>4937</v>
      </c>
      <c r="Y112" s="163" t="s">
        <v>2280</v>
      </c>
      <c r="Z112" s="163" t="s">
        <v>2607</v>
      </c>
      <c r="AA112" s="163" t="s">
        <v>4937</v>
      </c>
      <c r="AB112" s="163" t="s">
        <v>36</v>
      </c>
      <c r="AC112" s="163" t="s">
        <v>2195</v>
      </c>
      <c r="AD112" s="163" t="s">
        <v>2196</v>
      </c>
      <c r="AE112" s="163" t="s">
        <v>1762</v>
      </c>
      <c r="AF112" s="163" t="s">
        <v>3419</v>
      </c>
      <c r="AG112" s="163" t="s">
        <v>36</v>
      </c>
      <c r="AH112" s="163" t="s">
        <v>36</v>
      </c>
      <c r="AI112" s="163" t="s">
        <v>36</v>
      </c>
      <c r="AJ112" s="163" t="s">
        <v>36</v>
      </c>
      <c r="AK112" s="163" t="s">
        <v>2197</v>
      </c>
      <c r="AL112" s="163" t="s">
        <v>4982</v>
      </c>
      <c r="AM112" t="s">
        <v>4876</v>
      </c>
      <c r="AN112" s="487">
        <v>0</v>
      </c>
      <c r="AO112" s="487">
        <v>0</v>
      </c>
    </row>
    <row r="113" spans="1:41" x14ac:dyDescent="0.2">
      <c r="A113">
        <v>112</v>
      </c>
      <c r="B113" s="471" t="s">
        <v>1076</v>
      </c>
      <c r="C113" s="163" t="s">
        <v>3828</v>
      </c>
      <c r="D113" s="163" t="s">
        <v>4128</v>
      </c>
      <c r="E113" s="163" t="s">
        <v>2557</v>
      </c>
      <c r="F113" s="163" t="s">
        <v>2050</v>
      </c>
      <c r="G113" s="163" t="s">
        <v>36</v>
      </c>
      <c r="H113" s="163" t="s">
        <v>2200</v>
      </c>
      <c r="I113" s="163" t="s">
        <v>5725</v>
      </c>
      <c r="J113" s="163" t="s">
        <v>2468</v>
      </c>
      <c r="K113" s="163" t="s">
        <v>1123</v>
      </c>
      <c r="L113" s="163" t="s">
        <v>2603</v>
      </c>
      <c r="M113" s="163" t="s">
        <v>2604</v>
      </c>
      <c r="N113" s="163" t="s">
        <v>1080</v>
      </c>
      <c r="O113" s="163" t="s">
        <v>5744</v>
      </c>
      <c r="P113" s="163" t="s">
        <v>2605</v>
      </c>
      <c r="Q113" s="163" t="s">
        <v>4949</v>
      </c>
      <c r="R113" s="163" t="s">
        <v>2367</v>
      </c>
      <c r="S113" s="163" t="s">
        <v>2606</v>
      </c>
      <c r="T113" s="163">
        <v>1377</v>
      </c>
      <c r="U113" s="163" t="s">
        <v>2222</v>
      </c>
      <c r="V113" s="163" t="s">
        <v>2525</v>
      </c>
      <c r="W113" s="163">
        <v>23144</v>
      </c>
      <c r="X113" s="163" t="s">
        <v>4937</v>
      </c>
      <c r="Y113" s="163" t="s">
        <v>2280</v>
      </c>
      <c r="Z113" s="163" t="s">
        <v>2607</v>
      </c>
      <c r="AA113" s="163" t="s">
        <v>4937</v>
      </c>
      <c r="AB113" s="163" t="s">
        <v>36</v>
      </c>
      <c r="AC113" s="163" t="s">
        <v>2195</v>
      </c>
      <c r="AD113" s="163" t="s">
        <v>2196</v>
      </c>
      <c r="AE113" s="163" t="s">
        <v>1762</v>
      </c>
      <c r="AF113" s="163" t="s">
        <v>3419</v>
      </c>
      <c r="AG113" s="163" t="s">
        <v>36</v>
      </c>
      <c r="AH113" s="163" t="s">
        <v>36</v>
      </c>
      <c r="AI113" s="163" t="s">
        <v>36</v>
      </c>
      <c r="AJ113" s="163" t="s">
        <v>36</v>
      </c>
      <c r="AK113" s="163" t="s">
        <v>2197</v>
      </c>
      <c r="AL113" s="163" t="s">
        <v>4982</v>
      </c>
      <c r="AM113" t="s">
        <v>4876</v>
      </c>
      <c r="AN113" s="487">
        <v>0</v>
      </c>
      <c r="AO113" s="487">
        <v>0</v>
      </c>
    </row>
    <row r="114" spans="1:41" x14ac:dyDescent="0.2">
      <c r="A114">
        <v>113</v>
      </c>
      <c r="B114" s="471" t="s">
        <v>1076</v>
      </c>
      <c r="C114" s="163" t="s">
        <v>3830</v>
      </c>
      <c r="D114" s="163" t="s">
        <v>4129</v>
      </c>
      <c r="E114" s="163" t="s">
        <v>2557</v>
      </c>
      <c r="F114" s="163" t="s">
        <v>2050</v>
      </c>
      <c r="G114" s="163" t="s">
        <v>36</v>
      </c>
      <c r="H114" s="163" t="s">
        <v>2200</v>
      </c>
      <c r="I114" s="163" t="s">
        <v>5725</v>
      </c>
      <c r="J114" s="163" t="s">
        <v>2468</v>
      </c>
      <c r="K114" s="163" t="s">
        <v>1120</v>
      </c>
      <c r="L114" s="163" t="s">
        <v>2315</v>
      </c>
      <c r="M114" s="163" t="s">
        <v>3831</v>
      </c>
      <c r="N114" s="163" t="s">
        <v>3832</v>
      </c>
      <c r="O114" s="163" t="s">
        <v>5747</v>
      </c>
      <c r="P114" s="163" t="s">
        <v>5026</v>
      </c>
      <c r="Q114" s="163" t="s">
        <v>4938</v>
      </c>
      <c r="R114" s="163" t="s">
        <v>2193</v>
      </c>
      <c r="S114" s="163" t="s">
        <v>3833</v>
      </c>
      <c r="T114" s="163">
        <v>416</v>
      </c>
      <c r="U114" s="163" t="s">
        <v>2220</v>
      </c>
      <c r="V114" s="163" t="s">
        <v>2613</v>
      </c>
      <c r="W114" s="163" t="s">
        <v>3834</v>
      </c>
      <c r="X114" s="163" t="s">
        <v>4937</v>
      </c>
      <c r="Y114" s="163" t="s">
        <v>3835</v>
      </c>
      <c r="Z114" s="163" t="s">
        <v>2562</v>
      </c>
      <c r="AA114" s="163" t="s">
        <v>4937</v>
      </c>
      <c r="AB114" s="163" t="s">
        <v>36</v>
      </c>
      <c r="AC114" s="163" t="s">
        <v>2195</v>
      </c>
      <c r="AD114" s="163" t="s">
        <v>2196</v>
      </c>
      <c r="AE114" s="163" t="s">
        <v>1762</v>
      </c>
      <c r="AF114" s="163" t="s">
        <v>3419</v>
      </c>
      <c r="AG114" s="163" t="s">
        <v>36</v>
      </c>
      <c r="AH114" s="163" t="s">
        <v>36</v>
      </c>
      <c r="AI114" s="163" t="s">
        <v>36</v>
      </c>
      <c r="AJ114" s="163" t="s">
        <v>36</v>
      </c>
      <c r="AK114" s="163" t="s">
        <v>2197</v>
      </c>
      <c r="AL114" s="163" t="s">
        <v>4982</v>
      </c>
      <c r="AM114" t="s">
        <v>4878</v>
      </c>
      <c r="AN114" s="487">
        <v>0</v>
      </c>
      <c r="AO114" s="487">
        <v>0</v>
      </c>
    </row>
    <row r="115" spans="1:41" x14ac:dyDescent="0.2">
      <c r="A115">
        <v>114</v>
      </c>
      <c r="B115" s="471" t="s">
        <v>1076</v>
      </c>
      <c r="C115" s="163" t="s">
        <v>4549</v>
      </c>
      <c r="D115" s="163" t="s">
        <v>4550</v>
      </c>
      <c r="E115" s="163" t="s">
        <v>2557</v>
      </c>
      <c r="F115" s="163" t="s">
        <v>2050</v>
      </c>
      <c r="G115" s="163" t="s">
        <v>36</v>
      </c>
      <c r="H115" s="163" t="s">
        <v>2200</v>
      </c>
      <c r="I115" s="163" t="s">
        <v>5725</v>
      </c>
      <c r="J115" s="163" t="s">
        <v>2468</v>
      </c>
      <c r="K115" s="163" t="s">
        <v>4551</v>
      </c>
      <c r="L115" s="163" t="s">
        <v>4552</v>
      </c>
      <c r="M115" s="163" t="s">
        <v>4553</v>
      </c>
      <c r="N115" s="163" t="s">
        <v>4549</v>
      </c>
      <c r="O115" s="163" t="s">
        <v>5744</v>
      </c>
      <c r="P115" s="163" t="s">
        <v>2594</v>
      </c>
      <c r="Q115" s="163" t="s">
        <v>4949</v>
      </c>
      <c r="R115" s="163" t="s">
        <v>2193</v>
      </c>
      <c r="S115" s="163" t="s">
        <v>4554</v>
      </c>
      <c r="T115" s="163">
        <v>506.4</v>
      </c>
      <c r="U115" s="163" t="s">
        <v>2222</v>
      </c>
      <c r="V115" s="163" t="s">
        <v>4555</v>
      </c>
      <c r="W115" s="163" t="s">
        <v>4556</v>
      </c>
      <c r="X115" s="163" t="s">
        <v>4937</v>
      </c>
      <c r="Y115" s="163" t="s">
        <v>2280</v>
      </c>
      <c r="Z115" s="163">
        <v>5256764</v>
      </c>
      <c r="AA115" s="163" t="s">
        <v>4937</v>
      </c>
      <c r="AB115" s="163" t="s">
        <v>36</v>
      </c>
      <c r="AC115" s="163" t="s">
        <v>2195</v>
      </c>
      <c r="AD115" s="163" t="s">
        <v>2196</v>
      </c>
      <c r="AE115" s="163" t="s">
        <v>1762</v>
      </c>
      <c r="AF115" s="163" t="s">
        <v>3419</v>
      </c>
      <c r="AG115" s="163" t="s">
        <v>36</v>
      </c>
      <c r="AH115" s="163" t="s">
        <v>36</v>
      </c>
      <c r="AI115" s="163" t="s">
        <v>36</v>
      </c>
      <c r="AJ115" s="163" t="s">
        <v>36</v>
      </c>
      <c r="AK115" s="163" t="s">
        <v>2197</v>
      </c>
      <c r="AL115" s="163" t="s">
        <v>4982</v>
      </c>
      <c r="AM115" t="s">
        <v>4876</v>
      </c>
      <c r="AN115" s="487">
        <v>0</v>
      </c>
      <c r="AO115" s="487">
        <v>0</v>
      </c>
    </row>
    <row r="116" spans="1:41" x14ac:dyDescent="0.2">
      <c r="A116">
        <v>115</v>
      </c>
      <c r="B116" s="471" t="s">
        <v>1076</v>
      </c>
      <c r="C116" s="163" t="s">
        <v>5838</v>
      </c>
      <c r="D116" s="163" t="s">
        <v>5839</v>
      </c>
      <c r="E116" s="163" t="s">
        <v>2557</v>
      </c>
      <c r="F116" s="163" t="s">
        <v>2050</v>
      </c>
      <c r="G116" s="163"/>
      <c r="H116" s="163" t="s">
        <v>2200</v>
      </c>
      <c r="I116" s="163" t="s">
        <v>5725</v>
      </c>
      <c r="J116" s="163" t="s">
        <v>2468</v>
      </c>
      <c r="K116" s="163" t="s">
        <v>2204</v>
      </c>
      <c r="L116" s="163" t="s">
        <v>5804</v>
      </c>
      <c r="M116" s="163" t="s">
        <v>4671</v>
      </c>
      <c r="N116" s="163" t="s">
        <v>5840</v>
      </c>
      <c r="O116" s="163" t="s">
        <v>5744</v>
      </c>
      <c r="P116" s="163" t="s">
        <v>2260</v>
      </c>
      <c r="Q116" s="163" t="s">
        <v>4949</v>
      </c>
      <c r="R116" s="163" t="s">
        <v>2367</v>
      </c>
      <c r="S116" s="163" t="s">
        <v>5806</v>
      </c>
      <c r="T116" s="163">
        <v>1300</v>
      </c>
      <c r="U116" s="163" t="s">
        <v>2222</v>
      </c>
      <c r="V116" s="163" t="s">
        <v>5807</v>
      </c>
      <c r="W116" s="163" t="s">
        <v>5841</v>
      </c>
      <c r="X116" s="163" t="s">
        <v>4937</v>
      </c>
      <c r="Y116" s="163" t="s">
        <v>5809</v>
      </c>
      <c r="Z116" s="163" t="s">
        <v>5842</v>
      </c>
      <c r="AA116" s="163" t="s">
        <v>4937</v>
      </c>
      <c r="AB116" s="163"/>
      <c r="AC116" s="163" t="s">
        <v>2195</v>
      </c>
      <c r="AD116" s="163" t="s">
        <v>2196</v>
      </c>
      <c r="AE116" s="163" t="s">
        <v>5574</v>
      </c>
      <c r="AF116" s="163" t="s">
        <v>3419</v>
      </c>
      <c r="AG116" s="163"/>
      <c r="AH116" s="163"/>
      <c r="AI116" s="163"/>
      <c r="AJ116" s="163"/>
      <c r="AK116" s="163" t="s">
        <v>2197</v>
      </c>
      <c r="AL116" s="163"/>
      <c r="AM116" t="s">
        <v>5811</v>
      </c>
      <c r="AN116" s="487"/>
      <c r="AO116" s="487"/>
    </row>
    <row r="117" spans="1:41" x14ac:dyDescent="0.2">
      <c r="A117">
        <v>116</v>
      </c>
      <c r="B117" s="471" t="s">
        <v>1076</v>
      </c>
      <c r="C117" s="163" t="s">
        <v>5812</v>
      </c>
      <c r="D117" s="163" t="s">
        <v>5815</v>
      </c>
      <c r="E117" s="163" t="s">
        <v>2557</v>
      </c>
      <c r="F117" s="163" t="s">
        <v>2050</v>
      </c>
      <c r="G117" s="163" t="s">
        <v>4812</v>
      </c>
      <c r="H117" s="163" t="s">
        <v>2200</v>
      </c>
      <c r="I117" s="163" t="s">
        <v>5725</v>
      </c>
      <c r="J117" s="163" t="s">
        <v>2468</v>
      </c>
      <c r="K117" s="163" t="s">
        <v>2204</v>
      </c>
      <c r="L117" s="163" t="s">
        <v>5804</v>
      </c>
      <c r="M117" s="163" t="s">
        <v>4994</v>
      </c>
      <c r="N117" s="163" t="s">
        <v>5813</v>
      </c>
      <c r="O117" s="163" t="s">
        <v>5805</v>
      </c>
      <c r="P117" s="163" t="s">
        <v>2260</v>
      </c>
      <c r="Q117" s="163" t="s">
        <v>4949</v>
      </c>
      <c r="R117" s="163" t="s">
        <v>2367</v>
      </c>
      <c r="S117" s="163" t="s">
        <v>5806</v>
      </c>
      <c r="T117" s="163">
        <v>1300</v>
      </c>
      <c r="U117" s="163" t="s">
        <v>2222</v>
      </c>
      <c r="V117" s="163" t="s">
        <v>5807</v>
      </c>
      <c r="W117" s="163" t="s">
        <v>5808</v>
      </c>
      <c r="X117" s="163" t="s">
        <v>4937</v>
      </c>
      <c r="Y117" s="163" t="s">
        <v>5809</v>
      </c>
      <c r="Z117" s="163" t="s">
        <v>5810</v>
      </c>
      <c r="AA117" s="163" t="s">
        <v>4937</v>
      </c>
      <c r="AB117" s="163"/>
      <c r="AC117" s="163" t="s">
        <v>2195</v>
      </c>
      <c r="AD117" s="163" t="s">
        <v>2196</v>
      </c>
      <c r="AE117" s="163" t="s">
        <v>5574</v>
      </c>
      <c r="AF117" s="163" t="s">
        <v>3419</v>
      </c>
      <c r="AG117" s="163"/>
      <c r="AH117" s="163"/>
      <c r="AI117" s="163"/>
      <c r="AJ117" s="163"/>
      <c r="AK117" s="163" t="s">
        <v>2197</v>
      </c>
      <c r="AL117" s="163"/>
      <c r="AM117" t="s">
        <v>5811</v>
      </c>
      <c r="AN117" s="487"/>
      <c r="AO117" s="487"/>
    </row>
    <row r="118" spans="1:41" x14ac:dyDescent="0.2">
      <c r="A118">
        <v>117</v>
      </c>
      <c r="B118" s="471" t="s">
        <v>1659</v>
      </c>
      <c r="C118" s="163" t="s">
        <v>1663</v>
      </c>
      <c r="D118" s="163" t="s">
        <v>4130</v>
      </c>
      <c r="E118" s="163" t="s">
        <v>2061</v>
      </c>
      <c r="F118" s="163" t="s">
        <v>2625</v>
      </c>
      <c r="G118" s="163" t="s">
        <v>36</v>
      </c>
      <c r="H118" s="163" t="s">
        <v>2200</v>
      </c>
      <c r="I118" s="163" t="s">
        <v>5725</v>
      </c>
      <c r="J118" s="163" t="s">
        <v>2468</v>
      </c>
      <c r="K118" s="163" t="s">
        <v>1063</v>
      </c>
      <c r="L118" s="163" t="s">
        <v>2630</v>
      </c>
      <c r="M118" s="163" t="s">
        <v>2631</v>
      </c>
      <c r="N118" s="163" t="s">
        <v>1663</v>
      </c>
      <c r="O118" s="163" t="s">
        <v>5726</v>
      </c>
      <c r="P118" s="163" t="s">
        <v>2594</v>
      </c>
      <c r="Q118" s="163" t="s">
        <v>4936</v>
      </c>
      <c r="R118" s="163" t="s">
        <v>2193</v>
      </c>
      <c r="S118" s="163" t="s">
        <v>2632</v>
      </c>
      <c r="T118" s="163">
        <v>26.1</v>
      </c>
      <c r="U118" s="163" t="s">
        <v>2220</v>
      </c>
      <c r="V118" s="163" t="s">
        <v>2475</v>
      </c>
      <c r="W118" s="163">
        <v>52012</v>
      </c>
      <c r="X118" s="163" t="s">
        <v>4937</v>
      </c>
      <c r="Y118" s="163" t="s">
        <v>2629</v>
      </c>
      <c r="Z118" s="163" t="s">
        <v>5243</v>
      </c>
      <c r="AA118" s="163" t="s">
        <v>4937</v>
      </c>
      <c r="AB118" s="163" t="s">
        <v>36</v>
      </c>
      <c r="AC118" s="163" t="s">
        <v>2195</v>
      </c>
      <c r="AD118" s="163" t="s">
        <v>2196</v>
      </c>
      <c r="AE118" s="163" t="s">
        <v>1762</v>
      </c>
      <c r="AF118" s="163">
        <v>12</v>
      </c>
      <c r="AG118" s="163">
        <v>5</v>
      </c>
      <c r="AH118" s="163">
        <v>0.18</v>
      </c>
      <c r="AI118" s="163" t="s">
        <v>36</v>
      </c>
      <c r="AJ118" s="163" t="s">
        <v>36</v>
      </c>
      <c r="AK118" s="163" t="s">
        <v>2197</v>
      </c>
      <c r="AL118" s="163" t="s">
        <v>3797</v>
      </c>
      <c r="AM118" t="s">
        <v>4877</v>
      </c>
      <c r="AN118" s="487">
        <v>1.4583333333333332E-2</v>
      </c>
      <c r="AO118" s="487">
        <v>0</v>
      </c>
    </row>
    <row r="119" spans="1:41" x14ac:dyDescent="0.2">
      <c r="A119">
        <v>118</v>
      </c>
      <c r="B119" s="471" t="s">
        <v>1659</v>
      </c>
      <c r="C119" s="163" t="s">
        <v>1668</v>
      </c>
      <c r="D119" s="163" t="s">
        <v>4131</v>
      </c>
      <c r="E119" s="163" t="s">
        <v>2061</v>
      </c>
      <c r="F119" s="163" t="s">
        <v>2625</v>
      </c>
      <c r="G119" s="163" t="s">
        <v>36</v>
      </c>
      <c r="H119" s="163" t="s">
        <v>2200</v>
      </c>
      <c r="I119" s="163" t="s">
        <v>5725</v>
      </c>
      <c r="J119" s="163" t="s">
        <v>2468</v>
      </c>
      <c r="K119" s="163" t="s">
        <v>2639</v>
      </c>
      <c r="L119" s="163" t="s">
        <v>2640</v>
      </c>
      <c r="M119" s="163" t="s">
        <v>2641</v>
      </c>
      <c r="N119" s="163" t="s">
        <v>1668</v>
      </c>
      <c r="O119" s="163" t="s">
        <v>5726</v>
      </c>
      <c r="P119" s="163" t="s">
        <v>2642</v>
      </c>
      <c r="Q119" s="163" t="s">
        <v>4936</v>
      </c>
      <c r="R119" s="163" t="s">
        <v>2367</v>
      </c>
      <c r="S119" s="163" t="s">
        <v>2643</v>
      </c>
      <c r="T119" s="163">
        <v>61.3</v>
      </c>
      <c r="U119" s="163" t="s">
        <v>2220</v>
      </c>
      <c r="V119" s="163" t="s">
        <v>2278</v>
      </c>
      <c r="W119" s="163" t="s">
        <v>2644</v>
      </c>
      <c r="X119" s="163" t="s">
        <v>5002</v>
      </c>
      <c r="Y119" s="163" t="s">
        <v>2629</v>
      </c>
      <c r="Z119" s="163" t="s">
        <v>5243</v>
      </c>
      <c r="AA119" s="163" t="s">
        <v>5002</v>
      </c>
      <c r="AB119" s="163" t="s">
        <v>36</v>
      </c>
      <c r="AC119" s="163" t="s">
        <v>2195</v>
      </c>
      <c r="AD119" s="163" t="s">
        <v>2196</v>
      </c>
      <c r="AE119" s="163" t="s">
        <v>1762</v>
      </c>
      <c r="AF119" s="163">
        <v>8</v>
      </c>
      <c r="AG119" s="163">
        <v>50</v>
      </c>
      <c r="AH119" s="163">
        <v>5</v>
      </c>
      <c r="AI119" s="163" t="s">
        <v>3982</v>
      </c>
      <c r="AJ119" s="163" t="s">
        <v>3983</v>
      </c>
      <c r="AK119" s="163" t="s">
        <v>2197</v>
      </c>
      <c r="AL119" s="163" t="s">
        <v>3797</v>
      </c>
      <c r="AM119" t="s">
        <v>4879</v>
      </c>
      <c r="AN119" s="487">
        <v>1.4583333333333332E-2</v>
      </c>
      <c r="AO119" s="487">
        <v>2.1527777777777781E-2</v>
      </c>
    </row>
    <row r="120" spans="1:41" x14ac:dyDescent="0.2">
      <c r="A120">
        <v>119</v>
      </c>
      <c r="B120" s="471" t="s">
        <v>1659</v>
      </c>
      <c r="C120" s="163" t="s">
        <v>839</v>
      </c>
      <c r="D120" s="163" t="s">
        <v>4132</v>
      </c>
      <c r="E120" s="163" t="s">
        <v>2061</v>
      </c>
      <c r="F120" s="163" t="s">
        <v>2625</v>
      </c>
      <c r="G120" s="163" t="s">
        <v>36</v>
      </c>
      <c r="H120" s="163" t="s">
        <v>2200</v>
      </c>
      <c r="I120" s="163" t="s">
        <v>5725</v>
      </c>
      <c r="J120" s="163" t="s">
        <v>2468</v>
      </c>
      <c r="K120" s="163" t="s">
        <v>1063</v>
      </c>
      <c r="L120" s="163" t="s">
        <v>2635</v>
      </c>
      <c r="M120" s="163" t="s">
        <v>2636</v>
      </c>
      <c r="N120" s="163" t="s">
        <v>839</v>
      </c>
      <c r="O120" s="163" t="s">
        <v>5726</v>
      </c>
      <c r="P120" s="163" t="s">
        <v>2594</v>
      </c>
      <c r="Q120" s="163" t="s">
        <v>4936</v>
      </c>
      <c r="R120" s="163" t="s">
        <v>2193</v>
      </c>
      <c r="S120" s="163" t="s">
        <v>2637</v>
      </c>
      <c r="T120" s="163">
        <v>65.8</v>
      </c>
      <c r="U120" s="163" t="s">
        <v>2220</v>
      </c>
      <c r="V120" s="163" t="s">
        <v>2475</v>
      </c>
      <c r="W120" s="163" t="s">
        <v>2638</v>
      </c>
      <c r="X120" s="163" t="s">
        <v>4937</v>
      </c>
      <c r="Y120" s="163" t="s">
        <v>2629</v>
      </c>
      <c r="Z120" s="163" t="s">
        <v>5243</v>
      </c>
      <c r="AA120" s="163" t="s">
        <v>4937</v>
      </c>
      <c r="AB120" s="163" t="s">
        <v>4426</v>
      </c>
      <c r="AC120" s="163" t="s">
        <v>2195</v>
      </c>
      <c r="AD120" s="163" t="s">
        <v>2196</v>
      </c>
      <c r="AE120" s="163" t="s">
        <v>1762</v>
      </c>
      <c r="AF120" s="163">
        <v>8</v>
      </c>
      <c r="AG120" s="163" t="s">
        <v>3937</v>
      </c>
      <c r="AH120" s="163" t="s">
        <v>3981</v>
      </c>
      <c r="AI120" s="163" t="s">
        <v>36</v>
      </c>
      <c r="AJ120" s="163" t="s">
        <v>36</v>
      </c>
      <c r="AK120" s="163" t="s">
        <v>2197</v>
      </c>
      <c r="AL120" s="163" t="s">
        <v>3797</v>
      </c>
      <c r="AM120" t="s">
        <v>4879</v>
      </c>
      <c r="AN120" s="487">
        <v>1.4583333333333332E-2</v>
      </c>
      <c r="AO120" s="487">
        <v>0</v>
      </c>
    </row>
    <row r="121" spans="1:41" x14ac:dyDescent="0.2">
      <c r="A121">
        <v>120</v>
      </c>
      <c r="B121" s="471" t="s">
        <v>1659</v>
      </c>
      <c r="C121" s="163" t="s">
        <v>1665</v>
      </c>
      <c r="D121" s="163" t="s">
        <v>4133</v>
      </c>
      <c r="E121" s="163" t="s">
        <v>2061</v>
      </c>
      <c r="F121" s="163" t="s">
        <v>2625</v>
      </c>
      <c r="G121" s="163" t="s">
        <v>36</v>
      </c>
      <c r="H121" s="163" t="s">
        <v>2200</v>
      </c>
      <c r="I121" s="163" t="s">
        <v>5725</v>
      </c>
      <c r="J121" s="163" t="s">
        <v>2468</v>
      </c>
      <c r="K121" s="163" t="s">
        <v>1063</v>
      </c>
      <c r="L121" s="163" t="s">
        <v>2626</v>
      </c>
      <c r="M121" s="163" t="s">
        <v>2633</v>
      </c>
      <c r="N121" s="163" t="s">
        <v>1665</v>
      </c>
      <c r="O121" s="163" t="s">
        <v>5726</v>
      </c>
      <c r="P121" s="163" t="s">
        <v>2594</v>
      </c>
      <c r="Q121" s="163" t="s">
        <v>4936</v>
      </c>
      <c r="R121" s="163" t="s">
        <v>2193</v>
      </c>
      <c r="S121" s="163" t="s">
        <v>2628</v>
      </c>
      <c r="T121" s="163">
        <v>36.299999999999997</v>
      </c>
      <c r="U121" s="163" t="s">
        <v>2220</v>
      </c>
      <c r="V121" s="163" t="s">
        <v>2475</v>
      </c>
      <c r="W121" s="163" t="s">
        <v>2634</v>
      </c>
      <c r="X121" s="163" t="s">
        <v>4937</v>
      </c>
      <c r="Y121" s="163" t="s">
        <v>2629</v>
      </c>
      <c r="Z121" s="163" t="s">
        <v>5243</v>
      </c>
      <c r="AA121" s="163" t="s">
        <v>4937</v>
      </c>
      <c r="AB121" s="163" t="s">
        <v>36</v>
      </c>
      <c r="AC121" s="163" t="s">
        <v>2195</v>
      </c>
      <c r="AD121" s="163" t="s">
        <v>2196</v>
      </c>
      <c r="AE121" s="163" t="s">
        <v>1762</v>
      </c>
      <c r="AF121" s="163">
        <v>10</v>
      </c>
      <c r="AG121" s="163">
        <v>0.2</v>
      </c>
      <c r="AH121" s="163">
        <v>0</v>
      </c>
      <c r="AI121" s="163" t="s">
        <v>3980</v>
      </c>
      <c r="AJ121" s="163" t="s">
        <v>36</v>
      </c>
      <c r="AK121" s="163" t="s">
        <v>2197</v>
      </c>
      <c r="AL121" s="163" t="s">
        <v>3797</v>
      </c>
      <c r="AM121" t="s">
        <v>4877</v>
      </c>
      <c r="AN121" s="487">
        <v>1.4583333333333332E-2</v>
      </c>
      <c r="AO121" s="487">
        <v>0</v>
      </c>
    </row>
    <row r="122" spans="1:41" x14ac:dyDescent="0.2">
      <c r="A122">
        <v>121</v>
      </c>
      <c r="B122" s="471" t="s">
        <v>1659</v>
      </c>
      <c r="C122" s="163" t="s">
        <v>1661</v>
      </c>
      <c r="D122" s="163" t="s">
        <v>4134</v>
      </c>
      <c r="E122" s="163" t="s">
        <v>2061</v>
      </c>
      <c r="F122" s="163" t="s">
        <v>2625</v>
      </c>
      <c r="G122" s="163" t="s">
        <v>36</v>
      </c>
      <c r="H122" s="163" t="s">
        <v>2200</v>
      </c>
      <c r="I122" s="163" t="s">
        <v>5725</v>
      </c>
      <c r="J122" s="163" t="s">
        <v>2468</v>
      </c>
      <c r="K122" s="163" t="s">
        <v>1063</v>
      </c>
      <c r="L122" s="163" t="s">
        <v>2626</v>
      </c>
      <c r="M122" s="163" t="s">
        <v>2627</v>
      </c>
      <c r="N122" s="163" t="s">
        <v>1661</v>
      </c>
      <c r="O122" s="163" t="s">
        <v>5726</v>
      </c>
      <c r="P122" s="163" t="s">
        <v>2594</v>
      </c>
      <c r="Q122" s="163" t="s">
        <v>4936</v>
      </c>
      <c r="R122" s="163" t="s">
        <v>2193</v>
      </c>
      <c r="S122" s="163" t="s">
        <v>2628</v>
      </c>
      <c r="T122" s="163">
        <v>36.299999999999997</v>
      </c>
      <c r="U122" s="163" t="s">
        <v>2220</v>
      </c>
      <c r="V122" s="163" t="s">
        <v>2475</v>
      </c>
      <c r="W122" s="163">
        <v>16293</v>
      </c>
      <c r="X122" s="163" t="s">
        <v>4937</v>
      </c>
      <c r="Y122" s="163" t="s">
        <v>2629</v>
      </c>
      <c r="Z122" s="163" t="s">
        <v>5243</v>
      </c>
      <c r="AA122" s="163" t="s">
        <v>4937</v>
      </c>
      <c r="AB122" s="163" t="s">
        <v>36</v>
      </c>
      <c r="AC122" s="163" t="s">
        <v>2195</v>
      </c>
      <c r="AD122" s="163" t="s">
        <v>2196</v>
      </c>
      <c r="AE122" s="163" t="s">
        <v>1762</v>
      </c>
      <c r="AF122" s="163">
        <v>10</v>
      </c>
      <c r="AG122" s="163">
        <v>0.2</v>
      </c>
      <c r="AH122" s="163">
        <v>0</v>
      </c>
      <c r="AI122" s="163" t="s">
        <v>3980</v>
      </c>
      <c r="AJ122" s="163" t="s">
        <v>36</v>
      </c>
      <c r="AK122" s="163" t="s">
        <v>2197</v>
      </c>
      <c r="AL122" s="163" t="s">
        <v>3797</v>
      </c>
      <c r="AM122" t="s">
        <v>4877</v>
      </c>
      <c r="AN122" s="487">
        <v>1.4583333333333332E-2</v>
      </c>
      <c r="AO122" s="487">
        <v>0</v>
      </c>
    </row>
    <row r="123" spans="1:41" x14ac:dyDescent="0.2">
      <c r="A123">
        <v>122</v>
      </c>
      <c r="B123" s="471" t="s">
        <v>1118</v>
      </c>
      <c r="C123" s="163" t="s">
        <v>1120</v>
      </c>
      <c r="D123" s="163" t="s">
        <v>4135</v>
      </c>
      <c r="E123" s="163" t="s">
        <v>2700</v>
      </c>
      <c r="F123" s="163" t="s">
        <v>2072</v>
      </c>
      <c r="G123" s="163" t="s">
        <v>36</v>
      </c>
      <c r="H123" s="163" t="s">
        <v>2200</v>
      </c>
      <c r="I123" s="163" t="s">
        <v>5725</v>
      </c>
      <c r="J123" s="163" t="s">
        <v>2468</v>
      </c>
      <c r="K123" s="163" t="s">
        <v>1120</v>
      </c>
      <c r="L123" s="163" t="s">
        <v>2713</v>
      </c>
      <c r="M123" s="163" t="s">
        <v>2714</v>
      </c>
      <c r="N123" s="163" t="s">
        <v>1120</v>
      </c>
      <c r="O123" s="163" t="s">
        <v>906</v>
      </c>
      <c r="P123" s="163" t="s">
        <v>2723</v>
      </c>
      <c r="Q123" s="163" t="s">
        <v>2192</v>
      </c>
      <c r="R123" s="163" t="s">
        <v>2715</v>
      </c>
      <c r="S123" s="163" t="s">
        <v>2716</v>
      </c>
      <c r="T123" s="163">
        <v>30</v>
      </c>
      <c r="U123" s="163" t="s">
        <v>2222</v>
      </c>
      <c r="V123" s="163" t="s">
        <v>2717</v>
      </c>
      <c r="W123" s="163">
        <v>9162039</v>
      </c>
      <c r="X123" s="163" t="s">
        <v>2194</v>
      </c>
      <c r="Y123" s="163" t="s">
        <v>2718</v>
      </c>
      <c r="Z123" s="163">
        <v>8297145</v>
      </c>
      <c r="AA123" s="163" t="s">
        <v>2194</v>
      </c>
      <c r="AB123" s="163" t="s">
        <v>2719</v>
      </c>
      <c r="AC123" s="163" t="s">
        <v>2195</v>
      </c>
      <c r="AD123" s="163" t="s">
        <v>2196</v>
      </c>
      <c r="AE123" s="163" t="s">
        <v>1762</v>
      </c>
      <c r="AF123" s="163">
        <v>6</v>
      </c>
      <c r="AG123" s="163">
        <v>0.08</v>
      </c>
      <c r="AH123" s="163">
        <v>0.5</v>
      </c>
      <c r="AI123" s="163" t="s">
        <v>3987</v>
      </c>
      <c r="AJ123" s="163" t="s">
        <v>3988</v>
      </c>
      <c r="AK123" s="163" t="s">
        <v>2197</v>
      </c>
      <c r="AL123" s="163" t="s">
        <v>36</v>
      </c>
      <c r="AM123" t="s">
        <v>4876</v>
      </c>
      <c r="AN123" s="487">
        <v>0</v>
      </c>
      <c r="AO123" s="487">
        <v>0</v>
      </c>
    </row>
    <row r="124" spans="1:41" x14ac:dyDescent="0.2">
      <c r="A124">
        <v>123</v>
      </c>
      <c r="B124" s="471" t="s">
        <v>1118</v>
      </c>
      <c r="C124" s="163" t="s">
        <v>1774</v>
      </c>
      <c r="D124" s="163" t="s">
        <v>4136</v>
      </c>
      <c r="E124" s="163" t="s">
        <v>2700</v>
      </c>
      <c r="F124" s="163" t="s">
        <v>2072</v>
      </c>
      <c r="G124" s="163" t="s">
        <v>36</v>
      </c>
      <c r="H124" s="163" t="s">
        <v>2200</v>
      </c>
      <c r="I124" s="163" t="s">
        <v>5725</v>
      </c>
      <c r="J124" s="163" t="s">
        <v>2468</v>
      </c>
      <c r="K124" s="163" t="s">
        <v>2204</v>
      </c>
      <c r="L124" s="163" t="s">
        <v>2315</v>
      </c>
      <c r="M124" s="163" t="s">
        <v>2204</v>
      </c>
      <c r="N124" s="163" t="s">
        <v>2708</v>
      </c>
      <c r="O124" s="163" t="s">
        <v>906</v>
      </c>
      <c r="P124" s="163" t="s">
        <v>2709</v>
      </c>
      <c r="Q124" s="163" t="s">
        <v>2276</v>
      </c>
      <c r="R124" s="163" t="s">
        <v>2367</v>
      </c>
      <c r="S124" s="163" t="s">
        <v>2710</v>
      </c>
      <c r="T124" s="163">
        <v>3348</v>
      </c>
      <c r="U124" s="163" t="s">
        <v>2222</v>
      </c>
      <c r="V124" s="163" t="s">
        <v>2711</v>
      </c>
      <c r="W124" s="163">
        <v>0</v>
      </c>
      <c r="X124" s="163" t="s">
        <v>2194</v>
      </c>
      <c r="Y124" s="163" t="s">
        <v>2706</v>
      </c>
      <c r="Z124" s="163" t="s">
        <v>2712</v>
      </c>
      <c r="AA124" s="163" t="s">
        <v>2194</v>
      </c>
      <c r="AB124" s="163" t="s">
        <v>36</v>
      </c>
      <c r="AC124" s="163" t="s">
        <v>2195</v>
      </c>
      <c r="AD124" s="163" t="s">
        <v>2196</v>
      </c>
      <c r="AE124" s="163" t="s">
        <v>1762</v>
      </c>
      <c r="AF124" s="163" t="s">
        <v>3419</v>
      </c>
      <c r="AG124" s="163" t="s">
        <v>36</v>
      </c>
      <c r="AH124" s="163" t="s">
        <v>36</v>
      </c>
      <c r="AI124" s="163" t="s">
        <v>36</v>
      </c>
      <c r="AJ124" s="163" t="s">
        <v>36</v>
      </c>
      <c r="AK124" s="163" t="s">
        <v>2197</v>
      </c>
      <c r="AL124" s="163" t="s">
        <v>36</v>
      </c>
      <c r="AM124" t="s">
        <v>4876</v>
      </c>
      <c r="AN124" s="487">
        <v>0</v>
      </c>
      <c r="AO124" s="487">
        <v>0</v>
      </c>
    </row>
    <row r="125" spans="1:41" x14ac:dyDescent="0.2">
      <c r="A125">
        <v>124</v>
      </c>
      <c r="B125" s="471" t="s">
        <v>1118</v>
      </c>
      <c r="C125" s="163" t="s">
        <v>1960</v>
      </c>
      <c r="D125" s="163" t="s">
        <v>4407</v>
      </c>
      <c r="E125" s="163" t="s">
        <v>2700</v>
      </c>
      <c r="F125" s="163" t="s">
        <v>2072</v>
      </c>
      <c r="G125" s="163" t="s">
        <v>36</v>
      </c>
      <c r="H125" s="163" t="s">
        <v>2200</v>
      </c>
      <c r="I125" s="163" t="s">
        <v>5725</v>
      </c>
      <c r="J125" s="163" t="s">
        <v>1768</v>
      </c>
      <c r="K125" s="163" t="s">
        <v>2701</v>
      </c>
      <c r="L125" s="163" t="s">
        <v>2315</v>
      </c>
      <c r="M125" s="163" t="s">
        <v>1952</v>
      </c>
      <c r="N125" s="163" t="s">
        <v>1960</v>
      </c>
      <c r="O125" s="163" t="s">
        <v>906</v>
      </c>
      <c r="P125" s="163" t="s">
        <v>2702</v>
      </c>
      <c r="Q125" s="163" t="s">
        <v>2276</v>
      </c>
      <c r="R125" s="163" t="s">
        <v>2358</v>
      </c>
      <c r="S125" s="163" t="s">
        <v>2703</v>
      </c>
      <c r="T125" s="163">
        <v>5440</v>
      </c>
      <c r="U125" s="163" t="s">
        <v>2222</v>
      </c>
      <c r="V125" s="163" t="s">
        <v>2704</v>
      </c>
      <c r="W125" s="163" t="s">
        <v>2705</v>
      </c>
      <c r="X125" s="163" t="s">
        <v>2342</v>
      </c>
      <c r="Y125" s="163" t="s">
        <v>2706</v>
      </c>
      <c r="Z125" s="163" t="s">
        <v>2707</v>
      </c>
      <c r="AA125" s="163" t="s">
        <v>2194</v>
      </c>
      <c r="AB125" s="163" t="s">
        <v>2264</v>
      </c>
      <c r="AC125" s="163" t="s">
        <v>2195</v>
      </c>
      <c r="AD125" s="163" t="s">
        <v>2196</v>
      </c>
      <c r="AE125" s="163" t="s">
        <v>1762</v>
      </c>
      <c r="AF125" s="163">
        <v>8</v>
      </c>
      <c r="AG125" s="163">
        <v>40</v>
      </c>
      <c r="AH125" s="163">
        <v>71</v>
      </c>
      <c r="AI125" s="163" t="s">
        <v>36</v>
      </c>
      <c r="AJ125" s="163" t="s">
        <v>36</v>
      </c>
      <c r="AK125" s="163" t="s">
        <v>2197</v>
      </c>
      <c r="AL125" s="163" t="s">
        <v>36</v>
      </c>
      <c r="AM125" t="s">
        <v>4876</v>
      </c>
      <c r="AN125" s="487">
        <v>0</v>
      </c>
      <c r="AO125" s="487">
        <v>0</v>
      </c>
    </row>
    <row r="126" spans="1:41" x14ac:dyDescent="0.2">
      <c r="A126">
        <v>125</v>
      </c>
      <c r="B126" s="471" t="s">
        <v>1118</v>
      </c>
      <c r="C126" s="163" t="s">
        <v>1123</v>
      </c>
      <c r="D126" s="163" t="s">
        <v>4137</v>
      </c>
      <c r="E126" s="163" t="s">
        <v>2700</v>
      </c>
      <c r="F126" s="163" t="s">
        <v>2072</v>
      </c>
      <c r="G126" s="163" t="s">
        <v>36</v>
      </c>
      <c r="H126" s="163" t="s">
        <v>2200</v>
      </c>
      <c r="I126" s="163" t="s">
        <v>5725</v>
      </c>
      <c r="J126" s="163" t="s">
        <v>2468</v>
      </c>
      <c r="K126" s="163" t="s">
        <v>1123</v>
      </c>
      <c r="L126" s="163" t="s">
        <v>2720</v>
      </c>
      <c r="M126" s="163" t="s">
        <v>2721</v>
      </c>
      <c r="N126" s="163" t="s">
        <v>1123</v>
      </c>
      <c r="O126" s="163" t="s">
        <v>906</v>
      </c>
      <c r="P126" s="163" t="s">
        <v>2722</v>
      </c>
      <c r="Q126" s="163" t="s">
        <v>2276</v>
      </c>
      <c r="R126" s="163" t="s">
        <v>2257</v>
      </c>
      <c r="S126" s="163" t="s">
        <v>2724</v>
      </c>
      <c r="T126" s="163">
        <v>54.3</v>
      </c>
      <c r="U126" s="163" t="s">
        <v>2222</v>
      </c>
      <c r="V126" s="163" t="s">
        <v>2725</v>
      </c>
      <c r="W126" s="163">
        <v>5.39</v>
      </c>
      <c r="X126" s="163" t="s">
        <v>2194</v>
      </c>
      <c r="Y126" s="163" t="s">
        <v>2706</v>
      </c>
      <c r="Z126" s="163" t="s">
        <v>2726</v>
      </c>
      <c r="AA126" s="163" t="s">
        <v>2194</v>
      </c>
      <c r="AB126" s="163" t="s">
        <v>2727</v>
      </c>
      <c r="AC126" s="163" t="s">
        <v>2195</v>
      </c>
      <c r="AD126" s="163" t="s">
        <v>2196</v>
      </c>
      <c r="AE126" s="163" t="s">
        <v>1762</v>
      </c>
      <c r="AF126" s="163">
        <v>1</v>
      </c>
      <c r="AG126" s="163">
        <v>0.2</v>
      </c>
      <c r="AH126" s="163">
        <v>0.2</v>
      </c>
      <c r="AI126" s="163" t="s">
        <v>3989</v>
      </c>
      <c r="AJ126" s="163" t="s">
        <v>3990</v>
      </c>
      <c r="AK126" s="163" t="s">
        <v>2197</v>
      </c>
      <c r="AL126" s="163" t="s">
        <v>36</v>
      </c>
      <c r="AM126" t="s">
        <v>4879</v>
      </c>
      <c r="AN126" s="487">
        <v>0</v>
      </c>
      <c r="AO126" s="487">
        <v>0</v>
      </c>
    </row>
    <row r="127" spans="1:41" x14ac:dyDescent="0.2">
      <c r="A127">
        <v>126</v>
      </c>
      <c r="B127" s="471" t="s">
        <v>1098</v>
      </c>
      <c r="C127" s="163" t="s">
        <v>880</v>
      </c>
      <c r="D127" s="163" t="s">
        <v>4138</v>
      </c>
      <c r="E127" s="163" t="s">
        <v>2066</v>
      </c>
      <c r="F127" s="163" t="s">
        <v>2068</v>
      </c>
      <c r="G127" s="163" t="s">
        <v>36</v>
      </c>
      <c r="H127" s="163" t="s">
        <v>2200</v>
      </c>
      <c r="I127" s="163" t="s">
        <v>5725</v>
      </c>
      <c r="J127" s="163" t="s">
        <v>1768</v>
      </c>
      <c r="K127" s="163" t="s">
        <v>2376</v>
      </c>
      <c r="L127" s="163" t="s">
        <v>2665</v>
      </c>
      <c r="M127" s="163">
        <v>3217457</v>
      </c>
      <c r="N127" s="163" t="s">
        <v>880</v>
      </c>
      <c r="O127" s="163" t="s">
        <v>906</v>
      </c>
      <c r="P127" s="163" t="s">
        <v>2464</v>
      </c>
      <c r="Q127" s="163" t="s">
        <v>4936</v>
      </c>
      <c r="R127" s="163" t="s">
        <v>2193</v>
      </c>
      <c r="S127" s="163" t="s">
        <v>2666</v>
      </c>
      <c r="T127" s="163">
        <v>500</v>
      </c>
      <c r="U127" s="163" t="s">
        <v>1952</v>
      </c>
      <c r="V127" s="163" t="s">
        <v>2667</v>
      </c>
      <c r="W127" s="163" t="s">
        <v>2668</v>
      </c>
      <c r="X127" s="163" t="s">
        <v>4937</v>
      </c>
      <c r="Y127" s="163" t="s">
        <v>2667</v>
      </c>
      <c r="Z127" s="163" t="s">
        <v>2668</v>
      </c>
      <c r="AA127" s="163" t="s">
        <v>4937</v>
      </c>
      <c r="AB127" s="163" t="s">
        <v>2669</v>
      </c>
      <c r="AC127" s="163" t="s">
        <v>2195</v>
      </c>
      <c r="AD127" s="163" t="s">
        <v>2196</v>
      </c>
      <c r="AE127" s="163" t="s">
        <v>1762</v>
      </c>
      <c r="AF127" s="163" t="s">
        <v>3419</v>
      </c>
      <c r="AG127" s="163" t="s">
        <v>36</v>
      </c>
      <c r="AH127" s="163" t="s">
        <v>36</v>
      </c>
      <c r="AI127" s="163" t="s">
        <v>36</v>
      </c>
      <c r="AJ127" s="163" t="s">
        <v>36</v>
      </c>
      <c r="AK127" s="163" t="s">
        <v>2197</v>
      </c>
      <c r="AL127" s="163" t="s">
        <v>36</v>
      </c>
      <c r="AM127" t="s">
        <v>4876</v>
      </c>
      <c r="AN127" s="487">
        <v>0</v>
      </c>
      <c r="AO127" s="487">
        <v>0</v>
      </c>
    </row>
    <row r="128" spans="1:41" x14ac:dyDescent="0.2">
      <c r="A128">
        <v>127</v>
      </c>
      <c r="B128" s="471" t="s">
        <v>1098</v>
      </c>
      <c r="C128" s="163" t="s">
        <v>1001</v>
      </c>
      <c r="D128" s="163" t="s">
        <v>5021</v>
      </c>
      <c r="E128" s="163" t="s">
        <v>2066</v>
      </c>
      <c r="F128" s="163" t="s">
        <v>2068</v>
      </c>
      <c r="G128" s="163" t="s">
        <v>36</v>
      </c>
      <c r="H128" s="163" t="s">
        <v>2200</v>
      </c>
      <c r="I128" s="163" t="s">
        <v>5725</v>
      </c>
      <c r="J128" s="163" t="s">
        <v>1768</v>
      </c>
      <c r="K128" s="163" t="s">
        <v>2376</v>
      </c>
      <c r="L128" s="163" t="s">
        <v>3340</v>
      </c>
      <c r="M128" s="163">
        <v>11408</v>
      </c>
      <c r="N128" s="163" t="s">
        <v>5022</v>
      </c>
      <c r="O128" s="163" t="s">
        <v>1768</v>
      </c>
      <c r="P128" s="163" t="s">
        <v>2464</v>
      </c>
      <c r="Q128" s="163" t="s">
        <v>4936</v>
      </c>
      <c r="R128" s="163" t="s">
        <v>2193</v>
      </c>
      <c r="S128" s="163" t="s">
        <v>5023</v>
      </c>
      <c r="T128" s="163">
        <v>417</v>
      </c>
      <c r="U128" s="163" t="s">
        <v>1952</v>
      </c>
      <c r="V128" s="163" t="s">
        <v>3340</v>
      </c>
      <c r="W128" s="163" t="s">
        <v>2327</v>
      </c>
      <c r="X128" s="163" t="s">
        <v>4937</v>
      </c>
      <c r="Y128" s="163" t="s">
        <v>3340</v>
      </c>
      <c r="Z128" s="163" t="s">
        <v>2327</v>
      </c>
      <c r="AA128" s="163" t="s">
        <v>4937</v>
      </c>
      <c r="AB128" s="163" t="s">
        <v>5024</v>
      </c>
      <c r="AC128" s="163" t="s">
        <v>4445</v>
      </c>
      <c r="AD128" s="163" t="s">
        <v>5025</v>
      </c>
      <c r="AE128" s="163" t="s">
        <v>1762</v>
      </c>
      <c r="AF128" s="163" t="s">
        <v>3419</v>
      </c>
      <c r="AG128" s="163" t="s">
        <v>36</v>
      </c>
      <c r="AH128" s="163" t="s">
        <v>36</v>
      </c>
      <c r="AI128" s="163" t="s">
        <v>36</v>
      </c>
      <c r="AJ128" s="163" t="s">
        <v>36</v>
      </c>
      <c r="AK128" s="163" t="s">
        <v>2197</v>
      </c>
      <c r="AL128" s="163" t="s">
        <v>36</v>
      </c>
      <c r="AM128" t="s">
        <v>4876</v>
      </c>
      <c r="AN128" s="487"/>
      <c r="AO128" s="487"/>
    </row>
    <row r="129" spans="1:41" x14ac:dyDescent="0.2">
      <c r="A129">
        <v>128</v>
      </c>
      <c r="B129" s="471" t="s">
        <v>1098</v>
      </c>
      <c r="C129" s="163" t="s">
        <v>1106</v>
      </c>
      <c r="D129" s="163" t="s">
        <v>4139</v>
      </c>
      <c r="E129" s="163" t="s">
        <v>2066</v>
      </c>
      <c r="F129" s="163" t="s">
        <v>2068</v>
      </c>
      <c r="G129" s="163" t="s">
        <v>36</v>
      </c>
      <c r="H129" s="163" t="s">
        <v>2200</v>
      </c>
      <c r="I129" s="163" t="s">
        <v>5725</v>
      </c>
      <c r="J129" s="163" t="s">
        <v>1768</v>
      </c>
      <c r="K129" s="163" t="s">
        <v>2656</v>
      </c>
      <c r="L129" s="163" t="s">
        <v>2657</v>
      </c>
      <c r="M129" s="163">
        <v>446705</v>
      </c>
      <c r="N129" s="163" t="s">
        <v>1106</v>
      </c>
      <c r="O129" s="163" t="s">
        <v>906</v>
      </c>
      <c r="P129" s="163" t="s">
        <v>2658</v>
      </c>
      <c r="Q129" s="163" t="s">
        <v>4936</v>
      </c>
      <c r="R129" s="163" t="s">
        <v>2193</v>
      </c>
      <c r="S129" s="163" t="s">
        <v>2659</v>
      </c>
      <c r="T129" s="163">
        <v>1.53</v>
      </c>
      <c r="U129" s="163" t="s">
        <v>1952</v>
      </c>
      <c r="V129" s="163" t="s">
        <v>2661</v>
      </c>
      <c r="W129" s="163" t="s">
        <v>2660</v>
      </c>
      <c r="X129" s="163" t="s">
        <v>4937</v>
      </c>
      <c r="Y129" s="163" t="s">
        <v>2662</v>
      </c>
      <c r="Z129" s="163" t="s">
        <v>2663</v>
      </c>
      <c r="AA129" s="163" t="s">
        <v>4937</v>
      </c>
      <c r="AB129" s="163" t="s">
        <v>2664</v>
      </c>
      <c r="AC129" s="163" t="s">
        <v>2195</v>
      </c>
      <c r="AD129" s="163" t="s">
        <v>2196</v>
      </c>
      <c r="AE129" s="163" t="s">
        <v>1762</v>
      </c>
      <c r="AF129" s="163">
        <v>2</v>
      </c>
      <c r="AG129" s="163">
        <v>0.02</v>
      </c>
      <c r="AH129" s="163">
        <v>1</v>
      </c>
      <c r="AI129" s="163" t="s">
        <v>3984</v>
      </c>
      <c r="AJ129" s="163" t="s">
        <v>3985</v>
      </c>
      <c r="AK129" s="163" t="s">
        <v>2197</v>
      </c>
      <c r="AL129" s="163" t="s">
        <v>36</v>
      </c>
      <c r="AM129" t="s">
        <v>4876</v>
      </c>
      <c r="AN129" s="487">
        <v>0</v>
      </c>
      <c r="AO129" s="487">
        <v>0</v>
      </c>
    </row>
    <row r="130" spans="1:41" x14ac:dyDescent="0.2">
      <c r="A130">
        <v>129</v>
      </c>
      <c r="B130" s="471" t="s">
        <v>1098</v>
      </c>
      <c r="C130" s="163" t="s">
        <v>1100</v>
      </c>
      <c r="D130" s="163" t="s">
        <v>4140</v>
      </c>
      <c r="E130" s="163" t="s">
        <v>2066</v>
      </c>
      <c r="F130" s="163" t="s">
        <v>2068</v>
      </c>
      <c r="G130" s="163" t="s">
        <v>36</v>
      </c>
      <c r="H130" s="163" t="s">
        <v>2200</v>
      </c>
      <c r="I130" s="163" t="s">
        <v>5725</v>
      </c>
      <c r="J130" s="163" t="s">
        <v>1768</v>
      </c>
      <c r="K130" s="163" t="s">
        <v>2645</v>
      </c>
      <c r="L130" s="163" t="s">
        <v>2646</v>
      </c>
      <c r="M130" s="163" t="s">
        <v>2647</v>
      </c>
      <c r="N130" s="163" t="s">
        <v>1100</v>
      </c>
      <c r="O130" s="163" t="s">
        <v>906</v>
      </c>
      <c r="P130" s="163" t="s">
        <v>2623</v>
      </c>
      <c r="Q130" s="163" t="s">
        <v>4936</v>
      </c>
      <c r="R130" s="163" t="s">
        <v>2294</v>
      </c>
      <c r="S130" s="163" t="s">
        <v>2648</v>
      </c>
      <c r="T130" s="163">
        <v>84.4</v>
      </c>
      <c r="U130" s="163" t="s">
        <v>2223</v>
      </c>
      <c r="V130" s="163" t="s">
        <v>2649</v>
      </c>
      <c r="W130" s="163" t="s">
        <v>2650</v>
      </c>
      <c r="X130" s="163" t="s">
        <v>4937</v>
      </c>
      <c r="Y130" s="163" t="s">
        <v>111</v>
      </c>
      <c r="Z130" s="163" t="s">
        <v>111</v>
      </c>
      <c r="AA130" s="163" t="s">
        <v>111</v>
      </c>
      <c r="AB130" s="163" t="s">
        <v>36</v>
      </c>
      <c r="AC130" s="163" t="s">
        <v>2195</v>
      </c>
      <c r="AD130" s="163" t="s">
        <v>2196</v>
      </c>
      <c r="AE130" s="163" t="s">
        <v>1762</v>
      </c>
      <c r="AF130" s="163" t="s">
        <v>3419</v>
      </c>
      <c r="AG130" s="163" t="s">
        <v>36</v>
      </c>
      <c r="AH130" s="163" t="s">
        <v>36</v>
      </c>
      <c r="AI130" s="163" t="s">
        <v>36</v>
      </c>
      <c r="AJ130" s="163" t="s">
        <v>36</v>
      </c>
      <c r="AK130" s="163" t="s">
        <v>2197</v>
      </c>
      <c r="AL130" s="163" t="s">
        <v>36</v>
      </c>
      <c r="AM130" t="s">
        <v>4876</v>
      </c>
      <c r="AN130" s="487">
        <v>0</v>
      </c>
      <c r="AO130" s="487">
        <v>0</v>
      </c>
    </row>
    <row r="131" spans="1:41" x14ac:dyDescent="0.2">
      <c r="A131">
        <v>130</v>
      </c>
      <c r="B131" s="471" t="s">
        <v>1098</v>
      </c>
      <c r="C131" s="163" t="s">
        <v>5324</v>
      </c>
      <c r="D131" s="163" t="s">
        <v>5325</v>
      </c>
      <c r="E131" s="163" t="s">
        <v>2066</v>
      </c>
      <c r="F131" s="163" t="s">
        <v>2068</v>
      </c>
      <c r="G131" s="163" t="s">
        <v>36</v>
      </c>
      <c r="H131" s="163" t="s">
        <v>2200</v>
      </c>
      <c r="I131" s="163" t="s">
        <v>5725</v>
      </c>
      <c r="J131" s="163" t="s">
        <v>2188</v>
      </c>
      <c r="K131" s="163" t="s">
        <v>1063</v>
      </c>
      <c r="L131" s="163" t="s">
        <v>5326</v>
      </c>
      <c r="M131" s="163" t="s">
        <v>5776</v>
      </c>
      <c r="N131" s="163" t="s">
        <v>5776</v>
      </c>
      <c r="O131" s="163" t="s">
        <v>5726</v>
      </c>
      <c r="P131" s="163" t="s">
        <v>5327</v>
      </c>
      <c r="Q131" s="163" t="s">
        <v>4936</v>
      </c>
      <c r="R131" s="163" t="s">
        <v>5328</v>
      </c>
      <c r="S131" s="163" t="s">
        <v>5329</v>
      </c>
      <c r="T131" s="163">
        <v>1700</v>
      </c>
      <c r="U131" s="163" t="s">
        <v>2220</v>
      </c>
      <c r="V131" s="163" t="s">
        <v>5330</v>
      </c>
      <c r="W131" s="163" t="s">
        <v>5331</v>
      </c>
      <c r="X131" s="163" t="s">
        <v>4937</v>
      </c>
      <c r="Y131" s="163" t="s">
        <v>4659</v>
      </c>
      <c r="Z131" s="163" t="s">
        <v>5332</v>
      </c>
      <c r="AA131" s="163" t="s">
        <v>4937</v>
      </c>
      <c r="AB131" s="163" t="s">
        <v>5480</v>
      </c>
      <c r="AC131" s="163" t="s">
        <v>2195</v>
      </c>
      <c r="AD131" s="163" t="s">
        <v>2196</v>
      </c>
      <c r="AE131" s="163" t="s">
        <v>1762</v>
      </c>
      <c r="AF131" s="163">
        <v>13.1</v>
      </c>
      <c r="AG131" s="163">
        <v>300</v>
      </c>
      <c r="AH131" s="163">
        <v>68</v>
      </c>
      <c r="AI131" s="163" t="s">
        <v>36</v>
      </c>
      <c r="AJ131" s="163" t="s">
        <v>36</v>
      </c>
      <c r="AK131" s="163" t="s">
        <v>2197</v>
      </c>
      <c r="AL131" s="163" t="s">
        <v>36</v>
      </c>
      <c r="AM131" t="s">
        <v>4876</v>
      </c>
      <c r="AN131" s="487"/>
      <c r="AO131" s="487"/>
    </row>
    <row r="132" spans="1:41" x14ac:dyDescent="0.2">
      <c r="A132">
        <v>131</v>
      </c>
      <c r="B132" s="471" t="s">
        <v>1098</v>
      </c>
      <c r="C132" s="163" t="s">
        <v>1104</v>
      </c>
      <c r="D132" s="163" t="s">
        <v>4141</v>
      </c>
      <c r="E132" s="163" t="s">
        <v>2066</v>
      </c>
      <c r="F132" s="163" t="s">
        <v>2068</v>
      </c>
      <c r="G132" s="163" t="s">
        <v>36</v>
      </c>
      <c r="H132" s="163" t="s">
        <v>2200</v>
      </c>
      <c r="I132" s="163" t="s">
        <v>5725</v>
      </c>
      <c r="J132" s="163" t="s">
        <v>1768</v>
      </c>
      <c r="K132" s="163" t="s">
        <v>2322</v>
      </c>
      <c r="L132" s="163" t="s">
        <v>2651</v>
      </c>
      <c r="M132" s="163">
        <v>126912</v>
      </c>
      <c r="N132" s="163" t="s">
        <v>1104</v>
      </c>
      <c r="O132" s="163" t="s">
        <v>906</v>
      </c>
      <c r="P132" s="163" t="s">
        <v>2652</v>
      </c>
      <c r="Q132" s="163" t="s">
        <v>4936</v>
      </c>
      <c r="R132" s="163" t="s">
        <v>2294</v>
      </c>
      <c r="S132" s="163" t="s">
        <v>2653</v>
      </c>
      <c r="T132" s="163">
        <v>21.5</v>
      </c>
      <c r="U132" s="163" t="s">
        <v>1952</v>
      </c>
      <c r="V132" s="163" t="s">
        <v>2654</v>
      </c>
      <c r="W132" s="163" t="s">
        <v>2655</v>
      </c>
      <c r="X132" s="163" t="s">
        <v>4937</v>
      </c>
      <c r="Y132" s="163" t="s">
        <v>111</v>
      </c>
      <c r="Z132" s="163" t="s">
        <v>111</v>
      </c>
      <c r="AA132" s="163" t="s">
        <v>111</v>
      </c>
      <c r="AB132" s="163" t="s">
        <v>36</v>
      </c>
      <c r="AC132" s="163" t="s">
        <v>2195</v>
      </c>
      <c r="AD132" s="163" t="s">
        <v>2196</v>
      </c>
      <c r="AE132" s="163" t="s">
        <v>1762</v>
      </c>
      <c r="AF132" s="163" t="s">
        <v>3419</v>
      </c>
      <c r="AG132" s="163" t="s">
        <v>36</v>
      </c>
      <c r="AH132" s="163" t="s">
        <v>36</v>
      </c>
      <c r="AI132" s="163" t="s">
        <v>36</v>
      </c>
      <c r="AJ132" s="163" t="s">
        <v>36</v>
      </c>
      <c r="AK132" s="163" t="s">
        <v>2197</v>
      </c>
      <c r="AL132" s="163" t="s">
        <v>36</v>
      </c>
      <c r="AM132" t="s">
        <v>4879</v>
      </c>
      <c r="AN132" s="487">
        <v>0</v>
      </c>
      <c r="AO132" s="487">
        <v>0</v>
      </c>
    </row>
    <row r="133" spans="1:41" x14ac:dyDescent="0.2">
      <c r="A133">
        <v>132</v>
      </c>
      <c r="B133" s="471" t="s">
        <v>1109</v>
      </c>
      <c r="C133" s="163" t="s">
        <v>2694</v>
      </c>
      <c r="D133" s="163" t="s">
        <v>4377</v>
      </c>
      <c r="E133" s="163" t="s">
        <v>2069</v>
      </c>
      <c r="F133" s="163" t="s">
        <v>2070</v>
      </c>
      <c r="G133" s="163" t="s">
        <v>36</v>
      </c>
      <c r="H133" s="163" t="s">
        <v>2200</v>
      </c>
      <c r="I133" s="163" t="s">
        <v>5725</v>
      </c>
      <c r="J133" s="163" t="s">
        <v>2468</v>
      </c>
      <c r="K133" s="163" t="s">
        <v>2692</v>
      </c>
      <c r="L133" s="163" t="s">
        <v>2693</v>
      </c>
      <c r="M133" s="163" t="s">
        <v>1063</v>
      </c>
      <c r="N133" s="163" t="s">
        <v>2694</v>
      </c>
      <c r="O133" s="163" t="s">
        <v>5728</v>
      </c>
      <c r="P133" s="163" t="s">
        <v>2493</v>
      </c>
      <c r="Q133" s="163" t="s">
        <v>4938</v>
      </c>
      <c r="R133" s="163" t="s">
        <v>2193</v>
      </c>
      <c r="S133" s="163" t="s">
        <v>5292</v>
      </c>
      <c r="T133" s="163">
        <v>1040</v>
      </c>
      <c r="U133" s="163" t="s">
        <v>2220</v>
      </c>
      <c r="V133" s="163" t="s">
        <v>3400</v>
      </c>
      <c r="W133" s="163" t="s">
        <v>5293</v>
      </c>
      <c r="X133" s="163" t="s">
        <v>4937</v>
      </c>
      <c r="Y133" s="163" t="s">
        <v>3400</v>
      </c>
      <c r="Z133" s="163" t="s">
        <v>5293</v>
      </c>
      <c r="AA133" s="163" t="s">
        <v>4937</v>
      </c>
      <c r="AB133" s="163" t="s">
        <v>5481</v>
      </c>
      <c r="AC133" s="163" t="s">
        <v>2195</v>
      </c>
      <c r="AD133" s="163" t="s">
        <v>2196</v>
      </c>
      <c r="AE133" s="163" t="s">
        <v>1762</v>
      </c>
      <c r="AF133" s="163" t="s">
        <v>5297</v>
      </c>
      <c r="AG133" s="163" t="s">
        <v>5298</v>
      </c>
      <c r="AH133" s="163" t="s">
        <v>5299</v>
      </c>
      <c r="AI133" s="163" t="s">
        <v>36</v>
      </c>
      <c r="AJ133" s="163" t="s">
        <v>36</v>
      </c>
      <c r="AK133" s="163" t="s">
        <v>2197</v>
      </c>
      <c r="AL133" s="163" t="s">
        <v>3797</v>
      </c>
      <c r="AM133" t="s">
        <v>4879</v>
      </c>
      <c r="AN133" s="487">
        <v>1.4583333333333332E-2</v>
      </c>
      <c r="AO133" s="487">
        <v>0</v>
      </c>
    </row>
    <row r="134" spans="1:41" x14ac:dyDescent="0.2">
      <c r="A134">
        <v>133</v>
      </c>
      <c r="B134" s="471" t="s">
        <v>1109</v>
      </c>
      <c r="C134" s="163" t="s">
        <v>2678</v>
      </c>
      <c r="D134" s="163" t="s">
        <v>4392</v>
      </c>
      <c r="E134" s="163" t="s">
        <v>2069</v>
      </c>
      <c r="F134" s="163" t="s">
        <v>2070</v>
      </c>
      <c r="G134" s="163" t="s">
        <v>36</v>
      </c>
      <c r="H134" s="163" t="s">
        <v>2200</v>
      </c>
      <c r="I134" s="163" t="s">
        <v>5725</v>
      </c>
      <c r="J134" s="163" t="s">
        <v>2468</v>
      </c>
      <c r="K134" s="163" t="s">
        <v>1115</v>
      </c>
      <c r="L134" s="163" t="s">
        <v>2677</v>
      </c>
      <c r="M134" s="163">
        <v>6625</v>
      </c>
      <c r="N134" s="163" t="s">
        <v>2678</v>
      </c>
      <c r="O134" s="163" t="s">
        <v>5732</v>
      </c>
      <c r="P134" s="163" t="s">
        <v>2679</v>
      </c>
      <c r="Q134" s="163" t="s">
        <v>4934</v>
      </c>
      <c r="R134" s="163" t="s">
        <v>2193</v>
      </c>
      <c r="S134" s="163" t="s">
        <v>2680</v>
      </c>
      <c r="T134" s="163">
        <v>1372</v>
      </c>
      <c r="U134" s="163" t="s">
        <v>2222</v>
      </c>
      <c r="V134" s="163" t="s">
        <v>4683</v>
      </c>
      <c r="W134" s="163" t="s">
        <v>4684</v>
      </c>
      <c r="X134" s="163" t="s">
        <v>4937</v>
      </c>
      <c r="Y134" s="163" t="s">
        <v>3400</v>
      </c>
      <c r="Z134" s="163" t="s">
        <v>4684</v>
      </c>
      <c r="AA134" s="163" t="s">
        <v>4937</v>
      </c>
      <c r="AB134" s="163" t="s">
        <v>36</v>
      </c>
      <c r="AC134" s="163" t="s">
        <v>2195</v>
      </c>
      <c r="AD134" s="163" t="s">
        <v>2196</v>
      </c>
      <c r="AE134" s="163" t="s">
        <v>1762</v>
      </c>
      <c r="AF134" s="163" t="s">
        <v>3419</v>
      </c>
      <c r="AG134" s="163" t="s">
        <v>36</v>
      </c>
      <c r="AH134" s="163" t="s">
        <v>36</v>
      </c>
      <c r="AI134" s="163" t="s">
        <v>36</v>
      </c>
      <c r="AJ134" s="163" t="s">
        <v>36</v>
      </c>
      <c r="AK134" s="163" t="s">
        <v>2197</v>
      </c>
      <c r="AL134" s="163" t="s">
        <v>3797</v>
      </c>
      <c r="AM134" t="s">
        <v>4876</v>
      </c>
      <c r="AN134" s="487">
        <v>0</v>
      </c>
      <c r="AO134" s="487">
        <v>0</v>
      </c>
    </row>
    <row r="135" spans="1:41" x14ac:dyDescent="0.2">
      <c r="A135">
        <v>134</v>
      </c>
      <c r="B135" s="471" t="s">
        <v>1109</v>
      </c>
      <c r="C135" s="163" t="s">
        <v>2698</v>
      </c>
      <c r="D135" s="163" t="s">
        <v>4378</v>
      </c>
      <c r="E135" s="163" t="s">
        <v>2069</v>
      </c>
      <c r="F135" s="163" t="s">
        <v>2070</v>
      </c>
      <c r="G135" s="163" t="s">
        <v>36</v>
      </c>
      <c r="H135" s="163" t="s">
        <v>2200</v>
      </c>
      <c r="I135" s="163" t="s">
        <v>5725</v>
      </c>
      <c r="J135" s="163" t="s">
        <v>2468</v>
      </c>
      <c r="K135" s="163" t="s">
        <v>2695</v>
      </c>
      <c r="L135" s="163" t="s">
        <v>2696</v>
      </c>
      <c r="M135" s="163" t="s">
        <v>2697</v>
      </c>
      <c r="N135" s="163" t="s">
        <v>2698</v>
      </c>
      <c r="O135" s="163" t="s">
        <v>5726</v>
      </c>
      <c r="P135" s="163" t="s">
        <v>2399</v>
      </c>
      <c r="Q135" s="163" t="s">
        <v>4936</v>
      </c>
      <c r="R135" s="163" t="s">
        <v>2193</v>
      </c>
      <c r="S135" s="163" t="s">
        <v>2699</v>
      </c>
      <c r="T135" s="163">
        <v>1273.3</v>
      </c>
      <c r="U135" s="163" t="s">
        <v>2222</v>
      </c>
      <c r="V135" s="163" t="s">
        <v>2613</v>
      </c>
      <c r="W135" s="163" t="s">
        <v>4725</v>
      </c>
      <c r="X135" s="163" t="s">
        <v>4937</v>
      </c>
      <c r="Y135" s="163" t="s">
        <v>4659</v>
      </c>
      <c r="Z135" s="163" t="s">
        <v>4726</v>
      </c>
      <c r="AA135" s="163" t="s">
        <v>4937</v>
      </c>
      <c r="AB135" s="163" t="s">
        <v>5560</v>
      </c>
      <c r="AC135" s="163" t="s">
        <v>2195</v>
      </c>
      <c r="AD135" s="163" t="s">
        <v>2196</v>
      </c>
      <c r="AE135" s="163" t="s">
        <v>1762</v>
      </c>
      <c r="AF135" s="163">
        <v>36</v>
      </c>
      <c r="AG135" s="163">
        <v>360</v>
      </c>
      <c r="AH135" s="163">
        <v>60</v>
      </c>
      <c r="AI135" s="163" t="s">
        <v>36</v>
      </c>
      <c r="AJ135" s="163" t="s">
        <v>36</v>
      </c>
      <c r="AK135" s="163" t="s">
        <v>2197</v>
      </c>
      <c r="AL135" s="163" t="s">
        <v>3797</v>
      </c>
      <c r="AM135" t="s">
        <v>4883</v>
      </c>
      <c r="AN135" s="487">
        <v>1.4583333333333332E-2</v>
      </c>
      <c r="AO135" s="487">
        <v>2.1527777777777781E-2</v>
      </c>
    </row>
    <row r="136" spans="1:41" x14ac:dyDescent="0.2">
      <c r="A136">
        <v>135</v>
      </c>
      <c r="B136" s="471" t="s">
        <v>1109</v>
      </c>
      <c r="C136" s="163" t="s">
        <v>2672</v>
      </c>
      <c r="D136" s="163" t="s">
        <v>4393</v>
      </c>
      <c r="E136" s="163" t="s">
        <v>2069</v>
      </c>
      <c r="F136" s="163" t="s">
        <v>2070</v>
      </c>
      <c r="G136" s="163" t="s">
        <v>36</v>
      </c>
      <c r="H136" s="163" t="s">
        <v>2200</v>
      </c>
      <c r="I136" s="163" t="s">
        <v>5725</v>
      </c>
      <c r="J136" s="163" t="s">
        <v>2468</v>
      </c>
      <c r="K136" s="163" t="s">
        <v>2670</v>
      </c>
      <c r="L136" s="163" t="s">
        <v>2671</v>
      </c>
      <c r="M136" s="163">
        <v>2615</v>
      </c>
      <c r="N136" s="163" t="s">
        <v>2672</v>
      </c>
      <c r="O136" s="163" t="s">
        <v>5726</v>
      </c>
      <c r="P136" s="163" t="s">
        <v>2673</v>
      </c>
      <c r="Q136" s="163" t="s">
        <v>4936</v>
      </c>
      <c r="R136" s="163" t="s">
        <v>2193</v>
      </c>
      <c r="S136" s="163" t="s">
        <v>2674</v>
      </c>
      <c r="T136" s="163">
        <v>400.9</v>
      </c>
      <c r="U136" s="163" t="s">
        <v>2220</v>
      </c>
      <c r="V136" s="163" t="s">
        <v>2613</v>
      </c>
      <c r="W136" s="163" t="s">
        <v>4990</v>
      </c>
      <c r="X136" s="163" t="s">
        <v>4937</v>
      </c>
      <c r="Y136" s="163" t="s">
        <v>2675</v>
      </c>
      <c r="Z136" s="163" t="s">
        <v>2676</v>
      </c>
      <c r="AA136" s="163" t="s">
        <v>4937</v>
      </c>
      <c r="AB136" s="163" t="s">
        <v>5003</v>
      </c>
      <c r="AC136" s="163" t="s">
        <v>2195</v>
      </c>
      <c r="AD136" s="163" t="s">
        <v>2196</v>
      </c>
      <c r="AE136" s="163" t="s">
        <v>1762</v>
      </c>
      <c r="AF136" s="163">
        <v>8.4</v>
      </c>
      <c r="AG136" s="163">
        <v>105</v>
      </c>
      <c r="AH136" s="163">
        <v>18</v>
      </c>
      <c r="AI136" s="163" t="s">
        <v>36</v>
      </c>
      <c r="AJ136" s="163" t="s">
        <v>36</v>
      </c>
      <c r="AK136" s="163" t="s">
        <v>2197</v>
      </c>
      <c r="AL136" s="163" t="s">
        <v>3797</v>
      </c>
      <c r="AM136" t="s">
        <v>4883</v>
      </c>
      <c r="AN136" s="487">
        <v>1.4583333333333332E-2</v>
      </c>
      <c r="AO136" s="487">
        <v>2.1527777777777781E-2</v>
      </c>
    </row>
    <row r="137" spans="1:41" x14ac:dyDescent="0.2">
      <c r="A137">
        <v>136</v>
      </c>
      <c r="B137" s="471" t="s">
        <v>1109</v>
      </c>
      <c r="C137" s="163" t="s">
        <v>4583</v>
      </c>
      <c r="D137" s="163" t="s">
        <v>4584</v>
      </c>
      <c r="E137" s="163" t="s">
        <v>2069</v>
      </c>
      <c r="F137" s="163" t="s">
        <v>2070</v>
      </c>
      <c r="G137" s="163" t="s">
        <v>36</v>
      </c>
      <c r="H137" s="163" t="s">
        <v>2200</v>
      </c>
      <c r="I137" s="163" t="s">
        <v>5725</v>
      </c>
      <c r="J137" s="163" t="s">
        <v>2468</v>
      </c>
      <c r="K137" s="163" t="s">
        <v>2262</v>
      </c>
      <c r="L137" s="163" t="s">
        <v>2681</v>
      </c>
      <c r="M137" s="163">
        <v>207049</v>
      </c>
      <c r="N137" s="163" t="s">
        <v>2682</v>
      </c>
      <c r="O137" s="163" t="s">
        <v>5748</v>
      </c>
      <c r="P137" s="163" t="s">
        <v>4434</v>
      </c>
      <c r="Q137" s="163" t="s">
        <v>4945</v>
      </c>
      <c r="R137" s="163" t="s">
        <v>2193</v>
      </c>
      <c r="S137" s="163" t="s">
        <v>2684</v>
      </c>
      <c r="T137" s="163">
        <v>156</v>
      </c>
      <c r="U137" s="163" t="s">
        <v>2220</v>
      </c>
      <c r="V137" s="163" t="s">
        <v>2685</v>
      </c>
      <c r="W137" s="163">
        <v>7083003</v>
      </c>
      <c r="X137" s="163" t="s">
        <v>4937</v>
      </c>
      <c r="Y137" s="163" t="s">
        <v>4657</v>
      </c>
      <c r="Z137" s="163" t="s">
        <v>4658</v>
      </c>
      <c r="AA137" s="163" t="s">
        <v>4937</v>
      </c>
      <c r="AB137" s="163" t="s">
        <v>2686</v>
      </c>
      <c r="AC137" s="163" t="s">
        <v>2195</v>
      </c>
      <c r="AD137" s="163" t="s">
        <v>2196</v>
      </c>
      <c r="AE137" s="163" t="s">
        <v>1762</v>
      </c>
      <c r="AF137" s="163" t="s">
        <v>3938</v>
      </c>
      <c r="AG137" s="163" t="s">
        <v>3939</v>
      </c>
      <c r="AH137" s="163" t="s">
        <v>3986</v>
      </c>
      <c r="AI137" s="163" t="s">
        <v>4396</v>
      </c>
      <c r="AJ137" s="163" t="s">
        <v>36</v>
      </c>
      <c r="AK137" s="163" t="s">
        <v>2197</v>
      </c>
      <c r="AL137" s="163" t="s">
        <v>3797</v>
      </c>
      <c r="AM137" t="s">
        <v>4876</v>
      </c>
      <c r="AN137" s="487">
        <v>0</v>
      </c>
      <c r="AO137" s="487">
        <v>0</v>
      </c>
    </row>
    <row r="138" spans="1:41" x14ac:dyDescent="0.2">
      <c r="A138">
        <v>137</v>
      </c>
      <c r="B138" s="471" t="s">
        <v>1109</v>
      </c>
      <c r="C138" s="163" t="s">
        <v>4585</v>
      </c>
      <c r="D138" s="163" t="s">
        <v>4586</v>
      </c>
      <c r="E138" s="163" t="s">
        <v>2069</v>
      </c>
      <c r="F138" s="163" t="s">
        <v>2070</v>
      </c>
      <c r="G138" s="163" t="s">
        <v>36</v>
      </c>
      <c r="H138" s="163" t="s">
        <v>2200</v>
      </c>
      <c r="I138" s="163" t="s">
        <v>5725</v>
      </c>
      <c r="J138" s="163" t="s">
        <v>2468</v>
      </c>
      <c r="K138" s="163" t="s">
        <v>2262</v>
      </c>
      <c r="L138" s="163" t="s">
        <v>2681</v>
      </c>
      <c r="M138" s="163">
        <v>207049</v>
      </c>
      <c r="N138" s="163" t="s">
        <v>2682</v>
      </c>
      <c r="O138" s="163" t="s">
        <v>5748</v>
      </c>
      <c r="P138" s="163" t="s">
        <v>4434</v>
      </c>
      <c r="Q138" s="163" t="s">
        <v>4945</v>
      </c>
      <c r="R138" s="163" t="s">
        <v>2193</v>
      </c>
      <c r="S138" s="163" t="s">
        <v>2684</v>
      </c>
      <c r="T138" s="163">
        <v>156</v>
      </c>
      <c r="U138" s="163" t="s">
        <v>2222</v>
      </c>
      <c r="V138" s="163" t="s">
        <v>2685</v>
      </c>
      <c r="W138" s="163">
        <v>7083003</v>
      </c>
      <c r="X138" s="163" t="s">
        <v>4937</v>
      </c>
      <c r="Y138" s="163" t="s">
        <v>4659</v>
      </c>
      <c r="Z138" s="163" t="s">
        <v>4658</v>
      </c>
      <c r="AA138" s="163" t="s">
        <v>4937</v>
      </c>
      <c r="AB138" s="163" t="s">
        <v>2686</v>
      </c>
      <c r="AC138" s="163" t="s">
        <v>2195</v>
      </c>
      <c r="AD138" s="163" t="s">
        <v>2196</v>
      </c>
      <c r="AE138" s="163" t="s">
        <v>1762</v>
      </c>
      <c r="AF138" s="163" t="s">
        <v>3938</v>
      </c>
      <c r="AG138" s="163" t="s">
        <v>3939</v>
      </c>
      <c r="AH138" s="163" t="s">
        <v>3986</v>
      </c>
      <c r="AI138" s="163" t="s">
        <v>4396</v>
      </c>
      <c r="AJ138" s="163" t="s">
        <v>36</v>
      </c>
      <c r="AK138" s="163" t="s">
        <v>2197</v>
      </c>
      <c r="AL138" s="163" t="s">
        <v>3797</v>
      </c>
      <c r="AM138" t="s">
        <v>4876</v>
      </c>
      <c r="AN138" s="487">
        <v>0</v>
      </c>
      <c r="AO138" s="487">
        <v>0</v>
      </c>
    </row>
    <row r="139" spans="1:41" x14ac:dyDescent="0.2">
      <c r="A139">
        <v>138</v>
      </c>
      <c r="B139" s="471" t="s">
        <v>1109</v>
      </c>
      <c r="C139" s="163" t="s">
        <v>4727</v>
      </c>
      <c r="D139" s="163" t="s">
        <v>4728</v>
      </c>
      <c r="E139" s="163" t="s">
        <v>2069</v>
      </c>
      <c r="F139" s="163" t="s">
        <v>2070</v>
      </c>
      <c r="G139" s="163" t="s">
        <v>36</v>
      </c>
      <c r="H139" s="163" t="s">
        <v>2200</v>
      </c>
      <c r="I139" s="163" t="s">
        <v>5725</v>
      </c>
      <c r="J139" s="163" t="s">
        <v>2468</v>
      </c>
      <c r="K139" s="163" t="s">
        <v>2262</v>
      </c>
      <c r="L139" s="163" t="s">
        <v>2681</v>
      </c>
      <c r="M139" s="163">
        <v>207049</v>
      </c>
      <c r="N139" s="163" t="s">
        <v>2682</v>
      </c>
      <c r="O139" s="163" t="s">
        <v>5748</v>
      </c>
      <c r="P139" s="163" t="s">
        <v>4434</v>
      </c>
      <c r="Q139" s="163" t="s">
        <v>4945</v>
      </c>
      <c r="R139" s="163" t="s">
        <v>2193</v>
      </c>
      <c r="S139" s="163" t="s">
        <v>2684</v>
      </c>
      <c r="T139" s="163">
        <v>156</v>
      </c>
      <c r="U139" s="163" t="s">
        <v>2223</v>
      </c>
      <c r="V139" s="163" t="s">
        <v>2685</v>
      </c>
      <c r="W139" s="163">
        <v>7083003</v>
      </c>
      <c r="X139" s="163" t="s">
        <v>4937</v>
      </c>
      <c r="Y139" s="163" t="s">
        <v>4659</v>
      </c>
      <c r="Z139" s="163" t="s">
        <v>4658</v>
      </c>
      <c r="AA139" s="163" t="s">
        <v>4937</v>
      </c>
      <c r="AB139" s="163" t="s">
        <v>2686</v>
      </c>
      <c r="AC139" s="163" t="s">
        <v>2195</v>
      </c>
      <c r="AD139" s="163" t="s">
        <v>2196</v>
      </c>
      <c r="AE139" s="163" t="s">
        <v>1762</v>
      </c>
      <c r="AF139" s="163" t="s">
        <v>3938</v>
      </c>
      <c r="AG139" s="163" t="s">
        <v>3939</v>
      </c>
      <c r="AH139" s="163" t="s">
        <v>3986</v>
      </c>
      <c r="AI139" s="163" t="s">
        <v>4396</v>
      </c>
      <c r="AJ139" s="163" t="s">
        <v>36</v>
      </c>
      <c r="AK139" s="163" t="s">
        <v>2197</v>
      </c>
      <c r="AL139" s="163" t="s">
        <v>3797</v>
      </c>
      <c r="AM139" t="s">
        <v>4876</v>
      </c>
      <c r="AN139" s="487">
        <v>0</v>
      </c>
      <c r="AO139" s="487">
        <v>0</v>
      </c>
    </row>
    <row r="140" spans="1:41" x14ac:dyDescent="0.2">
      <c r="A140">
        <v>139</v>
      </c>
      <c r="B140" s="471" t="s">
        <v>1109</v>
      </c>
      <c r="C140" s="163" t="s">
        <v>3841</v>
      </c>
      <c r="D140" s="163" t="s">
        <v>4394</v>
      </c>
      <c r="E140" s="163" t="s">
        <v>2069</v>
      </c>
      <c r="F140" s="163" t="s">
        <v>2070</v>
      </c>
      <c r="G140" s="163" t="s">
        <v>36</v>
      </c>
      <c r="H140" s="163" t="s">
        <v>2200</v>
      </c>
      <c r="I140" s="163" t="s">
        <v>5725</v>
      </c>
      <c r="J140" s="163" t="s">
        <v>2468</v>
      </c>
      <c r="K140" s="163" t="s">
        <v>2687</v>
      </c>
      <c r="L140" s="163" t="s">
        <v>2688</v>
      </c>
      <c r="M140" s="163" t="s">
        <v>2689</v>
      </c>
      <c r="N140" s="163" t="s">
        <v>3841</v>
      </c>
      <c r="O140" s="163" t="s">
        <v>5732</v>
      </c>
      <c r="P140" s="163" t="s">
        <v>4855</v>
      </c>
      <c r="Q140" s="163" t="s">
        <v>4934</v>
      </c>
      <c r="R140" s="163" t="s">
        <v>2193</v>
      </c>
      <c r="S140" s="163" t="s">
        <v>4856</v>
      </c>
      <c r="T140" s="163">
        <v>105.59</v>
      </c>
      <c r="U140" s="163" t="s">
        <v>2222</v>
      </c>
      <c r="V140" s="163" t="s">
        <v>2690</v>
      </c>
      <c r="W140" s="163" t="s">
        <v>2691</v>
      </c>
      <c r="X140" s="163" t="s">
        <v>4937</v>
      </c>
      <c r="Y140" s="163" t="s">
        <v>2690</v>
      </c>
      <c r="Z140" s="163" t="s">
        <v>2691</v>
      </c>
      <c r="AA140" s="163" t="s">
        <v>4937</v>
      </c>
      <c r="AB140" s="163" t="s">
        <v>5777</v>
      </c>
      <c r="AC140" s="163" t="s">
        <v>2195</v>
      </c>
      <c r="AD140" s="163" t="s">
        <v>2196</v>
      </c>
      <c r="AE140" s="163" t="s">
        <v>1762</v>
      </c>
      <c r="AF140" s="163">
        <v>1.6</v>
      </c>
      <c r="AG140" s="163" t="s">
        <v>4857</v>
      </c>
      <c r="AH140" s="163" t="s">
        <v>4858</v>
      </c>
      <c r="AI140" s="163" t="s">
        <v>4859</v>
      </c>
      <c r="AJ140" s="163" t="s">
        <v>36</v>
      </c>
      <c r="AK140" s="163" t="s">
        <v>2197</v>
      </c>
      <c r="AL140" s="163" t="s">
        <v>3797</v>
      </c>
      <c r="AM140" t="s">
        <v>4883</v>
      </c>
      <c r="AN140" s="487">
        <v>0</v>
      </c>
      <c r="AO140" s="487">
        <v>0</v>
      </c>
    </row>
    <row r="141" spans="1:41" x14ac:dyDescent="0.2">
      <c r="A141">
        <v>140</v>
      </c>
      <c r="B141" s="471" t="s">
        <v>1125</v>
      </c>
      <c r="C141" s="163" t="s">
        <v>2759</v>
      </c>
      <c r="D141" s="163" t="s">
        <v>4729</v>
      </c>
      <c r="E141" s="163" t="s">
        <v>2073</v>
      </c>
      <c r="F141" s="163" t="s">
        <v>2074</v>
      </c>
      <c r="G141" s="163" t="s">
        <v>36</v>
      </c>
      <c r="H141" s="163" t="s">
        <v>2200</v>
      </c>
      <c r="I141" s="163" t="s">
        <v>5725</v>
      </c>
      <c r="J141" s="163" t="s">
        <v>2468</v>
      </c>
      <c r="K141" s="163" t="s">
        <v>1137</v>
      </c>
      <c r="L141" s="163" t="s">
        <v>2758</v>
      </c>
      <c r="M141" s="163" t="s">
        <v>2759</v>
      </c>
      <c r="N141" s="163" t="s">
        <v>1137</v>
      </c>
      <c r="O141" s="163" t="s">
        <v>5749</v>
      </c>
      <c r="P141" s="163" t="s">
        <v>2753</v>
      </c>
      <c r="Q141" s="163" t="s">
        <v>4934</v>
      </c>
      <c r="R141" s="163" t="s">
        <v>2193</v>
      </c>
      <c r="S141" s="163" t="s">
        <v>2760</v>
      </c>
      <c r="T141" s="163">
        <v>80</v>
      </c>
      <c r="U141" s="163" t="s">
        <v>2222</v>
      </c>
      <c r="V141" s="163" t="s">
        <v>2761</v>
      </c>
      <c r="W141" s="163" t="s">
        <v>2762</v>
      </c>
      <c r="X141" s="163" t="s">
        <v>5052</v>
      </c>
      <c r="Y141" s="163" t="s">
        <v>4659</v>
      </c>
      <c r="Z141" s="163" t="s">
        <v>4658</v>
      </c>
      <c r="AA141" s="163" t="s">
        <v>5052</v>
      </c>
      <c r="AB141" s="163" t="s">
        <v>36</v>
      </c>
      <c r="AC141" s="163" t="s">
        <v>2195</v>
      </c>
      <c r="AD141" s="163" t="s">
        <v>2196</v>
      </c>
      <c r="AE141" s="163" t="s">
        <v>1762</v>
      </c>
      <c r="AF141" s="163" t="s">
        <v>3942</v>
      </c>
      <c r="AG141" s="163" t="s">
        <v>3943</v>
      </c>
      <c r="AH141" s="163" t="s">
        <v>3943</v>
      </c>
      <c r="AI141" s="163" t="s">
        <v>3991</v>
      </c>
      <c r="AJ141" s="163" t="s">
        <v>36</v>
      </c>
      <c r="AK141" s="163" t="s">
        <v>2197</v>
      </c>
      <c r="AL141" s="163" t="s">
        <v>36</v>
      </c>
      <c r="AM141" t="s">
        <v>4879</v>
      </c>
      <c r="AN141" s="487">
        <v>0</v>
      </c>
      <c r="AO141" s="487">
        <v>0</v>
      </c>
    </row>
    <row r="142" spans="1:41" x14ac:dyDescent="0.2">
      <c r="A142">
        <v>141</v>
      </c>
      <c r="B142" s="471" t="s">
        <v>1125</v>
      </c>
      <c r="C142" s="163" t="s">
        <v>1133</v>
      </c>
      <c r="D142" s="163" t="s">
        <v>4424</v>
      </c>
      <c r="E142" s="163" t="s">
        <v>2073</v>
      </c>
      <c r="F142" s="163" t="s">
        <v>2074</v>
      </c>
      <c r="G142" s="163" t="s">
        <v>36</v>
      </c>
      <c r="H142" s="163" t="s">
        <v>2200</v>
      </c>
      <c r="I142" s="163" t="s">
        <v>5725</v>
      </c>
      <c r="J142" s="163" t="s">
        <v>1768</v>
      </c>
      <c r="K142" s="163" t="s">
        <v>2728</v>
      </c>
      <c r="L142" s="163" t="s">
        <v>4425</v>
      </c>
      <c r="M142" s="163">
        <v>145627</v>
      </c>
      <c r="N142" s="163" t="s">
        <v>1133</v>
      </c>
      <c r="O142" s="163" t="s">
        <v>906</v>
      </c>
      <c r="P142" s="163" t="s">
        <v>2791</v>
      </c>
      <c r="Q142" s="163" t="s">
        <v>2198</v>
      </c>
      <c r="R142" s="163" t="s">
        <v>2193</v>
      </c>
      <c r="S142" s="163" t="s">
        <v>2734</v>
      </c>
      <c r="T142" s="163" t="s">
        <v>111</v>
      </c>
      <c r="U142" s="163" t="s">
        <v>2223</v>
      </c>
      <c r="V142" s="163" t="s">
        <v>2735</v>
      </c>
      <c r="W142" s="163" t="s">
        <v>2736</v>
      </c>
      <c r="X142" s="163" t="s">
        <v>2737</v>
      </c>
      <c r="Y142" s="163" t="s">
        <v>111</v>
      </c>
      <c r="Z142" s="163" t="s">
        <v>111</v>
      </c>
      <c r="AA142" s="163" t="s">
        <v>111</v>
      </c>
      <c r="AB142" s="163" t="s">
        <v>36</v>
      </c>
      <c r="AC142" s="163" t="s">
        <v>2195</v>
      </c>
      <c r="AD142" s="163" t="s">
        <v>2196</v>
      </c>
      <c r="AE142" s="163" t="s">
        <v>1762</v>
      </c>
      <c r="AF142" s="163" t="s">
        <v>3419</v>
      </c>
      <c r="AG142" s="163" t="s">
        <v>36</v>
      </c>
      <c r="AH142" s="163" t="s">
        <v>36</v>
      </c>
      <c r="AI142" s="163" t="s">
        <v>36</v>
      </c>
      <c r="AJ142" s="163" t="s">
        <v>36</v>
      </c>
      <c r="AK142" s="163" t="s">
        <v>2197</v>
      </c>
      <c r="AL142" s="163" t="s">
        <v>36</v>
      </c>
      <c r="AM142" t="s">
        <v>4876</v>
      </c>
      <c r="AN142" s="487">
        <v>0</v>
      </c>
      <c r="AO142" s="487">
        <v>0</v>
      </c>
    </row>
    <row r="143" spans="1:41" x14ac:dyDescent="0.2">
      <c r="A143">
        <v>142</v>
      </c>
      <c r="B143" s="471" t="s">
        <v>1125</v>
      </c>
      <c r="C143" s="163" t="s">
        <v>1131</v>
      </c>
      <c r="D143" s="163" t="s">
        <v>4142</v>
      </c>
      <c r="E143" s="163" t="s">
        <v>2073</v>
      </c>
      <c r="F143" s="163" t="s">
        <v>2074</v>
      </c>
      <c r="G143" s="163" t="s">
        <v>36</v>
      </c>
      <c r="H143" s="163" t="s">
        <v>2200</v>
      </c>
      <c r="I143" s="163" t="s">
        <v>5725</v>
      </c>
      <c r="J143" s="163" t="s">
        <v>1768</v>
      </c>
      <c r="K143" s="163" t="s">
        <v>2728</v>
      </c>
      <c r="L143" s="163" t="s">
        <v>2729</v>
      </c>
      <c r="M143" s="163">
        <v>31191</v>
      </c>
      <c r="N143" s="163" t="s">
        <v>1131</v>
      </c>
      <c r="O143" s="163" t="s">
        <v>906</v>
      </c>
      <c r="P143" s="163" t="s">
        <v>2731</v>
      </c>
      <c r="Q143" s="163" t="s">
        <v>2198</v>
      </c>
      <c r="R143" s="163" t="s">
        <v>2193</v>
      </c>
      <c r="S143" s="163" t="s">
        <v>2734</v>
      </c>
      <c r="T143" s="163" t="s">
        <v>111</v>
      </c>
      <c r="U143" s="163" t="s">
        <v>2223</v>
      </c>
      <c r="V143" s="163" t="s">
        <v>2735</v>
      </c>
      <c r="W143" s="163" t="s">
        <v>2736</v>
      </c>
      <c r="X143" s="163" t="s">
        <v>2737</v>
      </c>
      <c r="Y143" s="163" t="s">
        <v>111</v>
      </c>
      <c r="Z143" s="163" t="s">
        <v>111</v>
      </c>
      <c r="AA143" s="163" t="s">
        <v>111</v>
      </c>
      <c r="AB143" s="163" t="s">
        <v>36</v>
      </c>
      <c r="AC143" s="163" t="s">
        <v>2195</v>
      </c>
      <c r="AD143" s="163" t="s">
        <v>2196</v>
      </c>
      <c r="AE143" s="163" t="s">
        <v>1762</v>
      </c>
      <c r="AF143" s="163" t="s">
        <v>3419</v>
      </c>
      <c r="AG143" s="163" t="s">
        <v>36</v>
      </c>
      <c r="AH143" s="163" t="s">
        <v>36</v>
      </c>
      <c r="AI143" s="163" t="s">
        <v>36</v>
      </c>
      <c r="AJ143" s="163" t="s">
        <v>36</v>
      </c>
      <c r="AK143" s="163" t="s">
        <v>2197</v>
      </c>
      <c r="AL143" s="163" t="s">
        <v>36</v>
      </c>
      <c r="AM143" t="s">
        <v>4876</v>
      </c>
      <c r="AN143" s="487">
        <v>0</v>
      </c>
      <c r="AO143" s="487">
        <v>0</v>
      </c>
    </row>
    <row r="144" spans="1:41" x14ac:dyDescent="0.2">
      <c r="A144">
        <v>143</v>
      </c>
      <c r="B144" s="471" t="s">
        <v>1125</v>
      </c>
      <c r="C144" s="163" t="s">
        <v>1129</v>
      </c>
      <c r="D144" s="163" t="s">
        <v>4143</v>
      </c>
      <c r="E144" s="163" t="s">
        <v>2073</v>
      </c>
      <c r="F144" s="163" t="s">
        <v>2074</v>
      </c>
      <c r="G144" s="163" t="s">
        <v>36</v>
      </c>
      <c r="H144" s="163" t="s">
        <v>2200</v>
      </c>
      <c r="I144" s="163" t="s">
        <v>5725</v>
      </c>
      <c r="J144" s="163" t="s">
        <v>1768</v>
      </c>
      <c r="K144" s="163" t="s">
        <v>2728</v>
      </c>
      <c r="L144" s="163" t="s">
        <v>2729</v>
      </c>
      <c r="M144" s="163" t="s">
        <v>2730</v>
      </c>
      <c r="N144" s="163" t="s">
        <v>1129</v>
      </c>
      <c r="O144" s="163" t="s">
        <v>906</v>
      </c>
      <c r="P144" s="163" t="s">
        <v>2731</v>
      </c>
      <c r="Q144" s="163" t="s">
        <v>2198</v>
      </c>
      <c r="R144" s="163" t="s">
        <v>2193</v>
      </c>
      <c r="S144" s="163" t="s">
        <v>2732</v>
      </c>
      <c r="T144" s="163" t="s">
        <v>111</v>
      </c>
      <c r="U144" s="163" t="s">
        <v>2223</v>
      </c>
      <c r="V144" s="163" t="s">
        <v>2733</v>
      </c>
      <c r="W144" s="163" t="s">
        <v>1127</v>
      </c>
      <c r="X144" s="163" t="s">
        <v>2273</v>
      </c>
      <c r="Y144" s="163" t="s">
        <v>111</v>
      </c>
      <c r="Z144" s="163" t="s">
        <v>111</v>
      </c>
      <c r="AA144" s="163" t="s">
        <v>111</v>
      </c>
      <c r="AB144" s="163" t="s">
        <v>36</v>
      </c>
      <c r="AC144" s="163" t="s">
        <v>2195</v>
      </c>
      <c r="AD144" s="163" t="s">
        <v>2196</v>
      </c>
      <c r="AE144" s="163" t="s">
        <v>1762</v>
      </c>
      <c r="AF144" s="163" t="s">
        <v>3419</v>
      </c>
      <c r="AG144" s="163" t="s">
        <v>36</v>
      </c>
      <c r="AH144" s="163" t="s">
        <v>36</v>
      </c>
      <c r="AI144" s="163" t="s">
        <v>36</v>
      </c>
      <c r="AJ144" s="163" t="s">
        <v>36</v>
      </c>
      <c r="AK144" s="163" t="s">
        <v>2197</v>
      </c>
      <c r="AL144" s="163" t="s">
        <v>36</v>
      </c>
      <c r="AM144" t="s">
        <v>4876</v>
      </c>
      <c r="AN144" s="487">
        <v>0</v>
      </c>
      <c r="AO144" s="487">
        <v>0</v>
      </c>
    </row>
    <row r="145" spans="1:41" x14ac:dyDescent="0.2">
      <c r="A145">
        <v>144</v>
      </c>
      <c r="B145" s="471" t="s">
        <v>1125</v>
      </c>
      <c r="C145" s="163" t="s">
        <v>1147</v>
      </c>
      <c r="D145" s="163" t="s">
        <v>4144</v>
      </c>
      <c r="E145" s="163" t="s">
        <v>2073</v>
      </c>
      <c r="F145" s="163" t="s">
        <v>2074</v>
      </c>
      <c r="G145" s="163" t="s">
        <v>36</v>
      </c>
      <c r="H145" s="163" t="s">
        <v>2200</v>
      </c>
      <c r="I145" s="163" t="s">
        <v>5725</v>
      </c>
      <c r="J145" s="163" t="s">
        <v>2468</v>
      </c>
      <c r="K145" s="163" t="s">
        <v>1123</v>
      </c>
      <c r="L145" s="163" t="s">
        <v>2744</v>
      </c>
      <c r="M145" s="163" t="s">
        <v>1147</v>
      </c>
      <c r="N145" s="163" t="s">
        <v>1147</v>
      </c>
      <c r="O145" s="163" t="s">
        <v>906</v>
      </c>
      <c r="P145" s="163" t="s">
        <v>2261</v>
      </c>
      <c r="Q145" s="163" t="s">
        <v>4949</v>
      </c>
      <c r="R145" s="163" t="s">
        <v>2358</v>
      </c>
      <c r="S145" s="163" t="s">
        <v>2745</v>
      </c>
      <c r="T145" s="163">
        <v>450</v>
      </c>
      <c r="U145" s="163" t="s">
        <v>2223</v>
      </c>
      <c r="V145" s="163" t="s">
        <v>2746</v>
      </c>
      <c r="W145" s="163" t="s">
        <v>1147</v>
      </c>
      <c r="X145" s="163" t="s">
        <v>4937</v>
      </c>
      <c r="Y145" s="163" t="s">
        <v>111</v>
      </c>
      <c r="Z145" s="163" t="s">
        <v>111</v>
      </c>
      <c r="AA145" s="163" t="s">
        <v>111</v>
      </c>
      <c r="AB145" s="163" t="s">
        <v>2747</v>
      </c>
      <c r="AC145" s="163" t="s">
        <v>2195</v>
      </c>
      <c r="AD145" s="163" t="s">
        <v>2196</v>
      </c>
      <c r="AE145" s="163" t="s">
        <v>1762</v>
      </c>
      <c r="AF145" s="163">
        <v>78</v>
      </c>
      <c r="AG145" s="163">
        <v>66</v>
      </c>
      <c r="AH145" s="163">
        <v>11</v>
      </c>
      <c r="AI145" s="163" t="s">
        <v>36</v>
      </c>
      <c r="AJ145" s="163" t="s">
        <v>36</v>
      </c>
      <c r="AK145" s="163" t="s">
        <v>2197</v>
      </c>
      <c r="AL145" s="163" t="s">
        <v>36</v>
      </c>
      <c r="AM145" t="s">
        <v>4876</v>
      </c>
      <c r="AN145" s="487">
        <v>0</v>
      </c>
      <c r="AO145" s="487">
        <v>0</v>
      </c>
    </row>
    <row r="146" spans="1:41" x14ac:dyDescent="0.2">
      <c r="A146">
        <v>145</v>
      </c>
      <c r="B146" s="471" t="s">
        <v>1125</v>
      </c>
      <c r="C146" s="163" t="s">
        <v>1145</v>
      </c>
      <c r="D146" s="163" t="s">
        <v>4145</v>
      </c>
      <c r="E146" s="163" t="s">
        <v>2073</v>
      </c>
      <c r="F146" s="163" t="s">
        <v>2074</v>
      </c>
      <c r="G146" s="163" t="s">
        <v>36</v>
      </c>
      <c r="H146" s="163" t="s">
        <v>2200</v>
      </c>
      <c r="I146" s="163" t="s">
        <v>5725</v>
      </c>
      <c r="J146" s="163" t="s">
        <v>2468</v>
      </c>
      <c r="K146" s="163" t="s">
        <v>1123</v>
      </c>
      <c r="L146" s="163" t="s">
        <v>2748</v>
      </c>
      <c r="M146" s="163">
        <v>2605</v>
      </c>
      <c r="N146" s="163" t="s">
        <v>1145</v>
      </c>
      <c r="O146" s="163" t="s">
        <v>5730</v>
      </c>
      <c r="P146" s="163" t="s">
        <v>2749</v>
      </c>
      <c r="Q146" s="163" t="s">
        <v>4936</v>
      </c>
      <c r="R146" s="163" t="s">
        <v>2358</v>
      </c>
      <c r="S146" s="163" t="s">
        <v>2750</v>
      </c>
      <c r="T146" s="163">
        <v>693</v>
      </c>
      <c r="U146" s="163" t="s">
        <v>2220</v>
      </c>
      <c r="V146" s="163" t="s">
        <v>4900</v>
      </c>
      <c r="W146" s="163">
        <v>547274</v>
      </c>
      <c r="X146" s="163" t="s">
        <v>4937</v>
      </c>
      <c r="Y146" s="163" t="s">
        <v>5197</v>
      </c>
      <c r="Z146" s="163" t="s">
        <v>5198</v>
      </c>
      <c r="AA146" s="163" t="s">
        <v>4937</v>
      </c>
      <c r="AB146" s="163" t="s">
        <v>2751</v>
      </c>
      <c r="AC146" s="163" t="s">
        <v>2195</v>
      </c>
      <c r="AD146" s="163" t="s">
        <v>2196</v>
      </c>
      <c r="AE146" s="163" t="s">
        <v>1762</v>
      </c>
      <c r="AF146" s="163">
        <v>26</v>
      </c>
      <c r="AG146" s="163">
        <v>152</v>
      </c>
      <c r="AH146" s="163">
        <v>25</v>
      </c>
      <c r="AI146" s="163" t="s">
        <v>36</v>
      </c>
      <c r="AJ146" s="163" t="s">
        <v>36</v>
      </c>
      <c r="AK146" s="163" t="s">
        <v>2197</v>
      </c>
      <c r="AL146" s="163" t="s">
        <v>36</v>
      </c>
      <c r="AM146" t="s">
        <v>4878</v>
      </c>
      <c r="AN146" s="487">
        <v>0</v>
      </c>
      <c r="AO146" s="487">
        <v>0</v>
      </c>
    </row>
    <row r="147" spans="1:41" x14ac:dyDescent="0.2">
      <c r="A147">
        <v>146</v>
      </c>
      <c r="B147" s="471" t="s">
        <v>1125</v>
      </c>
      <c r="C147" s="163" t="s">
        <v>1127</v>
      </c>
      <c r="D147" s="163" t="s">
        <v>4146</v>
      </c>
      <c r="E147" s="163" t="s">
        <v>2073</v>
      </c>
      <c r="F147" s="163" t="s">
        <v>2074</v>
      </c>
      <c r="G147" s="163" t="s">
        <v>36</v>
      </c>
      <c r="H147" s="163" t="s">
        <v>2200</v>
      </c>
      <c r="I147" s="163" t="s">
        <v>5725</v>
      </c>
      <c r="J147" s="163" t="s">
        <v>1768</v>
      </c>
      <c r="K147" s="163" t="s">
        <v>2728</v>
      </c>
      <c r="L147" s="163" t="s">
        <v>2738</v>
      </c>
      <c r="M147" s="163">
        <v>159874</v>
      </c>
      <c r="N147" s="163" t="s">
        <v>1127</v>
      </c>
      <c r="O147" s="163" t="s">
        <v>906</v>
      </c>
      <c r="P147" s="163" t="s">
        <v>2739</v>
      </c>
      <c r="Q147" s="163" t="s">
        <v>2198</v>
      </c>
      <c r="R147" s="163" t="s">
        <v>2257</v>
      </c>
      <c r="S147" s="163" t="s">
        <v>2610</v>
      </c>
      <c r="T147" s="163" t="s">
        <v>111</v>
      </c>
      <c r="U147" s="163" t="s">
        <v>2223</v>
      </c>
      <c r="V147" s="163" t="s">
        <v>2740</v>
      </c>
      <c r="W147" s="163" t="s">
        <v>1141</v>
      </c>
      <c r="X147" s="163" t="s">
        <v>2273</v>
      </c>
      <c r="Y147" s="163" t="s">
        <v>111</v>
      </c>
      <c r="Z147" s="163" t="s">
        <v>111</v>
      </c>
      <c r="AA147" s="163" t="s">
        <v>111</v>
      </c>
      <c r="AB147" s="163" t="s">
        <v>36</v>
      </c>
      <c r="AC147" s="163" t="s">
        <v>2195</v>
      </c>
      <c r="AD147" s="163" t="s">
        <v>2196</v>
      </c>
      <c r="AE147" s="163" t="s">
        <v>1762</v>
      </c>
      <c r="AF147" s="163" t="s">
        <v>3419</v>
      </c>
      <c r="AG147" s="163" t="s">
        <v>36</v>
      </c>
      <c r="AH147" s="163" t="s">
        <v>36</v>
      </c>
      <c r="AI147" s="163" t="s">
        <v>36</v>
      </c>
      <c r="AJ147" s="163" t="s">
        <v>36</v>
      </c>
      <c r="AK147" s="163" t="s">
        <v>2197</v>
      </c>
      <c r="AL147" s="163" t="s">
        <v>36</v>
      </c>
      <c r="AM147" t="s">
        <v>4876</v>
      </c>
      <c r="AN147" s="487">
        <v>0</v>
      </c>
      <c r="AO147" s="487">
        <v>0</v>
      </c>
    </row>
    <row r="148" spans="1:41" x14ac:dyDescent="0.2">
      <c r="A148">
        <v>147</v>
      </c>
      <c r="B148" s="471" t="s">
        <v>1125</v>
      </c>
      <c r="C148" s="163" t="s">
        <v>1962</v>
      </c>
      <c r="D148" s="163" t="s">
        <v>4147</v>
      </c>
      <c r="E148" s="163" t="s">
        <v>2073</v>
      </c>
      <c r="F148" s="163" t="s">
        <v>2074</v>
      </c>
      <c r="G148" s="163" t="s">
        <v>36</v>
      </c>
      <c r="H148" s="163" t="s">
        <v>2200</v>
      </c>
      <c r="I148" s="163" t="s">
        <v>5241</v>
      </c>
      <c r="J148" s="163" t="s">
        <v>2468</v>
      </c>
      <c r="K148" s="163" t="s">
        <v>2774</v>
      </c>
      <c r="L148" s="163" t="s">
        <v>2775</v>
      </c>
      <c r="M148" s="163" t="s">
        <v>2775</v>
      </c>
      <c r="N148" s="163" t="s">
        <v>2774</v>
      </c>
      <c r="O148" s="163" t="s">
        <v>906</v>
      </c>
      <c r="P148" s="163" t="s">
        <v>5482</v>
      </c>
      <c r="Q148" s="163" t="s">
        <v>4949</v>
      </c>
      <c r="R148" s="163" t="s">
        <v>2193</v>
      </c>
      <c r="S148" s="163" t="s">
        <v>2541</v>
      </c>
      <c r="T148" s="163">
        <v>97.8</v>
      </c>
      <c r="U148" s="163" t="s">
        <v>2222</v>
      </c>
      <c r="V148" s="163" t="s">
        <v>2776</v>
      </c>
      <c r="W148" s="163" t="s">
        <v>111</v>
      </c>
      <c r="X148" s="163" t="s">
        <v>2276</v>
      </c>
      <c r="Y148" s="163" t="s">
        <v>111</v>
      </c>
      <c r="Z148" s="163" t="s">
        <v>111</v>
      </c>
      <c r="AA148" s="163" t="s">
        <v>111</v>
      </c>
      <c r="AB148" s="163" t="s">
        <v>4557</v>
      </c>
      <c r="AC148" s="163" t="s">
        <v>2195</v>
      </c>
      <c r="AD148" s="163" t="s">
        <v>2196</v>
      </c>
      <c r="AE148" s="163" t="s">
        <v>1762</v>
      </c>
      <c r="AF148" s="163" t="s">
        <v>3419</v>
      </c>
      <c r="AG148" s="163" t="s">
        <v>36</v>
      </c>
      <c r="AH148" s="163" t="s">
        <v>36</v>
      </c>
      <c r="AI148" s="163" t="s">
        <v>36</v>
      </c>
      <c r="AJ148" s="163" t="s">
        <v>36</v>
      </c>
      <c r="AK148" s="163" t="s">
        <v>2197</v>
      </c>
      <c r="AL148" s="163" t="s">
        <v>36</v>
      </c>
      <c r="AM148" t="s">
        <v>4876</v>
      </c>
      <c r="AN148" s="487">
        <v>0</v>
      </c>
      <c r="AO148" s="487">
        <v>0</v>
      </c>
    </row>
    <row r="149" spans="1:41" x14ac:dyDescent="0.2">
      <c r="A149">
        <v>148</v>
      </c>
      <c r="B149" s="471" t="s">
        <v>1125</v>
      </c>
      <c r="C149" s="163" t="s">
        <v>1139</v>
      </c>
      <c r="D149" s="163" t="s">
        <v>4148</v>
      </c>
      <c r="E149" s="163" t="s">
        <v>2073</v>
      </c>
      <c r="F149" s="163" t="s">
        <v>2074</v>
      </c>
      <c r="G149" s="163" t="s">
        <v>36</v>
      </c>
      <c r="H149" s="163" t="s">
        <v>2200</v>
      </c>
      <c r="I149" s="163" t="s">
        <v>5725</v>
      </c>
      <c r="J149" s="163" t="s">
        <v>2468</v>
      </c>
      <c r="K149" s="163" t="s">
        <v>1137</v>
      </c>
      <c r="L149" s="163" t="s">
        <v>2752</v>
      </c>
      <c r="M149" s="163">
        <v>609</v>
      </c>
      <c r="N149" s="163" t="s">
        <v>1139</v>
      </c>
      <c r="O149" s="163" t="s">
        <v>5749</v>
      </c>
      <c r="P149" s="163" t="s">
        <v>2753</v>
      </c>
      <c r="Q149" s="163" t="s">
        <v>4934</v>
      </c>
      <c r="R149" s="163" t="s">
        <v>2193</v>
      </c>
      <c r="S149" s="163" t="s">
        <v>2754</v>
      </c>
      <c r="T149" s="163">
        <v>98.6</v>
      </c>
      <c r="U149" s="163" t="s">
        <v>2222</v>
      </c>
      <c r="V149" s="163" t="s">
        <v>2755</v>
      </c>
      <c r="W149" s="163">
        <v>1796423</v>
      </c>
      <c r="X149" s="163" t="s">
        <v>5039</v>
      </c>
      <c r="Y149" s="163" t="s">
        <v>2756</v>
      </c>
      <c r="Z149" s="163" t="s">
        <v>2757</v>
      </c>
      <c r="AA149" s="163" t="s">
        <v>5039</v>
      </c>
      <c r="AB149" s="163" t="s">
        <v>36</v>
      </c>
      <c r="AC149" s="163" t="s">
        <v>2195</v>
      </c>
      <c r="AD149" s="163" t="s">
        <v>2196</v>
      </c>
      <c r="AE149" s="163" t="s">
        <v>1762</v>
      </c>
      <c r="AF149" s="163" t="s">
        <v>3940</v>
      </c>
      <c r="AG149" s="163" t="s">
        <v>3941</v>
      </c>
      <c r="AH149" s="163">
        <v>44106</v>
      </c>
      <c r="AI149" s="163" t="s">
        <v>36</v>
      </c>
      <c r="AJ149" s="163" t="s">
        <v>36</v>
      </c>
      <c r="AK149" s="163" t="s">
        <v>2197</v>
      </c>
      <c r="AL149" s="163" t="s">
        <v>36</v>
      </c>
      <c r="AM149" t="s">
        <v>4879</v>
      </c>
      <c r="AN149" s="487">
        <v>0</v>
      </c>
      <c r="AO149" s="487">
        <v>0</v>
      </c>
    </row>
    <row r="150" spans="1:41" x14ac:dyDescent="0.2">
      <c r="A150">
        <v>149</v>
      </c>
      <c r="B150" s="471" t="s">
        <v>1125</v>
      </c>
      <c r="C150" s="163" t="s">
        <v>4884</v>
      </c>
      <c r="D150" s="163" t="s">
        <v>4885</v>
      </c>
      <c r="E150" s="163" t="s">
        <v>2073</v>
      </c>
      <c r="F150" s="163" t="s">
        <v>2074</v>
      </c>
      <c r="G150" s="163" t="s">
        <v>36</v>
      </c>
      <c r="H150" s="163" t="s">
        <v>2200</v>
      </c>
      <c r="I150" s="163" t="s">
        <v>5725</v>
      </c>
      <c r="J150" s="163" t="s">
        <v>1768</v>
      </c>
      <c r="K150" s="163" t="s">
        <v>2728</v>
      </c>
      <c r="L150" s="163" t="s">
        <v>4886</v>
      </c>
      <c r="M150" s="163" t="s">
        <v>4887</v>
      </c>
      <c r="N150" s="163" t="s">
        <v>4884</v>
      </c>
      <c r="O150" s="163" t="s">
        <v>906</v>
      </c>
      <c r="P150" s="163" t="s">
        <v>2743</v>
      </c>
      <c r="Q150" s="163" t="s">
        <v>2198</v>
      </c>
      <c r="R150" s="163" t="s">
        <v>4746</v>
      </c>
      <c r="S150" s="163" t="s">
        <v>2734</v>
      </c>
      <c r="T150" s="163" t="s">
        <v>111</v>
      </c>
      <c r="U150" s="163" t="s">
        <v>2223</v>
      </c>
      <c r="V150" s="163" t="s">
        <v>4888</v>
      </c>
      <c r="W150" s="163" t="s">
        <v>2736</v>
      </c>
      <c r="X150" s="163" t="s">
        <v>2737</v>
      </c>
      <c r="Y150" s="163" t="s">
        <v>111</v>
      </c>
      <c r="Z150" s="163" t="s">
        <v>111</v>
      </c>
      <c r="AA150" s="163" t="s">
        <v>111</v>
      </c>
      <c r="AB150" s="163" t="s">
        <v>36</v>
      </c>
      <c r="AC150" s="163" t="s">
        <v>2195</v>
      </c>
      <c r="AD150" s="163" t="s">
        <v>2196</v>
      </c>
      <c r="AE150" s="163" t="s">
        <v>1762</v>
      </c>
      <c r="AF150" s="163" t="s">
        <v>3419</v>
      </c>
      <c r="AG150" s="163" t="s">
        <v>36</v>
      </c>
      <c r="AH150" s="163" t="s">
        <v>36</v>
      </c>
      <c r="AI150" s="163" t="s">
        <v>36</v>
      </c>
      <c r="AJ150" s="163" t="s">
        <v>36</v>
      </c>
      <c r="AK150" s="163" t="s">
        <v>2197</v>
      </c>
      <c r="AL150" s="163" t="s">
        <v>36</v>
      </c>
      <c r="AM150" t="s">
        <v>4876</v>
      </c>
      <c r="AN150" s="487">
        <v>0</v>
      </c>
      <c r="AO150" s="487">
        <v>0</v>
      </c>
    </row>
    <row r="151" spans="1:41" x14ac:dyDescent="0.2">
      <c r="A151">
        <v>150</v>
      </c>
      <c r="B151" s="471" t="s">
        <v>1125</v>
      </c>
      <c r="C151" s="163" t="s">
        <v>1141</v>
      </c>
      <c r="D151" s="163" t="s">
        <v>4149</v>
      </c>
      <c r="E151" s="163" t="s">
        <v>2073</v>
      </c>
      <c r="F151" s="163" t="s">
        <v>2074</v>
      </c>
      <c r="G151" s="163" t="s">
        <v>36</v>
      </c>
      <c r="H151" s="163" t="s">
        <v>2200</v>
      </c>
      <c r="I151" s="163" t="s">
        <v>5725</v>
      </c>
      <c r="J151" s="163" t="s">
        <v>1768</v>
      </c>
      <c r="K151" s="163" t="s">
        <v>2728</v>
      </c>
      <c r="L151" s="163" t="s">
        <v>2741</v>
      </c>
      <c r="M151" s="163" t="s">
        <v>2742</v>
      </c>
      <c r="N151" s="163" t="s">
        <v>1141</v>
      </c>
      <c r="O151" s="163" t="s">
        <v>906</v>
      </c>
      <c r="P151" s="163" t="s">
        <v>2743</v>
      </c>
      <c r="Q151" s="163" t="s">
        <v>2198</v>
      </c>
      <c r="R151" s="163" t="s">
        <v>2257</v>
      </c>
      <c r="S151" s="163" t="s">
        <v>5260</v>
      </c>
      <c r="T151" s="163" t="s">
        <v>111</v>
      </c>
      <c r="U151" s="163" t="s">
        <v>2223</v>
      </c>
      <c r="V151" s="163" t="s">
        <v>5261</v>
      </c>
      <c r="W151" s="163" t="s">
        <v>2736</v>
      </c>
      <c r="X151" s="163" t="s">
        <v>2737</v>
      </c>
      <c r="Y151" s="163" t="s">
        <v>111</v>
      </c>
      <c r="Z151" s="163" t="s">
        <v>111</v>
      </c>
      <c r="AA151" s="163" t="s">
        <v>111</v>
      </c>
      <c r="AB151" s="163" t="s">
        <v>36</v>
      </c>
      <c r="AC151" s="163" t="s">
        <v>2195</v>
      </c>
      <c r="AD151" s="163" t="s">
        <v>2196</v>
      </c>
      <c r="AE151" s="163" t="s">
        <v>1762</v>
      </c>
      <c r="AF151" s="163" t="s">
        <v>3419</v>
      </c>
      <c r="AG151" s="163" t="s">
        <v>36</v>
      </c>
      <c r="AH151" s="163" t="s">
        <v>36</v>
      </c>
      <c r="AI151" s="163" t="s">
        <v>36</v>
      </c>
      <c r="AJ151" s="163" t="s">
        <v>36</v>
      </c>
      <c r="AK151" s="163" t="s">
        <v>2197</v>
      </c>
      <c r="AL151" s="163" t="s">
        <v>36</v>
      </c>
      <c r="AM151" t="s">
        <v>4876</v>
      </c>
      <c r="AN151" s="487">
        <v>0</v>
      </c>
      <c r="AO151" s="487">
        <v>0</v>
      </c>
    </row>
    <row r="152" spans="1:41" x14ac:dyDescent="0.2">
      <c r="A152">
        <v>151</v>
      </c>
      <c r="B152" s="471" t="s">
        <v>1125</v>
      </c>
      <c r="C152" s="163" t="s">
        <v>1143</v>
      </c>
      <c r="D152" s="163" t="s">
        <v>4150</v>
      </c>
      <c r="E152" s="163" t="s">
        <v>2073</v>
      </c>
      <c r="F152" s="163" t="s">
        <v>2074</v>
      </c>
      <c r="G152" s="163" t="s">
        <v>36</v>
      </c>
      <c r="H152" s="163" t="s">
        <v>2200</v>
      </c>
      <c r="I152" s="163" t="s">
        <v>5725</v>
      </c>
      <c r="J152" s="163">
        <v>0</v>
      </c>
      <c r="K152" s="163">
        <v>0</v>
      </c>
      <c r="L152" s="163">
        <v>0</v>
      </c>
      <c r="M152" s="163">
        <v>0</v>
      </c>
      <c r="N152" s="163">
        <v>0</v>
      </c>
      <c r="O152" s="163">
        <v>0</v>
      </c>
      <c r="P152" s="163">
        <v>0</v>
      </c>
      <c r="Q152" s="163">
        <v>0</v>
      </c>
      <c r="R152" s="163">
        <v>0</v>
      </c>
      <c r="S152" s="163">
        <v>0</v>
      </c>
      <c r="T152" s="163">
        <v>0</v>
      </c>
      <c r="U152" s="163">
        <v>0</v>
      </c>
      <c r="V152" s="163">
        <v>0</v>
      </c>
      <c r="W152" s="163">
        <v>0</v>
      </c>
      <c r="X152" s="163">
        <v>0</v>
      </c>
      <c r="Y152" s="163">
        <v>0</v>
      </c>
      <c r="Z152" s="163">
        <v>0</v>
      </c>
      <c r="AA152" s="163">
        <v>0</v>
      </c>
      <c r="AB152" s="163" t="s">
        <v>36</v>
      </c>
      <c r="AC152" s="163" t="s">
        <v>2195</v>
      </c>
      <c r="AD152" s="163" t="s">
        <v>2196</v>
      </c>
      <c r="AE152" s="163" t="s">
        <v>1762</v>
      </c>
      <c r="AF152" s="163">
        <v>6</v>
      </c>
      <c r="AG152" s="163">
        <v>1</v>
      </c>
      <c r="AH152" s="163">
        <v>8</v>
      </c>
      <c r="AI152" s="163" t="s">
        <v>36</v>
      </c>
      <c r="AJ152" s="163" t="s">
        <v>36</v>
      </c>
      <c r="AK152" s="163" t="s">
        <v>2197</v>
      </c>
      <c r="AL152" s="163" t="s">
        <v>36</v>
      </c>
      <c r="AM152" t="s">
        <v>4876</v>
      </c>
      <c r="AN152" s="487">
        <v>0</v>
      </c>
      <c r="AO152" s="487">
        <v>0</v>
      </c>
    </row>
    <row r="153" spans="1:41" x14ac:dyDescent="0.2">
      <c r="A153">
        <v>152</v>
      </c>
      <c r="B153" s="471" t="s">
        <v>1125</v>
      </c>
      <c r="C153" s="163" t="s">
        <v>5387</v>
      </c>
      <c r="D153" s="163" t="s">
        <v>5388</v>
      </c>
      <c r="E153" s="163" t="s">
        <v>2073</v>
      </c>
      <c r="F153" s="163" t="s">
        <v>2074</v>
      </c>
      <c r="G153" s="163" t="s">
        <v>36</v>
      </c>
      <c r="H153" s="163" t="s">
        <v>2200</v>
      </c>
      <c r="I153" s="163" t="s">
        <v>5725</v>
      </c>
      <c r="J153" s="163" t="s">
        <v>1768</v>
      </c>
      <c r="K153" s="163" t="s">
        <v>5389</v>
      </c>
      <c r="L153" s="163" t="s">
        <v>2327</v>
      </c>
      <c r="M153" s="163" t="s">
        <v>5390</v>
      </c>
      <c r="N153" s="163" t="s">
        <v>5387</v>
      </c>
      <c r="O153" s="163" t="s">
        <v>2471</v>
      </c>
      <c r="P153" s="163" t="s">
        <v>5391</v>
      </c>
      <c r="Q153" s="163" t="s">
        <v>4938</v>
      </c>
      <c r="R153" s="163" t="s">
        <v>2193</v>
      </c>
      <c r="S153" s="163" t="s">
        <v>5392</v>
      </c>
      <c r="T153" s="163">
        <v>176.5</v>
      </c>
      <c r="U153" s="163" t="s">
        <v>111</v>
      </c>
      <c r="V153" s="163" t="s">
        <v>5393</v>
      </c>
      <c r="W153" s="163">
        <v>479797</v>
      </c>
      <c r="X153" s="163" t="s">
        <v>4939</v>
      </c>
      <c r="Y153" s="163" t="s">
        <v>5394</v>
      </c>
      <c r="Z153" s="163" t="s">
        <v>5395</v>
      </c>
      <c r="AA153" s="163" t="s">
        <v>4939</v>
      </c>
      <c r="AB153" s="163" t="s">
        <v>5396</v>
      </c>
      <c r="AC153" s="163" t="s">
        <v>2195</v>
      </c>
      <c r="AD153" s="163" t="s">
        <v>2196</v>
      </c>
      <c r="AE153" s="163" t="s">
        <v>1762</v>
      </c>
      <c r="AF153" s="163" t="s">
        <v>3419</v>
      </c>
      <c r="AG153" s="163" t="s">
        <v>36</v>
      </c>
      <c r="AH153" s="163" t="s">
        <v>36</v>
      </c>
      <c r="AI153" s="163" t="s">
        <v>36</v>
      </c>
      <c r="AJ153" s="163" t="s">
        <v>36</v>
      </c>
      <c r="AK153" s="163" t="s">
        <v>2197</v>
      </c>
      <c r="AL153" s="163" t="s">
        <v>36</v>
      </c>
      <c r="AM153" t="s">
        <v>4876</v>
      </c>
      <c r="AN153" s="487"/>
      <c r="AO153" s="487"/>
    </row>
    <row r="154" spans="1:41" x14ac:dyDescent="0.2">
      <c r="A154">
        <v>153</v>
      </c>
      <c r="B154" s="471" t="s">
        <v>1125</v>
      </c>
      <c r="C154" s="163" t="s">
        <v>1775</v>
      </c>
      <c r="D154" s="163" t="s">
        <v>4151</v>
      </c>
      <c r="E154" s="163" t="s">
        <v>2073</v>
      </c>
      <c r="F154" s="163" t="s">
        <v>2074</v>
      </c>
      <c r="G154" s="163" t="s">
        <v>36</v>
      </c>
      <c r="H154" s="163" t="s">
        <v>2200</v>
      </c>
      <c r="I154" s="163" t="s">
        <v>5725</v>
      </c>
      <c r="J154" s="163" t="s">
        <v>2468</v>
      </c>
      <c r="K154" s="163" t="s">
        <v>2768</v>
      </c>
      <c r="L154" s="163" t="s">
        <v>2769</v>
      </c>
      <c r="M154" s="163">
        <v>1705</v>
      </c>
      <c r="N154" s="163" t="s">
        <v>1775</v>
      </c>
      <c r="O154" s="163" t="s">
        <v>5749</v>
      </c>
      <c r="P154" s="163" t="s">
        <v>2753</v>
      </c>
      <c r="Q154" s="163" t="s">
        <v>4934</v>
      </c>
      <c r="R154" s="163" t="s">
        <v>2193</v>
      </c>
      <c r="S154" s="163" t="s">
        <v>2770</v>
      </c>
      <c r="T154" s="163">
        <v>93.8</v>
      </c>
      <c r="U154" s="163" t="s">
        <v>2222</v>
      </c>
      <c r="V154" s="163" t="s">
        <v>2771</v>
      </c>
      <c r="W154" s="163">
        <v>2467302</v>
      </c>
      <c r="X154" s="163" t="s">
        <v>5039</v>
      </c>
      <c r="Y154" s="163" t="s">
        <v>2772</v>
      </c>
      <c r="Z154" s="163" t="s">
        <v>2773</v>
      </c>
      <c r="AA154" s="163" t="s">
        <v>5039</v>
      </c>
      <c r="AB154" s="163" t="s">
        <v>36</v>
      </c>
      <c r="AC154" s="163" t="s">
        <v>2195</v>
      </c>
      <c r="AD154" s="163" t="s">
        <v>2196</v>
      </c>
      <c r="AE154" s="163" t="s">
        <v>1762</v>
      </c>
      <c r="AF154" s="163">
        <v>1</v>
      </c>
      <c r="AG154" s="163">
        <v>390</v>
      </c>
      <c r="AH154" s="163">
        <v>8</v>
      </c>
      <c r="AI154" s="163" t="s">
        <v>36</v>
      </c>
      <c r="AJ154" s="163" t="s">
        <v>36</v>
      </c>
      <c r="AK154" s="163" t="s">
        <v>2197</v>
      </c>
      <c r="AL154" s="163" t="s">
        <v>36</v>
      </c>
      <c r="AM154" t="s">
        <v>4879</v>
      </c>
      <c r="AN154" s="487">
        <v>0</v>
      </c>
      <c r="AO154" s="487">
        <v>0</v>
      </c>
    </row>
    <row r="155" spans="1:41" x14ac:dyDescent="0.2">
      <c r="A155">
        <v>154</v>
      </c>
      <c r="B155" s="471" t="s">
        <v>1125</v>
      </c>
      <c r="C155" s="163" t="s">
        <v>1814</v>
      </c>
      <c r="D155" s="163" t="s">
        <v>4152</v>
      </c>
      <c r="E155" s="163" t="s">
        <v>2073</v>
      </c>
      <c r="F155" s="163" t="s">
        <v>2074</v>
      </c>
      <c r="G155" s="163" t="s">
        <v>36</v>
      </c>
      <c r="H155" s="163" t="s">
        <v>2200</v>
      </c>
      <c r="I155" s="163" t="s">
        <v>5725</v>
      </c>
      <c r="J155" s="163" t="s">
        <v>1768</v>
      </c>
      <c r="K155" s="163" t="s">
        <v>4898</v>
      </c>
      <c r="L155" s="163" t="s">
        <v>2327</v>
      </c>
      <c r="M155" s="163">
        <v>7852</v>
      </c>
      <c r="N155" s="163" t="s">
        <v>1814</v>
      </c>
      <c r="O155" s="163" t="s">
        <v>906</v>
      </c>
      <c r="P155" s="163" t="s">
        <v>4899</v>
      </c>
      <c r="Q155" s="163" t="s">
        <v>2273</v>
      </c>
      <c r="R155" s="163" t="s">
        <v>2257</v>
      </c>
      <c r="S155" s="163" t="s">
        <v>2610</v>
      </c>
      <c r="T155" s="163">
        <v>420</v>
      </c>
      <c r="U155" s="163" t="s">
        <v>111</v>
      </c>
      <c r="V155" s="163" t="s">
        <v>4900</v>
      </c>
      <c r="W155" s="163" t="s">
        <v>2766</v>
      </c>
      <c r="X155" s="163" t="s">
        <v>2333</v>
      </c>
      <c r="Y155" s="163" t="s">
        <v>111</v>
      </c>
      <c r="Z155" s="163" t="s">
        <v>111</v>
      </c>
      <c r="AA155" s="163" t="s">
        <v>111</v>
      </c>
      <c r="AB155" s="163" t="s">
        <v>4902</v>
      </c>
      <c r="AC155" s="163" t="s">
        <v>4445</v>
      </c>
      <c r="AD155" s="163" t="s">
        <v>4901</v>
      </c>
      <c r="AE155" s="163" t="s">
        <v>1761</v>
      </c>
      <c r="AF155" s="163" t="s">
        <v>3419</v>
      </c>
      <c r="AG155" s="163" t="s">
        <v>36</v>
      </c>
      <c r="AH155" s="163" t="s">
        <v>36</v>
      </c>
      <c r="AI155" s="163" t="s">
        <v>36</v>
      </c>
      <c r="AJ155" s="163" t="s">
        <v>36</v>
      </c>
      <c r="AK155" s="163" t="s">
        <v>2197</v>
      </c>
      <c r="AL155" s="163" t="s">
        <v>36</v>
      </c>
      <c r="AM155" t="s">
        <v>4883</v>
      </c>
      <c r="AN155" s="487">
        <v>0</v>
      </c>
      <c r="AO155" s="487">
        <v>0</v>
      </c>
    </row>
    <row r="156" spans="1:41" x14ac:dyDescent="0.2">
      <c r="A156">
        <v>155</v>
      </c>
      <c r="B156" s="471" t="s">
        <v>1125</v>
      </c>
      <c r="C156" s="163" t="s">
        <v>1810</v>
      </c>
      <c r="D156" s="163" t="s">
        <v>4153</v>
      </c>
      <c r="E156" s="163" t="s">
        <v>2073</v>
      </c>
      <c r="F156" s="163" t="s">
        <v>2074</v>
      </c>
      <c r="G156" s="163" t="s">
        <v>36</v>
      </c>
      <c r="H156" s="163" t="s">
        <v>2200</v>
      </c>
      <c r="I156" s="163" t="s">
        <v>5725</v>
      </c>
      <c r="J156" s="163" t="s">
        <v>1768</v>
      </c>
      <c r="K156" s="163" t="s">
        <v>2789</v>
      </c>
      <c r="L156" s="163" t="s">
        <v>2315</v>
      </c>
      <c r="M156" s="163" t="s">
        <v>1810</v>
      </c>
      <c r="N156" s="163" t="s">
        <v>1810</v>
      </c>
      <c r="O156" s="163" t="s">
        <v>906</v>
      </c>
      <c r="P156" s="163" t="s">
        <v>2790</v>
      </c>
      <c r="Q156" s="163" t="s">
        <v>2273</v>
      </c>
      <c r="R156" s="163" t="s">
        <v>2257</v>
      </c>
      <c r="S156" s="163" t="s">
        <v>2779</v>
      </c>
      <c r="T156" s="163">
        <v>420</v>
      </c>
      <c r="U156" s="163" t="s">
        <v>111</v>
      </c>
      <c r="V156" s="163" t="s">
        <v>2765</v>
      </c>
      <c r="W156" s="163" t="s">
        <v>2780</v>
      </c>
      <c r="X156" s="163" t="s">
        <v>2194</v>
      </c>
      <c r="Y156" s="163" t="s">
        <v>2765</v>
      </c>
      <c r="Z156" s="163" t="s">
        <v>2780</v>
      </c>
      <c r="AA156" s="163" t="s">
        <v>2194</v>
      </c>
      <c r="AB156" s="163" t="s">
        <v>2781</v>
      </c>
      <c r="AC156" s="163" t="s">
        <v>2195</v>
      </c>
      <c r="AD156" s="163" t="s">
        <v>2196</v>
      </c>
      <c r="AE156" s="163" t="s">
        <v>1762</v>
      </c>
      <c r="AF156" s="163" t="s">
        <v>36</v>
      </c>
      <c r="AG156" s="163" t="s">
        <v>36</v>
      </c>
      <c r="AH156" s="163" t="s">
        <v>36</v>
      </c>
      <c r="AI156" s="163" t="s">
        <v>36</v>
      </c>
      <c r="AJ156" s="163" t="s">
        <v>36</v>
      </c>
      <c r="AK156" s="163" t="s">
        <v>2197</v>
      </c>
      <c r="AL156" s="163" t="s">
        <v>36</v>
      </c>
      <c r="AM156" t="s">
        <v>4889</v>
      </c>
      <c r="AN156" s="487">
        <v>0</v>
      </c>
      <c r="AO156" s="487">
        <v>0</v>
      </c>
    </row>
    <row r="157" spans="1:41" x14ac:dyDescent="0.2">
      <c r="A157">
        <v>156</v>
      </c>
      <c r="B157" s="471" t="s">
        <v>1125</v>
      </c>
      <c r="C157" s="163" t="s">
        <v>1812</v>
      </c>
      <c r="D157" s="163" t="s">
        <v>4154</v>
      </c>
      <c r="E157" s="163" t="s">
        <v>2073</v>
      </c>
      <c r="F157" s="163" t="s">
        <v>2074</v>
      </c>
      <c r="G157" s="163" t="s">
        <v>36</v>
      </c>
      <c r="H157" s="163" t="s">
        <v>2200</v>
      </c>
      <c r="I157" s="163" t="s">
        <v>5725</v>
      </c>
      <c r="J157" s="163" t="s">
        <v>1768</v>
      </c>
      <c r="K157" s="163" t="s">
        <v>2792</v>
      </c>
      <c r="L157" s="163" t="s">
        <v>2315</v>
      </c>
      <c r="M157" s="163" t="s">
        <v>1812</v>
      </c>
      <c r="N157" s="163" t="s">
        <v>1812</v>
      </c>
      <c r="O157" s="163" t="s">
        <v>906</v>
      </c>
      <c r="P157" s="163" t="s">
        <v>2793</v>
      </c>
      <c r="Q157" s="163" t="s">
        <v>2273</v>
      </c>
      <c r="R157" s="163" t="s">
        <v>2257</v>
      </c>
      <c r="S157" s="163" t="s">
        <v>2779</v>
      </c>
      <c r="T157" s="163">
        <v>420</v>
      </c>
      <c r="U157" s="163" t="s">
        <v>111</v>
      </c>
      <c r="V157" s="163" t="s">
        <v>2765</v>
      </c>
      <c r="W157" s="163" t="s">
        <v>2780</v>
      </c>
      <c r="X157" s="163" t="s">
        <v>2194</v>
      </c>
      <c r="Y157" s="163" t="s">
        <v>2765</v>
      </c>
      <c r="Z157" s="163" t="s">
        <v>2780</v>
      </c>
      <c r="AA157" s="163" t="s">
        <v>2194</v>
      </c>
      <c r="AB157" s="163" t="s">
        <v>2781</v>
      </c>
      <c r="AC157" s="163" t="s">
        <v>2195</v>
      </c>
      <c r="AD157" s="163" t="s">
        <v>2196</v>
      </c>
      <c r="AE157" s="163" t="s">
        <v>1762</v>
      </c>
      <c r="AF157" s="163" t="s">
        <v>36</v>
      </c>
      <c r="AG157" s="163" t="s">
        <v>36</v>
      </c>
      <c r="AH157" s="163" t="s">
        <v>36</v>
      </c>
      <c r="AI157" s="163" t="s">
        <v>36</v>
      </c>
      <c r="AJ157" s="163" t="s">
        <v>36</v>
      </c>
      <c r="AK157" s="163" t="s">
        <v>2197</v>
      </c>
      <c r="AL157" s="163" t="s">
        <v>36</v>
      </c>
      <c r="AM157" t="s">
        <v>4876</v>
      </c>
      <c r="AN157" s="487">
        <v>0</v>
      </c>
      <c r="AO157" s="487">
        <v>0</v>
      </c>
    </row>
    <row r="158" spans="1:41" x14ac:dyDescent="0.2">
      <c r="A158">
        <v>157</v>
      </c>
      <c r="B158" s="471" t="s">
        <v>1125</v>
      </c>
      <c r="C158" s="163" t="s">
        <v>1808</v>
      </c>
      <c r="D158" s="163" t="s">
        <v>4155</v>
      </c>
      <c r="E158" s="163" t="s">
        <v>2073</v>
      </c>
      <c r="F158" s="163" t="s">
        <v>2074</v>
      </c>
      <c r="G158" s="163" t="s">
        <v>36</v>
      </c>
      <c r="H158" s="163" t="s">
        <v>2200</v>
      </c>
      <c r="I158" s="163" t="s">
        <v>5725</v>
      </c>
      <c r="J158" s="163" t="s">
        <v>1768</v>
      </c>
      <c r="K158" s="163" t="s">
        <v>2777</v>
      </c>
      <c r="L158" s="163" t="s">
        <v>2315</v>
      </c>
      <c r="M158" s="163" t="s">
        <v>1808</v>
      </c>
      <c r="N158" s="163" t="s">
        <v>1808</v>
      </c>
      <c r="O158" s="163" t="s">
        <v>906</v>
      </c>
      <c r="P158" s="163" t="s">
        <v>2778</v>
      </c>
      <c r="Q158" s="163" t="s">
        <v>2273</v>
      </c>
      <c r="R158" s="163" t="s">
        <v>2257</v>
      </c>
      <c r="S158" s="163" t="s">
        <v>2779</v>
      </c>
      <c r="T158" s="163">
        <v>420</v>
      </c>
      <c r="U158" s="163" t="s">
        <v>111</v>
      </c>
      <c r="V158" s="163" t="s">
        <v>2765</v>
      </c>
      <c r="W158" s="163" t="s">
        <v>2780</v>
      </c>
      <c r="X158" s="163" t="s">
        <v>2194</v>
      </c>
      <c r="Y158" s="163" t="s">
        <v>2765</v>
      </c>
      <c r="Z158" s="163" t="s">
        <v>2780</v>
      </c>
      <c r="AA158" s="163" t="s">
        <v>2194</v>
      </c>
      <c r="AB158" s="163" t="s">
        <v>2781</v>
      </c>
      <c r="AC158" s="163" t="s">
        <v>2195</v>
      </c>
      <c r="AD158" s="163" t="s">
        <v>2196</v>
      </c>
      <c r="AE158" s="163" t="s">
        <v>1762</v>
      </c>
      <c r="AF158" s="163" t="s">
        <v>36</v>
      </c>
      <c r="AG158" s="163" t="s">
        <v>36</v>
      </c>
      <c r="AH158" s="163" t="s">
        <v>36</v>
      </c>
      <c r="AI158" s="163" t="s">
        <v>36</v>
      </c>
      <c r="AJ158" s="163" t="s">
        <v>36</v>
      </c>
      <c r="AK158" s="163" t="s">
        <v>2197</v>
      </c>
      <c r="AL158" s="163" t="s">
        <v>36</v>
      </c>
      <c r="AM158" t="s">
        <v>4876</v>
      </c>
      <c r="AN158" s="487">
        <v>0</v>
      </c>
      <c r="AO158" s="487">
        <v>0</v>
      </c>
    </row>
    <row r="159" spans="1:41" x14ac:dyDescent="0.2">
      <c r="A159">
        <v>158</v>
      </c>
      <c r="B159" s="471" t="s">
        <v>1125</v>
      </c>
      <c r="C159" s="163" t="s">
        <v>1806</v>
      </c>
      <c r="D159" s="163" t="s">
        <v>4156</v>
      </c>
      <c r="E159" s="163" t="s">
        <v>2073</v>
      </c>
      <c r="F159" s="163" t="s">
        <v>2074</v>
      </c>
      <c r="G159" s="163" t="s">
        <v>36</v>
      </c>
      <c r="H159" s="163" t="s">
        <v>2200</v>
      </c>
      <c r="I159" s="163" t="s">
        <v>5725</v>
      </c>
      <c r="J159" s="163" t="s">
        <v>1768</v>
      </c>
      <c r="K159" s="163" t="s">
        <v>2763</v>
      </c>
      <c r="L159" s="163" t="s">
        <v>2315</v>
      </c>
      <c r="M159" s="163" t="s">
        <v>1806</v>
      </c>
      <c r="N159" s="163" t="s">
        <v>1806</v>
      </c>
      <c r="O159" s="163" t="s">
        <v>906</v>
      </c>
      <c r="P159" s="163" t="s">
        <v>2317</v>
      </c>
      <c r="Q159" s="163" t="s">
        <v>2192</v>
      </c>
      <c r="R159" s="163" t="s">
        <v>2193</v>
      </c>
      <c r="S159" s="163" t="s">
        <v>2764</v>
      </c>
      <c r="T159" s="163">
        <v>147.6</v>
      </c>
      <c r="U159" s="163" t="s">
        <v>2222</v>
      </c>
      <c r="V159" s="163" t="s">
        <v>2765</v>
      </c>
      <c r="W159" s="163" t="s">
        <v>2766</v>
      </c>
      <c r="X159" s="163" t="s">
        <v>2353</v>
      </c>
      <c r="Y159" s="163" t="s">
        <v>2765</v>
      </c>
      <c r="Z159" s="163" t="s">
        <v>2766</v>
      </c>
      <c r="AA159" s="163" t="s">
        <v>2353</v>
      </c>
      <c r="AB159" s="163" t="s">
        <v>2767</v>
      </c>
      <c r="AC159" s="163" t="s">
        <v>2195</v>
      </c>
      <c r="AD159" s="163" t="s">
        <v>2196</v>
      </c>
      <c r="AE159" s="163" t="s">
        <v>1762</v>
      </c>
      <c r="AF159" s="163" t="s">
        <v>3419</v>
      </c>
      <c r="AG159" s="163" t="s">
        <v>36</v>
      </c>
      <c r="AH159" s="163" t="s">
        <v>36</v>
      </c>
      <c r="AI159" s="163" t="s">
        <v>36</v>
      </c>
      <c r="AJ159" s="163" t="s">
        <v>36</v>
      </c>
      <c r="AK159" s="163" t="s">
        <v>2197</v>
      </c>
      <c r="AL159" s="163" t="s">
        <v>36</v>
      </c>
      <c r="AM159" t="s">
        <v>4879</v>
      </c>
      <c r="AN159" s="487">
        <v>0</v>
      </c>
      <c r="AO159" s="487">
        <v>0</v>
      </c>
    </row>
    <row r="160" spans="1:41" x14ac:dyDescent="0.2">
      <c r="A160">
        <v>159</v>
      </c>
      <c r="B160" s="471" t="s">
        <v>1125</v>
      </c>
      <c r="C160" s="163" t="s">
        <v>1906</v>
      </c>
      <c r="D160" s="163" t="s">
        <v>4157</v>
      </c>
      <c r="E160" s="163" t="s">
        <v>2073</v>
      </c>
      <c r="F160" s="163" t="s">
        <v>2074</v>
      </c>
      <c r="G160" s="163" t="s">
        <v>36</v>
      </c>
      <c r="H160" s="163" t="s">
        <v>2200</v>
      </c>
      <c r="I160" s="163" t="s">
        <v>5739</v>
      </c>
      <c r="J160" s="163" t="s">
        <v>2468</v>
      </c>
      <c r="K160" s="163" t="s">
        <v>1123</v>
      </c>
      <c r="L160" s="163" t="s">
        <v>2782</v>
      </c>
      <c r="M160" s="163" t="s">
        <v>2783</v>
      </c>
      <c r="N160" s="163" t="s">
        <v>1906</v>
      </c>
      <c r="O160" s="163" t="s">
        <v>5750</v>
      </c>
      <c r="P160" s="163" t="s">
        <v>2283</v>
      </c>
      <c r="Q160" s="163" t="s">
        <v>4936</v>
      </c>
      <c r="R160" s="163" t="s">
        <v>2367</v>
      </c>
      <c r="S160" s="163" t="s">
        <v>2784</v>
      </c>
      <c r="T160" s="163">
        <v>567</v>
      </c>
      <c r="U160" s="163" t="s">
        <v>2220</v>
      </c>
      <c r="V160" s="163" t="s">
        <v>2785</v>
      </c>
      <c r="W160" s="163">
        <v>62523275</v>
      </c>
      <c r="X160" s="163" t="s">
        <v>4937</v>
      </c>
      <c r="Y160" s="163" t="s">
        <v>2786</v>
      </c>
      <c r="Z160" s="163" t="s">
        <v>2787</v>
      </c>
      <c r="AA160" s="163" t="s">
        <v>4937</v>
      </c>
      <c r="AB160" s="163" t="s">
        <v>2788</v>
      </c>
      <c r="AC160" s="163" t="s">
        <v>2195</v>
      </c>
      <c r="AD160" s="163" t="s">
        <v>2196</v>
      </c>
      <c r="AE160" s="163" t="s">
        <v>1762</v>
      </c>
      <c r="AF160" s="163" t="s">
        <v>3419</v>
      </c>
      <c r="AG160" s="163" t="s">
        <v>36</v>
      </c>
      <c r="AH160" s="163" t="s">
        <v>36</v>
      </c>
      <c r="AI160" s="163" t="s">
        <v>36</v>
      </c>
      <c r="AJ160" s="163" t="s">
        <v>36</v>
      </c>
      <c r="AK160" s="163" t="s">
        <v>2197</v>
      </c>
      <c r="AL160" s="163" t="s">
        <v>36</v>
      </c>
      <c r="AM160" t="s">
        <v>4876</v>
      </c>
      <c r="AN160" s="487">
        <v>0</v>
      </c>
      <c r="AO160" s="487">
        <v>0</v>
      </c>
    </row>
    <row r="161" spans="1:41" x14ac:dyDescent="0.2">
      <c r="A161">
        <v>160</v>
      </c>
      <c r="B161" s="471" t="s">
        <v>1125</v>
      </c>
      <c r="C161" s="163" t="s">
        <v>4596</v>
      </c>
      <c r="D161" s="163" t="s">
        <v>4597</v>
      </c>
      <c r="E161" s="163" t="s">
        <v>2073</v>
      </c>
      <c r="F161" s="163" t="s">
        <v>2074</v>
      </c>
      <c r="G161" s="163" t="s">
        <v>36</v>
      </c>
      <c r="H161" s="163" t="s">
        <v>2200</v>
      </c>
      <c r="I161" s="163" t="s">
        <v>5725</v>
      </c>
      <c r="J161" s="163" t="s">
        <v>1768</v>
      </c>
      <c r="K161" s="163" t="s">
        <v>4598</v>
      </c>
      <c r="L161" s="163" t="s">
        <v>4599</v>
      </c>
      <c r="M161" s="163">
        <v>159874</v>
      </c>
      <c r="N161" s="163" t="s">
        <v>4596</v>
      </c>
      <c r="O161" s="163" t="s">
        <v>906</v>
      </c>
      <c r="P161" s="163" t="s">
        <v>2739</v>
      </c>
      <c r="Q161" s="163" t="s">
        <v>2198</v>
      </c>
      <c r="R161" s="163" t="s">
        <v>2193</v>
      </c>
      <c r="S161" s="163" t="s">
        <v>2734</v>
      </c>
      <c r="T161" s="163" t="s">
        <v>111</v>
      </c>
      <c r="U161" s="163" t="s">
        <v>2223</v>
      </c>
      <c r="V161" s="163" t="s">
        <v>4600</v>
      </c>
      <c r="W161" s="163" t="s">
        <v>4596</v>
      </c>
      <c r="X161" s="163" t="s">
        <v>2273</v>
      </c>
      <c r="Y161" s="163" t="s">
        <v>111</v>
      </c>
      <c r="Z161" s="163" t="s">
        <v>111</v>
      </c>
      <c r="AA161" s="163" t="s">
        <v>111</v>
      </c>
      <c r="AB161" s="163" t="s">
        <v>36</v>
      </c>
      <c r="AC161" s="163" t="s">
        <v>2195</v>
      </c>
      <c r="AD161" s="163" t="s">
        <v>2196</v>
      </c>
      <c r="AE161" s="163" t="s">
        <v>1762</v>
      </c>
      <c r="AF161" s="163" t="s">
        <v>3419</v>
      </c>
      <c r="AG161" s="163" t="s">
        <v>36</v>
      </c>
      <c r="AH161" s="163" t="s">
        <v>36</v>
      </c>
      <c r="AI161" s="163" t="s">
        <v>36</v>
      </c>
      <c r="AJ161" s="163" t="s">
        <v>36</v>
      </c>
      <c r="AK161" s="163" t="s">
        <v>2197</v>
      </c>
      <c r="AL161" s="163" t="s">
        <v>36</v>
      </c>
      <c r="AM161" t="s">
        <v>4876</v>
      </c>
      <c r="AN161" s="487">
        <v>0</v>
      </c>
      <c r="AO161" s="487">
        <v>0</v>
      </c>
    </row>
    <row r="162" spans="1:41" x14ac:dyDescent="0.2">
      <c r="A162">
        <v>161</v>
      </c>
      <c r="B162" s="471" t="s">
        <v>1149</v>
      </c>
      <c r="C162" s="163">
        <v>588</v>
      </c>
      <c r="D162" s="163" t="s">
        <v>4158</v>
      </c>
      <c r="E162" s="163" t="s">
        <v>2075</v>
      </c>
      <c r="F162" s="163" t="s">
        <v>2076</v>
      </c>
      <c r="G162" s="163" t="s">
        <v>36</v>
      </c>
      <c r="H162" s="163" t="s">
        <v>2200</v>
      </c>
      <c r="I162" s="163" t="s">
        <v>2794</v>
      </c>
      <c r="J162" s="163" t="s">
        <v>1768</v>
      </c>
      <c r="K162" s="163" t="s">
        <v>2286</v>
      </c>
      <c r="L162" s="163" t="s">
        <v>2801</v>
      </c>
      <c r="M162" s="163">
        <v>588</v>
      </c>
      <c r="N162" s="163">
        <v>588</v>
      </c>
      <c r="O162" s="163" t="s">
        <v>906</v>
      </c>
      <c r="P162" s="163" t="s">
        <v>2802</v>
      </c>
      <c r="Q162" s="163" t="s">
        <v>2803</v>
      </c>
      <c r="R162" s="163" t="s">
        <v>2193</v>
      </c>
      <c r="S162" s="163" t="s">
        <v>2804</v>
      </c>
      <c r="T162" s="163">
        <v>5.04</v>
      </c>
      <c r="U162" s="163" t="s">
        <v>1952</v>
      </c>
      <c r="V162" s="163" t="s">
        <v>2805</v>
      </c>
      <c r="W162" s="163">
        <v>588</v>
      </c>
      <c r="X162" s="163" t="s">
        <v>2806</v>
      </c>
      <c r="Y162" s="163" t="s">
        <v>111</v>
      </c>
      <c r="Z162" s="163" t="s">
        <v>111</v>
      </c>
      <c r="AA162" s="163" t="s">
        <v>111</v>
      </c>
      <c r="AB162" s="163" t="s">
        <v>2264</v>
      </c>
      <c r="AC162" s="163" t="s">
        <v>2195</v>
      </c>
      <c r="AD162" s="163" t="s">
        <v>2196</v>
      </c>
      <c r="AE162" s="163" t="s">
        <v>1762</v>
      </c>
      <c r="AF162" s="163">
        <v>32</v>
      </c>
      <c r="AG162" s="163">
        <v>0</v>
      </c>
      <c r="AH162" s="163" t="s">
        <v>3419</v>
      </c>
      <c r="AI162" s="163" t="s">
        <v>4427</v>
      </c>
      <c r="AJ162" s="163" t="s">
        <v>4428</v>
      </c>
      <c r="AK162" s="163" t="s">
        <v>2197</v>
      </c>
      <c r="AL162" s="163" t="s">
        <v>36</v>
      </c>
      <c r="AM162" t="s">
        <v>4876</v>
      </c>
      <c r="AN162" s="487">
        <v>0</v>
      </c>
      <c r="AO162" s="487">
        <v>0</v>
      </c>
    </row>
    <row r="163" spans="1:41" x14ac:dyDescent="0.2">
      <c r="A163">
        <v>162</v>
      </c>
      <c r="B163" s="471" t="s">
        <v>1149</v>
      </c>
      <c r="C163" s="163">
        <v>12004</v>
      </c>
      <c r="D163" s="163" t="s">
        <v>4159</v>
      </c>
      <c r="E163" s="163" t="s">
        <v>2075</v>
      </c>
      <c r="F163" s="163" t="s">
        <v>2076</v>
      </c>
      <c r="G163" s="163" t="s">
        <v>36</v>
      </c>
      <c r="H163" s="163" t="s">
        <v>2200</v>
      </c>
      <c r="I163" s="163" t="s">
        <v>5725</v>
      </c>
      <c r="J163" s="163" t="s">
        <v>1768</v>
      </c>
      <c r="K163" s="163" t="s">
        <v>1120</v>
      </c>
      <c r="L163" s="163" t="s">
        <v>2807</v>
      </c>
      <c r="M163" s="163" t="s">
        <v>2808</v>
      </c>
      <c r="N163" s="163">
        <v>12004</v>
      </c>
      <c r="O163" s="163" t="s">
        <v>906</v>
      </c>
      <c r="P163" s="163" t="s">
        <v>2261</v>
      </c>
      <c r="Q163" s="163" t="s">
        <v>2198</v>
      </c>
      <c r="R163" s="163" t="s">
        <v>2193</v>
      </c>
      <c r="S163" s="163" t="s">
        <v>2809</v>
      </c>
      <c r="T163" s="163">
        <v>1.3</v>
      </c>
      <c r="U163" s="163" t="s">
        <v>1952</v>
      </c>
      <c r="V163" s="163" t="s">
        <v>2268</v>
      </c>
      <c r="W163" s="163" t="s">
        <v>2808</v>
      </c>
      <c r="X163" s="163" t="s">
        <v>2810</v>
      </c>
      <c r="Y163" s="163" t="s">
        <v>111</v>
      </c>
      <c r="Z163" s="163" t="s">
        <v>111</v>
      </c>
      <c r="AA163" s="163" t="s">
        <v>111</v>
      </c>
      <c r="AB163" s="163" t="s">
        <v>2811</v>
      </c>
      <c r="AC163" s="163" t="s">
        <v>2195</v>
      </c>
      <c r="AD163" s="163" t="s">
        <v>2196</v>
      </c>
      <c r="AE163" s="163" t="s">
        <v>1762</v>
      </c>
      <c r="AF163" s="163" t="s">
        <v>3419</v>
      </c>
      <c r="AG163" s="163" t="s">
        <v>36</v>
      </c>
      <c r="AH163" s="163" t="s">
        <v>36</v>
      </c>
      <c r="AI163" s="163" t="s">
        <v>36</v>
      </c>
      <c r="AJ163" s="163" t="s">
        <v>36</v>
      </c>
      <c r="AK163" s="163" t="s">
        <v>2197</v>
      </c>
      <c r="AL163" s="163" t="s">
        <v>36</v>
      </c>
      <c r="AM163" t="s">
        <v>4876</v>
      </c>
      <c r="AN163" s="487">
        <v>0</v>
      </c>
      <c r="AO163" s="487">
        <v>0</v>
      </c>
    </row>
    <row r="164" spans="1:41" x14ac:dyDescent="0.2">
      <c r="A164">
        <v>163</v>
      </c>
      <c r="B164" s="471" t="s">
        <v>1149</v>
      </c>
      <c r="C164" s="163" t="s">
        <v>1165</v>
      </c>
      <c r="D164" s="163" t="s">
        <v>4160</v>
      </c>
      <c r="E164" s="163" t="s">
        <v>2075</v>
      </c>
      <c r="F164" s="163" t="s">
        <v>2076</v>
      </c>
      <c r="G164" s="163" t="s">
        <v>36</v>
      </c>
      <c r="H164" s="163" t="s">
        <v>2200</v>
      </c>
      <c r="I164" s="163" t="s">
        <v>5725</v>
      </c>
      <c r="J164" s="163" t="s">
        <v>2812</v>
      </c>
      <c r="K164" s="163" t="s">
        <v>1329</v>
      </c>
      <c r="L164" s="163" t="s">
        <v>2813</v>
      </c>
      <c r="M164" s="163" t="s">
        <v>2814</v>
      </c>
      <c r="N164" s="163" t="s">
        <v>1165</v>
      </c>
      <c r="O164" s="163" t="s">
        <v>906</v>
      </c>
      <c r="P164" s="163" t="s">
        <v>2815</v>
      </c>
      <c r="Q164" s="163" t="s">
        <v>2198</v>
      </c>
      <c r="R164" s="163" t="s">
        <v>2294</v>
      </c>
      <c r="S164" s="163" t="s">
        <v>2816</v>
      </c>
      <c r="T164" s="163">
        <v>1.04</v>
      </c>
      <c r="U164" s="163" t="s">
        <v>1952</v>
      </c>
      <c r="V164" s="163" t="s">
        <v>2813</v>
      </c>
      <c r="W164" s="163" t="s">
        <v>2814</v>
      </c>
      <c r="X164" s="163" t="s">
        <v>2263</v>
      </c>
      <c r="Y164" s="163" t="s">
        <v>111</v>
      </c>
      <c r="Z164" s="163" t="s">
        <v>111</v>
      </c>
      <c r="AA164" s="163" t="s">
        <v>111</v>
      </c>
      <c r="AB164" s="163" t="s">
        <v>4782</v>
      </c>
      <c r="AC164" s="163" t="s">
        <v>2195</v>
      </c>
      <c r="AD164" s="163" t="s">
        <v>2196</v>
      </c>
      <c r="AE164" s="163" t="s">
        <v>1762</v>
      </c>
      <c r="AF164" s="163" t="s">
        <v>3419</v>
      </c>
      <c r="AG164" s="163" t="s">
        <v>36</v>
      </c>
      <c r="AH164" s="163" t="s">
        <v>36</v>
      </c>
      <c r="AI164" s="163" t="s">
        <v>36</v>
      </c>
      <c r="AJ164" s="163" t="s">
        <v>36</v>
      </c>
      <c r="AK164" s="163" t="s">
        <v>2197</v>
      </c>
      <c r="AL164" s="163" t="s">
        <v>36</v>
      </c>
      <c r="AM164" t="s">
        <v>4876</v>
      </c>
      <c r="AN164" s="487">
        <v>0</v>
      </c>
      <c r="AO164" s="487">
        <v>0</v>
      </c>
    </row>
    <row r="165" spans="1:41" x14ac:dyDescent="0.2">
      <c r="A165">
        <v>164</v>
      </c>
      <c r="B165" s="471" t="s">
        <v>1149</v>
      </c>
      <c r="C165" s="163" t="s">
        <v>5483</v>
      </c>
      <c r="D165" s="163" t="s">
        <v>5484</v>
      </c>
      <c r="E165" s="163" t="s">
        <v>2075</v>
      </c>
      <c r="F165" s="163" t="s">
        <v>2076</v>
      </c>
      <c r="G165" s="163" t="s">
        <v>36</v>
      </c>
      <c r="H165" s="163" t="s">
        <v>2200</v>
      </c>
      <c r="I165" s="163" t="s">
        <v>2794</v>
      </c>
      <c r="J165" s="163" t="s">
        <v>1768</v>
      </c>
      <c r="K165" s="163" t="s">
        <v>1910</v>
      </c>
      <c r="L165" s="163" t="s">
        <v>5485</v>
      </c>
      <c r="M165" s="163" t="s">
        <v>5486</v>
      </c>
      <c r="N165" s="163" t="s">
        <v>5483</v>
      </c>
      <c r="O165" s="163" t="s">
        <v>906</v>
      </c>
      <c r="P165" s="163" t="s">
        <v>5487</v>
      </c>
      <c r="Q165" s="163" t="s">
        <v>2276</v>
      </c>
      <c r="R165" s="163" t="s">
        <v>2193</v>
      </c>
      <c r="S165" s="163" t="s">
        <v>5488</v>
      </c>
      <c r="T165" s="163">
        <v>4.13</v>
      </c>
      <c r="U165" s="163" t="s">
        <v>1952</v>
      </c>
      <c r="V165" s="163" t="s">
        <v>5489</v>
      </c>
      <c r="W165" s="163" t="s">
        <v>5490</v>
      </c>
      <c r="X165" s="163" t="s">
        <v>2194</v>
      </c>
      <c r="Y165" s="163" t="s">
        <v>111</v>
      </c>
      <c r="Z165" s="163" t="s">
        <v>111</v>
      </c>
      <c r="AA165" s="163" t="s">
        <v>111</v>
      </c>
      <c r="AB165" s="163" t="s">
        <v>36</v>
      </c>
      <c r="AC165" s="163" t="s">
        <v>2195</v>
      </c>
      <c r="AD165" s="163" t="s">
        <v>2196</v>
      </c>
      <c r="AE165" s="163" t="s">
        <v>1762</v>
      </c>
      <c r="AF165" s="163" t="s">
        <v>3419</v>
      </c>
      <c r="AG165" s="163" t="s">
        <v>36</v>
      </c>
      <c r="AH165" s="163" t="s">
        <v>36</v>
      </c>
      <c r="AI165" s="163" t="s">
        <v>36</v>
      </c>
      <c r="AJ165" s="163" t="s">
        <v>36</v>
      </c>
      <c r="AK165" s="163" t="s">
        <v>2197</v>
      </c>
      <c r="AL165" s="163" t="s">
        <v>36</v>
      </c>
      <c r="AM165" t="s">
        <v>4876</v>
      </c>
      <c r="AN165" s="487"/>
      <c r="AO165" s="487"/>
    </row>
    <row r="166" spans="1:41" x14ac:dyDescent="0.2">
      <c r="A166">
        <v>165</v>
      </c>
      <c r="B166" s="471" t="s">
        <v>1149</v>
      </c>
      <c r="C166" s="163" t="s">
        <v>5200</v>
      </c>
      <c r="D166" s="163" t="s">
        <v>5201</v>
      </c>
      <c r="E166" s="163" t="s">
        <v>2075</v>
      </c>
      <c r="F166" s="163" t="s">
        <v>2076</v>
      </c>
      <c r="G166" s="163" t="s">
        <v>36</v>
      </c>
      <c r="H166" s="163" t="s">
        <v>2200</v>
      </c>
      <c r="I166" s="163" t="s">
        <v>2794</v>
      </c>
      <c r="J166" s="163" t="s">
        <v>1768</v>
      </c>
      <c r="K166" s="163" t="s">
        <v>5147</v>
      </c>
      <c r="L166" s="163" t="s">
        <v>5202</v>
      </c>
      <c r="M166" s="163">
        <v>15791</v>
      </c>
      <c r="N166" s="163" t="s">
        <v>5200</v>
      </c>
      <c r="O166" s="163" t="s">
        <v>2471</v>
      </c>
      <c r="P166" s="163" t="s">
        <v>5203</v>
      </c>
      <c r="Q166" s="163" t="s">
        <v>2198</v>
      </c>
      <c r="R166" s="163" t="s">
        <v>2193</v>
      </c>
      <c r="S166" s="163" t="s">
        <v>2858</v>
      </c>
      <c r="T166" s="163">
        <v>8</v>
      </c>
      <c r="U166" s="163" t="s">
        <v>1952</v>
      </c>
      <c r="V166" s="163" t="s">
        <v>5204</v>
      </c>
      <c r="W166" s="163" t="s">
        <v>5205</v>
      </c>
      <c r="X166" s="163" t="s">
        <v>2194</v>
      </c>
      <c r="Y166" s="163" t="s">
        <v>111</v>
      </c>
      <c r="Z166" s="163" t="s">
        <v>111</v>
      </c>
      <c r="AA166" s="163" t="s">
        <v>111</v>
      </c>
      <c r="AB166" s="163" t="s">
        <v>36</v>
      </c>
      <c r="AC166" s="163" t="s">
        <v>2195</v>
      </c>
      <c r="AD166" s="163" t="s">
        <v>5206</v>
      </c>
      <c r="AE166" s="163" t="s">
        <v>1762</v>
      </c>
      <c r="AF166" s="163">
        <v>2.06</v>
      </c>
      <c r="AG166" s="163" t="s">
        <v>5207</v>
      </c>
      <c r="AH166" s="163" t="s">
        <v>5208</v>
      </c>
      <c r="AI166" s="163" t="s">
        <v>5209</v>
      </c>
      <c r="AJ166" s="163" t="s">
        <v>36</v>
      </c>
      <c r="AK166" s="163" t="s">
        <v>2197</v>
      </c>
      <c r="AL166" s="163" t="s">
        <v>36</v>
      </c>
      <c r="AM166" t="s">
        <v>4877</v>
      </c>
      <c r="AN166" s="487"/>
      <c r="AO166" s="487"/>
    </row>
    <row r="167" spans="1:41" x14ac:dyDescent="0.2">
      <c r="A167">
        <v>166</v>
      </c>
      <c r="B167" s="471" t="s">
        <v>1149</v>
      </c>
      <c r="C167" s="163" t="s">
        <v>5422</v>
      </c>
      <c r="D167" s="163" t="s">
        <v>5423</v>
      </c>
      <c r="E167" s="163" t="s">
        <v>2075</v>
      </c>
      <c r="F167" s="163" t="s">
        <v>2076</v>
      </c>
      <c r="G167" s="163" t="s">
        <v>36</v>
      </c>
      <c r="H167" s="163" t="s">
        <v>2200</v>
      </c>
      <c r="I167" s="163" t="s">
        <v>2794</v>
      </c>
      <c r="J167" s="163" t="s">
        <v>1768</v>
      </c>
      <c r="K167" s="163" t="s">
        <v>5147</v>
      </c>
      <c r="L167" s="163" t="s">
        <v>5424</v>
      </c>
      <c r="M167" s="163">
        <v>187</v>
      </c>
      <c r="N167" s="163" t="s">
        <v>5422</v>
      </c>
      <c r="O167" s="163" t="s">
        <v>2471</v>
      </c>
      <c r="P167" s="163" t="s">
        <v>5425</v>
      </c>
      <c r="Q167" s="163" t="s">
        <v>2198</v>
      </c>
      <c r="R167" s="163" t="s">
        <v>2257</v>
      </c>
      <c r="S167" s="163" t="s">
        <v>5426</v>
      </c>
      <c r="T167" s="163">
        <v>10.16</v>
      </c>
      <c r="U167" s="163" t="s">
        <v>1952</v>
      </c>
      <c r="V167" s="163" t="s">
        <v>5427</v>
      </c>
      <c r="W167" s="163">
        <v>187</v>
      </c>
      <c r="X167" s="163" t="s">
        <v>2194</v>
      </c>
      <c r="Y167" s="163" t="s">
        <v>111</v>
      </c>
      <c r="Z167" s="163" t="s">
        <v>111</v>
      </c>
      <c r="AA167" s="163" t="s">
        <v>111</v>
      </c>
      <c r="AB167" s="163" t="s">
        <v>36</v>
      </c>
      <c r="AC167" s="163" t="s">
        <v>2195</v>
      </c>
      <c r="AD167" s="163" t="s">
        <v>5215</v>
      </c>
      <c r="AE167" s="163" t="s">
        <v>1762</v>
      </c>
      <c r="AF167" s="163">
        <v>2.5</v>
      </c>
      <c r="AG167" s="163">
        <v>0.28000000000000003</v>
      </c>
      <c r="AH167" s="163">
        <v>0.88</v>
      </c>
      <c r="AI167" s="163" t="s">
        <v>5428</v>
      </c>
      <c r="AJ167" s="163" t="s">
        <v>36</v>
      </c>
      <c r="AK167" s="163" t="s">
        <v>2197</v>
      </c>
      <c r="AL167" s="163" t="s">
        <v>36</v>
      </c>
      <c r="AM167" t="s">
        <v>4877</v>
      </c>
      <c r="AN167" s="487"/>
      <c r="AO167" s="487"/>
    </row>
    <row r="168" spans="1:41" x14ac:dyDescent="0.2">
      <c r="A168">
        <v>167</v>
      </c>
      <c r="B168" s="471" t="s">
        <v>1149</v>
      </c>
      <c r="C168" s="163" t="s">
        <v>5210</v>
      </c>
      <c r="D168" s="163" t="s">
        <v>5211</v>
      </c>
      <c r="E168" s="163" t="s">
        <v>2075</v>
      </c>
      <c r="F168" s="163" t="s">
        <v>2076</v>
      </c>
      <c r="G168" s="163" t="s">
        <v>36</v>
      </c>
      <c r="H168" s="163" t="s">
        <v>2200</v>
      </c>
      <c r="I168" s="163" t="s">
        <v>2794</v>
      </c>
      <c r="J168" s="163" t="s">
        <v>1768</v>
      </c>
      <c r="K168" s="163" t="s">
        <v>5147</v>
      </c>
      <c r="L168" s="163" t="s">
        <v>5212</v>
      </c>
      <c r="M168" s="163">
        <v>75143</v>
      </c>
      <c r="N168" s="163" t="s">
        <v>5210</v>
      </c>
      <c r="O168" s="163" t="s">
        <v>2471</v>
      </c>
      <c r="P168" s="163" t="s">
        <v>2535</v>
      </c>
      <c r="Q168" s="163" t="s">
        <v>2198</v>
      </c>
      <c r="R168" s="163" t="s">
        <v>2193</v>
      </c>
      <c r="S168" s="163" t="s">
        <v>5213</v>
      </c>
      <c r="T168" s="163">
        <v>37.4</v>
      </c>
      <c r="U168" s="163" t="s">
        <v>1952</v>
      </c>
      <c r="V168" s="163" t="s">
        <v>5214</v>
      </c>
      <c r="W168" s="163">
        <v>7243169</v>
      </c>
      <c r="X168" s="163" t="s">
        <v>2810</v>
      </c>
      <c r="Y168" s="163" t="s">
        <v>111</v>
      </c>
      <c r="Z168" s="163" t="s">
        <v>111</v>
      </c>
      <c r="AA168" s="163" t="s">
        <v>111</v>
      </c>
      <c r="AB168" s="163" t="s">
        <v>5216</v>
      </c>
      <c r="AC168" s="163" t="s">
        <v>2195</v>
      </c>
      <c r="AD168" s="163" t="s">
        <v>5215</v>
      </c>
      <c r="AE168" s="163" t="s">
        <v>1762</v>
      </c>
      <c r="AF168" s="163" t="s">
        <v>3419</v>
      </c>
      <c r="AG168" s="163" t="s">
        <v>36</v>
      </c>
      <c r="AH168" s="163" t="s">
        <v>36</v>
      </c>
      <c r="AI168" s="163" t="s">
        <v>36</v>
      </c>
      <c r="AJ168" s="163" t="s">
        <v>36</v>
      </c>
      <c r="AK168" s="163" t="s">
        <v>2197</v>
      </c>
      <c r="AL168" s="163" t="s">
        <v>36</v>
      </c>
      <c r="AM168" t="s">
        <v>4879</v>
      </c>
      <c r="AN168" s="487"/>
      <c r="AO168" s="487"/>
    </row>
    <row r="169" spans="1:41" x14ac:dyDescent="0.2">
      <c r="A169">
        <v>168</v>
      </c>
      <c r="B169" s="471" t="s">
        <v>1149</v>
      </c>
      <c r="C169" s="163" t="s">
        <v>1964</v>
      </c>
      <c r="D169" s="163" t="s">
        <v>4161</v>
      </c>
      <c r="E169" s="163" t="s">
        <v>2075</v>
      </c>
      <c r="F169" s="163" t="s">
        <v>2076</v>
      </c>
      <c r="G169" s="163" t="s">
        <v>36</v>
      </c>
      <c r="H169" s="163" t="s">
        <v>2200</v>
      </c>
      <c r="I169" s="163" t="s">
        <v>2794</v>
      </c>
      <c r="J169" s="163" t="s">
        <v>1768</v>
      </c>
      <c r="K169" s="163" t="s">
        <v>2286</v>
      </c>
      <c r="L169" s="163" t="s">
        <v>2795</v>
      </c>
      <c r="M169" s="163">
        <v>482</v>
      </c>
      <c r="N169" s="163" t="s">
        <v>1964</v>
      </c>
      <c r="O169" s="163" t="s">
        <v>906</v>
      </c>
      <c r="P169" s="163" t="s">
        <v>2796</v>
      </c>
      <c r="Q169" s="163" t="s">
        <v>2273</v>
      </c>
      <c r="R169" s="163" t="s">
        <v>2193</v>
      </c>
      <c r="S169" s="163" t="s">
        <v>2797</v>
      </c>
      <c r="T169" s="163">
        <v>6.16</v>
      </c>
      <c r="U169" s="163" t="s">
        <v>1952</v>
      </c>
      <c r="V169" s="163" t="s">
        <v>2798</v>
      </c>
      <c r="W169" s="163" t="s">
        <v>2460</v>
      </c>
      <c r="X169" s="163" t="s">
        <v>2799</v>
      </c>
      <c r="Y169" s="163" t="s">
        <v>111</v>
      </c>
      <c r="Z169" s="163" t="s">
        <v>111</v>
      </c>
      <c r="AA169" s="163" t="s">
        <v>111</v>
      </c>
      <c r="AB169" s="163" t="s">
        <v>2800</v>
      </c>
      <c r="AC169" s="163" t="s">
        <v>2195</v>
      </c>
      <c r="AD169" s="163" t="s">
        <v>2196</v>
      </c>
      <c r="AE169" s="163" t="s">
        <v>1762</v>
      </c>
      <c r="AF169" s="163" t="s">
        <v>3419</v>
      </c>
      <c r="AG169" s="163" t="s">
        <v>36</v>
      </c>
      <c r="AH169" s="163" t="s">
        <v>36</v>
      </c>
      <c r="AI169" s="163" t="s">
        <v>36</v>
      </c>
      <c r="AJ169" s="163" t="s">
        <v>36</v>
      </c>
      <c r="AK169" s="163" t="s">
        <v>2197</v>
      </c>
      <c r="AL169" s="163" t="s">
        <v>36</v>
      </c>
      <c r="AM169" t="s">
        <v>4876</v>
      </c>
      <c r="AN169" s="487">
        <v>0</v>
      </c>
      <c r="AO169" s="487">
        <v>0</v>
      </c>
    </row>
    <row r="170" spans="1:41" x14ac:dyDescent="0.2">
      <c r="A170">
        <v>169</v>
      </c>
      <c r="B170" s="471" t="s">
        <v>1149</v>
      </c>
      <c r="C170" s="163" t="s">
        <v>1163</v>
      </c>
      <c r="D170" s="163" t="s">
        <v>4162</v>
      </c>
      <c r="E170" s="163" t="s">
        <v>2075</v>
      </c>
      <c r="F170" s="163" t="s">
        <v>2076</v>
      </c>
      <c r="G170" s="163" t="s">
        <v>36</v>
      </c>
      <c r="H170" s="163" t="s">
        <v>2200</v>
      </c>
      <c r="I170" s="163" t="s">
        <v>5725</v>
      </c>
      <c r="J170" s="163" t="s">
        <v>2812</v>
      </c>
      <c r="K170" s="163" t="s">
        <v>2817</v>
      </c>
      <c r="L170" s="163" t="s">
        <v>2541</v>
      </c>
      <c r="M170" s="163" t="s">
        <v>1163</v>
      </c>
      <c r="N170" s="163" t="s">
        <v>1163</v>
      </c>
      <c r="O170" s="163" t="s">
        <v>906</v>
      </c>
      <c r="P170" s="163" t="s">
        <v>2818</v>
      </c>
      <c r="Q170" s="163" t="s">
        <v>2276</v>
      </c>
      <c r="R170" s="163" t="s">
        <v>2257</v>
      </c>
      <c r="S170" s="163" t="s">
        <v>2819</v>
      </c>
      <c r="T170" s="163">
        <v>18.8</v>
      </c>
      <c r="U170" s="163" t="s">
        <v>2223</v>
      </c>
      <c r="V170" s="163" t="s">
        <v>2820</v>
      </c>
      <c r="W170" s="163" t="s">
        <v>2822</v>
      </c>
      <c r="X170" s="163" t="s">
        <v>2821</v>
      </c>
      <c r="Y170" s="163" t="s">
        <v>2820</v>
      </c>
      <c r="Z170" s="163" t="s">
        <v>2822</v>
      </c>
      <c r="AA170" s="163" t="s">
        <v>2302</v>
      </c>
      <c r="AB170" s="163" t="s">
        <v>2823</v>
      </c>
      <c r="AC170" s="163" t="s">
        <v>2195</v>
      </c>
      <c r="AD170" s="163" t="s">
        <v>2196</v>
      </c>
      <c r="AE170" s="163" t="s">
        <v>1762</v>
      </c>
      <c r="AF170" s="163" t="s">
        <v>3419</v>
      </c>
      <c r="AG170" s="163" t="s">
        <v>36</v>
      </c>
      <c r="AH170" s="163" t="s">
        <v>36</v>
      </c>
      <c r="AI170" s="163" t="s">
        <v>36</v>
      </c>
      <c r="AJ170" s="163" t="s">
        <v>36</v>
      </c>
      <c r="AK170" s="163" t="s">
        <v>2197</v>
      </c>
      <c r="AL170" s="163" t="s">
        <v>36</v>
      </c>
      <c r="AM170" t="s">
        <v>4876</v>
      </c>
      <c r="AN170" s="487">
        <v>0</v>
      </c>
      <c r="AO170" s="487">
        <v>0</v>
      </c>
    </row>
    <row r="171" spans="1:41" x14ac:dyDescent="0.2">
      <c r="A171">
        <v>170</v>
      </c>
      <c r="B171" s="471" t="s">
        <v>1149</v>
      </c>
      <c r="C171" s="163" t="s">
        <v>5402</v>
      </c>
      <c r="D171" s="163" t="s">
        <v>5403</v>
      </c>
      <c r="E171" s="163" t="s">
        <v>2075</v>
      </c>
      <c r="F171" s="163" t="s">
        <v>2076</v>
      </c>
      <c r="G171" s="163" t="s">
        <v>36</v>
      </c>
      <c r="H171" s="163" t="s">
        <v>2200</v>
      </c>
      <c r="I171" s="163" t="s">
        <v>2794</v>
      </c>
      <c r="J171" s="163" t="s">
        <v>1768</v>
      </c>
      <c r="K171" s="163" t="s">
        <v>1910</v>
      </c>
      <c r="L171" s="163" t="s">
        <v>5404</v>
      </c>
      <c r="M171" s="163" t="s">
        <v>5405</v>
      </c>
      <c r="N171" s="163" t="s">
        <v>5402</v>
      </c>
      <c r="O171" s="163" t="s">
        <v>906</v>
      </c>
      <c r="P171" s="163" t="s">
        <v>5406</v>
      </c>
      <c r="Q171" s="163" t="s">
        <v>2198</v>
      </c>
      <c r="R171" s="163" t="s">
        <v>2193</v>
      </c>
      <c r="S171" s="163" t="s">
        <v>5407</v>
      </c>
      <c r="T171" s="163">
        <v>9.76</v>
      </c>
      <c r="U171" s="163" t="s">
        <v>1952</v>
      </c>
      <c r="V171" s="163" t="s">
        <v>5408</v>
      </c>
      <c r="W171" s="163" t="s">
        <v>5409</v>
      </c>
      <c r="X171" s="163" t="s">
        <v>2194</v>
      </c>
      <c r="Y171" s="163" t="s">
        <v>111</v>
      </c>
      <c r="Z171" s="163" t="s">
        <v>111</v>
      </c>
      <c r="AA171" s="163" t="s">
        <v>111</v>
      </c>
      <c r="AB171" s="163" t="s">
        <v>36</v>
      </c>
      <c r="AC171" s="163" t="s">
        <v>2195</v>
      </c>
      <c r="AD171" s="163" t="s">
        <v>2196</v>
      </c>
      <c r="AE171" s="163" t="s">
        <v>1762</v>
      </c>
      <c r="AF171" s="163" t="s">
        <v>3419</v>
      </c>
      <c r="AG171" s="163" t="s">
        <v>36</v>
      </c>
      <c r="AH171" s="163" t="s">
        <v>36</v>
      </c>
      <c r="AI171" s="163" t="s">
        <v>36</v>
      </c>
      <c r="AJ171" s="163" t="s">
        <v>36</v>
      </c>
      <c r="AK171" s="163" t="s">
        <v>2197</v>
      </c>
      <c r="AL171" s="163" t="s">
        <v>36</v>
      </c>
      <c r="AM171" t="s">
        <v>4876</v>
      </c>
      <c r="AN171" s="487"/>
      <c r="AO171" s="487"/>
    </row>
    <row r="172" spans="1:41" x14ac:dyDescent="0.2">
      <c r="A172">
        <v>171</v>
      </c>
      <c r="B172" s="471" t="s">
        <v>1149</v>
      </c>
      <c r="C172" s="163" t="s">
        <v>5410</v>
      </c>
      <c r="D172" s="163" t="s">
        <v>5411</v>
      </c>
      <c r="E172" s="163" t="s">
        <v>2075</v>
      </c>
      <c r="F172" s="163" t="s">
        <v>2076</v>
      </c>
      <c r="G172" s="163" t="s">
        <v>36</v>
      </c>
      <c r="H172" s="163" t="s">
        <v>2200</v>
      </c>
      <c r="I172" s="163" t="s">
        <v>2794</v>
      </c>
      <c r="J172" s="163" t="s">
        <v>1768</v>
      </c>
      <c r="K172" s="163" t="s">
        <v>1910</v>
      </c>
      <c r="L172" s="163" t="s">
        <v>5404</v>
      </c>
      <c r="M172" s="163" t="s">
        <v>5412</v>
      </c>
      <c r="N172" s="163" t="s">
        <v>5410</v>
      </c>
      <c r="O172" s="163" t="s">
        <v>906</v>
      </c>
      <c r="P172" s="163" t="s">
        <v>5406</v>
      </c>
      <c r="Q172" s="163" t="s">
        <v>2198</v>
      </c>
      <c r="R172" s="163" t="s">
        <v>2193</v>
      </c>
      <c r="S172" s="163" t="s">
        <v>5407</v>
      </c>
      <c r="T172" s="163">
        <v>9.76</v>
      </c>
      <c r="U172" s="163" t="s">
        <v>1952</v>
      </c>
      <c r="V172" s="163" t="s">
        <v>5408</v>
      </c>
      <c r="W172" s="163" t="s">
        <v>5413</v>
      </c>
      <c r="X172" s="163" t="s">
        <v>2194</v>
      </c>
      <c r="Y172" s="163" t="s">
        <v>111</v>
      </c>
      <c r="Z172" s="163" t="s">
        <v>111</v>
      </c>
      <c r="AA172" s="163" t="s">
        <v>111</v>
      </c>
      <c r="AB172" s="163" t="s">
        <v>36</v>
      </c>
      <c r="AC172" s="163" t="s">
        <v>2195</v>
      </c>
      <c r="AD172" s="163" t="s">
        <v>2196</v>
      </c>
      <c r="AE172" s="163" t="s">
        <v>1762</v>
      </c>
      <c r="AF172" s="163" t="s">
        <v>3419</v>
      </c>
      <c r="AG172" s="163" t="s">
        <v>36</v>
      </c>
      <c r="AH172" s="163" t="s">
        <v>36</v>
      </c>
      <c r="AI172" s="163" t="s">
        <v>36</v>
      </c>
      <c r="AJ172" s="163" t="s">
        <v>36</v>
      </c>
      <c r="AK172" s="163" t="s">
        <v>2197</v>
      </c>
      <c r="AL172" s="163" t="s">
        <v>36</v>
      </c>
      <c r="AM172" t="s">
        <v>4876</v>
      </c>
      <c r="AN172" s="487"/>
      <c r="AO172" s="487"/>
    </row>
    <row r="173" spans="1:41" x14ac:dyDescent="0.2">
      <c r="A173">
        <v>172</v>
      </c>
      <c r="B173" s="471" t="s">
        <v>1149</v>
      </c>
      <c r="C173" s="163" t="s">
        <v>5414</v>
      </c>
      <c r="D173" s="163" t="s">
        <v>5415</v>
      </c>
      <c r="E173" s="163" t="s">
        <v>2075</v>
      </c>
      <c r="F173" s="163" t="s">
        <v>2076</v>
      </c>
      <c r="G173" s="163" t="s">
        <v>36</v>
      </c>
      <c r="H173" s="163" t="s">
        <v>2200</v>
      </c>
      <c r="I173" s="163" t="s">
        <v>2794</v>
      </c>
      <c r="J173" s="163" t="s">
        <v>1768</v>
      </c>
      <c r="K173" s="163" t="s">
        <v>1910</v>
      </c>
      <c r="L173" s="163" t="s">
        <v>5416</v>
      </c>
      <c r="M173" s="163">
        <v>13271</v>
      </c>
      <c r="N173" s="163" t="s">
        <v>5414</v>
      </c>
      <c r="O173" s="163" t="s">
        <v>906</v>
      </c>
      <c r="P173" s="163" t="s">
        <v>5417</v>
      </c>
      <c r="Q173" s="163" t="s">
        <v>2198</v>
      </c>
      <c r="R173" s="163" t="s">
        <v>2193</v>
      </c>
      <c r="S173" s="163" t="s">
        <v>2858</v>
      </c>
      <c r="T173" s="163">
        <v>8</v>
      </c>
      <c r="U173" s="163" t="s">
        <v>1952</v>
      </c>
      <c r="V173" s="163" t="s">
        <v>3660</v>
      </c>
      <c r="W173" s="163" t="s">
        <v>5418</v>
      </c>
      <c r="X173" s="163" t="s">
        <v>2194</v>
      </c>
      <c r="Y173" s="163" t="s">
        <v>111</v>
      </c>
      <c r="Z173" s="163" t="s">
        <v>111</v>
      </c>
      <c r="AA173" s="163" t="s">
        <v>111</v>
      </c>
      <c r="AB173" s="163" t="s">
        <v>36</v>
      </c>
      <c r="AC173" s="163" t="s">
        <v>2195</v>
      </c>
      <c r="AD173" s="163" t="s">
        <v>2196</v>
      </c>
      <c r="AE173" s="163" t="s">
        <v>1762</v>
      </c>
      <c r="AF173" s="163">
        <v>1.7</v>
      </c>
      <c r="AG173" s="163">
        <v>1.1200000000000001</v>
      </c>
      <c r="AH173" s="163">
        <v>0.7</v>
      </c>
      <c r="AI173" s="163" t="s">
        <v>5419</v>
      </c>
      <c r="AJ173" s="163" t="s">
        <v>36</v>
      </c>
      <c r="AK173" s="163" t="s">
        <v>2197</v>
      </c>
      <c r="AL173" s="163" t="s">
        <v>36</v>
      </c>
      <c r="AM173" t="s">
        <v>4876</v>
      </c>
      <c r="AN173" s="487"/>
      <c r="AO173" s="487"/>
    </row>
    <row r="174" spans="1:41" x14ac:dyDescent="0.2">
      <c r="A174">
        <v>173</v>
      </c>
      <c r="B174" s="471" t="s">
        <v>1149</v>
      </c>
      <c r="C174" s="163" t="s">
        <v>5491</v>
      </c>
      <c r="D174" s="163" t="s">
        <v>5492</v>
      </c>
      <c r="E174" s="163" t="s">
        <v>2075</v>
      </c>
      <c r="F174" s="163" t="s">
        <v>2076</v>
      </c>
      <c r="G174" s="163" t="s">
        <v>36</v>
      </c>
      <c r="H174" s="163" t="s">
        <v>2200</v>
      </c>
      <c r="I174" s="163" t="s">
        <v>2794</v>
      </c>
      <c r="J174" s="163" t="s">
        <v>1768</v>
      </c>
      <c r="K174" s="163" t="s">
        <v>5493</v>
      </c>
      <c r="L174" s="163" t="s">
        <v>5494</v>
      </c>
      <c r="M174" s="163">
        <v>14835</v>
      </c>
      <c r="N174" s="163" t="s">
        <v>5491</v>
      </c>
      <c r="O174" s="163" t="s">
        <v>906</v>
      </c>
      <c r="P174" s="163" t="s">
        <v>5495</v>
      </c>
      <c r="Q174" s="163" t="s">
        <v>2198</v>
      </c>
      <c r="R174" s="163" t="s">
        <v>2193</v>
      </c>
      <c r="S174" s="163" t="s">
        <v>2858</v>
      </c>
      <c r="T174" s="163">
        <v>8</v>
      </c>
      <c r="U174" s="163" t="s">
        <v>1952</v>
      </c>
      <c r="V174" s="163" t="s">
        <v>3660</v>
      </c>
      <c r="W174" s="163" t="s">
        <v>5496</v>
      </c>
      <c r="X174" s="163" t="s">
        <v>2194</v>
      </c>
      <c r="Y174" s="163" t="s">
        <v>111</v>
      </c>
      <c r="Z174" s="163" t="s">
        <v>111</v>
      </c>
      <c r="AA174" s="163" t="s">
        <v>111</v>
      </c>
      <c r="AB174" s="163" t="s">
        <v>36</v>
      </c>
      <c r="AC174" s="163" t="s">
        <v>2195</v>
      </c>
      <c r="AD174" s="163" t="s">
        <v>2196</v>
      </c>
      <c r="AE174" s="163" t="s">
        <v>1762</v>
      </c>
      <c r="AF174" s="163" t="s">
        <v>3419</v>
      </c>
      <c r="AG174" s="163" t="s">
        <v>36</v>
      </c>
      <c r="AH174" s="163" t="s">
        <v>36</v>
      </c>
      <c r="AI174" s="163" t="s">
        <v>36</v>
      </c>
      <c r="AJ174" s="163" t="s">
        <v>36</v>
      </c>
      <c r="AK174" s="163" t="s">
        <v>2197</v>
      </c>
      <c r="AL174" s="163" t="s">
        <v>36</v>
      </c>
      <c r="AM174" t="s">
        <v>4876</v>
      </c>
      <c r="AN174" s="487"/>
      <c r="AO174" s="487"/>
    </row>
    <row r="175" spans="1:41" x14ac:dyDescent="0.2">
      <c r="A175">
        <v>174</v>
      </c>
      <c r="B175" s="471" t="s">
        <v>1149</v>
      </c>
      <c r="C175" s="163" t="s">
        <v>5497</v>
      </c>
      <c r="D175" s="163" t="s">
        <v>5498</v>
      </c>
      <c r="E175" s="163" t="s">
        <v>2075</v>
      </c>
      <c r="F175" s="163" t="s">
        <v>2076</v>
      </c>
      <c r="G175" s="163" t="s">
        <v>36</v>
      </c>
      <c r="H175" s="163" t="s">
        <v>2200</v>
      </c>
      <c r="I175" s="163" t="s">
        <v>5725</v>
      </c>
      <c r="J175" s="163" t="s">
        <v>2812</v>
      </c>
      <c r="K175" s="163" t="s">
        <v>5499</v>
      </c>
      <c r="L175" s="163" t="s">
        <v>5500</v>
      </c>
      <c r="M175" s="163" t="s">
        <v>5501</v>
      </c>
      <c r="N175" s="163" t="s">
        <v>5497</v>
      </c>
      <c r="O175" s="163" t="s">
        <v>906</v>
      </c>
      <c r="P175" s="163" t="s">
        <v>5502</v>
      </c>
      <c r="Q175" s="163" t="s">
        <v>5503</v>
      </c>
      <c r="R175" s="163" t="s">
        <v>2294</v>
      </c>
      <c r="S175" s="163" t="s">
        <v>2816</v>
      </c>
      <c r="T175" s="163">
        <v>1.04</v>
      </c>
      <c r="U175" s="163" t="s">
        <v>1952</v>
      </c>
      <c r="V175" s="163" t="s">
        <v>5500</v>
      </c>
      <c r="W175" s="163" t="s">
        <v>5501</v>
      </c>
      <c r="X175" s="163" t="s">
        <v>5504</v>
      </c>
      <c r="Y175" s="163" t="s">
        <v>111</v>
      </c>
      <c r="Z175" s="163" t="s">
        <v>111</v>
      </c>
      <c r="AA175" s="163" t="s">
        <v>111</v>
      </c>
      <c r="AB175" s="163" t="s">
        <v>4782</v>
      </c>
      <c r="AC175" s="163" t="s">
        <v>2195</v>
      </c>
      <c r="AD175" s="163" t="s">
        <v>2196</v>
      </c>
      <c r="AE175" s="163" t="s">
        <v>1762</v>
      </c>
      <c r="AF175" s="163" t="s">
        <v>3419</v>
      </c>
      <c r="AG175" s="163" t="s">
        <v>36</v>
      </c>
      <c r="AH175" s="163" t="s">
        <v>36</v>
      </c>
      <c r="AI175" s="163" t="s">
        <v>36</v>
      </c>
      <c r="AJ175" s="163" t="s">
        <v>36</v>
      </c>
      <c r="AK175" s="163" t="s">
        <v>2197</v>
      </c>
      <c r="AL175" s="163" t="s">
        <v>36</v>
      </c>
      <c r="AM175" t="s">
        <v>4876</v>
      </c>
      <c r="AN175" s="487"/>
      <c r="AO175" s="487"/>
    </row>
    <row r="176" spans="1:41" x14ac:dyDescent="0.2">
      <c r="A176">
        <v>175</v>
      </c>
      <c r="B176" s="471" t="s">
        <v>1149</v>
      </c>
      <c r="C176" s="163" t="s">
        <v>5143</v>
      </c>
      <c r="D176" s="163" t="s">
        <v>5144</v>
      </c>
      <c r="E176" s="163" t="s">
        <v>5145</v>
      </c>
      <c r="F176" s="163" t="s">
        <v>5146</v>
      </c>
      <c r="G176" s="163" t="s">
        <v>36</v>
      </c>
      <c r="H176" s="163" t="s">
        <v>2200</v>
      </c>
      <c r="I176" s="163" t="s">
        <v>5725</v>
      </c>
      <c r="J176" s="163" t="s">
        <v>1768</v>
      </c>
      <c r="K176" s="163" t="s">
        <v>5147</v>
      </c>
      <c r="L176" s="163" t="s">
        <v>2541</v>
      </c>
      <c r="M176" s="163">
        <v>851899</v>
      </c>
      <c r="N176" s="163" t="s">
        <v>5143</v>
      </c>
      <c r="O176" s="163" t="s">
        <v>5148</v>
      </c>
      <c r="P176" s="163" t="s">
        <v>3573</v>
      </c>
      <c r="Q176" s="163" t="s">
        <v>3574</v>
      </c>
      <c r="R176" s="163" t="s">
        <v>5149</v>
      </c>
      <c r="S176" s="163" t="s">
        <v>5150</v>
      </c>
      <c r="T176" s="163">
        <v>2.75</v>
      </c>
      <c r="U176" s="163" t="s">
        <v>1952</v>
      </c>
      <c r="V176" s="163" t="s">
        <v>5151</v>
      </c>
      <c r="W176" s="163" t="s">
        <v>5152</v>
      </c>
      <c r="X176" s="163" t="s">
        <v>3381</v>
      </c>
      <c r="Y176" s="163" t="s">
        <v>111</v>
      </c>
      <c r="Z176" s="163" t="s">
        <v>111</v>
      </c>
      <c r="AA176" s="163" t="s">
        <v>111</v>
      </c>
      <c r="AB176" s="163" t="s">
        <v>5153</v>
      </c>
      <c r="AC176" s="163" t="s">
        <v>4510</v>
      </c>
      <c r="AD176" s="163" t="s">
        <v>5154</v>
      </c>
      <c r="AE176" s="163" t="s">
        <v>1762</v>
      </c>
      <c r="AF176" s="163" t="s">
        <v>111</v>
      </c>
      <c r="AG176" s="163" t="s">
        <v>111</v>
      </c>
      <c r="AH176" s="163" t="s">
        <v>111</v>
      </c>
      <c r="AI176" s="163" t="s">
        <v>111</v>
      </c>
      <c r="AJ176" s="163" t="s">
        <v>111</v>
      </c>
      <c r="AK176" s="163" t="s">
        <v>2197</v>
      </c>
      <c r="AL176" s="163" t="s">
        <v>111</v>
      </c>
      <c r="AM176" t="s">
        <v>4879</v>
      </c>
      <c r="AN176" s="487"/>
      <c r="AO176" s="487"/>
    </row>
    <row r="177" spans="1:41" x14ac:dyDescent="0.2">
      <c r="A177">
        <v>176</v>
      </c>
      <c r="B177" s="471" t="s">
        <v>1149</v>
      </c>
      <c r="C177" s="163" t="s">
        <v>5616</v>
      </c>
      <c r="D177" s="163" t="s">
        <v>5617</v>
      </c>
      <c r="E177" s="163" t="s">
        <v>2075</v>
      </c>
      <c r="F177" s="163" t="s">
        <v>2076</v>
      </c>
      <c r="G177" s="163" t="s">
        <v>36</v>
      </c>
      <c r="H177" s="163" t="s">
        <v>2200</v>
      </c>
      <c r="I177" s="163" t="s">
        <v>2794</v>
      </c>
      <c r="J177" s="163" t="s">
        <v>1768</v>
      </c>
      <c r="K177" s="163" t="s">
        <v>5616</v>
      </c>
      <c r="L177" s="163" t="s">
        <v>5618</v>
      </c>
      <c r="M177" s="163">
        <v>141000305</v>
      </c>
      <c r="N177" s="163" t="s">
        <v>5619</v>
      </c>
      <c r="O177" s="163" t="s">
        <v>2471</v>
      </c>
      <c r="P177" s="163" t="s">
        <v>5620</v>
      </c>
      <c r="Q177" s="163" t="s">
        <v>2803</v>
      </c>
      <c r="R177" s="163" t="s">
        <v>2193</v>
      </c>
      <c r="S177" s="163" t="s">
        <v>5621</v>
      </c>
      <c r="T177" s="163">
        <v>3.41</v>
      </c>
      <c r="U177" s="163" t="s">
        <v>1952</v>
      </c>
      <c r="V177" s="163" t="s">
        <v>5622</v>
      </c>
      <c r="W177" s="163">
        <v>141000305</v>
      </c>
      <c r="X177" s="163" t="s">
        <v>2806</v>
      </c>
      <c r="Y177" s="163" t="s">
        <v>5622</v>
      </c>
      <c r="Z177" s="163">
        <v>141000305</v>
      </c>
      <c r="AA177" s="163" t="s">
        <v>2806</v>
      </c>
      <c r="AB177" s="163" t="s">
        <v>5623</v>
      </c>
      <c r="AC177" s="163" t="s">
        <v>2195</v>
      </c>
      <c r="AD177" s="163" t="s">
        <v>5206</v>
      </c>
      <c r="AE177" s="163" t="s">
        <v>1762</v>
      </c>
      <c r="AF177" s="163" t="s">
        <v>3419</v>
      </c>
      <c r="AG177" s="163" t="s">
        <v>36</v>
      </c>
      <c r="AH177" s="163" t="s">
        <v>36</v>
      </c>
      <c r="AI177" s="163" t="s">
        <v>36</v>
      </c>
      <c r="AJ177" s="163" t="s">
        <v>36</v>
      </c>
      <c r="AK177" s="163" t="s">
        <v>2197</v>
      </c>
      <c r="AL177" s="163" t="s">
        <v>36</v>
      </c>
      <c r="AM177" t="s">
        <v>4876</v>
      </c>
      <c r="AN177" s="487">
        <v>0</v>
      </c>
      <c r="AO177" s="487">
        <v>0</v>
      </c>
    </row>
    <row r="178" spans="1:41" x14ac:dyDescent="0.2">
      <c r="A178">
        <v>177</v>
      </c>
      <c r="B178" s="471" t="s">
        <v>3773</v>
      </c>
      <c r="C178" s="163" t="s">
        <v>1910</v>
      </c>
      <c r="D178" s="163" t="s">
        <v>4163</v>
      </c>
      <c r="E178" s="163" t="s">
        <v>3774</v>
      </c>
      <c r="F178" s="163" t="s">
        <v>3775</v>
      </c>
      <c r="G178" s="163" t="s">
        <v>36</v>
      </c>
      <c r="H178" s="163" t="s">
        <v>2200</v>
      </c>
      <c r="I178" s="163" t="s">
        <v>5725</v>
      </c>
      <c r="J178" s="163" t="s">
        <v>2812</v>
      </c>
      <c r="K178" s="163" t="s">
        <v>2204</v>
      </c>
      <c r="L178" s="163" t="s">
        <v>2563</v>
      </c>
      <c r="M178" s="163" t="s">
        <v>3776</v>
      </c>
      <c r="N178" s="163" t="s">
        <v>1848</v>
      </c>
      <c r="O178" s="163" t="s">
        <v>906</v>
      </c>
      <c r="P178" s="163" t="s">
        <v>2259</v>
      </c>
      <c r="Q178" s="163" t="s">
        <v>2276</v>
      </c>
      <c r="R178" s="163" t="s">
        <v>2257</v>
      </c>
      <c r="S178" s="163" t="s">
        <v>3777</v>
      </c>
      <c r="T178" s="163">
        <v>15.6</v>
      </c>
      <c r="U178" s="163" t="s">
        <v>1952</v>
      </c>
      <c r="V178" s="163" t="s">
        <v>3778</v>
      </c>
      <c r="W178" s="163" t="s">
        <v>3779</v>
      </c>
      <c r="X178" s="163" t="s">
        <v>2194</v>
      </c>
      <c r="Y178" s="163" t="s">
        <v>3780</v>
      </c>
      <c r="Z178" s="163" t="s">
        <v>3781</v>
      </c>
      <c r="AA178" s="163" t="s">
        <v>2194</v>
      </c>
      <c r="AB178" s="163" t="s">
        <v>36</v>
      </c>
      <c r="AC178" s="163" t="s">
        <v>2195</v>
      </c>
      <c r="AD178" s="163" t="s">
        <v>2196</v>
      </c>
      <c r="AE178" s="163" t="s">
        <v>1762</v>
      </c>
      <c r="AF178" s="163" t="s">
        <v>3419</v>
      </c>
      <c r="AG178" s="163" t="s">
        <v>36</v>
      </c>
      <c r="AH178" s="163" t="s">
        <v>36</v>
      </c>
      <c r="AI178" s="163" t="s">
        <v>36</v>
      </c>
      <c r="AJ178" s="163" t="s">
        <v>36</v>
      </c>
      <c r="AK178" s="163" t="s">
        <v>2197</v>
      </c>
      <c r="AL178" s="163" t="s">
        <v>36</v>
      </c>
      <c r="AM178" t="s">
        <v>4876</v>
      </c>
      <c r="AN178" s="487">
        <v>0</v>
      </c>
      <c r="AO178" s="487">
        <v>0</v>
      </c>
    </row>
    <row r="179" spans="1:41" x14ac:dyDescent="0.2">
      <c r="A179">
        <v>178</v>
      </c>
      <c r="B179" s="471" t="s">
        <v>1168</v>
      </c>
      <c r="C179" s="163" t="s">
        <v>1171</v>
      </c>
      <c r="D179" s="163" t="s">
        <v>5027</v>
      </c>
      <c r="E179" s="163" t="s">
        <v>5028</v>
      </c>
      <c r="F179" s="163" t="s">
        <v>5029</v>
      </c>
      <c r="G179" s="163" t="s">
        <v>36</v>
      </c>
      <c r="H179" s="163" t="s">
        <v>2200</v>
      </c>
      <c r="I179" s="163" t="s">
        <v>5725</v>
      </c>
      <c r="J179" s="163" t="s">
        <v>1768</v>
      </c>
      <c r="K179" s="163" t="s">
        <v>5030</v>
      </c>
      <c r="L179" s="163" t="s">
        <v>5031</v>
      </c>
      <c r="M179" s="163" t="s">
        <v>5032</v>
      </c>
      <c r="N179" s="163" t="s">
        <v>5033</v>
      </c>
      <c r="O179" s="163" t="s">
        <v>906</v>
      </c>
      <c r="P179" s="163" t="s">
        <v>5034</v>
      </c>
      <c r="Q179" s="163" t="s">
        <v>2276</v>
      </c>
      <c r="R179" s="163" t="s">
        <v>2193</v>
      </c>
      <c r="S179" s="163" t="s">
        <v>5035</v>
      </c>
      <c r="T179" s="163">
        <v>13.125</v>
      </c>
      <c r="U179" s="163" t="s">
        <v>2223</v>
      </c>
      <c r="V179" s="163" t="s">
        <v>5036</v>
      </c>
      <c r="W179" s="163" t="s">
        <v>5037</v>
      </c>
      <c r="X179" s="163" t="s">
        <v>2194</v>
      </c>
      <c r="Y179" s="163" t="s">
        <v>111</v>
      </c>
      <c r="Z179" s="163" t="s">
        <v>111</v>
      </c>
      <c r="AA179" s="163" t="s">
        <v>111</v>
      </c>
      <c r="AB179" s="163" t="s">
        <v>36</v>
      </c>
      <c r="AC179" s="163" t="s">
        <v>2195</v>
      </c>
      <c r="AD179" s="163" t="s">
        <v>4574</v>
      </c>
      <c r="AE179" s="163" t="s">
        <v>1762</v>
      </c>
      <c r="AF179" s="163" t="s">
        <v>3419</v>
      </c>
      <c r="AG179" s="163" t="s">
        <v>36</v>
      </c>
      <c r="AH179" s="163" t="s">
        <v>36</v>
      </c>
      <c r="AI179" s="163" t="s">
        <v>36</v>
      </c>
      <c r="AJ179" s="163" t="s">
        <v>36</v>
      </c>
      <c r="AK179" s="163" t="s">
        <v>2197</v>
      </c>
      <c r="AL179" s="163" t="s">
        <v>36</v>
      </c>
      <c r="AM179" t="s">
        <v>4877</v>
      </c>
      <c r="AN179" s="487"/>
      <c r="AO179" s="487"/>
    </row>
    <row r="180" spans="1:41" x14ac:dyDescent="0.2">
      <c r="A180">
        <v>179</v>
      </c>
      <c r="B180" s="471" t="s">
        <v>5562</v>
      </c>
      <c r="C180" s="163" t="s">
        <v>5579</v>
      </c>
      <c r="D180" s="163" t="s">
        <v>5580</v>
      </c>
      <c r="E180" s="163" t="s">
        <v>5563</v>
      </c>
      <c r="F180" s="163" t="s">
        <v>5564</v>
      </c>
      <c r="G180" s="163"/>
      <c r="H180" s="163" t="s">
        <v>2200</v>
      </c>
      <c r="I180" s="163" t="s">
        <v>5725</v>
      </c>
      <c r="J180" s="163" t="s">
        <v>2188</v>
      </c>
      <c r="K180" s="163" t="s">
        <v>5579</v>
      </c>
      <c r="L180" s="163" t="s">
        <v>5566</v>
      </c>
      <c r="M180" s="163" t="s">
        <v>5567</v>
      </c>
      <c r="N180" s="163" t="s">
        <v>5581</v>
      </c>
      <c r="O180" s="163" t="s">
        <v>5743</v>
      </c>
      <c r="P180" s="163" t="s">
        <v>2791</v>
      </c>
      <c r="Q180" s="163" t="s">
        <v>2198</v>
      </c>
      <c r="R180" s="163" t="s">
        <v>2367</v>
      </c>
      <c r="S180" s="163" t="s">
        <v>5568</v>
      </c>
      <c r="T180" s="163">
        <v>26.8125</v>
      </c>
      <c r="U180" s="163" t="s">
        <v>2222</v>
      </c>
      <c r="V180" s="163" t="s">
        <v>5582</v>
      </c>
      <c r="W180" s="163">
        <v>63613055</v>
      </c>
      <c r="X180" s="163" t="s">
        <v>5570</v>
      </c>
      <c r="Y180" s="163" t="s">
        <v>5571</v>
      </c>
      <c r="Z180" s="163" t="s">
        <v>5572</v>
      </c>
      <c r="AA180" s="163" t="s">
        <v>5570</v>
      </c>
      <c r="AB180" s="163" t="s">
        <v>36</v>
      </c>
      <c r="AC180" s="163" t="s">
        <v>2195</v>
      </c>
      <c r="AD180" s="163" t="s">
        <v>5573</v>
      </c>
      <c r="AE180" s="163" t="s">
        <v>5574</v>
      </c>
      <c r="AF180" s="163">
        <v>6</v>
      </c>
      <c r="AG180" s="163">
        <v>64</v>
      </c>
      <c r="AH180" s="163">
        <v>15</v>
      </c>
      <c r="AI180" s="163" t="s">
        <v>36</v>
      </c>
      <c r="AJ180" s="163" t="s">
        <v>36</v>
      </c>
      <c r="AK180" s="163" t="s">
        <v>2197</v>
      </c>
      <c r="AL180" s="163" t="s">
        <v>5577</v>
      </c>
      <c r="AM180" t="s">
        <v>4879</v>
      </c>
      <c r="AN180" s="487"/>
      <c r="AO180" s="487"/>
    </row>
    <row r="181" spans="1:41" x14ac:dyDescent="0.2">
      <c r="A181">
        <v>180</v>
      </c>
      <c r="B181" s="471" t="s">
        <v>5562</v>
      </c>
      <c r="C181" s="163" t="s">
        <v>1343</v>
      </c>
      <c r="D181" s="163" t="s">
        <v>5583</v>
      </c>
      <c r="E181" s="163" t="s">
        <v>5563</v>
      </c>
      <c r="F181" s="163" t="s">
        <v>5564</v>
      </c>
      <c r="G181" s="163" t="s">
        <v>4812</v>
      </c>
      <c r="H181" s="163" t="s">
        <v>2200</v>
      </c>
      <c r="I181" s="163" t="s">
        <v>5725</v>
      </c>
      <c r="J181" s="163" t="s">
        <v>2188</v>
      </c>
      <c r="K181" s="163" t="s">
        <v>1343</v>
      </c>
      <c r="L181" s="163" t="s">
        <v>5566</v>
      </c>
      <c r="M181" s="549" t="s">
        <v>5584</v>
      </c>
      <c r="N181" s="163" t="s">
        <v>5585</v>
      </c>
      <c r="O181" s="163" t="s">
        <v>5743</v>
      </c>
      <c r="P181" s="163" t="s">
        <v>2791</v>
      </c>
      <c r="Q181" s="163" t="s">
        <v>2198</v>
      </c>
      <c r="R181" s="163" t="s">
        <v>2367</v>
      </c>
      <c r="S181" s="163" t="s">
        <v>5568</v>
      </c>
      <c r="T181" s="163">
        <v>26.8125</v>
      </c>
      <c r="U181" s="163" t="s">
        <v>2222</v>
      </c>
      <c r="V181" s="163" t="s">
        <v>5582</v>
      </c>
      <c r="W181" s="163">
        <v>63613055</v>
      </c>
      <c r="X181" s="163" t="s">
        <v>5570</v>
      </c>
      <c r="Y181" s="163" t="s">
        <v>5571</v>
      </c>
      <c r="Z181" s="163" t="s">
        <v>5572</v>
      </c>
      <c r="AA181" s="163" t="s">
        <v>5570</v>
      </c>
      <c r="AB181" s="163" t="s">
        <v>36</v>
      </c>
      <c r="AC181" s="163" t="s">
        <v>2195</v>
      </c>
      <c r="AD181" s="163" t="s">
        <v>5573</v>
      </c>
      <c r="AE181" s="163" t="s">
        <v>5574</v>
      </c>
      <c r="AF181" s="163">
        <v>17</v>
      </c>
      <c r="AG181" s="163">
        <v>40</v>
      </c>
      <c r="AH181" s="163">
        <v>13</v>
      </c>
      <c r="AI181" s="163" t="s">
        <v>5586</v>
      </c>
      <c r="AJ181" s="163" t="s">
        <v>36</v>
      </c>
      <c r="AK181" s="163" t="s">
        <v>2197</v>
      </c>
      <c r="AL181" s="163" t="s">
        <v>36</v>
      </c>
      <c r="AM181" t="s">
        <v>4879</v>
      </c>
      <c r="AN181" s="487"/>
      <c r="AO181" s="487"/>
    </row>
    <row r="182" spans="1:41" x14ac:dyDescent="0.2">
      <c r="A182">
        <v>181</v>
      </c>
      <c r="B182" s="471" t="s">
        <v>5562</v>
      </c>
      <c r="C182" s="163" t="s">
        <v>5565</v>
      </c>
      <c r="D182" s="163" t="s">
        <v>5578</v>
      </c>
      <c r="E182" s="163" t="s">
        <v>5563</v>
      </c>
      <c r="F182" s="163" t="s">
        <v>5564</v>
      </c>
      <c r="G182" s="163"/>
      <c r="H182" s="163" t="s">
        <v>2200</v>
      </c>
      <c r="I182" s="163" t="s">
        <v>5725</v>
      </c>
      <c r="J182" s="163" t="s">
        <v>2188</v>
      </c>
      <c r="K182" s="163" t="s">
        <v>5565</v>
      </c>
      <c r="L182" s="163" t="s">
        <v>5566</v>
      </c>
      <c r="M182" s="163" t="s">
        <v>5567</v>
      </c>
      <c r="N182" s="163" t="s">
        <v>5565</v>
      </c>
      <c r="O182" s="163" t="s">
        <v>5743</v>
      </c>
      <c r="P182" s="163" t="s">
        <v>2791</v>
      </c>
      <c r="Q182" s="163" t="s">
        <v>2198</v>
      </c>
      <c r="R182" s="163" t="s">
        <v>2367</v>
      </c>
      <c r="S182" s="163" t="s">
        <v>5568</v>
      </c>
      <c r="T182" s="163">
        <v>26.8125</v>
      </c>
      <c r="U182" s="163" t="s">
        <v>2222</v>
      </c>
      <c r="V182" s="163" t="s">
        <v>5569</v>
      </c>
      <c r="W182" s="163">
        <v>63619041</v>
      </c>
      <c r="X182" s="163" t="s">
        <v>5570</v>
      </c>
      <c r="Y182" s="163" t="s">
        <v>5571</v>
      </c>
      <c r="Z182" s="163" t="s">
        <v>5572</v>
      </c>
      <c r="AA182" s="163" t="s">
        <v>5570</v>
      </c>
      <c r="AB182" s="163" t="s">
        <v>36</v>
      </c>
      <c r="AC182" s="163" t="s">
        <v>2195</v>
      </c>
      <c r="AD182" s="163" t="s">
        <v>5573</v>
      </c>
      <c r="AE182" s="163" t="s">
        <v>5574</v>
      </c>
      <c r="AF182" s="163">
        <v>17</v>
      </c>
      <c r="AG182" s="163">
        <v>40</v>
      </c>
      <c r="AH182" s="163">
        <v>13</v>
      </c>
      <c r="AI182" s="163" t="s">
        <v>5575</v>
      </c>
      <c r="AJ182" s="163" t="s">
        <v>5576</v>
      </c>
      <c r="AK182" s="163" t="s">
        <v>2197</v>
      </c>
      <c r="AL182" s="163" t="s">
        <v>5577</v>
      </c>
      <c r="AM182" t="s">
        <v>4879</v>
      </c>
      <c r="AN182" s="487"/>
      <c r="AO182" s="487"/>
    </row>
    <row r="183" spans="1:41" x14ac:dyDescent="0.2">
      <c r="A183">
        <v>182</v>
      </c>
      <c r="B183" s="471" t="s">
        <v>1173</v>
      </c>
      <c r="C183" s="163" t="s">
        <v>1177</v>
      </c>
      <c r="D183" s="163" t="s">
        <v>4164</v>
      </c>
      <c r="E183" s="163" t="s">
        <v>2079</v>
      </c>
      <c r="F183" s="163" t="s">
        <v>2025</v>
      </c>
      <c r="G183" s="163" t="s">
        <v>36</v>
      </c>
      <c r="H183" s="163" t="s">
        <v>2200</v>
      </c>
      <c r="I183" s="163" t="s">
        <v>5739</v>
      </c>
      <c r="J183" s="163" t="s">
        <v>2812</v>
      </c>
      <c r="K183" s="163" t="s">
        <v>2847</v>
      </c>
      <c r="L183" s="163" t="s">
        <v>2315</v>
      </c>
      <c r="M183" s="549" t="s">
        <v>2848</v>
      </c>
      <c r="N183" s="163" t="s">
        <v>1177</v>
      </c>
      <c r="O183" s="163" t="s">
        <v>5262</v>
      </c>
      <c r="P183" s="163" t="s">
        <v>4967</v>
      </c>
      <c r="Q183" s="163" t="s">
        <v>2263</v>
      </c>
      <c r="R183" s="163" t="s">
        <v>2193</v>
      </c>
      <c r="S183" s="163" t="s">
        <v>5263</v>
      </c>
      <c r="T183" s="163">
        <v>1056</v>
      </c>
      <c r="U183" s="163" t="s">
        <v>2223</v>
      </c>
      <c r="V183" s="163" t="s">
        <v>2832</v>
      </c>
      <c r="W183" s="163">
        <v>1281</v>
      </c>
      <c r="X183" s="163" t="s">
        <v>2835</v>
      </c>
      <c r="Y183" s="163" t="s">
        <v>2836</v>
      </c>
      <c r="Z183" s="163" t="s">
        <v>2837</v>
      </c>
      <c r="AA183" s="163" t="s">
        <v>2194</v>
      </c>
      <c r="AB183" s="163" t="s">
        <v>5264</v>
      </c>
      <c r="AC183" s="163" t="s">
        <v>2195</v>
      </c>
      <c r="AD183" s="163" t="s">
        <v>2196</v>
      </c>
      <c r="AE183" s="163" t="s">
        <v>1762</v>
      </c>
      <c r="AF183" s="163">
        <v>5</v>
      </c>
      <c r="AG183" s="163">
        <v>240</v>
      </c>
      <c r="AH183" s="163">
        <v>60</v>
      </c>
      <c r="AI183" s="163" t="s">
        <v>36</v>
      </c>
      <c r="AJ183" s="163" t="s">
        <v>36</v>
      </c>
      <c r="AK183" s="163" t="s">
        <v>2197</v>
      </c>
      <c r="AL183" s="163" t="s">
        <v>36</v>
      </c>
      <c r="AM183" t="s">
        <v>4876</v>
      </c>
      <c r="AN183" s="487">
        <v>0</v>
      </c>
      <c r="AO183" s="487">
        <v>0</v>
      </c>
    </row>
    <row r="184" spans="1:41" x14ac:dyDescent="0.2">
      <c r="A184">
        <v>183</v>
      </c>
      <c r="B184" s="471" t="s">
        <v>1173</v>
      </c>
      <c r="C184" s="163" t="s">
        <v>1179</v>
      </c>
      <c r="D184" s="163" t="s">
        <v>4165</v>
      </c>
      <c r="E184" s="163" t="s">
        <v>2079</v>
      </c>
      <c r="F184" s="163" t="s">
        <v>2025</v>
      </c>
      <c r="G184" s="163" t="s">
        <v>36</v>
      </c>
      <c r="H184" s="163" t="s">
        <v>2200</v>
      </c>
      <c r="I184" s="163" t="s">
        <v>5739</v>
      </c>
      <c r="J184" s="163" t="s">
        <v>2468</v>
      </c>
      <c r="K184" s="163" t="s">
        <v>2845</v>
      </c>
      <c r="L184" s="163" t="s">
        <v>2315</v>
      </c>
      <c r="M184" s="549" t="s">
        <v>2846</v>
      </c>
      <c r="N184" s="163" t="s">
        <v>1179</v>
      </c>
      <c r="O184" s="163" t="s">
        <v>5262</v>
      </c>
      <c r="P184" s="163" t="s">
        <v>4968</v>
      </c>
      <c r="Q184" s="163" t="s">
        <v>2263</v>
      </c>
      <c r="R184" s="163" t="s">
        <v>2193</v>
      </c>
      <c r="S184" s="163" t="s">
        <v>5263</v>
      </c>
      <c r="T184" s="163">
        <v>1056</v>
      </c>
      <c r="U184" s="163" t="s">
        <v>2223</v>
      </c>
      <c r="V184" s="163" t="s">
        <v>2832</v>
      </c>
      <c r="W184" s="163">
        <v>1280</v>
      </c>
      <c r="X184" s="163" t="s">
        <v>2835</v>
      </c>
      <c r="Y184" s="163" t="s">
        <v>2836</v>
      </c>
      <c r="Z184" s="163" t="s">
        <v>2837</v>
      </c>
      <c r="AA184" s="163" t="s">
        <v>2194</v>
      </c>
      <c r="AB184" s="163" t="s">
        <v>5265</v>
      </c>
      <c r="AC184" s="163" t="s">
        <v>2195</v>
      </c>
      <c r="AD184" s="163" t="s">
        <v>2196</v>
      </c>
      <c r="AE184" s="163" t="s">
        <v>1762</v>
      </c>
      <c r="AF184" s="163">
        <v>5</v>
      </c>
      <c r="AG184" s="163">
        <v>240</v>
      </c>
      <c r="AH184" s="163">
        <v>60</v>
      </c>
      <c r="AI184" s="163" t="s">
        <v>36</v>
      </c>
      <c r="AJ184" s="163" t="s">
        <v>36</v>
      </c>
      <c r="AK184" s="163" t="s">
        <v>2197</v>
      </c>
      <c r="AL184" s="163" t="s">
        <v>36</v>
      </c>
      <c r="AM184" t="s">
        <v>4876</v>
      </c>
      <c r="AN184" s="487">
        <v>0</v>
      </c>
      <c r="AO184" s="487">
        <v>0</v>
      </c>
    </row>
    <row r="185" spans="1:41" x14ac:dyDescent="0.2">
      <c r="A185">
        <v>184</v>
      </c>
      <c r="B185" s="471" t="s">
        <v>1173</v>
      </c>
      <c r="C185" s="163" t="s">
        <v>1175</v>
      </c>
      <c r="D185" s="163" t="s">
        <v>4166</v>
      </c>
      <c r="E185" s="163" t="s">
        <v>2079</v>
      </c>
      <c r="F185" s="163" t="s">
        <v>2025</v>
      </c>
      <c r="G185" s="163" t="s">
        <v>36</v>
      </c>
      <c r="H185" s="163" t="s">
        <v>2200</v>
      </c>
      <c r="I185" s="163" t="s">
        <v>5739</v>
      </c>
      <c r="J185" s="163" t="s">
        <v>2468</v>
      </c>
      <c r="K185" s="163" t="s">
        <v>2850</v>
      </c>
      <c r="L185" s="163" t="s">
        <v>2315</v>
      </c>
      <c r="M185" s="549" t="s">
        <v>2851</v>
      </c>
      <c r="N185" s="163" t="s">
        <v>1175</v>
      </c>
      <c r="O185" s="163" t="s">
        <v>5262</v>
      </c>
      <c r="P185" s="163" t="s">
        <v>2351</v>
      </c>
      <c r="Q185" s="163" t="s">
        <v>2263</v>
      </c>
      <c r="R185" s="163" t="s">
        <v>2193</v>
      </c>
      <c r="S185" s="163" t="s">
        <v>5263</v>
      </c>
      <c r="T185" s="163">
        <v>1056</v>
      </c>
      <c r="U185" s="163" t="s">
        <v>2223</v>
      </c>
      <c r="V185" s="163" t="s">
        <v>2832</v>
      </c>
      <c r="W185" s="163">
        <v>15590</v>
      </c>
      <c r="X185" s="163" t="s">
        <v>2835</v>
      </c>
      <c r="Y185" s="163" t="s">
        <v>2836</v>
      </c>
      <c r="Z185" s="163" t="s">
        <v>2837</v>
      </c>
      <c r="AA185" s="163" t="s">
        <v>2194</v>
      </c>
      <c r="AB185" s="163" t="s">
        <v>5266</v>
      </c>
      <c r="AC185" s="163" t="s">
        <v>2195</v>
      </c>
      <c r="AD185" s="163" t="s">
        <v>2196</v>
      </c>
      <c r="AE185" s="163" t="s">
        <v>1762</v>
      </c>
      <c r="AF185" s="163" t="s">
        <v>3419</v>
      </c>
      <c r="AG185" s="163" t="s">
        <v>36</v>
      </c>
      <c r="AH185" s="163" t="s">
        <v>36</v>
      </c>
      <c r="AI185" s="163" t="s">
        <v>36</v>
      </c>
      <c r="AJ185" s="163" t="s">
        <v>36</v>
      </c>
      <c r="AK185" s="163" t="s">
        <v>2197</v>
      </c>
      <c r="AL185" s="163" t="s">
        <v>36</v>
      </c>
      <c r="AM185" t="s">
        <v>4876</v>
      </c>
      <c r="AN185" s="487">
        <v>0</v>
      </c>
      <c r="AO185" s="487">
        <v>0</v>
      </c>
    </row>
    <row r="186" spans="1:41" x14ac:dyDescent="0.2">
      <c r="A186">
        <v>185</v>
      </c>
      <c r="B186" s="471" t="s">
        <v>1173</v>
      </c>
      <c r="C186" s="163" t="s">
        <v>1183</v>
      </c>
      <c r="D186" s="163" t="s">
        <v>4167</v>
      </c>
      <c r="E186" s="163" t="s">
        <v>2079</v>
      </c>
      <c r="F186" s="163" t="s">
        <v>2025</v>
      </c>
      <c r="G186" s="163" t="s">
        <v>36</v>
      </c>
      <c r="H186" s="163" t="s">
        <v>2200</v>
      </c>
      <c r="I186" s="163" t="s">
        <v>5739</v>
      </c>
      <c r="J186" s="163" t="s">
        <v>2468</v>
      </c>
      <c r="K186" s="163" t="s">
        <v>2838</v>
      </c>
      <c r="L186" s="163" t="s">
        <v>2315</v>
      </c>
      <c r="M186" s="163" t="s">
        <v>2839</v>
      </c>
      <c r="N186" s="163" t="s">
        <v>1183</v>
      </c>
      <c r="O186" s="163" t="s">
        <v>5262</v>
      </c>
      <c r="P186" s="163" t="s">
        <v>2840</v>
      </c>
      <c r="Q186" s="163" t="s">
        <v>2263</v>
      </c>
      <c r="R186" s="163" t="s">
        <v>2193</v>
      </c>
      <c r="S186" s="163" t="s">
        <v>5263</v>
      </c>
      <c r="T186" s="163">
        <v>1056</v>
      </c>
      <c r="U186" s="163" t="s">
        <v>2223</v>
      </c>
      <c r="V186" s="163" t="s">
        <v>2832</v>
      </c>
      <c r="W186" s="163">
        <v>996</v>
      </c>
      <c r="X186" s="163" t="s">
        <v>2835</v>
      </c>
      <c r="Y186" s="163" t="s">
        <v>2836</v>
      </c>
      <c r="Z186" s="163" t="s">
        <v>2837</v>
      </c>
      <c r="AA186" s="163" t="s">
        <v>2194</v>
      </c>
      <c r="AB186" s="163" t="s">
        <v>5267</v>
      </c>
      <c r="AC186" s="163" t="s">
        <v>2195</v>
      </c>
      <c r="AD186" s="163" t="s">
        <v>2196</v>
      </c>
      <c r="AE186" s="163" t="s">
        <v>1762</v>
      </c>
      <c r="AF186" s="163">
        <v>5</v>
      </c>
      <c r="AG186" s="163">
        <v>240</v>
      </c>
      <c r="AH186" s="163">
        <v>60</v>
      </c>
      <c r="AI186" s="163" t="s">
        <v>36</v>
      </c>
      <c r="AJ186" s="163" t="s">
        <v>36</v>
      </c>
      <c r="AK186" s="163" t="s">
        <v>2197</v>
      </c>
      <c r="AL186" s="163" t="s">
        <v>36</v>
      </c>
      <c r="AM186" t="s">
        <v>4876</v>
      </c>
      <c r="AN186" s="487">
        <v>0</v>
      </c>
      <c r="AO186" s="487">
        <v>0</v>
      </c>
    </row>
    <row r="187" spans="1:41" x14ac:dyDescent="0.2">
      <c r="A187">
        <v>186</v>
      </c>
      <c r="B187" s="471" t="s">
        <v>1173</v>
      </c>
      <c r="C187" s="163" t="s">
        <v>1181</v>
      </c>
      <c r="D187" s="163" t="s">
        <v>4168</v>
      </c>
      <c r="E187" s="163" t="s">
        <v>2079</v>
      </c>
      <c r="F187" s="163" t="s">
        <v>2025</v>
      </c>
      <c r="G187" s="163" t="s">
        <v>36</v>
      </c>
      <c r="H187" s="163" t="s">
        <v>2200</v>
      </c>
      <c r="I187" s="163" t="s">
        <v>5739</v>
      </c>
      <c r="J187" s="163" t="s">
        <v>2468</v>
      </c>
      <c r="K187" s="163" t="s">
        <v>2841</v>
      </c>
      <c r="L187" s="163" t="s">
        <v>2315</v>
      </c>
      <c r="M187" s="163" t="s">
        <v>2842</v>
      </c>
      <c r="N187" s="163" t="s">
        <v>1181</v>
      </c>
      <c r="O187" s="163" t="s">
        <v>5262</v>
      </c>
      <c r="P187" s="163" t="s">
        <v>3235</v>
      </c>
      <c r="Q187" s="163" t="s">
        <v>2263</v>
      </c>
      <c r="R187" s="163" t="s">
        <v>2193</v>
      </c>
      <c r="S187" s="163" t="s">
        <v>5263</v>
      </c>
      <c r="T187" s="163">
        <v>1056</v>
      </c>
      <c r="U187" s="163" t="s">
        <v>2223</v>
      </c>
      <c r="V187" s="163" t="s">
        <v>2832</v>
      </c>
      <c r="W187" s="163" t="s">
        <v>2844</v>
      </c>
      <c r="X187" s="163" t="s">
        <v>2835</v>
      </c>
      <c r="Y187" s="163" t="s">
        <v>2836</v>
      </c>
      <c r="Z187" s="163" t="s">
        <v>2837</v>
      </c>
      <c r="AA187" s="163" t="s">
        <v>2194</v>
      </c>
      <c r="AB187" s="163" t="s">
        <v>5268</v>
      </c>
      <c r="AC187" s="163" t="s">
        <v>2195</v>
      </c>
      <c r="AD187" s="163" t="s">
        <v>2196</v>
      </c>
      <c r="AE187" s="163" t="s">
        <v>1762</v>
      </c>
      <c r="AF187" s="163" t="s">
        <v>3419</v>
      </c>
      <c r="AG187" s="163" t="s">
        <v>36</v>
      </c>
      <c r="AH187" s="163" t="s">
        <v>36</v>
      </c>
      <c r="AI187" s="163" t="s">
        <v>36</v>
      </c>
      <c r="AJ187" s="163" t="s">
        <v>36</v>
      </c>
      <c r="AK187" s="163" t="s">
        <v>2197</v>
      </c>
      <c r="AL187" s="163" t="s">
        <v>36</v>
      </c>
      <c r="AM187" t="s">
        <v>4876</v>
      </c>
      <c r="AN187" s="487">
        <v>0</v>
      </c>
      <c r="AO187" s="487">
        <v>0</v>
      </c>
    </row>
    <row r="188" spans="1:41" x14ac:dyDescent="0.2">
      <c r="A188">
        <v>187</v>
      </c>
      <c r="B188" s="471" t="s">
        <v>1173</v>
      </c>
      <c r="C188" s="163" t="s">
        <v>1185</v>
      </c>
      <c r="D188" s="163" t="s">
        <v>4169</v>
      </c>
      <c r="E188" s="163" t="s">
        <v>2079</v>
      </c>
      <c r="F188" s="163" t="s">
        <v>2025</v>
      </c>
      <c r="G188" s="163" t="s">
        <v>36</v>
      </c>
      <c r="H188" s="163" t="s">
        <v>2200</v>
      </c>
      <c r="I188" s="163" t="s">
        <v>5739</v>
      </c>
      <c r="J188" s="163" t="s">
        <v>2468</v>
      </c>
      <c r="K188" s="163" t="s">
        <v>2833</v>
      </c>
      <c r="L188" s="163" t="s">
        <v>2315</v>
      </c>
      <c r="M188" s="163" t="s">
        <v>2834</v>
      </c>
      <c r="N188" s="163" t="s">
        <v>1185</v>
      </c>
      <c r="O188" s="163" t="s">
        <v>5262</v>
      </c>
      <c r="P188" s="163" t="s">
        <v>3729</v>
      </c>
      <c r="Q188" s="163" t="s">
        <v>2263</v>
      </c>
      <c r="R188" s="163" t="s">
        <v>2193</v>
      </c>
      <c r="S188" s="163" t="s">
        <v>5263</v>
      </c>
      <c r="T188" s="163">
        <v>1056</v>
      </c>
      <c r="U188" s="163" t="s">
        <v>2223</v>
      </c>
      <c r="V188" s="163" t="s">
        <v>2832</v>
      </c>
      <c r="W188" s="163">
        <v>979</v>
      </c>
      <c r="X188" s="163" t="s">
        <v>2835</v>
      </c>
      <c r="Y188" s="163" t="s">
        <v>2836</v>
      </c>
      <c r="Z188" s="163" t="s">
        <v>2837</v>
      </c>
      <c r="AA188" s="163" t="s">
        <v>2194</v>
      </c>
      <c r="AB188" s="163" t="s">
        <v>5269</v>
      </c>
      <c r="AC188" s="163" t="s">
        <v>2195</v>
      </c>
      <c r="AD188" s="163" t="s">
        <v>2196</v>
      </c>
      <c r="AE188" s="163" t="s">
        <v>1762</v>
      </c>
      <c r="AF188" s="163">
        <v>5</v>
      </c>
      <c r="AG188" s="163">
        <v>240</v>
      </c>
      <c r="AH188" s="163">
        <v>60</v>
      </c>
      <c r="AI188" s="163" t="s">
        <v>36</v>
      </c>
      <c r="AJ188" s="163" t="s">
        <v>36</v>
      </c>
      <c r="AK188" s="163" t="s">
        <v>2197</v>
      </c>
      <c r="AL188" s="163" t="s">
        <v>36</v>
      </c>
      <c r="AM188" t="s">
        <v>4876</v>
      </c>
      <c r="AN188" s="487">
        <v>0</v>
      </c>
      <c r="AO188" s="487">
        <v>0</v>
      </c>
    </row>
    <row r="189" spans="1:41" x14ac:dyDescent="0.2">
      <c r="A189">
        <v>188</v>
      </c>
      <c r="B189" s="471" t="s">
        <v>1173</v>
      </c>
      <c r="C189" s="163" t="s">
        <v>5270</v>
      </c>
      <c r="D189" s="163" t="s">
        <v>5271</v>
      </c>
      <c r="E189" s="163" t="s">
        <v>2079</v>
      </c>
      <c r="F189" s="163" t="s">
        <v>2025</v>
      </c>
      <c r="G189" s="163" t="s">
        <v>36</v>
      </c>
      <c r="H189" s="163" t="s">
        <v>2200</v>
      </c>
      <c r="I189" s="163" t="s">
        <v>5739</v>
      </c>
      <c r="J189" s="163" t="s">
        <v>2468</v>
      </c>
      <c r="K189" s="163" t="s">
        <v>5272</v>
      </c>
      <c r="L189" s="163" t="s">
        <v>2315</v>
      </c>
      <c r="M189" s="163" t="s">
        <v>5273</v>
      </c>
      <c r="N189" s="163" t="s">
        <v>5270</v>
      </c>
      <c r="O189" s="163" t="s">
        <v>5321</v>
      </c>
      <c r="P189" s="163" t="s">
        <v>5274</v>
      </c>
      <c r="Q189" s="163" t="s">
        <v>2263</v>
      </c>
      <c r="R189" s="163" t="s">
        <v>2193</v>
      </c>
      <c r="S189" s="163" t="s">
        <v>5263</v>
      </c>
      <c r="T189" s="163">
        <v>1056</v>
      </c>
      <c r="U189" s="163" t="s">
        <v>2223</v>
      </c>
      <c r="V189" s="163" t="s">
        <v>111</v>
      </c>
      <c r="W189" s="163" t="s">
        <v>111</v>
      </c>
      <c r="X189" s="163" t="s">
        <v>111</v>
      </c>
      <c r="Y189" s="163" t="s">
        <v>2836</v>
      </c>
      <c r="Z189" s="163" t="s">
        <v>2837</v>
      </c>
      <c r="AA189" s="163" t="s">
        <v>2194</v>
      </c>
      <c r="AB189" s="163" t="s">
        <v>5275</v>
      </c>
      <c r="AC189" s="163" t="s">
        <v>2195</v>
      </c>
      <c r="AD189" s="163" t="s">
        <v>2196</v>
      </c>
      <c r="AE189" s="163" t="s">
        <v>1762</v>
      </c>
      <c r="AF189" s="163" t="s">
        <v>5188</v>
      </c>
      <c r="AG189" s="163" t="s">
        <v>36</v>
      </c>
      <c r="AH189" s="163" t="s">
        <v>36</v>
      </c>
      <c r="AI189" s="163" t="s">
        <v>36</v>
      </c>
      <c r="AJ189" s="163" t="s">
        <v>36</v>
      </c>
      <c r="AK189" s="163" t="s">
        <v>2197</v>
      </c>
      <c r="AL189" s="163" t="s">
        <v>36</v>
      </c>
      <c r="AM189" t="s">
        <v>4876</v>
      </c>
      <c r="AN189" s="487"/>
      <c r="AO189" s="487"/>
    </row>
    <row r="190" spans="1:41" x14ac:dyDescent="0.2">
      <c r="A190">
        <v>189</v>
      </c>
      <c r="B190" s="471" t="s">
        <v>1173</v>
      </c>
      <c r="C190" s="163" t="s">
        <v>5276</v>
      </c>
      <c r="D190" s="163" t="s">
        <v>5277</v>
      </c>
      <c r="E190" s="163" t="s">
        <v>2079</v>
      </c>
      <c r="F190" s="163" t="s">
        <v>2025</v>
      </c>
      <c r="G190" s="163" t="s">
        <v>36</v>
      </c>
      <c r="H190" s="163" t="s">
        <v>2200</v>
      </c>
      <c r="I190" s="163" t="s">
        <v>5739</v>
      </c>
      <c r="J190" s="163" t="s">
        <v>2468</v>
      </c>
      <c r="K190" s="163" t="s">
        <v>5278</v>
      </c>
      <c r="L190" s="163" t="s">
        <v>2315</v>
      </c>
      <c r="M190" s="163" t="s">
        <v>5279</v>
      </c>
      <c r="N190" s="163" t="s">
        <v>5276</v>
      </c>
      <c r="O190" s="163" t="s">
        <v>5321</v>
      </c>
      <c r="P190" s="163" t="s">
        <v>5280</v>
      </c>
      <c r="Q190" s="163" t="s">
        <v>2263</v>
      </c>
      <c r="R190" s="163" t="s">
        <v>2193</v>
      </c>
      <c r="S190" s="163" t="s">
        <v>5263</v>
      </c>
      <c r="T190" s="163">
        <v>1056</v>
      </c>
      <c r="U190" s="163" t="s">
        <v>2223</v>
      </c>
      <c r="V190" s="163" t="s">
        <v>111</v>
      </c>
      <c r="W190" s="163" t="s">
        <v>111</v>
      </c>
      <c r="X190" s="163" t="s">
        <v>111</v>
      </c>
      <c r="Y190" s="163" t="s">
        <v>2836</v>
      </c>
      <c r="Z190" s="163" t="s">
        <v>2837</v>
      </c>
      <c r="AA190" s="163" t="s">
        <v>2194</v>
      </c>
      <c r="AB190" s="163" t="s">
        <v>5281</v>
      </c>
      <c r="AC190" s="163" t="s">
        <v>2195</v>
      </c>
      <c r="AD190" s="163" t="s">
        <v>2196</v>
      </c>
      <c r="AE190" s="163" t="s">
        <v>1762</v>
      </c>
      <c r="AF190" s="163" t="s">
        <v>5188</v>
      </c>
      <c r="AG190" s="163" t="s">
        <v>36</v>
      </c>
      <c r="AH190" s="163" t="s">
        <v>36</v>
      </c>
      <c r="AI190" s="163" t="s">
        <v>36</v>
      </c>
      <c r="AJ190" s="163" t="s">
        <v>36</v>
      </c>
      <c r="AK190" s="163" t="s">
        <v>2197</v>
      </c>
      <c r="AL190" s="163" t="s">
        <v>36</v>
      </c>
      <c r="AM190" t="s">
        <v>4876</v>
      </c>
      <c r="AN190" s="487"/>
      <c r="AO190" s="487"/>
    </row>
    <row r="191" spans="1:41" x14ac:dyDescent="0.2">
      <c r="A191">
        <v>190</v>
      </c>
      <c r="B191" s="471" t="s">
        <v>1173</v>
      </c>
      <c r="C191" s="163" t="s">
        <v>5282</v>
      </c>
      <c r="D191" s="163" t="s">
        <v>5283</v>
      </c>
      <c r="E191" s="163" t="s">
        <v>2079</v>
      </c>
      <c r="F191" s="163" t="s">
        <v>2025</v>
      </c>
      <c r="G191" s="163" t="s">
        <v>36</v>
      </c>
      <c r="H191" s="163" t="s">
        <v>2200</v>
      </c>
      <c r="I191" s="163" t="s">
        <v>5739</v>
      </c>
      <c r="J191" s="163" t="s">
        <v>2468</v>
      </c>
      <c r="K191" s="163" t="s">
        <v>5284</v>
      </c>
      <c r="L191" s="163" t="s">
        <v>2315</v>
      </c>
      <c r="M191" s="163" t="s">
        <v>5285</v>
      </c>
      <c r="N191" s="163" t="s">
        <v>5282</v>
      </c>
      <c r="O191" s="163" t="s">
        <v>5262</v>
      </c>
      <c r="P191" s="163" t="s">
        <v>5286</v>
      </c>
      <c r="Q191" s="163" t="s">
        <v>2263</v>
      </c>
      <c r="R191" s="163" t="s">
        <v>2193</v>
      </c>
      <c r="S191" s="163" t="s">
        <v>5263</v>
      </c>
      <c r="T191" s="163">
        <v>1056</v>
      </c>
      <c r="U191" s="163" t="s">
        <v>2223</v>
      </c>
      <c r="V191" s="163" t="s">
        <v>2832</v>
      </c>
      <c r="W191" s="163">
        <v>0</v>
      </c>
      <c r="X191" s="163" t="s">
        <v>2835</v>
      </c>
      <c r="Y191" s="163" t="s">
        <v>111</v>
      </c>
      <c r="Z191" s="163" t="s">
        <v>111</v>
      </c>
      <c r="AA191" s="163" t="s">
        <v>111</v>
      </c>
      <c r="AB191" s="163" t="s">
        <v>5287</v>
      </c>
      <c r="AC191" s="163" t="s">
        <v>2195</v>
      </c>
      <c r="AD191" s="163" t="s">
        <v>2196</v>
      </c>
      <c r="AE191" s="163" t="s">
        <v>1762</v>
      </c>
      <c r="AF191" s="163" t="s">
        <v>5188</v>
      </c>
      <c r="AG191" s="163" t="s">
        <v>36</v>
      </c>
      <c r="AH191" s="163" t="s">
        <v>36</v>
      </c>
      <c r="AI191" s="163" t="s">
        <v>36</v>
      </c>
      <c r="AJ191" s="163" t="s">
        <v>36</v>
      </c>
      <c r="AK191" s="163" t="s">
        <v>2197</v>
      </c>
      <c r="AL191" s="163" t="s">
        <v>36</v>
      </c>
      <c r="AM191" t="s">
        <v>4876</v>
      </c>
      <c r="AN191" s="487"/>
      <c r="AO191" s="487"/>
    </row>
    <row r="192" spans="1:41" x14ac:dyDescent="0.2">
      <c r="A192">
        <v>191</v>
      </c>
      <c r="B192" s="471" t="s">
        <v>1173</v>
      </c>
      <c r="C192" s="163" t="s">
        <v>5181</v>
      </c>
      <c r="D192" s="163" t="s">
        <v>5182</v>
      </c>
      <c r="E192" s="163" t="s">
        <v>2079</v>
      </c>
      <c r="F192" s="163" t="s">
        <v>2025</v>
      </c>
      <c r="G192" s="163" t="s">
        <v>36</v>
      </c>
      <c r="H192" s="163" t="s">
        <v>2200</v>
      </c>
      <c r="I192" s="163" t="s">
        <v>5725</v>
      </c>
      <c r="J192" s="163" t="s">
        <v>2812</v>
      </c>
      <c r="K192" s="163" t="s">
        <v>5288</v>
      </c>
      <c r="L192" s="163">
        <v>206</v>
      </c>
      <c r="M192" s="549">
        <v>206</v>
      </c>
      <c r="N192" s="163" t="s">
        <v>5289</v>
      </c>
      <c r="O192" s="163" t="s">
        <v>906</v>
      </c>
      <c r="P192" s="163" t="s">
        <v>2830</v>
      </c>
      <c r="Q192" s="163" t="s">
        <v>2276</v>
      </c>
      <c r="R192" s="163" t="s">
        <v>2257</v>
      </c>
      <c r="S192" s="163" t="s">
        <v>2831</v>
      </c>
      <c r="T192" s="163">
        <v>189</v>
      </c>
      <c r="U192" s="163" t="s">
        <v>2222</v>
      </c>
      <c r="V192" s="163" t="s">
        <v>2832</v>
      </c>
      <c r="W192" s="163">
        <v>15590</v>
      </c>
      <c r="X192" s="163" t="s">
        <v>2194</v>
      </c>
      <c r="Y192" s="163" t="s">
        <v>111</v>
      </c>
      <c r="Z192" s="163" t="s">
        <v>111</v>
      </c>
      <c r="AA192" s="163" t="s">
        <v>111</v>
      </c>
      <c r="AB192" s="163" t="s">
        <v>36</v>
      </c>
      <c r="AC192" s="163" t="s">
        <v>2195</v>
      </c>
      <c r="AD192" s="163" t="s">
        <v>2196</v>
      </c>
      <c r="AE192" s="163" t="s">
        <v>1762</v>
      </c>
      <c r="AF192" s="163" t="s">
        <v>3419</v>
      </c>
      <c r="AG192" s="163" t="s">
        <v>36</v>
      </c>
      <c r="AH192" s="163" t="s">
        <v>36</v>
      </c>
      <c r="AI192" s="163" t="s">
        <v>36</v>
      </c>
      <c r="AJ192" s="163" t="s">
        <v>36</v>
      </c>
      <c r="AK192" s="163" t="s">
        <v>2197</v>
      </c>
      <c r="AL192" s="163" t="s">
        <v>36</v>
      </c>
      <c r="AM192" t="s">
        <v>4876</v>
      </c>
      <c r="AN192" s="487"/>
      <c r="AO192" s="487"/>
    </row>
    <row r="193" spans="1:41" x14ac:dyDescent="0.2">
      <c r="A193">
        <v>192</v>
      </c>
      <c r="B193" s="471" t="s">
        <v>1173</v>
      </c>
      <c r="C193" s="163" t="s">
        <v>5436</v>
      </c>
      <c r="D193" s="163" t="s">
        <v>5437</v>
      </c>
      <c r="E193" s="163" t="s">
        <v>2079</v>
      </c>
      <c r="F193" s="163" t="s">
        <v>2025</v>
      </c>
      <c r="G193" s="163" t="s">
        <v>36</v>
      </c>
      <c r="H193" s="163" t="s">
        <v>2200</v>
      </c>
      <c r="I193" s="163" t="s">
        <v>5725</v>
      </c>
      <c r="J193" s="163" t="s">
        <v>2812</v>
      </c>
      <c r="K193" s="163" t="s">
        <v>1329</v>
      </c>
      <c r="L193" s="163" t="s">
        <v>5053</v>
      </c>
      <c r="M193" s="163">
        <v>160720124</v>
      </c>
      <c r="N193" s="163" t="s">
        <v>5438</v>
      </c>
      <c r="O193" s="163" t="s">
        <v>906</v>
      </c>
      <c r="P193" s="163" t="s">
        <v>5054</v>
      </c>
      <c r="Q193" s="163" t="s">
        <v>2276</v>
      </c>
      <c r="R193" s="163" t="s">
        <v>2257</v>
      </c>
      <c r="S193" s="163" t="s">
        <v>5055</v>
      </c>
      <c r="T193" s="163">
        <v>1.17</v>
      </c>
      <c r="U193" s="163" t="s">
        <v>2223</v>
      </c>
      <c r="V193" s="163" t="s">
        <v>2460</v>
      </c>
      <c r="W193" s="163">
        <v>160720124</v>
      </c>
      <c r="X193" s="163" t="s">
        <v>2194</v>
      </c>
      <c r="Y193" s="163" t="s">
        <v>111</v>
      </c>
      <c r="Z193" s="163" t="s">
        <v>111</v>
      </c>
      <c r="AA193" s="163" t="s">
        <v>111</v>
      </c>
      <c r="AB193" s="163" t="s">
        <v>36</v>
      </c>
      <c r="AC193" s="163" t="s">
        <v>2195</v>
      </c>
      <c r="AD193" s="163" t="s">
        <v>5056</v>
      </c>
      <c r="AE193" s="163" t="s">
        <v>1762</v>
      </c>
      <c r="AF193" s="163" t="s">
        <v>3419</v>
      </c>
      <c r="AG193" s="163" t="s">
        <v>36</v>
      </c>
      <c r="AH193" s="163" t="s">
        <v>36</v>
      </c>
      <c r="AI193" s="163" t="s">
        <v>36</v>
      </c>
      <c r="AJ193" s="163" t="s">
        <v>36</v>
      </c>
      <c r="AK193" s="163" t="s">
        <v>2197</v>
      </c>
      <c r="AL193" s="163" t="s">
        <v>36</v>
      </c>
      <c r="AM193" t="s">
        <v>4877</v>
      </c>
      <c r="AN193" s="487"/>
      <c r="AO193" s="487"/>
    </row>
    <row r="194" spans="1:41" x14ac:dyDescent="0.2">
      <c r="A194">
        <v>193</v>
      </c>
      <c r="B194" s="471" t="s">
        <v>1173</v>
      </c>
      <c r="C194" s="163" t="s">
        <v>1188</v>
      </c>
      <c r="D194" s="163" t="s">
        <v>4170</v>
      </c>
      <c r="E194" s="163" t="s">
        <v>2079</v>
      </c>
      <c r="F194" s="163" t="s">
        <v>2025</v>
      </c>
      <c r="G194" s="163" t="s">
        <v>36</v>
      </c>
      <c r="H194" s="163" t="s">
        <v>2200</v>
      </c>
      <c r="I194" s="163" t="s">
        <v>5725</v>
      </c>
      <c r="J194" s="163" t="s">
        <v>2812</v>
      </c>
      <c r="K194" s="163" t="s">
        <v>2824</v>
      </c>
      <c r="L194" s="163" t="s">
        <v>2825</v>
      </c>
      <c r="M194" s="163" t="s">
        <v>2826</v>
      </c>
      <c r="N194" s="163" t="s">
        <v>1188</v>
      </c>
      <c r="O194" s="163" t="s">
        <v>906</v>
      </c>
      <c r="P194" s="163" t="s">
        <v>2722</v>
      </c>
      <c r="Q194" s="163" t="s">
        <v>2198</v>
      </c>
      <c r="R194" s="163" t="s">
        <v>2193</v>
      </c>
      <c r="S194" s="163" t="s">
        <v>2827</v>
      </c>
      <c r="T194" s="163">
        <v>2352</v>
      </c>
      <c r="U194" s="163" t="s">
        <v>2223</v>
      </c>
      <c r="V194" s="163" t="s">
        <v>2278</v>
      </c>
      <c r="W194" s="163" t="s">
        <v>2828</v>
      </c>
      <c r="X194" s="163" t="s">
        <v>2194</v>
      </c>
      <c r="Y194" s="163" t="s">
        <v>2829</v>
      </c>
      <c r="Z194" s="163">
        <v>55565489</v>
      </c>
      <c r="AA194" s="163" t="s">
        <v>2194</v>
      </c>
      <c r="AB194" s="163" t="s">
        <v>36</v>
      </c>
      <c r="AC194" s="163" t="s">
        <v>2195</v>
      </c>
      <c r="AD194" s="163" t="s">
        <v>2196</v>
      </c>
      <c r="AE194" s="163" t="s">
        <v>1762</v>
      </c>
      <c r="AF194" s="163" t="s">
        <v>3419</v>
      </c>
      <c r="AG194" s="163" t="s">
        <v>36</v>
      </c>
      <c r="AH194" s="163" t="s">
        <v>36</v>
      </c>
      <c r="AI194" s="163" t="s">
        <v>36</v>
      </c>
      <c r="AJ194" s="163" t="s">
        <v>36</v>
      </c>
      <c r="AK194" s="163" t="s">
        <v>2197</v>
      </c>
      <c r="AL194" s="163" t="s">
        <v>36</v>
      </c>
      <c r="AM194" t="s">
        <v>4876</v>
      </c>
      <c r="AN194" s="487">
        <v>0</v>
      </c>
      <c r="AO194" s="487">
        <v>0</v>
      </c>
    </row>
    <row r="195" spans="1:41" x14ac:dyDescent="0.2">
      <c r="A195">
        <v>194</v>
      </c>
      <c r="B195" s="471" t="s">
        <v>1190</v>
      </c>
      <c r="C195" s="163" t="s">
        <v>837</v>
      </c>
      <c r="D195" s="163" t="s">
        <v>4171</v>
      </c>
      <c r="E195" s="163" t="s">
        <v>2080</v>
      </c>
      <c r="F195" s="163" t="s">
        <v>2081</v>
      </c>
      <c r="G195" s="163" t="s">
        <v>36</v>
      </c>
      <c r="H195" s="163" t="s">
        <v>2200</v>
      </c>
      <c r="I195" s="163" t="s">
        <v>5725</v>
      </c>
      <c r="J195" s="163" t="s">
        <v>2812</v>
      </c>
      <c r="K195" s="163" t="s">
        <v>2852</v>
      </c>
      <c r="L195" s="163" t="s">
        <v>2853</v>
      </c>
      <c r="M195" s="163" t="s">
        <v>2854</v>
      </c>
      <c r="N195" s="163" t="s">
        <v>837</v>
      </c>
      <c r="O195" s="163" t="s">
        <v>906</v>
      </c>
      <c r="P195" s="163" t="s">
        <v>2855</v>
      </c>
      <c r="Q195" s="163" t="s">
        <v>2273</v>
      </c>
      <c r="R195" s="163" t="s">
        <v>2193</v>
      </c>
      <c r="S195" s="163" t="s">
        <v>2856</v>
      </c>
      <c r="T195" s="163">
        <v>19.399999999999999</v>
      </c>
      <c r="U195" s="163" t="s">
        <v>2223</v>
      </c>
      <c r="V195" s="163" t="s">
        <v>2475</v>
      </c>
      <c r="W195" s="163">
        <v>33095</v>
      </c>
      <c r="X195" s="163" t="s">
        <v>2194</v>
      </c>
      <c r="Y195" s="163" t="s">
        <v>2706</v>
      </c>
      <c r="Z195" s="163" t="s">
        <v>4630</v>
      </c>
      <c r="AA195" s="163" t="s">
        <v>2194</v>
      </c>
      <c r="AB195" s="163" t="s">
        <v>36</v>
      </c>
      <c r="AC195" s="163" t="s">
        <v>2195</v>
      </c>
      <c r="AD195" s="163" t="s">
        <v>2196</v>
      </c>
      <c r="AE195" s="163" t="s">
        <v>1762</v>
      </c>
      <c r="AF195" s="163">
        <v>1.5</v>
      </c>
      <c r="AG195" s="163">
        <v>0.2</v>
      </c>
      <c r="AH195" s="163">
        <v>0</v>
      </c>
      <c r="AI195" s="163" t="s">
        <v>36</v>
      </c>
      <c r="AJ195" s="163" t="s">
        <v>36</v>
      </c>
      <c r="AK195" s="163" t="s">
        <v>2197</v>
      </c>
      <c r="AL195" s="163" t="s">
        <v>36</v>
      </c>
      <c r="AM195" t="s">
        <v>4878</v>
      </c>
      <c r="AN195" s="487">
        <v>0</v>
      </c>
      <c r="AO195" s="487">
        <v>0</v>
      </c>
    </row>
    <row r="196" spans="1:41" x14ac:dyDescent="0.2">
      <c r="A196">
        <v>195</v>
      </c>
      <c r="B196" s="471" t="s">
        <v>1190</v>
      </c>
      <c r="C196" s="163" t="s">
        <v>1793</v>
      </c>
      <c r="D196" s="163" t="s">
        <v>4699</v>
      </c>
      <c r="E196" s="163" t="s">
        <v>2080</v>
      </c>
      <c r="F196" s="163" t="s">
        <v>2081</v>
      </c>
      <c r="G196" s="163" t="s">
        <v>36</v>
      </c>
      <c r="H196" s="163" t="s">
        <v>2200</v>
      </c>
      <c r="I196" s="163" t="s">
        <v>5725</v>
      </c>
      <c r="J196" s="163" t="s">
        <v>1768</v>
      </c>
      <c r="K196" s="163" t="s">
        <v>1793</v>
      </c>
      <c r="L196" s="163" t="s">
        <v>3505</v>
      </c>
      <c r="M196" s="163" t="s">
        <v>3506</v>
      </c>
      <c r="N196" s="163" t="s">
        <v>1793</v>
      </c>
      <c r="O196" s="163" t="s">
        <v>2471</v>
      </c>
      <c r="P196" s="163" t="s">
        <v>3636</v>
      </c>
      <c r="Q196" s="163" t="s">
        <v>3636</v>
      </c>
      <c r="R196" s="163" t="s">
        <v>2257</v>
      </c>
      <c r="S196" s="163" t="s">
        <v>3637</v>
      </c>
      <c r="T196" s="163">
        <v>653.29999999999995</v>
      </c>
      <c r="U196" s="163" t="s">
        <v>1952</v>
      </c>
      <c r="V196" s="163" t="s">
        <v>2268</v>
      </c>
      <c r="W196" s="163" t="s">
        <v>3506</v>
      </c>
      <c r="X196" s="163" t="s">
        <v>2810</v>
      </c>
      <c r="Y196" s="163" t="s">
        <v>111</v>
      </c>
      <c r="Z196" s="163" t="s">
        <v>111</v>
      </c>
      <c r="AA196" s="163" t="s">
        <v>111</v>
      </c>
      <c r="AB196" s="163" t="s">
        <v>4705</v>
      </c>
      <c r="AC196" s="163" t="s">
        <v>2195</v>
      </c>
      <c r="AD196" s="163" t="s">
        <v>2196</v>
      </c>
      <c r="AE196" s="163" t="s">
        <v>1762</v>
      </c>
      <c r="AF196" s="163" t="s">
        <v>36</v>
      </c>
      <c r="AG196" s="163" t="s">
        <v>36</v>
      </c>
      <c r="AH196" s="163" t="s">
        <v>36</v>
      </c>
      <c r="AI196" s="163" t="s">
        <v>36</v>
      </c>
      <c r="AJ196" s="163" t="s">
        <v>36</v>
      </c>
      <c r="AK196" s="163" t="s">
        <v>2197</v>
      </c>
      <c r="AL196" s="163" t="s">
        <v>36</v>
      </c>
      <c r="AM196" t="s">
        <v>4880</v>
      </c>
      <c r="AN196" s="487">
        <v>0</v>
      </c>
      <c r="AO196" s="487">
        <v>0</v>
      </c>
    </row>
    <row r="197" spans="1:41" x14ac:dyDescent="0.2">
      <c r="A197">
        <v>196</v>
      </c>
      <c r="B197" s="471" t="s">
        <v>1198</v>
      </c>
      <c r="C197" s="163" t="s">
        <v>1200</v>
      </c>
      <c r="D197" s="163" t="s">
        <v>4172</v>
      </c>
      <c r="E197" s="163" t="s">
        <v>2085</v>
      </c>
      <c r="F197" s="163" t="s">
        <v>2086</v>
      </c>
      <c r="G197" s="163" t="s">
        <v>36</v>
      </c>
      <c r="H197" s="163" t="s">
        <v>2200</v>
      </c>
      <c r="I197" s="163" t="s">
        <v>5725</v>
      </c>
      <c r="J197" s="163" t="s">
        <v>2812</v>
      </c>
      <c r="K197" s="163" t="s">
        <v>1200</v>
      </c>
      <c r="L197" s="163" t="s">
        <v>2859</v>
      </c>
      <c r="M197" s="549">
        <v>1432</v>
      </c>
      <c r="N197" s="163" t="s">
        <v>1200</v>
      </c>
      <c r="O197" s="163" t="s">
        <v>906</v>
      </c>
      <c r="P197" s="163" t="s">
        <v>2860</v>
      </c>
      <c r="Q197" s="163" t="s">
        <v>2273</v>
      </c>
      <c r="R197" s="163" t="s">
        <v>2193</v>
      </c>
      <c r="S197" s="163" t="s">
        <v>2861</v>
      </c>
      <c r="T197" s="163">
        <v>138.5</v>
      </c>
      <c r="U197" s="163" t="s">
        <v>1952</v>
      </c>
      <c r="V197" s="163" t="s">
        <v>2832</v>
      </c>
      <c r="W197" s="163">
        <v>181319</v>
      </c>
      <c r="X197" s="163" t="s">
        <v>2194</v>
      </c>
      <c r="Y197" s="163" t="s">
        <v>111</v>
      </c>
      <c r="Z197" s="163" t="s">
        <v>111</v>
      </c>
      <c r="AA197" s="163" t="s">
        <v>111</v>
      </c>
      <c r="AB197" s="163" t="s">
        <v>36</v>
      </c>
      <c r="AC197" s="163" t="s">
        <v>2195</v>
      </c>
      <c r="AD197" s="163" t="s">
        <v>2196</v>
      </c>
      <c r="AE197" s="163" t="s">
        <v>1762</v>
      </c>
      <c r="AF197" s="163" t="s">
        <v>36</v>
      </c>
      <c r="AG197" s="163" t="s">
        <v>36</v>
      </c>
      <c r="AH197" s="163" t="s">
        <v>36</v>
      </c>
      <c r="AI197" s="163" t="s">
        <v>36</v>
      </c>
      <c r="AJ197" s="163" t="s">
        <v>36</v>
      </c>
      <c r="AK197" s="163" t="s">
        <v>2197</v>
      </c>
      <c r="AL197" s="163" t="s">
        <v>36</v>
      </c>
      <c r="AM197" t="s">
        <v>4876</v>
      </c>
      <c r="AN197" s="487">
        <v>0</v>
      </c>
      <c r="AO197" s="487">
        <v>0</v>
      </c>
    </row>
    <row r="198" spans="1:41" x14ac:dyDescent="0.2">
      <c r="A198">
        <v>197</v>
      </c>
      <c r="B198" s="471" t="s">
        <v>5084</v>
      </c>
      <c r="C198" s="163" t="s">
        <v>5085</v>
      </c>
      <c r="D198" s="163" t="s">
        <v>5086</v>
      </c>
      <c r="E198" s="163" t="s">
        <v>5087</v>
      </c>
      <c r="F198" s="163" t="s">
        <v>5088</v>
      </c>
      <c r="G198" s="163" t="s">
        <v>36</v>
      </c>
      <c r="H198" s="163" t="s">
        <v>2200</v>
      </c>
      <c r="I198" s="163" t="s">
        <v>5725</v>
      </c>
      <c r="J198" s="163" t="s">
        <v>1768</v>
      </c>
      <c r="K198" s="163" t="s">
        <v>5089</v>
      </c>
      <c r="L198" s="163" t="s">
        <v>5090</v>
      </c>
      <c r="M198" s="163" t="s">
        <v>5091</v>
      </c>
      <c r="N198" s="163" t="s">
        <v>5089</v>
      </c>
      <c r="O198" s="163" t="s">
        <v>5092</v>
      </c>
      <c r="P198" s="163" t="s">
        <v>5093</v>
      </c>
      <c r="Q198" s="163" t="s">
        <v>2198</v>
      </c>
      <c r="R198" s="163" t="s">
        <v>2193</v>
      </c>
      <c r="S198" s="163" t="s">
        <v>5094</v>
      </c>
      <c r="T198" s="163">
        <v>25</v>
      </c>
      <c r="U198" s="163" t="s">
        <v>1952</v>
      </c>
      <c r="V198" s="163" t="s">
        <v>5095</v>
      </c>
      <c r="W198" s="163" t="s">
        <v>5096</v>
      </c>
      <c r="X198" s="163" t="s">
        <v>4937</v>
      </c>
      <c r="Y198" s="163" t="s">
        <v>111</v>
      </c>
      <c r="Z198" s="163" t="s">
        <v>111</v>
      </c>
      <c r="AA198" s="163" t="s">
        <v>111</v>
      </c>
      <c r="AB198" s="163" t="s">
        <v>36</v>
      </c>
      <c r="AC198" s="163" t="s">
        <v>2195</v>
      </c>
      <c r="AD198" s="163" t="s">
        <v>2196</v>
      </c>
      <c r="AE198" s="163" t="s">
        <v>1762</v>
      </c>
      <c r="AF198" s="163">
        <v>0</v>
      </c>
      <c r="AG198" s="163">
        <v>0</v>
      </c>
      <c r="AH198" s="163">
        <v>0</v>
      </c>
      <c r="AI198" s="163">
        <v>0</v>
      </c>
      <c r="AJ198" s="163">
        <v>0</v>
      </c>
      <c r="AK198" s="163" t="s">
        <v>2197</v>
      </c>
      <c r="AL198" s="163" t="s">
        <v>36</v>
      </c>
      <c r="AM198" t="s">
        <v>4876</v>
      </c>
      <c r="AN198" s="487"/>
      <c r="AO198" s="487"/>
    </row>
    <row r="199" spans="1:41" x14ac:dyDescent="0.2">
      <c r="A199">
        <v>198</v>
      </c>
      <c r="B199" s="471" t="s">
        <v>1966</v>
      </c>
      <c r="C199" s="163" t="s">
        <v>1968</v>
      </c>
      <c r="D199" s="163" t="s">
        <v>4173</v>
      </c>
      <c r="E199" s="163" t="s">
        <v>2089</v>
      </c>
      <c r="F199" s="163" t="s">
        <v>2090</v>
      </c>
      <c r="G199" s="163" t="s">
        <v>36</v>
      </c>
      <c r="H199" s="163" t="s">
        <v>2200</v>
      </c>
      <c r="I199" s="163" t="s">
        <v>5725</v>
      </c>
      <c r="J199" s="163" t="s">
        <v>2812</v>
      </c>
      <c r="K199" s="163" t="s">
        <v>1120</v>
      </c>
      <c r="L199" s="163" t="s">
        <v>2862</v>
      </c>
      <c r="M199" s="549">
        <v>30901</v>
      </c>
      <c r="N199" s="163" t="s">
        <v>1968</v>
      </c>
      <c r="O199" s="163" t="s">
        <v>906</v>
      </c>
      <c r="P199" s="163" t="s">
        <v>2863</v>
      </c>
      <c r="Q199" s="163" t="s">
        <v>2276</v>
      </c>
      <c r="R199" s="163" t="s">
        <v>2367</v>
      </c>
      <c r="S199" s="163" t="s">
        <v>2864</v>
      </c>
      <c r="T199" s="163">
        <v>864</v>
      </c>
      <c r="U199" s="163" t="s">
        <v>1952</v>
      </c>
      <c r="V199" s="163" t="s">
        <v>2865</v>
      </c>
      <c r="W199" s="163">
        <v>3.03</v>
      </c>
      <c r="X199" s="163" t="s">
        <v>2194</v>
      </c>
      <c r="Y199" s="163" t="s">
        <v>2866</v>
      </c>
      <c r="Z199" s="163" t="s">
        <v>2867</v>
      </c>
      <c r="AA199" s="163" t="s">
        <v>2194</v>
      </c>
      <c r="AB199" s="163" t="s">
        <v>36</v>
      </c>
      <c r="AC199" s="163" t="s">
        <v>2195</v>
      </c>
      <c r="AD199" s="163" t="s">
        <v>2196</v>
      </c>
      <c r="AE199" s="163" t="s">
        <v>1762</v>
      </c>
      <c r="AF199" s="163">
        <v>2.7</v>
      </c>
      <c r="AG199" s="163">
        <v>4</v>
      </c>
      <c r="AH199" s="163">
        <v>1</v>
      </c>
      <c r="AI199" s="163" t="s">
        <v>3989</v>
      </c>
      <c r="AJ199" s="163" t="s">
        <v>36</v>
      </c>
      <c r="AK199" s="163" t="s">
        <v>2197</v>
      </c>
      <c r="AL199" s="163" t="s">
        <v>36</v>
      </c>
      <c r="AM199" t="s">
        <v>4876</v>
      </c>
      <c r="AN199" s="487">
        <v>0</v>
      </c>
      <c r="AO199" s="487">
        <v>0</v>
      </c>
    </row>
    <row r="200" spans="1:41" x14ac:dyDescent="0.2">
      <c r="A200">
        <v>199</v>
      </c>
      <c r="B200" s="471" t="s">
        <v>1966</v>
      </c>
      <c r="C200" s="163" t="s">
        <v>1970</v>
      </c>
      <c r="D200" s="163" t="s">
        <v>4174</v>
      </c>
      <c r="E200" s="163" t="s">
        <v>2089</v>
      </c>
      <c r="F200" s="163" t="s">
        <v>2090</v>
      </c>
      <c r="G200" s="163" t="s">
        <v>36</v>
      </c>
      <c r="H200" s="163" t="s">
        <v>2200</v>
      </c>
      <c r="I200" s="163" t="s">
        <v>5725</v>
      </c>
      <c r="J200" s="163" t="s">
        <v>2812</v>
      </c>
      <c r="K200" s="163" t="s">
        <v>1120</v>
      </c>
      <c r="L200" s="163" t="s">
        <v>2868</v>
      </c>
      <c r="M200" s="163" t="s">
        <v>2869</v>
      </c>
      <c r="N200" s="163" t="s">
        <v>1970</v>
      </c>
      <c r="O200" s="163" t="s">
        <v>906</v>
      </c>
      <c r="P200" s="163" t="s">
        <v>2863</v>
      </c>
      <c r="Q200" s="163" t="s">
        <v>2276</v>
      </c>
      <c r="R200" s="163" t="s">
        <v>2367</v>
      </c>
      <c r="S200" s="163" t="s">
        <v>2870</v>
      </c>
      <c r="T200" s="163">
        <v>630</v>
      </c>
      <c r="U200" s="163" t="s">
        <v>1952</v>
      </c>
      <c r="V200" s="163" t="s">
        <v>2871</v>
      </c>
      <c r="W200" s="163" t="s">
        <v>2872</v>
      </c>
      <c r="X200" s="163" t="s">
        <v>2194</v>
      </c>
      <c r="Y200" s="163" t="s">
        <v>2873</v>
      </c>
      <c r="Z200" s="163" t="s">
        <v>2874</v>
      </c>
      <c r="AA200" s="163" t="s">
        <v>2194</v>
      </c>
      <c r="AB200" s="163" t="s">
        <v>36</v>
      </c>
      <c r="AC200" s="163" t="s">
        <v>2195</v>
      </c>
      <c r="AD200" s="163" t="s">
        <v>2196</v>
      </c>
      <c r="AE200" s="163" t="s">
        <v>1762</v>
      </c>
      <c r="AF200" s="163">
        <v>5</v>
      </c>
      <c r="AG200" s="163">
        <v>20</v>
      </c>
      <c r="AH200" s="163">
        <v>2</v>
      </c>
      <c r="AI200" s="163" t="s">
        <v>3993</v>
      </c>
      <c r="AJ200" s="163" t="s">
        <v>36</v>
      </c>
      <c r="AK200" s="163" t="s">
        <v>2197</v>
      </c>
      <c r="AL200" s="163" t="s">
        <v>36</v>
      </c>
      <c r="AM200" t="s">
        <v>4876</v>
      </c>
      <c r="AN200" s="487">
        <v>0</v>
      </c>
      <c r="AO200" s="487">
        <v>0</v>
      </c>
    </row>
    <row r="201" spans="1:41" x14ac:dyDescent="0.2">
      <c r="A201">
        <v>200</v>
      </c>
      <c r="B201" s="471" t="s">
        <v>1205</v>
      </c>
      <c r="C201" s="163" t="s">
        <v>4660</v>
      </c>
      <c r="D201" s="163" t="s">
        <v>4664</v>
      </c>
      <c r="E201" s="163" t="s">
        <v>2091</v>
      </c>
      <c r="F201" s="163" t="s">
        <v>2092</v>
      </c>
      <c r="G201" s="163" t="s">
        <v>36</v>
      </c>
      <c r="H201" s="163" t="s">
        <v>2200</v>
      </c>
      <c r="I201" s="163" t="s">
        <v>5725</v>
      </c>
      <c r="J201" s="163" t="s">
        <v>2468</v>
      </c>
      <c r="K201" s="163" t="s">
        <v>1063</v>
      </c>
      <c r="L201" s="163" t="s">
        <v>2889</v>
      </c>
      <c r="M201" s="163">
        <v>14572</v>
      </c>
      <c r="N201" s="163" t="s">
        <v>4660</v>
      </c>
      <c r="O201" s="163" t="s">
        <v>5728</v>
      </c>
      <c r="P201" s="163" t="s">
        <v>2395</v>
      </c>
      <c r="Q201" s="163" t="s">
        <v>4938</v>
      </c>
      <c r="R201" s="163" t="s">
        <v>2193</v>
      </c>
      <c r="S201" s="163" t="s">
        <v>2890</v>
      </c>
      <c r="T201" s="163">
        <v>277.39999999999998</v>
      </c>
      <c r="U201" s="163" t="s">
        <v>2220</v>
      </c>
      <c r="V201" s="163" t="s">
        <v>2278</v>
      </c>
      <c r="W201" s="163" t="s">
        <v>2891</v>
      </c>
      <c r="X201" s="163" t="s">
        <v>4937</v>
      </c>
      <c r="Y201" s="163" t="s">
        <v>2879</v>
      </c>
      <c r="Z201" s="163" t="s">
        <v>2880</v>
      </c>
      <c r="AA201" s="163" t="s">
        <v>4937</v>
      </c>
      <c r="AB201" s="163" t="s">
        <v>36</v>
      </c>
      <c r="AC201" s="163" t="s">
        <v>2195</v>
      </c>
      <c r="AD201" s="163" t="s">
        <v>2196</v>
      </c>
      <c r="AE201" s="163" t="s">
        <v>1762</v>
      </c>
      <c r="AF201" s="163">
        <v>14.5</v>
      </c>
      <c r="AG201" s="163">
        <v>267</v>
      </c>
      <c r="AH201" s="163">
        <v>43</v>
      </c>
      <c r="AI201" s="163" t="s">
        <v>36</v>
      </c>
      <c r="AJ201" s="163" t="s">
        <v>36</v>
      </c>
      <c r="AK201" s="163" t="s">
        <v>2197</v>
      </c>
      <c r="AL201" s="163" t="s">
        <v>36</v>
      </c>
      <c r="AM201" t="s">
        <v>4876</v>
      </c>
      <c r="AN201" s="487">
        <v>1.4583333333333332E-2</v>
      </c>
      <c r="AO201" s="487">
        <v>0</v>
      </c>
    </row>
    <row r="202" spans="1:41" x14ac:dyDescent="0.2">
      <c r="A202">
        <v>201</v>
      </c>
      <c r="B202" s="471" t="s">
        <v>1205</v>
      </c>
      <c r="C202" s="163" t="s">
        <v>4661</v>
      </c>
      <c r="D202" s="163" t="s">
        <v>4665</v>
      </c>
      <c r="E202" s="163" t="s">
        <v>2091</v>
      </c>
      <c r="F202" s="163" t="s">
        <v>2092</v>
      </c>
      <c r="G202" s="163" t="s">
        <v>36</v>
      </c>
      <c r="H202" s="163" t="s">
        <v>2200</v>
      </c>
      <c r="I202" s="163" t="s">
        <v>5725</v>
      </c>
      <c r="J202" s="163" t="s">
        <v>2468</v>
      </c>
      <c r="K202" s="163" t="s">
        <v>1063</v>
      </c>
      <c r="L202" s="163" t="s">
        <v>2875</v>
      </c>
      <c r="M202" s="163" t="s">
        <v>2876</v>
      </c>
      <c r="N202" s="163" t="s">
        <v>4661</v>
      </c>
      <c r="O202" s="163" t="s">
        <v>5728</v>
      </c>
      <c r="P202" s="163" t="s">
        <v>2395</v>
      </c>
      <c r="Q202" s="163" t="s">
        <v>4938</v>
      </c>
      <c r="R202" s="163" t="s">
        <v>2193</v>
      </c>
      <c r="S202" s="163" t="s">
        <v>2877</v>
      </c>
      <c r="T202" s="163">
        <v>20</v>
      </c>
      <c r="U202" s="163" t="s">
        <v>2220</v>
      </c>
      <c r="V202" s="163" t="s">
        <v>2475</v>
      </c>
      <c r="W202" s="163" t="s">
        <v>2878</v>
      </c>
      <c r="X202" s="163" t="s">
        <v>4937</v>
      </c>
      <c r="Y202" s="163" t="s">
        <v>2879</v>
      </c>
      <c r="Z202" s="163" t="s">
        <v>2880</v>
      </c>
      <c r="AA202" s="163" t="s">
        <v>4937</v>
      </c>
      <c r="AB202" s="163" t="s">
        <v>36</v>
      </c>
      <c r="AC202" s="163" t="s">
        <v>2195</v>
      </c>
      <c r="AD202" s="163" t="s">
        <v>2196</v>
      </c>
      <c r="AE202" s="163" t="s">
        <v>1762</v>
      </c>
      <c r="AF202" s="163">
        <v>1</v>
      </c>
      <c r="AG202" s="163">
        <v>0.04</v>
      </c>
      <c r="AH202" s="163">
        <v>0.21</v>
      </c>
      <c r="AI202" s="163" t="s">
        <v>36</v>
      </c>
      <c r="AJ202" s="163" t="s">
        <v>36</v>
      </c>
      <c r="AK202" s="163" t="s">
        <v>2197</v>
      </c>
      <c r="AL202" s="163" t="s">
        <v>36</v>
      </c>
      <c r="AM202" t="s">
        <v>4877</v>
      </c>
      <c r="AN202" s="487">
        <v>1.4583333333333332E-2</v>
      </c>
      <c r="AO202" s="487">
        <v>0</v>
      </c>
    </row>
    <row r="203" spans="1:41" x14ac:dyDescent="0.2">
      <c r="A203">
        <v>202</v>
      </c>
      <c r="B203" s="471" t="s">
        <v>1205</v>
      </c>
      <c r="C203" s="163" t="s">
        <v>1207</v>
      </c>
      <c r="D203" s="163" t="s">
        <v>4175</v>
      </c>
      <c r="E203" s="163" t="s">
        <v>2091</v>
      </c>
      <c r="F203" s="163" t="s">
        <v>2092</v>
      </c>
      <c r="G203" s="163" t="s">
        <v>36</v>
      </c>
      <c r="H203" s="163" t="s">
        <v>2200</v>
      </c>
      <c r="I203" s="163" t="s">
        <v>5725</v>
      </c>
      <c r="J203" s="163" t="s">
        <v>2468</v>
      </c>
      <c r="K203" s="163" t="s">
        <v>2929</v>
      </c>
      <c r="L203" s="163" t="s">
        <v>2616</v>
      </c>
      <c r="M203" s="163">
        <v>116668</v>
      </c>
      <c r="N203" s="163" t="s">
        <v>1207</v>
      </c>
      <c r="O203" s="163" t="s">
        <v>5726</v>
      </c>
      <c r="P203" s="163" t="s">
        <v>2930</v>
      </c>
      <c r="Q203" s="163" t="s">
        <v>4936</v>
      </c>
      <c r="R203" s="163" t="s">
        <v>2193</v>
      </c>
      <c r="S203" s="163" t="s">
        <v>2931</v>
      </c>
      <c r="T203" s="163">
        <v>258.5</v>
      </c>
      <c r="U203" s="163" t="s">
        <v>2220</v>
      </c>
      <c r="V203" s="163" t="s">
        <v>2908</v>
      </c>
      <c r="W203" s="163" t="s">
        <v>2932</v>
      </c>
      <c r="X203" s="163" t="s">
        <v>4946</v>
      </c>
      <c r="Y203" s="163" t="s">
        <v>2908</v>
      </c>
      <c r="Z203" s="163" t="s">
        <v>2932</v>
      </c>
      <c r="AA203" s="163" t="s">
        <v>4946</v>
      </c>
      <c r="AB203" s="163" t="s">
        <v>36</v>
      </c>
      <c r="AC203" s="163" t="s">
        <v>2195</v>
      </c>
      <c r="AD203" s="163" t="s">
        <v>2196</v>
      </c>
      <c r="AE203" s="163" t="s">
        <v>1762</v>
      </c>
      <c r="AF203" s="163" t="s">
        <v>4499</v>
      </c>
      <c r="AG203" s="163" t="s">
        <v>3945</v>
      </c>
      <c r="AH203" s="163" t="s">
        <v>3995</v>
      </c>
      <c r="AI203" s="163" t="s">
        <v>3996</v>
      </c>
      <c r="AJ203" s="163" t="s">
        <v>36</v>
      </c>
      <c r="AK203" s="163" t="s">
        <v>2197</v>
      </c>
      <c r="AL203" s="163" t="s">
        <v>36</v>
      </c>
      <c r="AM203" t="s">
        <v>4879</v>
      </c>
      <c r="AN203" s="487">
        <v>1.4583333333333332E-2</v>
      </c>
      <c r="AO203" s="487">
        <v>2.1527777777777781E-2</v>
      </c>
    </row>
    <row r="204" spans="1:41" x14ac:dyDescent="0.2">
      <c r="A204">
        <v>203</v>
      </c>
      <c r="B204" s="471" t="s">
        <v>1205</v>
      </c>
      <c r="C204" s="163" t="s">
        <v>1216</v>
      </c>
      <c r="D204" s="163" t="s">
        <v>4176</v>
      </c>
      <c r="E204" s="163" t="s">
        <v>2091</v>
      </c>
      <c r="F204" s="163" t="s">
        <v>2092</v>
      </c>
      <c r="G204" s="163" t="s">
        <v>36</v>
      </c>
      <c r="H204" s="163" t="s">
        <v>2200</v>
      </c>
      <c r="I204" s="163" t="s">
        <v>5725</v>
      </c>
      <c r="J204" s="163" t="s">
        <v>2468</v>
      </c>
      <c r="K204" s="163" t="s">
        <v>2923</v>
      </c>
      <c r="L204" s="163" t="s">
        <v>2924</v>
      </c>
      <c r="M204" s="163">
        <v>173757</v>
      </c>
      <c r="N204" s="163" t="s">
        <v>1216</v>
      </c>
      <c r="O204" s="163" t="s">
        <v>5726</v>
      </c>
      <c r="P204" s="163" t="s">
        <v>2925</v>
      </c>
      <c r="Q204" s="163" t="s">
        <v>4936</v>
      </c>
      <c r="R204" s="163" t="s">
        <v>2193</v>
      </c>
      <c r="S204" s="163" t="s">
        <v>2926</v>
      </c>
      <c r="T204" s="163">
        <v>115</v>
      </c>
      <c r="U204" s="163" t="s">
        <v>2220</v>
      </c>
      <c r="V204" s="163" t="s">
        <v>2927</v>
      </c>
      <c r="W204" s="163" t="s">
        <v>2928</v>
      </c>
      <c r="X204" s="163" t="s">
        <v>4946</v>
      </c>
      <c r="Y204" s="163" t="s">
        <v>2927</v>
      </c>
      <c r="Z204" s="163" t="s">
        <v>2928</v>
      </c>
      <c r="AA204" s="163" t="s">
        <v>4946</v>
      </c>
      <c r="AB204" s="163" t="s">
        <v>36</v>
      </c>
      <c r="AC204" s="163" t="s">
        <v>2195</v>
      </c>
      <c r="AD204" s="163" t="s">
        <v>2196</v>
      </c>
      <c r="AE204" s="163" t="s">
        <v>1762</v>
      </c>
      <c r="AF204" s="163" t="s">
        <v>4500</v>
      </c>
      <c r="AG204" s="163" t="s">
        <v>3945</v>
      </c>
      <c r="AH204" s="163" t="s">
        <v>3995</v>
      </c>
      <c r="AI204" s="163" t="s">
        <v>3996</v>
      </c>
      <c r="AJ204" s="163" t="s">
        <v>36</v>
      </c>
      <c r="AK204" s="163" t="s">
        <v>2197</v>
      </c>
      <c r="AL204" s="163" t="s">
        <v>36</v>
      </c>
      <c r="AM204" t="s">
        <v>4879</v>
      </c>
      <c r="AN204" s="487">
        <v>1.4583333333333332E-2</v>
      </c>
      <c r="AO204" s="487">
        <v>2.1527777777777781E-2</v>
      </c>
    </row>
    <row r="205" spans="1:41" x14ac:dyDescent="0.2">
      <c r="A205">
        <v>204</v>
      </c>
      <c r="B205" s="471" t="s">
        <v>1205</v>
      </c>
      <c r="C205" s="163" t="s">
        <v>1220</v>
      </c>
      <c r="D205" s="163" t="s">
        <v>4177</v>
      </c>
      <c r="E205" s="163" t="s">
        <v>2091</v>
      </c>
      <c r="F205" s="163" t="s">
        <v>2092</v>
      </c>
      <c r="G205" s="163" t="s">
        <v>36</v>
      </c>
      <c r="H205" s="163" t="s">
        <v>2200</v>
      </c>
      <c r="I205" s="163" t="s">
        <v>5725</v>
      </c>
      <c r="J205" s="163" t="s">
        <v>2468</v>
      </c>
      <c r="K205" s="163" t="s">
        <v>1063</v>
      </c>
      <c r="L205" s="163" t="s">
        <v>2892</v>
      </c>
      <c r="M205" s="163" t="s">
        <v>2893</v>
      </c>
      <c r="N205" s="163" t="s">
        <v>1220</v>
      </c>
      <c r="O205" s="163" t="s">
        <v>5751</v>
      </c>
      <c r="P205" s="163" t="s">
        <v>2894</v>
      </c>
      <c r="Q205" s="163" t="s">
        <v>4947</v>
      </c>
      <c r="R205" s="163" t="s">
        <v>2367</v>
      </c>
      <c r="S205" s="163" t="s">
        <v>2895</v>
      </c>
      <c r="T205" s="163">
        <v>545.79999999999995</v>
      </c>
      <c r="U205" s="163" t="s">
        <v>2220</v>
      </c>
      <c r="V205" s="163" t="s">
        <v>2475</v>
      </c>
      <c r="W205" s="163" t="s">
        <v>4495</v>
      </c>
      <c r="X205" s="163" t="s">
        <v>4937</v>
      </c>
      <c r="Y205" s="163" t="s">
        <v>2879</v>
      </c>
      <c r="Z205" s="163" t="s">
        <v>2880</v>
      </c>
      <c r="AA205" s="163" t="s">
        <v>4937</v>
      </c>
      <c r="AB205" s="163" t="s">
        <v>5294</v>
      </c>
      <c r="AC205" s="163" t="s">
        <v>2195</v>
      </c>
      <c r="AD205" s="163" t="s">
        <v>2196</v>
      </c>
      <c r="AE205" s="163" t="s">
        <v>1762</v>
      </c>
      <c r="AF205" s="163">
        <v>10</v>
      </c>
      <c r="AG205" s="163">
        <v>0.2</v>
      </c>
      <c r="AH205" s="163">
        <v>0.2</v>
      </c>
      <c r="AI205" s="163" t="s">
        <v>36</v>
      </c>
      <c r="AJ205" s="163" t="s">
        <v>36</v>
      </c>
      <c r="AK205" s="163" t="s">
        <v>2197</v>
      </c>
      <c r="AL205" s="163" t="s">
        <v>36</v>
      </c>
      <c r="AM205" t="s">
        <v>4876</v>
      </c>
      <c r="AN205" s="487">
        <v>1.4583333333333332E-2</v>
      </c>
      <c r="AO205" s="487">
        <v>0</v>
      </c>
    </row>
    <row r="206" spans="1:41" x14ac:dyDescent="0.2">
      <c r="A206">
        <v>205</v>
      </c>
      <c r="B206" s="471" t="s">
        <v>1205</v>
      </c>
      <c r="C206" s="163" t="s">
        <v>1228</v>
      </c>
      <c r="D206" s="163" t="s">
        <v>4178</v>
      </c>
      <c r="E206" s="163" t="s">
        <v>2091</v>
      </c>
      <c r="F206" s="163" t="s">
        <v>2092</v>
      </c>
      <c r="G206" s="163" t="s">
        <v>36</v>
      </c>
      <c r="H206" s="163" t="s">
        <v>2200</v>
      </c>
      <c r="I206" s="163" t="s">
        <v>5725</v>
      </c>
      <c r="J206" s="163" t="s">
        <v>2468</v>
      </c>
      <c r="K206" s="163" t="s">
        <v>2915</v>
      </c>
      <c r="L206" s="163" t="s">
        <v>2202</v>
      </c>
      <c r="M206" s="163" t="s">
        <v>2916</v>
      </c>
      <c r="N206" s="163" t="s">
        <v>1228</v>
      </c>
      <c r="O206" s="163" t="s">
        <v>5752</v>
      </c>
      <c r="P206" s="163" t="s">
        <v>2917</v>
      </c>
      <c r="Q206" s="163" t="s">
        <v>4948</v>
      </c>
      <c r="R206" s="163" t="s">
        <v>2193</v>
      </c>
      <c r="S206" s="163" t="s">
        <v>2918</v>
      </c>
      <c r="T206" s="163">
        <v>26.7</v>
      </c>
      <c r="U206" s="163" t="s">
        <v>2220</v>
      </c>
      <c r="V206" s="163" t="s">
        <v>2475</v>
      </c>
      <c r="W206" s="163" t="s">
        <v>2919</v>
      </c>
      <c r="X206" s="163" t="s">
        <v>4937</v>
      </c>
      <c r="Y206" s="163" t="s">
        <v>2879</v>
      </c>
      <c r="Z206" s="163" t="s">
        <v>2880</v>
      </c>
      <c r="AA206" s="163" t="s">
        <v>4937</v>
      </c>
      <c r="AB206" s="163" t="s">
        <v>36</v>
      </c>
      <c r="AC206" s="163" t="s">
        <v>2195</v>
      </c>
      <c r="AD206" s="163" t="s">
        <v>2196</v>
      </c>
      <c r="AE206" s="163" t="s">
        <v>1762</v>
      </c>
      <c r="AF206" s="163">
        <v>5</v>
      </c>
      <c r="AG206" s="163">
        <v>0.75</v>
      </c>
      <c r="AH206" s="163">
        <v>1</v>
      </c>
      <c r="AI206" s="163" t="s">
        <v>36</v>
      </c>
      <c r="AJ206" s="163" t="s">
        <v>36</v>
      </c>
      <c r="AK206" s="163" t="s">
        <v>2197</v>
      </c>
      <c r="AL206" s="163" t="s">
        <v>36</v>
      </c>
      <c r="AM206" t="s">
        <v>4877</v>
      </c>
      <c r="AN206" s="487">
        <v>1.4583333333333332E-2</v>
      </c>
      <c r="AO206" s="487">
        <v>0</v>
      </c>
    </row>
    <row r="207" spans="1:41" x14ac:dyDescent="0.2">
      <c r="A207">
        <v>206</v>
      </c>
      <c r="B207" s="471" t="s">
        <v>1205</v>
      </c>
      <c r="C207" s="163" t="s">
        <v>1223</v>
      </c>
      <c r="D207" s="163" t="s">
        <v>4179</v>
      </c>
      <c r="E207" s="163" t="s">
        <v>2091</v>
      </c>
      <c r="F207" s="163" t="s">
        <v>2092</v>
      </c>
      <c r="G207" s="163" t="s">
        <v>36</v>
      </c>
      <c r="H207" s="163" t="s">
        <v>2200</v>
      </c>
      <c r="I207" s="163" t="s">
        <v>5725</v>
      </c>
      <c r="J207" s="163" t="s">
        <v>2468</v>
      </c>
      <c r="K207" s="163" t="s">
        <v>1063</v>
      </c>
      <c r="L207" s="163" t="s">
        <v>2885</v>
      </c>
      <c r="M207" s="163" t="s">
        <v>2886</v>
      </c>
      <c r="N207" s="163" t="s">
        <v>1223</v>
      </c>
      <c r="O207" s="163" t="s">
        <v>5728</v>
      </c>
      <c r="P207" s="163" t="s">
        <v>2493</v>
      </c>
      <c r="Q207" s="163" t="s">
        <v>4938</v>
      </c>
      <c r="R207" s="163" t="s">
        <v>2193</v>
      </c>
      <c r="S207" s="163" t="s">
        <v>2887</v>
      </c>
      <c r="T207" s="163">
        <v>20</v>
      </c>
      <c r="U207" s="163" t="s">
        <v>2220</v>
      </c>
      <c r="V207" s="163" t="s">
        <v>2475</v>
      </c>
      <c r="W207" s="163" t="s">
        <v>5612</v>
      </c>
      <c r="X207" s="163" t="s">
        <v>4937</v>
      </c>
      <c r="Y207" s="163" t="s">
        <v>2879</v>
      </c>
      <c r="Z207" s="163" t="s">
        <v>2880</v>
      </c>
      <c r="AA207" s="163" t="s">
        <v>4937</v>
      </c>
      <c r="AB207" s="163" t="s">
        <v>36</v>
      </c>
      <c r="AC207" s="163" t="s">
        <v>2195</v>
      </c>
      <c r="AD207" s="163" t="s">
        <v>2196</v>
      </c>
      <c r="AE207" s="163" t="s">
        <v>1762</v>
      </c>
      <c r="AF207" s="163">
        <v>4</v>
      </c>
      <c r="AG207" s="163">
        <v>53</v>
      </c>
      <c r="AH207" s="163">
        <v>9</v>
      </c>
      <c r="AI207" s="163" t="s">
        <v>36</v>
      </c>
      <c r="AJ207" s="163" t="s">
        <v>36</v>
      </c>
      <c r="AK207" s="163" t="s">
        <v>2197</v>
      </c>
      <c r="AL207" s="163" t="s">
        <v>36</v>
      </c>
      <c r="AM207" t="s">
        <v>4877</v>
      </c>
      <c r="AN207" s="487">
        <v>1.4583333333333332E-2</v>
      </c>
      <c r="AO207" s="487">
        <v>0</v>
      </c>
    </row>
    <row r="208" spans="1:41" x14ac:dyDescent="0.2">
      <c r="A208">
        <v>207</v>
      </c>
      <c r="B208" s="471" t="s">
        <v>1205</v>
      </c>
      <c r="C208" s="163" t="s">
        <v>1218</v>
      </c>
      <c r="D208" s="163" t="s">
        <v>4180</v>
      </c>
      <c r="E208" s="163" t="s">
        <v>2091</v>
      </c>
      <c r="F208" s="163" t="s">
        <v>2092</v>
      </c>
      <c r="G208" s="163" t="s">
        <v>36</v>
      </c>
      <c r="H208" s="163" t="s">
        <v>2200</v>
      </c>
      <c r="I208" s="163" t="s">
        <v>5725</v>
      </c>
      <c r="J208" s="163" t="s">
        <v>2468</v>
      </c>
      <c r="K208" s="163" t="s">
        <v>2915</v>
      </c>
      <c r="L208" s="163" t="s">
        <v>2920</v>
      </c>
      <c r="M208" s="163" t="s">
        <v>2921</v>
      </c>
      <c r="N208" s="163" t="s">
        <v>1218</v>
      </c>
      <c r="O208" s="163" t="s">
        <v>5753</v>
      </c>
      <c r="P208" s="163" t="s">
        <v>2894</v>
      </c>
      <c r="Q208" s="163" t="s">
        <v>4948</v>
      </c>
      <c r="R208" s="163" t="s">
        <v>2193</v>
      </c>
      <c r="S208" s="163" t="s">
        <v>2922</v>
      </c>
      <c r="T208" s="163">
        <v>445.5</v>
      </c>
      <c r="U208" s="163" t="s">
        <v>2220</v>
      </c>
      <c r="V208" s="163" t="s">
        <v>2475</v>
      </c>
      <c r="W208" s="163" t="s">
        <v>4496</v>
      </c>
      <c r="X208" s="163" t="s">
        <v>4937</v>
      </c>
      <c r="Y208" s="163" t="s">
        <v>2879</v>
      </c>
      <c r="Z208" s="163" t="s">
        <v>2880</v>
      </c>
      <c r="AA208" s="163" t="s">
        <v>4937</v>
      </c>
      <c r="AB208" s="163" t="s">
        <v>36</v>
      </c>
      <c r="AC208" s="163" t="s">
        <v>2195</v>
      </c>
      <c r="AD208" s="163" t="s">
        <v>2196</v>
      </c>
      <c r="AE208" s="163" t="s">
        <v>1762</v>
      </c>
      <c r="AF208" s="163">
        <v>15</v>
      </c>
      <c r="AG208" s="163">
        <v>0.43</v>
      </c>
      <c r="AH208" s="163">
        <v>0.1</v>
      </c>
      <c r="AI208" s="163" t="s">
        <v>36</v>
      </c>
      <c r="AJ208" s="163" t="s">
        <v>36</v>
      </c>
      <c r="AK208" s="163" t="s">
        <v>2197</v>
      </c>
      <c r="AL208" s="163" t="s">
        <v>36</v>
      </c>
      <c r="AM208" t="s">
        <v>4876</v>
      </c>
      <c r="AN208" s="487">
        <v>1.4583333333333332E-2</v>
      </c>
      <c r="AO208" s="487">
        <v>0</v>
      </c>
    </row>
    <row r="209" spans="1:41" x14ac:dyDescent="0.2">
      <c r="A209">
        <v>208</v>
      </c>
      <c r="B209" s="471" t="s">
        <v>1205</v>
      </c>
      <c r="C209" s="163" t="s">
        <v>1225</v>
      </c>
      <c r="D209" s="163" t="s">
        <v>4181</v>
      </c>
      <c r="E209" s="163" t="s">
        <v>2091</v>
      </c>
      <c r="F209" s="163" t="s">
        <v>2092</v>
      </c>
      <c r="G209" s="163" t="s">
        <v>36</v>
      </c>
      <c r="H209" s="163" t="s">
        <v>2200</v>
      </c>
      <c r="I209" s="163" t="s">
        <v>5725</v>
      </c>
      <c r="J209" s="163" t="s">
        <v>2468</v>
      </c>
      <c r="K209" s="163" t="s">
        <v>1063</v>
      </c>
      <c r="L209" s="163" t="s">
        <v>2881</v>
      </c>
      <c r="M209" s="163" t="s">
        <v>2882</v>
      </c>
      <c r="N209" s="163" t="s">
        <v>1225</v>
      </c>
      <c r="O209" s="163" t="s">
        <v>5726</v>
      </c>
      <c r="P209" s="163" t="s">
        <v>2883</v>
      </c>
      <c r="Q209" s="163" t="s">
        <v>4936</v>
      </c>
      <c r="R209" s="163" t="s">
        <v>2193</v>
      </c>
      <c r="S209" s="163" t="s">
        <v>2884</v>
      </c>
      <c r="T209" s="163">
        <v>18.7</v>
      </c>
      <c r="U209" s="163" t="s">
        <v>2220</v>
      </c>
      <c r="V209" s="163" t="s">
        <v>2475</v>
      </c>
      <c r="W209" s="163" t="s">
        <v>4497</v>
      </c>
      <c r="X209" s="163" t="s">
        <v>4937</v>
      </c>
      <c r="Y209" s="163" t="s">
        <v>2879</v>
      </c>
      <c r="Z209" s="163" t="s">
        <v>2880</v>
      </c>
      <c r="AA209" s="163" t="s">
        <v>4937</v>
      </c>
      <c r="AB209" s="163" t="s">
        <v>36</v>
      </c>
      <c r="AC209" s="163" t="s">
        <v>2195</v>
      </c>
      <c r="AD209" s="163" t="s">
        <v>2196</v>
      </c>
      <c r="AE209" s="163" t="s">
        <v>1762</v>
      </c>
      <c r="AF209" s="163">
        <v>4</v>
      </c>
      <c r="AG209" s="163">
        <v>1</v>
      </c>
      <c r="AH209" s="163">
        <v>0.8</v>
      </c>
      <c r="AI209" s="163" t="s">
        <v>36</v>
      </c>
      <c r="AJ209" s="163" t="s">
        <v>36</v>
      </c>
      <c r="AK209" s="163" t="s">
        <v>2197</v>
      </c>
      <c r="AL209" s="163" t="s">
        <v>36</v>
      </c>
      <c r="AM209" t="s">
        <v>4877</v>
      </c>
      <c r="AN209" s="487">
        <v>1.4583333333333332E-2</v>
      </c>
      <c r="AO209" s="487">
        <v>0</v>
      </c>
    </row>
    <row r="210" spans="1:41" x14ac:dyDescent="0.2">
      <c r="A210">
        <v>209</v>
      </c>
      <c r="B210" s="471" t="s">
        <v>1205</v>
      </c>
      <c r="C210" s="163" t="s">
        <v>1214</v>
      </c>
      <c r="D210" s="163" t="s">
        <v>4182</v>
      </c>
      <c r="E210" s="163" t="s">
        <v>2091</v>
      </c>
      <c r="F210" s="163" t="s">
        <v>2092</v>
      </c>
      <c r="G210" s="163" t="s">
        <v>36</v>
      </c>
      <c r="H210" s="163" t="s">
        <v>2200</v>
      </c>
      <c r="I210" s="163" t="s">
        <v>5754</v>
      </c>
      <c r="J210" s="163" t="s">
        <v>2468</v>
      </c>
      <c r="K210" s="163" t="s">
        <v>1241</v>
      </c>
      <c r="L210" s="163" t="s">
        <v>2315</v>
      </c>
      <c r="M210" s="163" t="s">
        <v>1214</v>
      </c>
      <c r="N210" s="163" t="s">
        <v>1214</v>
      </c>
      <c r="O210" s="163" t="s">
        <v>4989</v>
      </c>
      <c r="P210" s="163" t="s">
        <v>2911</v>
      </c>
      <c r="Q210" s="163" t="s">
        <v>4949</v>
      </c>
      <c r="R210" s="163" t="s">
        <v>2193</v>
      </c>
      <c r="S210" s="163" t="s">
        <v>2912</v>
      </c>
      <c r="T210" s="163">
        <v>120</v>
      </c>
      <c r="U210" s="163" t="s">
        <v>2222</v>
      </c>
      <c r="V210" s="163" t="s">
        <v>2913</v>
      </c>
      <c r="W210" s="163" t="s">
        <v>2914</v>
      </c>
      <c r="X210" s="163" t="s">
        <v>5155</v>
      </c>
      <c r="Y210" s="163" t="s">
        <v>111</v>
      </c>
      <c r="Z210" s="163" t="s">
        <v>111</v>
      </c>
      <c r="AA210" s="163" t="s">
        <v>111</v>
      </c>
      <c r="AB210" s="163" t="s">
        <v>5156</v>
      </c>
      <c r="AC210" s="163" t="s">
        <v>2195</v>
      </c>
      <c r="AD210" s="163" t="s">
        <v>2196</v>
      </c>
      <c r="AE210" s="163" t="s">
        <v>1762</v>
      </c>
      <c r="AF210" s="163">
        <v>0</v>
      </c>
      <c r="AG210" s="163">
        <v>0</v>
      </c>
      <c r="AH210" s="163">
        <v>0.15</v>
      </c>
      <c r="AI210" s="163" t="s">
        <v>3994</v>
      </c>
      <c r="AJ210" s="163" t="s">
        <v>36</v>
      </c>
      <c r="AK210" s="163" t="s">
        <v>2197</v>
      </c>
      <c r="AL210" s="163" t="s">
        <v>36</v>
      </c>
      <c r="AM210" t="s">
        <v>4879</v>
      </c>
      <c r="AN210" s="487">
        <v>0</v>
      </c>
      <c r="AO210" s="487">
        <v>0</v>
      </c>
    </row>
    <row r="211" spans="1:41" x14ac:dyDescent="0.2">
      <c r="A211">
        <v>210</v>
      </c>
      <c r="B211" s="471" t="s">
        <v>1205</v>
      </c>
      <c r="C211" s="163" t="s">
        <v>4801</v>
      </c>
      <c r="D211" s="163" t="s">
        <v>4802</v>
      </c>
      <c r="E211" s="163" t="s">
        <v>2091</v>
      </c>
      <c r="F211" s="163" t="s">
        <v>2092</v>
      </c>
      <c r="G211" s="163" t="s">
        <v>36</v>
      </c>
      <c r="H211" s="163" t="s">
        <v>2200</v>
      </c>
      <c r="I211" s="163" t="s">
        <v>5725</v>
      </c>
      <c r="J211" s="163" t="s">
        <v>2468</v>
      </c>
      <c r="K211" s="163" t="s">
        <v>2888</v>
      </c>
      <c r="L211" s="163" t="s">
        <v>2903</v>
      </c>
      <c r="M211" s="163" t="s">
        <v>2904</v>
      </c>
      <c r="N211" s="163" t="s">
        <v>1209</v>
      </c>
      <c r="O211" s="163" t="s">
        <v>5751</v>
      </c>
      <c r="P211" s="163" t="s">
        <v>2905</v>
      </c>
      <c r="Q211" s="163" t="s">
        <v>4947</v>
      </c>
      <c r="R211" s="163" t="s">
        <v>2193</v>
      </c>
      <c r="S211" s="163" t="s">
        <v>2906</v>
      </c>
      <c r="T211" s="163">
        <v>29.8</v>
      </c>
      <c r="U211" s="163" t="s">
        <v>2220</v>
      </c>
      <c r="V211" s="163" t="s">
        <v>2537</v>
      </c>
      <c r="W211" s="163" t="s">
        <v>2907</v>
      </c>
      <c r="X211" s="163" t="s">
        <v>4946</v>
      </c>
      <c r="Y211" s="163" t="s">
        <v>2908</v>
      </c>
      <c r="Z211" s="163" t="s">
        <v>2909</v>
      </c>
      <c r="AA211" s="163" t="s">
        <v>4946</v>
      </c>
      <c r="AB211" s="163" t="s">
        <v>2910</v>
      </c>
      <c r="AC211" s="163" t="s">
        <v>2195</v>
      </c>
      <c r="AD211" s="163" t="s">
        <v>2196</v>
      </c>
      <c r="AE211" s="163" t="s">
        <v>1762</v>
      </c>
      <c r="AF211" s="163" t="s">
        <v>3419</v>
      </c>
      <c r="AG211" s="163" t="s">
        <v>36</v>
      </c>
      <c r="AH211" s="163" t="s">
        <v>36</v>
      </c>
      <c r="AI211" s="163" t="s">
        <v>36</v>
      </c>
      <c r="AJ211" s="163" t="s">
        <v>36</v>
      </c>
      <c r="AK211" s="163" t="s">
        <v>2197</v>
      </c>
      <c r="AL211" s="163" t="s">
        <v>36</v>
      </c>
      <c r="AM211" t="s">
        <v>4883</v>
      </c>
      <c r="AN211" s="487">
        <v>0</v>
      </c>
      <c r="AO211" s="487">
        <v>0</v>
      </c>
    </row>
    <row r="212" spans="1:41" x14ac:dyDescent="0.2">
      <c r="A212">
        <v>211</v>
      </c>
      <c r="B212" s="471" t="s">
        <v>1205</v>
      </c>
      <c r="C212" s="163" t="s">
        <v>4803</v>
      </c>
      <c r="D212" s="163" t="s">
        <v>4804</v>
      </c>
      <c r="E212" s="163" t="s">
        <v>2091</v>
      </c>
      <c r="F212" s="163" t="s">
        <v>2092</v>
      </c>
      <c r="G212" s="163" t="s">
        <v>36</v>
      </c>
      <c r="H212" s="163" t="s">
        <v>2200</v>
      </c>
      <c r="I212" s="163" t="s">
        <v>5725</v>
      </c>
      <c r="J212" s="163" t="s">
        <v>2468</v>
      </c>
      <c r="K212" s="163" t="s">
        <v>2888</v>
      </c>
      <c r="L212" s="163" t="s">
        <v>2903</v>
      </c>
      <c r="M212" s="163" t="s">
        <v>2904</v>
      </c>
      <c r="N212" s="163" t="s">
        <v>1209</v>
      </c>
      <c r="O212" s="163" t="s">
        <v>5751</v>
      </c>
      <c r="P212" s="163" t="s">
        <v>2905</v>
      </c>
      <c r="Q212" s="163" t="s">
        <v>4947</v>
      </c>
      <c r="R212" s="163" t="s">
        <v>2193</v>
      </c>
      <c r="S212" s="163" t="s">
        <v>2906</v>
      </c>
      <c r="T212" s="163">
        <v>29.8</v>
      </c>
      <c r="U212" s="163" t="s">
        <v>2222</v>
      </c>
      <c r="V212" s="163" t="s">
        <v>2537</v>
      </c>
      <c r="W212" s="163" t="s">
        <v>2907</v>
      </c>
      <c r="X212" s="163" t="s">
        <v>4946</v>
      </c>
      <c r="Y212" s="163" t="s">
        <v>2908</v>
      </c>
      <c r="Z212" s="163" t="s">
        <v>2909</v>
      </c>
      <c r="AA212" s="163" t="s">
        <v>4946</v>
      </c>
      <c r="AB212" s="163" t="s">
        <v>2910</v>
      </c>
      <c r="AC212" s="163" t="s">
        <v>2195</v>
      </c>
      <c r="AD212" s="163" t="s">
        <v>2196</v>
      </c>
      <c r="AE212" s="163" t="s">
        <v>1762</v>
      </c>
      <c r="AF212" s="163" t="s">
        <v>3419</v>
      </c>
      <c r="AG212" s="163" t="s">
        <v>36</v>
      </c>
      <c r="AH212" s="163" t="s">
        <v>36</v>
      </c>
      <c r="AI212" s="163" t="s">
        <v>36</v>
      </c>
      <c r="AJ212" s="163" t="s">
        <v>36</v>
      </c>
      <c r="AK212" s="163" t="s">
        <v>2197</v>
      </c>
      <c r="AL212" s="163" t="s">
        <v>36</v>
      </c>
      <c r="AM212" t="s">
        <v>4883</v>
      </c>
      <c r="AN212" s="487">
        <v>0</v>
      </c>
      <c r="AO212" s="487">
        <v>0</v>
      </c>
    </row>
    <row r="213" spans="1:41" x14ac:dyDescent="0.2">
      <c r="A213">
        <v>212</v>
      </c>
      <c r="B213" s="471" t="s">
        <v>1205</v>
      </c>
      <c r="C213" s="163" t="s">
        <v>1211</v>
      </c>
      <c r="D213" s="163" t="s">
        <v>4183</v>
      </c>
      <c r="E213" s="163" t="s">
        <v>2091</v>
      </c>
      <c r="F213" s="163" t="s">
        <v>2092</v>
      </c>
      <c r="G213" s="163" t="s">
        <v>36</v>
      </c>
      <c r="H213" s="163" t="s">
        <v>2200</v>
      </c>
      <c r="I213" s="163" t="s">
        <v>5725</v>
      </c>
      <c r="J213" s="163" t="s">
        <v>2468</v>
      </c>
      <c r="K213" s="163" t="s">
        <v>2888</v>
      </c>
      <c r="L213" s="163" t="s">
        <v>2896</v>
      </c>
      <c r="M213" s="163" t="s">
        <v>2897</v>
      </c>
      <c r="N213" s="163" t="s">
        <v>1211</v>
      </c>
      <c r="O213" s="163" t="s">
        <v>5755</v>
      </c>
      <c r="P213" s="163" t="s">
        <v>2898</v>
      </c>
      <c r="Q213" s="163" t="s">
        <v>4949</v>
      </c>
      <c r="R213" s="163" t="s">
        <v>2193</v>
      </c>
      <c r="S213" s="163" t="s">
        <v>5004</v>
      </c>
      <c r="T213" s="163">
        <v>91.8</v>
      </c>
      <c r="U213" s="163" t="s">
        <v>2222</v>
      </c>
      <c r="V213" s="163" t="s">
        <v>2537</v>
      </c>
      <c r="W213" s="163" t="s">
        <v>2899</v>
      </c>
      <c r="X213" s="163" t="s">
        <v>4946</v>
      </c>
      <c r="Y213" s="163" t="s">
        <v>2900</v>
      </c>
      <c r="Z213" s="163" t="s">
        <v>2901</v>
      </c>
      <c r="AA213" s="163" t="s">
        <v>4946</v>
      </c>
      <c r="AB213" s="163" t="s">
        <v>2902</v>
      </c>
      <c r="AC213" s="163" t="s">
        <v>2195</v>
      </c>
      <c r="AD213" s="163" t="s">
        <v>2196</v>
      </c>
      <c r="AE213" s="163" t="s">
        <v>1762</v>
      </c>
      <c r="AF213" s="163">
        <v>13.25</v>
      </c>
      <c r="AG213" s="163">
        <v>2.75</v>
      </c>
      <c r="AH213" s="163">
        <v>0.8</v>
      </c>
      <c r="AI213" s="163" t="s">
        <v>36</v>
      </c>
      <c r="AJ213" s="163" t="s">
        <v>36</v>
      </c>
      <c r="AK213" s="163" t="s">
        <v>2197</v>
      </c>
      <c r="AL213" s="163" t="s">
        <v>36</v>
      </c>
      <c r="AM213" t="s">
        <v>4883</v>
      </c>
      <c r="AN213" s="487">
        <v>0</v>
      </c>
      <c r="AO213" s="487">
        <v>0</v>
      </c>
    </row>
    <row r="214" spans="1:41" x14ac:dyDescent="0.2">
      <c r="A214">
        <v>213</v>
      </c>
      <c r="B214" s="471" t="s">
        <v>1230</v>
      </c>
      <c r="C214" s="163" t="s">
        <v>1234</v>
      </c>
      <c r="D214" s="163" t="s">
        <v>4184</v>
      </c>
      <c r="E214" s="163" t="s">
        <v>2093</v>
      </c>
      <c r="F214" s="163" t="s">
        <v>2094</v>
      </c>
      <c r="G214" s="163" t="s">
        <v>36</v>
      </c>
      <c r="H214" s="163" t="s">
        <v>2200</v>
      </c>
      <c r="I214" s="163" t="s">
        <v>5725</v>
      </c>
      <c r="J214" s="163" t="s">
        <v>2812</v>
      </c>
      <c r="K214" s="163" t="s">
        <v>2322</v>
      </c>
      <c r="L214" s="163" t="s">
        <v>2933</v>
      </c>
      <c r="M214" s="163">
        <v>966014</v>
      </c>
      <c r="N214" s="163" t="s">
        <v>1234</v>
      </c>
      <c r="O214" s="163" t="s">
        <v>906</v>
      </c>
      <c r="P214" s="163" t="s">
        <v>2934</v>
      </c>
      <c r="Q214" s="163" t="s">
        <v>2276</v>
      </c>
      <c r="R214" s="163" t="s">
        <v>2257</v>
      </c>
      <c r="S214" s="163" t="s">
        <v>2935</v>
      </c>
      <c r="T214" s="163">
        <v>6.25</v>
      </c>
      <c r="U214" s="163" t="s">
        <v>1952</v>
      </c>
      <c r="V214" s="163" t="s">
        <v>2936</v>
      </c>
      <c r="W214" s="163">
        <v>306253</v>
      </c>
      <c r="X214" s="163" t="s">
        <v>2342</v>
      </c>
      <c r="Y214" s="163" t="s">
        <v>111</v>
      </c>
      <c r="Z214" s="163" t="s">
        <v>111</v>
      </c>
      <c r="AA214" s="163" t="s">
        <v>111</v>
      </c>
      <c r="AB214" s="163" t="s">
        <v>5505</v>
      </c>
      <c r="AC214" s="163" t="s">
        <v>2195</v>
      </c>
      <c r="AD214" s="163" t="s">
        <v>2196</v>
      </c>
      <c r="AE214" s="163" t="s">
        <v>1762</v>
      </c>
      <c r="AF214" s="163">
        <v>2.1</v>
      </c>
      <c r="AG214" s="163">
        <v>1.2</v>
      </c>
      <c r="AH214" s="163">
        <v>0.2</v>
      </c>
      <c r="AI214" s="163" t="s">
        <v>3997</v>
      </c>
      <c r="AJ214" s="163" t="s">
        <v>3998</v>
      </c>
      <c r="AK214" s="163" t="s">
        <v>2197</v>
      </c>
      <c r="AL214" s="163" t="s">
        <v>3797</v>
      </c>
      <c r="AM214" t="s">
        <v>4876</v>
      </c>
      <c r="AN214" s="487">
        <v>0</v>
      </c>
      <c r="AO214" s="487">
        <v>0</v>
      </c>
    </row>
    <row r="215" spans="1:41" x14ac:dyDescent="0.2">
      <c r="A215">
        <v>214</v>
      </c>
      <c r="B215" s="471" t="s">
        <v>1230</v>
      </c>
      <c r="C215" s="163" t="s">
        <v>1232</v>
      </c>
      <c r="D215" s="163" t="s">
        <v>4185</v>
      </c>
      <c r="E215" s="163" t="s">
        <v>2093</v>
      </c>
      <c r="F215" s="163" t="s">
        <v>2094</v>
      </c>
      <c r="G215" s="163" t="s">
        <v>36</v>
      </c>
      <c r="H215" s="163" t="s">
        <v>2200</v>
      </c>
      <c r="I215" s="163" t="s">
        <v>5725</v>
      </c>
      <c r="J215" s="163" t="s">
        <v>2812</v>
      </c>
      <c r="K215" s="163" t="s">
        <v>1910</v>
      </c>
      <c r="L215" s="163" t="s">
        <v>2937</v>
      </c>
      <c r="M215" s="163" t="s">
        <v>2938</v>
      </c>
      <c r="N215" s="163" t="s">
        <v>1232</v>
      </c>
      <c r="O215" s="163" t="s">
        <v>906</v>
      </c>
      <c r="P215" s="163" t="s">
        <v>2594</v>
      </c>
      <c r="Q215" s="163" t="s">
        <v>2276</v>
      </c>
      <c r="R215" s="163" t="s">
        <v>2193</v>
      </c>
      <c r="S215" s="163" t="s">
        <v>2939</v>
      </c>
      <c r="T215" s="163">
        <v>10.1</v>
      </c>
      <c r="U215" s="163" t="s">
        <v>1952</v>
      </c>
      <c r="V215" s="163" t="s">
        <v>2475</v>
      </c>
      <c r="W215" s="163" t="s">
        <v>5439</v>
      </c>
      <c r="X215" s="163" t="s">
        <v>2194</v>
      </c>
      <c r="Y215" s="163" t="s">
        <v>111</v>
      </c>
      <c r="Z215" s="163" t="s">
        <v>111</v>
      </c>
      <c r="AA215" s="163" t="s">
        <v>111</v>
      </c>
      <c r="AB215" s="163" t="s">
        <v>36</v>
      </c>
      <c r="AC215" s="163" t="s">
        <v>2195</v>
      </c>
      <c r="AD215" s="163" t="s">
        <v>2196</v>
      </c>
      <c r="AE215" s="163" t="s">
        <v>1762</v>
      </c>
      <c r="AF215" s="163">
        <v>5</v>
      </c>
      <c r="AG215" s="163">
        <v>0.4</v>
      </c>
      <c r="AH215" s="163">
        <v>0.05</v>
      </c>
      <c r="AI215" s="163" t="s">
        <v>36</v>
      </c>
      <c r="AJ215" s="163" t="s">
        <v>36</v>
      </c>
      <c r="AK215" s="163" t="s">
        <v>2197</v>
      </c>
      <c r="AL215" s="163" t="s">
        <v>3797</v>
      </c>
      <c r="AM215" t="s">
        <v>4877</v>
      </c>
      <c r="AN215" s="487">
        <v>0</v>
      </c>
      <c r="AO215" s="487">
        <v>0</v>
      </c>
    </row>
    <row r="216" spans="1:41" x14ac:dyDescent="0.2">
      <c r="A216">
        <v>215</v>
      </c>
      <c r="B216" s="471" t="s">
        <v>1230</v>
      </c>
      <c r="C216" s="163" t="s">
        <v>1972</v>
      </c>
      <c r="D216" s="163" t="s">
        <v>4186</v>
      </c>
      <c r="E216" s="163" t="s">
        <v>2093</v>
      </c>
      <c r="F216" s="163" t="s">
        <v>2094</v>
      </c>
      <c r="G216" s="163" t="s">
        <v>36</v>
      </c>
      <c r="H216" s="163" t="s">
        <v>2200</v>
      </c>
      <c r="I216" s="163" t="s">
        <v>5725</v>
      </c>
      <c r="J216" s="163" t="s">
        <v>2812</v>
      </c>
      <c r="K216" s="163" t="s">
        <v>2940</v>
      </c>
      <c r="L216" s="163" t="s">
        <v>2315</v>
      </c>
      <c r="M216" s="163">
        <v>156014</v>
      </c>
      <c r="N216" s="163" t="s">
        <v>1972</v>
      </c>
      <c r="O216" s="163" t="s">
        <v>906</v>
      </c>
      <c r="P216" s="163" t="s">
        <v>2317</v>
      </c>
      <c r="Q216" s="163" t="s">
        <v>2276</v>
      </c>
      <c r="R216" s="163" t="s">
        <v>2193</v>
      </c>
      <c r="S216" s="163" t="s">
        <v>2941</v>
      </c>
      <c r="T216" s="163">
        <v>10.4</v>
      </c>
      <c r="U216" s="163" t="s">
        <v>1952</v>
      </c>
      <c r="V216" s="163" t="s">
        <v>2942</v>
      </c>
      <c r="W216" s="163" t="s">
        <v>2943</v>
      </c>
      <c r="X216" s="163" t="s">
        <v>2342</v>
      </c>
      <c r="Y216" s="163" t="s">
        <v>111</v>
      </c>
      <c r="Z216" s="163" t="s">
        <v>111</v>
      </c>
      <c r="AA216" s="163" t="s">
        <v>111</v>
      </c>
      <c r="AB216" s="163" t="s">
        <v>3203</v>
      </c>
      <c r="AC216" s="163" t="s">
        <v>2195</v>
      </c>
      <c r="AD216" s="163" t="s">
        <v>2196</v>
      </c>
      <c r="AE216" s="163" t="s">
        <v>1762</v>
      </c>
      <c r="AF216" s="163" t="s">
        <v>3419</v>
      </c>
      <c r="AG216" s="163" t="s">
        <v>36</v>
      </c>
      <c r="AH216" s="163" t="s">
        <v>36</v>
      </c>
      <c r="AI216" s="163" t="s">
        <v>36</v>
      </c>
      <c r="AJ216" s="163" t="s">
        <v>36</v>
      </c>
      <c r="AK216" s="163" t="s">
        <v>2197</v>
      </c>
      <c r="AL216" s="163" t="s">
        <v>3797</v>
      </c>
      <c r="AM216" t="s">
        <v>4876</v>
      </c>
      <c r="AN216" s="487">
        <v>0</v>
      </c>
      <c r="AO216" s="487">
        <v>0</v>
      </c>
    </row>
    <row r="217" spans="1:41" x14ac:dyDescent="0.2">
      <c r="A217">
        <v>216</v>
      </c>
      <c r="B217" s="471" t="s">
        <v>4807</v>
      </c>
      <c r="C217" s="163" t="s">
        <v>4808</v>
      </c>
      <c r="D217" s="163" t="s">
        <v>4809</v>
      </c>
      <c r="E217" s="163" t="s">
        <v>4810</v>
      </c>
      <c r="F217" s="163" t="s">
        <v>4811</v>
      </c>
      <c r="G217" s="163" t="s">
        <v>4812</v>
      </c>
      <c r="H217" s="163" t="s">
        <v>2200</v>
      </c>
      <c r="I217" s="163" t="s">
        <v>5725</v>
      </c>
      <c r="J217" s="163" t="s">
        <v>1768</v>
      </c>
      <c r="K217" s="163" t="s">
        <v>2286</v>
      </c>
      <c r="L217" s="163" t="s">
        <v>4813</v>
      </c>
      <c r="M217" s="163">
        <v>24005</v>
      </c>
      <c r="N217" s="163" t="s">
        <v>4814</v>
      </c>
      <c r="O217" s="163" t="s">
        <v>111</v>
      </c>
      <c r="P217" s="163" t="s">
        <v>4815</v>
      </c>
      <c r="Q217" s="163" t="s">
        <v>4816</v>
      </c>
      <c r="R217" s="163" t="s">
        <v>4817</v>
      </c>
      <c r="S217" s="163" t="s">
        <v>4818</v>
      </c>
      <c r="T217" s="163">
        <v>488.2</v>
      </c>
      <c r="U217" s="163" t="s">
        <v>4579</v>
      </c>
      <c r="V217" s="163" t="s">
        <v>4819</v>
      </c>
      <c r="W217" s="163">
        <v>224109</v>
      </c>
      <c r="X217" s="163" t="s">
        <v>2302</v>
      </c>
      <c r="Y217" s="163" t="s">
        <v>4820</v>
      </c>
      <c r="Z217" s="163">
        <v>8134133</v>
      </c>
      <c r="AA217" s="163" t="s">
        <v>2302</v>
      </c>
      <c r="AB217" s="163" t="s">
        <v>4821</v>
      </c>
      <c r="AC217" s="163" t="s">
        <v>2195</v>
      </c>
      <c r="AD217" s="163" t="s">
        <v>4574</v>
      </c>
      <c r="AE217" s="163" t="s">
        <v>1762</v>
      </c>
      <c r="AF217" s="163" t="s">
        <v>36</v>
      </c>
      <c r="AG217" s="163" t="s">
        <v>36</v>
      </c>
      <c r="AH217" s="163" t="s">
        <v>36</v>
      </c>
      <c r="AI217" s="163" t="s">
        <v>36</v>
      </c>
      <c r="AJ217" s="163" t="s">
        <v>36</v>
      </c>
      <c r="AK217" s="163" t="s">
        <v>2197</v>
      </c>
      <c r="AL217" s="163" t="s">
        <v>36</v>
      </c>
      <c r="AM217" t="s">
        <v>4876</v>
      </c>
      <c r="AN217" s="487">
        <v>0</v>
      </c>
      <c r="AO217" s="487">
        <v>0</v>
      </c>
    </row>
    <row r="218" spans="1:41" x14ac:dyDescent="0.2">
      <c r="A218">
        <v>217</v>
      </c>
      <c r="B218" s="471" t="s">
        <v>1777</v>
      </c>
      <c r="C218" s="163" t="s">
        <v>1779</v>
      </c>
      <c r="D218" s="163" t="s">
        <v>4187</v>
      </c>
      <c r="E218" s="163" t="s">
        <v>2944</v>
      </c>
      <c r="F218" s="163" t="s">
        <v>2098</v>
      </c>
      <c r="G218" s="163" t="s">
        <v>36</v>
      </c>
      <c r="H218" s="163" t="s">
        <v>2200</v>
      </c>
      <c r="I218" s="163" t="s">
        <v>5725</v>
      </c>
      <c r="J218" s="163" t="s">
        <v>2812</v>
      </c>
      <c r="K218" s="163" t="s">
        <v>1910</v>
      </c>
      <c r="L218" s="163" t="s">
        <v>2945</v>
      </c>
      <c r="M218" s="549" t="s">
        <v>1779</v>
      </c>
      <c r="N218" s="163" t="s">
        <v>1779</v>
      </c>
      <c r="O218" s="163" t="s">
        <v>906</v>
      </c>
      <c r="P218" s="163" t="s">
        <v>2946</v>
      </c>
      <c r="Q218" s="163" t="s">
        <v>2276</v>
      </c>
      <c r="R218" s="163" t="s">
        <v>2257</v>
      </c>
      <c r="S218" s="163" t="s">
        <v>2947</v>
      </c>
      <c r="T218" s="163">
        <v>192.5</v>
      </c>
      <c r="U218" s="163" t="s">
        <v>1952</v>
      </c>
      <c r="V218" s="163" t="s">
        <v>2948</v>
      </c>
      <c r="W218" s="163">
        <v>11110683</v>
      </c>
      <c r="X218" s="163" t="s">
        <v>2194</v>
      </c>
      <c r="Y218" s="163" t="s">
        <v>2949</v>
      </c>
      <c r="Z218" s="163">
        <v>16282890</v>
      </c>
      <c r="AA218" s="163" t="s">
        <v>2194</v>
      </c>
      <c r="AB218" s="163" t="s">
        <v>36</v>
      </c>
      <c r="AC218" s="163" t="s">
        <v>2195</v>
      </c>
      <c r="AD218" s="163" t="s">
        <v>2196</v>
      </c>
      <c r="AE218" s="163" t="s">
        <v>1762</v>
      </c>
      <c r="AF218" s="163" t="s">
        <v>36</v>
      </c>
      <c r="AG218" s="163" t="s">
        <v>36</v>
      </c>
      <c r="AH218" s="163" t="s">
        <v>36</v>
      </c>
      <c r="AI218" s="163" t="s">
        <v>36</v>
      </c>
      <c r="AJ218" s="163" t="s">
        <v>36</v>
      </c>
      <c r="AK218" s="163" t="s">
        <v>2197</v>
      </c>
      <c r="AL218" s="163" t="s">
        <v>36</v>
      </c>
      <c r="AM218" t="s">
        <v>4879</v>
      </c>
      <c r="AN218" s="487">
        <v>0</v>
      </c>
      <c r="AO218" s="487">
        <v>0</v>
      </c>
    </row>
    <row r="219" spans="1:41" x14ac:dyDescent="0.2">
      <c r="A219">
        <v>218</v>
      </c>
      <c r="B219" s="471" t="s">
        <v>1239</v>
      </c>
      <c r="C219" s="163" t="s">
        <v>4730</v>
      </c>
      <c r="D219" s="163" t="s">
        <v>4731</v>
      </c>
      <c r="E219" s="163" t="s">
        <v>2950</v>
      </c>
      <c r="F219" s="163" t="s">
        <v>2951</v>
      </c>
      <c r="G219" s="163" t="s">
        <v>36</v>
      </c>
      <c r="H219" s="163" t="s">
        <v>2200</v>
      </c>
      <c r="I219" s="163" t="s">
        <v>4732</v>
      </c>
      <c r="J219" s="163" t="s">
        <v>2468</v>
      </c>
      <c r="K219" s="163" t="s">
        <v>4730</v>
      </c>
      <c r="L219" s="163" t="s">
        <v>4733</v>
      </c>
      <c r="M219" s="549">
        <v>13849</v>
      </c>
      <c r="N219" s="163" t="s">
        <v>4730</v>
      </c>
      <c r="O219" s="163" t="s">
        <v>906</v>
      </c>
      <c r="P219" s="163" t="s">
        <v>4734</v>
      </c>
      <c r="Q219" s="163" t="s">
        <v>2276</v>
      </c>
      <c r="R219" s="163" t="s">
        <v>2257</v>
      </c>
      <c r="S219" s="163" t="s">
        <v>3648</v>
      </c>
      <c r="T219" s="163">
        <v>6</v>
      </c>
      <c r="U219" s="163" t="s">
        <v>2223</v>
      </c>
      <c r="V219" s="163" t="s">
        <v>3292</v>
      </c>
      <c r="W219" s="163" t="s">
        <v>4735</v>
      </c>
      <c r="X219" s="163" t="s">
        <v>2194</v>
      </c>
      <c r="Y219" s="163" t="s">
        <v>2706</v>
      </c>
      <c r="Z219" s="163" t="s">
        <v>4736</v>
      </c>
      <c r="AA219" s="163" t="s">
        <v>2194</v>
      </c>
      <c r="AB219" s="163" t="s">
        <v>36</v>
      </c>
      <c r="AC219" s="163" t="s">
        <v>2195</v>
      </c>
      <c r="AD219" s="163" t="s">
        <v>2196</v>
      </c>
      <c r="AE219" s="163" t="s">
        <v>1762</v>
      </c>
      <c r="AF219" s="163" t="s">
        <v>4737</v>
      </c>
      <c r="AG219" s="163" t="s">
        <v>4738</v>
      </c>
      <c r="AH219" s="163" t="s">
        <v>4739</v>
      </c>
      <c r="AI219" s="163" t="s">
        <v>36</v>
      </c>
      <c r="AJ219" s="163" t="s">
        <v>36</v>
      </c>
      <c r="AK219" s="163" t="s">
        <v>2197</v>
      </c>
      <c r="AL219" s="163" t="s">
        <v>36</v>
      </c>
      <c r="AM219" t="s">
        <v>4890</v>
      </c>
      <c r="AN219" s="487">
        <v>0</v>
      </c>
      <c r="AO219" s="487">
        <v>0</v>
      </c>
    </row>
    <row r="220" spans="1:41" x14ac:dyDescent="0.2">
      <c r="A220">
        <v>219</v>
      </c>
      <c r="B220" s="471" t="s">
        <v>1239</v>
      </c>
      <c r="C220" s="163" t="s">
        <v>4783</v>
      </c>
      <c r="D220" s="163" t="s">
        <v>4784</v>
      </c>
      <c r="E220" s="163" t="s">
        <v>2950</v>
      </c>
      <c r="F220" s="163" t="s">
        <v>2951</v>
      </c>
      <c r="G220" s="163" t="s">
        <v>36</v>
      </c>
      <c r="H220" s="163" t="s">
        <v>2200</v>
      </c>
      <c r="I220" s="163" t="s">
        <v>4732</v>
      </c>
      <c r="J220" s="163" t="s">
        <v>2468</v>
      </c>
      <c r="K220" s="163" t="s">
        <v>4783</v>
      </c>
      <c r="L220" s="163" t="s">
        <v>4798</v>
      </c>
      <c r="M220" s="549">
        <v>1184</v>
      </c>
      <c r="N220" s="163" t="s">
        <v>4783</v>
      </c>
      <c r="O220" s="163" t="s">
        <v>906</v>
      </c>
      <c r="P220" s="163" t="s">
        <v>2443</v>
      </c>
      <c r="Q220" s="163" t="s">
        <v>2443</v>
      </c>
      <c r="R220" s="163" t="s">
        <v>2257</v>
      </c>
      <c r="S220" s="163" t="s">
        <v>4785</v>
      </c>
      <c r="T220" s="163">
        <v>16.25</v>
      </c>
      <c r="U220" s="163" t="s">
        <v>111</v>
      </c>
      <c r="V220" s="163" t="s">
        <v>2460</v>
      </c>
      <c r="W220" s="163" t="s">
        <v>4735</v>
      </c>
      <c r="X220" s="163" t="s">
        <v>2810</v>
      </c>
      <c r="Y220" s="163" t="s">
        <v>4786</v>
      </c>
      <c r="Z220" s="163" t="s">
        <v>4787</v>
      </c>
      <c r="AA220" s="163" t="s">
        <v>2194</v>
      </c>
      <c r="AB220" s="163" t="s">
        <v>4788</v>
      </c>
      <c r="AC220" s="163" t="s">
        <v>2195</v>
      </c>
      <c r="AD220" s="163" t="s">
        <v>2196</v>
      </c>
      <c r="AE220" s="163" t="s">
        <v>1762</v>
      </c>
      <c r="AF220" s="163" t="s">
        <v>111</v>
      </c>
      <c r="AG220" s="163" t="s">
        <v>111</v>
      </c>
      <c r="AH220" s="163" t="s">
        <v>111</v>
      </c>
      <c r="AI220" s="163" t="s">
        <v>36</v>
      </c>
      <c r="AJ220" s="163" t="s">
        <v>36</v>
      </c>
      <c r="AK220" s="163" t="s">
        <v>2197</v>
      </c>
      <c r="AL220" s="163" t="s">
        <v>36</v>
      </c>
      <c r="AM220" t="s">
        <v>4880</v>
      </c>
      <c r="AN220" s="487">
        <v>0</v>
      </c>
      <c r="AO220" s="487">
        <v>0</v>
      </c>
    </row>
    <row r="221" spans="1:41" x14ac:dyDescent="0.2">
      <c r="A221">
        <v>220</v>
      </c>
      <c r="B221" s="471" t="s">
        <v>1239</v>
      </c>
      <c r="C221" s="163" t="s">
        <v>1243</v>
      </c>
      <c r="D221" s="163" t="s">
        <v>4188</v>
      </c>
      <c r="E221" s="163" t="s">
        <v>2950</v>
      </c>
      <c r="F221" s="163" t="s">
        <v>2951</v>
      </c>
      <c r="G221" s="163" t="s">
        <v>36</v>
      </c>
      <c r="H221" s="163" t="s">
        <v>2200</v>
      </c>
      <c r="I221" s="163" t="s">
        <v>5725</v>
      </c>
      <c r="J221" s="163" t="s">
        <v>2812</v>
      </c>
      <c r="K221" s="163" t="s">
        <v>1123</v>
      </c>
      <c r="L221" s="163" t="s">
        <v>2952</v>
      </c>
      <c r="M221" s="549">
        <v>51811</v>
      </c>
      <c r="N221" s="163" t="s">
        <v>1243</v>
      </c>
      <c r="O221" s="163" t="s">
        <v>906</v>
      </c>
      <c r="P221" s="163" t="s">
        <v>2953</v>
      </c>
      <c r="Q221" s="163" t="s">
        <v>2198</v>
      </c>
      <c r="R221" s="163" t="s">
        <v>2358</v>
      </c>
      <c r="S221" s="163" t="s">
        <v>2954</v>
      </c>
      <c r="T221" s="163">
        <v>132.5</v>
      </c>
      <c r="U221" s="163" t="s">
        <v>2222</v>
      </c>
      <c r="V221" s="163" t="s">
        <v>2955</v>
      </c>
      <c r="W221" s="163">
        <v>11019002</v>
      </c>
      <c r="X221" s="163" t="s">
        <v>2194</v>
      </c>
      <c r="Y221" s="163" t="s">
        <v>2706</v>
      </c>
      <c r="Z221" s="163" t="s">
        <v>2956</v>
      </c>
      <c r="AA221" s="163" t="s">
        <v>2194</v>
      </c>
      <c r="AB221" s="163" t="s">
        <v>36</v>
      </c>
      <c r="AC221" s="163" t="s">
        <v>2195</v>
      </c>
      <c r="AD221" s="163" t="s">
        <v>2196</v>
      </c>
      <c r="AE221" s="163" t="s">
        <v>1762</v>
      </c>
      <c r="AF221" s="163" t="s">
        <v>3419</v>
      </c>
      <c r="AG221" s="163" t="s">
        <v>36</v>
      </c>
      <c r="AH221" s="163" t="s">
        <v>36</v>
      </c>
      <c r="AI221" s="163" t="s">
        <v>36</v>
      </c>
      <c r="AJ221" s="163" t="s">
        <v>36</v>
      </c>
      <c r="AK221" s="163" t="s">
        <v>2197</v>
      </c>
      <c r="AL221" s="163" t="s">
        <v>36</v>
      </c>
      <c r="AM221" t="s">
        <v>4876</v>
      </c>
      <c r="AN221" s="487">
        <v>0</v>
      </c>
      <c r="AO221" s="487">
        <v>0</v>
      </c>
    </row>
    <row r="222" spans="1:41" x14ac:dyDescent="0.2">
      <c r="A222">
        <v>221</v>
      </c>
      <c r="B222" s="471" t="s">
        <v>1239</v>
      </c>
      <c r="C222" s="163" t="s">
        <v>1241</v>
      </c>
      <c r="D222" s="163" t="s">
        <v>4189</v>
      </c>
      <c r="E222" s="163" t="s">
        <v>2950</v>
      </c>
      <c r="F222" s="163" t="s">
        <v>2951</v>
      </c>
      <c r="G222" s="163" t="s">
        <v>36</v>
      </c>
      <c r="H222" s="163" t="s">
        <v>2200</v>
      </c>
      <c r="I222" s="163" t="s">
        <v>5725</v>
      </c>
      <c r="J222" s="163" t="s">
        <v>2812</v>
      </c>
      <c r="K222" s="163" t="s">
        <v>2322</v>
      </c>
      <c r="L222" s="163" t="s">
        <v>2191</v>
      </c>
      <c r="M222" s="549">
        <v>111297</v>
      </c>
      <c r="N222" s="163" t="s">
        <v>1241</v>
      </c>
      <c r="O222" s="163" t="s">
        <v>906</v>
      </c>
      <c r="P222" s="163" t="s">
        <v>2830</v>
      </c>
      <c r="Q222" s="163" t="s">
        <v>2276</v>
      </c>
      <c r="R222" s="163" t="s">
        <v>2257</v>
      </c>
      <c r="S222" s="163" t="s">
        <v>2957</v>
      </c>
      <c r="T222" s="163">
        <v>28</v>
      </c>
      <c r="U222" s="163" t="s">
        <v>2223</v>
      </c>
      <c r="V222" s="163" t="s">
        <v>2958</v>
      </c>
      <c r="W222" s="163">
        <v>431103000</v>
      </c>
      <c r="X222" s="163" t="s">
        <v>2194</v>
      </c>
      <c r="Y222" s="163" t="s">
        <v>2959</v>
      </c>
      <c r="Z222" s="163">
        <v>994010</v>
      </c>
      <c r="AA222" s="163" t="s">
        <v>2302</v>
      </c>
      <c r="AB222" s="163" t="s">
        <v>2960</v>
      </c>
      <c r="AC222" s="163" t="s">
        <v>2195</v>
      </c>
      <c r="AD222" s="163" t="s">
        <v>2196</v>
      </c>
      <c r="AE222" s="163" t="s">
        <v>1762</v>
      </c>
      <c r="AF222" s="163">
        <v>1</v>
      </c>
      <c r="AG222" s="163">
        <v>8</v>
      </c>
      <c r="AH222" s="163">
        <v>4.25</v>
      </c>
      <c r="AI222" s="163" t="s">
        <v>3968</v>
      </c>
      <c r="AJ222" s="163" t="s">
        <v>3999</v>
      </c>
      <c r="AK222" s="163" t="s">
        <v>2197</v>
      </c>
      <c r="AL222" s="163" t="s">
        <v>36</v>
      </c>
      <c r="AM222" t="s">
        <v>4876</v>
      </c>
      <c r="AN222" s="487">
        <v>0</v>
      </c>
      <c r="AO222" s="487">
        <v>0</v>
      </c>
    </row>
    <row r="223" spans="1:41" x14ac:dyDescent="0.2">
      <c r="A223">
        <v>222</v>
      </c>
      <c r="B223" s="471" t="s">
        <v>1245</v>
      </c>
      <c r="C223" s="163" t="s">
        <v>1247</v>
      </c>
      <c r="D223" s="163" t="s">
        <v>4190</v>
      </c>
      <c r="E223" s="163" t="s">
        <v>2101</v>
      </c>
      <c r="F223" s="163" t="s">
        <v>2102</v>
      </c>
      <c r="G223" s="163" t="s">
        <v>36</v>
      </c>
      <c r="H223" s="163" t="s">
        <v>2200</v>
      </c>
      <c r="I223" s="163" t="s">
        <v>5725</v>
      </c>
      <c r="J223" s="163" t="s">
        <v>2468</v>
      </c>
      <c r="K223" s="163" t="s">
        <v>2888</v>
      </c>
      <c r="L223" s="163" t="s">
        <v>2961</v>
      </c>
      <c r="M223" s="549">
        <v>332372</v>
      </c>
      <c r="N223" s="163" t="s">
        <v>1247</v>
      </c>
      <c r="O223" s="163" t="s">
        <v>5756</v>
      </c>
      <c r="P223" s="163" t="s">
        <v>2962</v>
      </c>
      <c r="Q223" s="163" t="s">
        <v>4936</v>
      </c>
      <c r="R223" s="163" t="s">
        <v>2193</v>
      </c>
      <c r="S223" s="163" t="s">
        <v>2963</v>
      </c>
      <c r="T223" s="163">
        <v>13</v>
      </c>
      <c r="U223" s="163" t="s">
        <v>2222</v>
      </c>
      <c r="V223" s="163" t="s">
        <v>2964</v>
      </c>
      <c r="W223" s="163" t="s">
        <v>2965</v>
      </c>
      <c r="X223" s="163" t="s">
        <v>4946</v>
      </c>
      <c r="Y223" s="163" t="s">
        <v>2964</v>
      </c>
      <c r="Z223" s="163" t="s">
        <v>2965</v>
      </c>
      <c r="AA223" s="163" t="s">
        <v>4946</v>
      </c>
      <c r="AB223" s="163" t="s">
        <v>36</v>
      </c>
      <c r="AC223" s="163" t="s">
        <v>2195</v>
      </c>
      <c r="AD223" s="163" t="s">
        <v>2196</v>
      </c>
      <c r="AE223" s="163" t="s">
        <v>1762</v>
      </c>
      <c r="AF223" s="163">
        <v>1</v>
      </c>
      <c r="AG223" s="163">
        <v>360</v>
      </c>
      <c r="AH223" s="163">
        <v>45</v>
      </c>
      <c r="AI223" s="163" t="s">
        <v>4000</v>
      </c>
      <c r="AJ223" s="163" t="s">
        <v>4001</v>
      </c>
      <c r="AK223" s="163" t="s">
        <v>2197</v>
      </c>
      <c r="AL223" s="163" t="s">
        <v>36</v>
      </c>
      <c r="AM223" t="s">
        <v>4891</v>
      </c>
      <c r="AN223" s="487">
        <v>0</v>
      </c>
      <c r="AO223" s="487">
        <v>0</v>
      </c>
    </row>
    <row r="224" spans="1:41" x14ac:dyDescent="0.2">
      <c r="A224">
        <v>223</v>
      </c>
      <c r="B224" s="471" t="s">
        <v>1249</v>
      </c>
      <c r="C224" s="163" t="s">
        <v>819</v>
      </c>
      <c r="D224" s="163" t="s">
        <v>4191</v>
      </c>
      <c r="E224" s="163" t="s">
        <v>2103</v>
      </c>
      <c r="F224" s="163" t="s">
        <v>2104</v>
      </c>
      <c r="G224" s="163" t="s">
        <v>36</v>
      </c>
      <c r="H224" s="163" t="s">
        <v>2200</v>
      </c>
      <c r="I224" s="163" t="s">
        <v>5725</v>
      </c>
      <c r="J224" s="163" t="s">
        <v>2468</v>
      </c>
      <c r="K224" s="163" t="s">
        <v>819</v>
      </c>
      <c r="L224" s="163" t="s">
        <v>2966</v>
      </c>
      <c r="M224" s="549" t="s">
        <v>2967</v>
      </c>
      <c r="N224" s="163" t="s">
        <v>819</v>
      </c>
      <c r="O224" s="163">
        <v>0</v>
      </c>
      <c r="P224" s="163">
        <v>0</v>
      </c>
      <c r="Q224" s="163">
        <v>0</v>
      </c>
      <c r="R224" s="163">
        <v>0</v>
      </c>
      <c r="S224" s="163">
        <v>0</v>
      </c>
      <c r="T224" s="163">
        <v>0</v>
      </c>
      <c r="U224" s="163">
        <v>0</v>
      </c>
      <c r="V224" s="163">
        <v>0</v>
      </c>
      <c r="W224" s="163">
        <v>0</v>
      </c>
      <c r="X224" s="163">
        <v>0</v>
      </c>
      <c r="Y224" s="163">
        <v>0</v>
      </c>
      <c r="Z224" s="163">
        <v>0</v>
      </c>
      <c r="AA224" s="163">
        <v>0</v>
      </c>
      <c r="AB224" s="163" t="s">
        <v>36</v>
      </c>
      <c r="AC224" s="163" t="s">
        <v>2195</v>
      </c>
      <c r="AD224" s="163" t="s">
        <v>2196</v>
      </c>
      <c r="AE224" s="163" t="s">
        <v>1762</v>
      </c>
      <c r="AF224" s="163" t="s">
        <v>36</v>
      </c>
      <c r="AG224" s="163" t="s">
        <v>36</v>
      </c>
      <c r="AH224" s="163" t="s">
        <v>36</v>
      </c>
      <c r="AI224" s="163" t="s">
        <v>36</v>
      </c>
      <c r="AJ224" s="163" t="s">
        <v>36</v>
      </c>
      <c r="AK224" s="163" t="s">
        <v>2197</v>
      </c>
      <c r="AL224" s="163" t="s">
        <v>36</v>
      </c>
      <c r="AM224" t="s">
        <v>4876</v>
      </c>
      <c r="AN224" s="487">
        <v>0</v>
      </c>
      <c r="AO224" s="487">
        <v>0</v>
      </c>
    </row>
    <row r="225" spans="1:41" x14ac:dyDescent="0.2">
      <c r="A225">
        <v>224</v>
      </c>
      <c r="B225" s="471" t="s">
        <v>1252</v>
      </c>
      <c r="C225" s="163" t="s">
        <v>1254</v>
      </c>
      <c r="D225" s="163" t="s">
        <v>4192</v>
      </c>
      <c r="E225" s="163" t="s">
        <v>2968</v>
      </c>
      <c r="F225" s="163" t="s">
        <v>2106</v>
      </c>
      <c r="G225" s="163" t="s">
        <v>36</v>
      </c>
      <c r="H225" s="163" t="s">
        <v>2200</v>
      </c>
      <c r="I225" s="163" t="s">
        <v>5725</v>
      </c>
      <c r="J225" s="163" t="s">
        <v>2812</v>
      </c>
      <c r="K225" s="163" t="s">
        <v>2817</v>
      </c>
      <c r="L225" s="163" t="s">
        <v>2315</v>
      </c>
      <c r="M225" s="549" t="s">
        <v>1254</v>
      </c>
      <c r="N225" s="163" t="s">
        <v>1254</v>
      </c>
      <c r="O225" s="163" t="s">
        <v>906</v>
      </c>
      <c r="P225" s="163" t="s">
        <v>2969</v>
      </c>
      <c r="Q225" s="163" t="s">
        <v>5246</v>
      </c>
      <c r="R225" s="163" t="s">
        <v>2193</v>
      </c>
      <c r="S225" s="163" t="s">
        <v>5247</v>
      </c>
      <c r="T225" s="163">
        <v>1.59</v>
      </c>
      <c r="U225" s="163" t="s">
        <v>1952</v>
      </c>
      <c r="V225" s="163" t="s">
        <v>2618</v>
      </c>
      <c r="W225" s="163" t="s">
        <v>2970</v>
      </c>
      <c r="X225" s="163" t="s">
        <v>2194</v>
      </c>
      <c r="Y225" s="163" t="s">
        <v>111</v>
      </c>
      <c r="Z225" s="163" t="s">
        <v>111</v>
      </c>
      <c r="AA225" s="163" t="s">
        <v>111</v>
      </c>
      <c r="AB225" s="163" t="s">
        <v>5248</v>
      </c>
      <c r="AC225" s="163" t="s">
        <v>2195</v>
      </c>
      <c r="AD225" s="163" t="s">
        <v>2196</v>
      </c>
      <c r="AE225" s="163" t="s">
        <v>1762</v>
      </c>
      <c r="AF225" s="163">
        <v>2</v>
      </c>
      <c r="AG225" s="163">
        <v>100</v>
      </c>
      <c r="AH225" s="163">
        <v>10</v>
      </c>
      <c r="AI225" s="163" t="s">
        <v>4002</v>
      </c>
      <c r="AJ225" s="163" t="s">
        <v>36</v>
      </c>
      <c r="AK225" s="163" t="s">
        <v>2197</v>
      </c>
      <c r="AL225" s="163" t="s">
        <v>36</v>
      </c>
      <c r="AM225" t="s">
        <v>4876</v>
      </c>
      <c r="AN225" s="487">
        <v>0</v>
      </c>
      <c r="AO225" s="487">
        <v>0</v>
      </c>
    </row>
    <row r="226" spans="1:41" x14ac:dyDescent="0.2">
      <c r="A226">
        <v>225</v>
      </c>
      <c r="B226" s="471" t="s">
        <v>1862</v>
      </c>
      <c r="C226" s="163" t="s">
        <v>1864</v>
      </c>
      <c r="D226" s="163" t="s">
        <v>4193</v>
      </c>
      <c r="E226" s="163" t="s">
        <v>2107</v>
      </c>
      <c r="F226" s="163" t="s">
        <v>2018</v>
      </c>
      <c r="G226" s="163" t="s">
        <v>36</v>
      </c>
      <c r="H226" s="163" t="s">
        <v>2200</v>
      </c>
      <c r="I226" s="163" t="s">
        <v>5725</v>
      </c>
      <c r="J226" s="163" t="s">
        <v>2812</v>
      </c>
      <c r="K226" s="163" t="s">
        <v>2971</v>
      </c>
      <c r="L226" s="163" t="s">
        <v>2972</v>
      </c>
      <c r="M226" s="549">
        <v>9493308</v>
      </c>
      <c r="N226" s="163" t="s">
        <v>4835</v>
      </c>
      <c r="O226" s="163" t="s">
        <v>906</v>
      </c>
      <c r="P226" s="163" t="s">
        <v>2973</v>
      </c>
      <c r="Q226" s="163" t="s">
        <v>2198</v>
      </c>
      <c r="R226" s="163" t="s">
        <v>2193</v>
      </c>
      <c r="S226" s="163" t="s">
        <v>2974</v>
      </c>
      <c r="T226" s="163">
        <v>0.1</v>
      </c>
      <c r="U226" s="163" t="s">
        <v>1952</v>
      </c>
      <c r="V226" s="163" t="s">
        <v>4836</v>
      </c>
      <c r="W226" s="163">
        <v>9493308</v>
      </c>
      <c r="X226" s="163" t="s">
        <v>2273</v>
      </c>
      <c r="Y226" s="163" t="s">
        <v>111</v>
      </c>
      <c r="Z226" s="163" t="s">
        <v>111</v>
      </c>
      <c r="AA226" s="163" t="s">
        <v>111</v>
      </c>
      <c r="AB226" s="163" t="s">
        <v>4837</v>
      </c>
      <c r="AC226" s="163" t="s">
        <v>2195</v>
      </c>
      <c r="AD226" s="163" t="s">
        <v>2196</v>
      </c>
      <c r="AE226" s="163" t="s">
        <v>1762</v>
      </c>
      <c r="AF226" s="163" t="s">
        <v>3419</v>
      </c>
      <c r="AG226" s="163" t="s">
        <v>36</v>
      </c>
      <c r="AH226" s="163" t="s">
        <v>36</v>
      </c>
      <c r="AI226" s="163" t="s">
        <v>36</v>
      </c>
      <c r="AJ226" s="163" t="s">
        <v>36</v>
      </c>
      <c r="AK226" s="163" t="s">
        <v>2197</v>
      </c>
      <c r="AL226" s="163" t="s">
        <v>36</v>
      </c>
      <c r="AM226" t="s">
        <v>4876</v>
      </c>
      <c r="AN226" s="487">
        <v>0</v>
      </c>
      <c r="AO226" s="487">
        <v>0</v>
      </c>
    </row>
    <row r="227" spans="1:41" x14ac:dyDescent="0.2">
      <c r="A227">
        <v>226</v>
      </c>
      <c r="B227" s="471" t="s">
        <v>1257</v>
      </c>
      <c r="C227" s="163">
        <v>1209</v>
      </c>
      <c r="D227" s="163" t="s">
        <v>4194</v>
      </c>
      <c r="E227" s="163" t="s">
        <v>2975</v>
      </c>
      <c r="F227" s="163" t="s">
        <v>2018</v>
      </c>
      <c r="G227" s="163" t="s">
        <v>36</v>
      </c>
      <c r="H227" s="163" t="s">
        <v>2200</v>
      </c>
      <c r="I227" s="163" t="s">
        <v>5725</v>
      </c>
      <c r="J227" s="163" t="s">
        <v>2812</v>
      </c>
      <c r="K227" s="163" t="s">
        <v>2986</v>
      </c>
      <c r="L227" s="163" t="s">
        <v>2987</v>
      </c>
      <c r="M227" s="549">
        <v>107350701</v>
      </c>
      <c r="N227" s="163">
        <v>1209</v>
      </c>
      <c r="O227" s="163" t="s">
        <v>906</v>
      </c>
      <c r="P227" s="163" t="s">
        <v>2258</v>
      </c>
      <c r="Q227" s="163" t="s">
        <v>2273</v>
      </c>
      <c r="R227" s="163" t="s">
        <v>2193</v>
      </c>
      <c r="S227" s="163" t="s">
        <v>2988</v>
      </c>
      <c r="T227" s="163">
        <v>1196</v>
      </c>
      <c r="U227" s="163" t="s">
        <v>1952</v>
      </c>
      <c r="V227" s="163" t="s">
        <v>2980</v>
      </c>
      <c r="W227" s="163" t="s">
        <v>2989</v>
      </c>
      <c r="X227" s="163" t="s">
        <v>2194</v>
      </c>
      <c r="Y227" s="163" t="s">
        <v>2990</v>
      </c>
      <c r="Z227" s="163" t="s">
        <v>2991</v>
      </c>
      <c r="AA227" s="163" t="s">
        <v>2194</v>
      </c>
      <c r="AB227" s="163" t="s">
        <v>36</v>
      </c>
      <c r="AC227" s="163" t="s">
        <v>2195</v>
      </c>
      <c r="AD227" s="163" t="s">
        <v>2196</v>
      </c>
      <c r="AE227" s="163" t="s">
        <v>1762</v>
      </c>
      <c r="AF227" s="163">
        <v>6</v>
      </c>
      <c r="AG227" s="163">
        <v>0.49</v>
      </c>
      <c r="AH227" s="163">
        <v>0.05</v>
      </c>
      <c r="AI227" s="163" t="s">
        <v>36</v>
      </c>
      <c r="AJ227" s="163" t="s">
        <v>36</v>
      </c>
      <c r="AK227" s="163" t="s">
        <v>2197</v>
      </c>
      <c r="AL227" s="163" t="s">
        <v>36</v>
      </c>
      <c r="AM227" t="s">
        <v>4876</v>
      </c>
      <c r="AN227" s="487">
        <v>0</v>
      </c>
      <c r="AO227" s="487">
        <v>0</v>
      </c>
    </row>
    <row r="228" spans="1:41" x14ac:dyDescent="0.2">
      <c r="A228">
        <v>227</v>
      </c>
      <c r="B228" s="471" t="s">
        <v>1257</v>
      </c>
      <c r="C228" s="163" t="s">
        <v>1265</v>
      </c>
      <c r="D228" s="163" t="s">
        <v>4195</v>
      </c>
      <c r="E228" s="163" t="s">
        <v>2975</v>
      </c>
      <c r="F228" s="163" t="s">
        <v>2018</v>
      </c>
      <c r="G228" s="163" t="s">
        <v>36</v>
      </c>
      <c r="H228" s="163" t="s">
        <v>2200</v>
      </c>
      <c r="I228" s="163" t="s">
        <v>5734</v>
      </c>
      <c r="J228" s="163" t="s">
        <v>2468</v>
      </c>
      <c r="K228" s="163" t="s">
        <v>2204</v>
      </c>
      <c r="L228" s="163" t="s">
        <v>2992</v>
      </c>
      <c r="M228" s="549" t="s">
        <v>2993</v>
      </c>
      <c r="N228" s="163" t="s">
        <v>1265</v>
      </c>
      <c r="O228" s="163" t="s">
        <v>906</v>
      </c>
      <c r="P228" s="163" t="s">
        <v>2978</v>
      </c>
      <c r="Q228" s="163" t="s">
        <v>2276</v>
      </c>
      <c r="R228" s="163" t="s">
        <v>2193</v>
      </c>
      <c r="S228" s="163" t="s">
        <v>2994</v>
      </c>
      <c r="T228" s="163">
        <v>1050</v>
      </c>
      <c r="U228" s="163" t="s">
        <v>1952</v>
      </c>
      <c r="V228" s="163" t="s">
        <v>2980</v>
      </c>
      <c r="W228" s="163">
        <v>20327</v>
      </c>
      <c r="X228" s="163" t="s">
        <v>2194</v>
      </c>
      <c r="Y228" s="163" t="s">
        <v>111</v>
      </c>
      <c r="Z228" s="163" t="s">
        <v>111</v>
      </c>
      <c r="AA228" s="163" t="s">
        <v>2353</v>
      </c>
      <c r="AB228" s="163" t="s">
        <v>3021</v>
      </c>
      <c r="AC228" s="163" t="s">
        <v>2195</v>
      </c>
      <c r="AD228" s="163" t="s">
        <v>2196</v>
      </c>
      <c r="AE228" s="163" t="s">
        <v>1762</v>
      </c>
      <c r="AF228" s="163" t="s">
        <v>3419</v>
      </c>
      <c r="AG228" s="163" t="s">
        <v>36</v>
      </c>
      <c r="AH228" s="163" t="s">
        <v>36</v>
      </c>
      <c r="AI228" s="163" t="s">
        <v>36</v>
      </c>
      <c r="AJ228" s="163" t="s">
        <v>36</v>
      </c>
      <c r="AK228" s="163" t="s">
        <v>2197</v>
      </c>
      <c r="AL228" s="163" t="s">
        <v>36</v>
      </c>
      <c r="AM228" t="s">
        <v>4876</v>
      </c>
      <c r="AN228" s="487">
        <v>0</v>
      </c>
      <c r="AO228" s="487">
        <v>0</v>
      </c>
    </row>
    <row r="229" spans="1:41" x14ac:dyDescent="0.2">
      <c r="A229">
        <v>228</v>
      </c>
      <c r="B229" s="471" t="s">
        <v>1257</v>
      </c>
      <c r="C229" s="163" t="s">
        <v>880</v>
      </c>
      <c r="D229" s="163" t="s">
        <v>4196</v>
      </c>
      <c r="E229" s="163" t="s">
        <v>2975</v>
      </c>
      <c r="F229" s="163" t="s">
        <v>2018</v>
      </c>
      <c r="G229" s="163" t="s">
        <v>36</v>
      </c>
      <c r="H229" s="163" t="s">
        <v>2200</v>
      </c>
      <c r="I229" s="163" t="s">
        <v>5734</v>
      </c>
      <c r="J229" s="163" t="s">
        <v>2468</v>
      </c>
      <c r="K229" s="163" t="s">
        <v>2376</v>
      </c>
      <c r="L229" s="163" t="s">
        <v>2541</v>
      </c>
      <c r="M229" s="549" t="s">
        <v>3032</v>
      </c>
      <c r="N229" s="163" t="s">
        <v>880</v>
      </c>
      <c r="O229" s="163" t="s">
        <v>906</v>
      </c>
      <c r="P229" s="163" t="s">
        <v>2978</v>
      </c>
      <c r="Q229" s="163" t="s">
        <v>2276</v>
      </c>
      <c r="R229" s="163" t="s">
        <v>2193</v>
      </c>
      <c r="S229" s="163" t="s">
        <v>3033</v>
      </c>
      <c r="T229" s="163">
        <v>1011.5</v>
      </c>
      <c r="U229" s="163" t="s">
        <v>1952</v>
      </c>
      <c r="V229" s="163" t="s">
        <v>2475</v>
      </c>
      <c r="W229" s="163" t="s">
        <v>3034</v>
      </c>
      <c r="X229" s="163" t="s">
        <v>2194</v>
      </c>
      <c r="Y229" s="163" t="s">
        <v>111</v>
      </c>
      <c r="Z229" s="163" t="s">
        <v>111</v>
      </c>
      <c r="AA229" s="163" t="s">
        <v>2353</v>
      </c>
      <c r="AB229" s="163" t="s">
        <v>3021</v>
      </c>
      <c r="AC229" s="163" t="s">
        <v>2195</v>
      </c>
      <c r="AD229" s="163" t="s">
        <v>2196</v>
      </c>
      <c r="AE229" s="163" t="s">
        <v>1762</v>
      </c>
      <c r="AF229" s="163">
        <v>10</v>
      </c>
      <c r="AG229" s="163">
        <v>1</v>
      </c>
      <c r="AH229" s="163">
        <v>0</v>
      </c>
      <c r="AI229" s="163" t="s">
        <v>36</v>
      </c>
      <c r="AJ229" s="163" t="s">
        <v>36</v>
      </c>
      <c r="AK229" s="163" t="s">
        <v>2197</v>
      </c>
      <c r="AL229" s="163" t="s">
        <v>36</v>
      </c>
      <c r="AM229" t="s">
        <v>4876</v>
      </c>
      <c r="AN229" s="487">
        <v>0</v>
      </c>
      <c r="AO229" s="487">
        <v>0</v>
      </c>
    </row>
    <row r="230" spans="1:41" x14ac:dyDescent="0.2">
      <c r="A230">
        <v>229</v>
      </c>
      <c r="B230" s="471" t="s">
        <v>1257</v>
      </c>
      <c r="C230" s="163" t="s">
        <v>1746</v>
      </c>
      <c r="D230" s="163" t="s">
        <v>4197</v>
      </c>
      <c r="E230" s="163" t="s">
        <v>2975</v>
      </c>
      <c r="F230" s="163" t="s">
        <v>2018</v>
      </c>
      <c r="G230" s="163" t="s">
        <v>36</v>
      </c>
      <c r="H230" s="163" t="s">
        <v>2200</v>
      </c>
      <c r="I230" s="163" t="s">
        <v>5757</v>
      </c>
      <c r="J230" s="163" t="s">
        <v>2468</v>
      </c>
      <c r="K230" s="163" t="s">
        <v>2376</v>
      </c>
      <c r="L230" s="163" t="s">
        <v>2541</v>
      </c>
      <c r="M230" s="549" t="s">
        <v>3000</v>
      </c>
      <c r="N230" s="163" t="s">
        <v>3028</v>
      </c>
      <c r="O230" s="163" t="s">
        <v>906</v>
      </c>
      <c r="P230" s="163" t="s">
        <v>2978</v>
      </c>
      <c r="Q230" s="163" t="s">
        <v>2276</v>
      </c>
      <c r="R230" s="163" t="s">
        <v>2193</v>
      </c>
      <c r="S230" s="163" t="s">
        <v>3029</v>
      </c>
      <c r="T230" s="163">
        <v>531</v>
      </c>
      <c r="U230" s="163" t="s">
        <v>1952</v>
      </c>
      <c r="V230" s="163" t="s">
        <v>3030</v>
      </c>
      <c r="W230" s="163" t="s">
        <v>3031</v>
      </c>
      <c r="X230" s="163" t="s">
        <v>2194</v>
      </c>
      <c r="Y230" s="163" t="s">
        <v>111</v>
      </c>
      <c r="Z230" s="163" t="s">
        <v>111</v>
      </c>
      <c r="AA230" s="163" t="s">
        <v>2353</v>
      </c>
      <c r="AB230" s="163" t="s">
        <v>3021</v>
      </c>
      <c r="AC230" s="163" t="s">
        <v>2195</v>
      </c>
      <c r="AD230" s="163" t="s">
        <v>2196</v>
      </c>
      <c r="AE230" s="163" t="s">
        <v>1762</v>
      </c>
      <c r="AF230" s="163" t="s">
        <v>3419</v>
      </c>
      <c r="AG230" s="163" t="s">
        <v>36</v>
      </c>
      <c r="AH230" s="163" t="s">
        <v>36</v>
      </c>
      <c r="AI230" s="163" t="s">
        <v>36</v>
      </c>
      <c r="AJ230" s="163" t="s">
        <v>36</v>
      </c>
      <c r="AK230" s="163" t="s">
        <v>2197</v>
      </c>
      <c r="AL230" s="163" t="s">
        <v>36</v>
      </c>
      <c r="AM230" t="s">
        <v>4876</v>
      </c>
      <c r="AN230" s="487">
        <v>0</v>
      </c>
      <c r="AO230" s="487">
        <v>0</v>
      </c>
    </row>
    <row r="231" spans="1:41" x14ac:dyDescent="0.2">
      <c r="A231">
        <v>230</v>
      </c>
      <c r="B231" s="471" t="s">
        <v>1257</v>
      </c>
      <c r="C231" s="163" t="s">
        <v>5816</v>
      </c>
      <c r="D231" s="163" t="s">
        <v>5817</v>
      </c>
      <c r="E231" s="163" t="s">
        <v>2975</v>
      </c>
      <c r="F231" s="163" t="s">
        <v>2018</v>
      </c>
      <c r="G231" s="163" t="s">
        <v>36</v>
      </c>
      <c r="H231" s="163" t="s">
        <v>2200</v>
      </c>
      <c r="I231" s="163" t="s">
        <v>5734</v>
      </c>
      <c r="J231" s="163" t="s">
        <v>2468</v>
      </c>
      <c r="K231" s="163" t="s">
        <v>2376</v>
      </c>
      <c r="L231" s="163" t="s">
        <v>3018</v>
      </c>
      <c r="M231" s="549" t="s">
        <v>3019</v>
      </c>
      <c r="N231" s="163" t="s">
        <v>5816</v>
      </c>
      <c r="O231" s="163" t="s">
        <v>906</v>
      </c>
      <c r="P231" s="163" t="s">
        <v>2978</v>
      </c>
      <c r="Q231" s="163" t="s">
        <v>2276</v>
      </c>
      <c r="R231" s="163" t="s">
        <v>2193</v>
      </c>
      <c r="S231" s="163" t="s">
        <v>3020</v>
      </c>
      <c r="T231" s="163">
        <v>1590.4</v>
      </c>
      <c r="U231" s="163" t="s">
        <v>1952</v>
      </c>
      <c r="V231" s="163" t="s">
        <v>2475</v>
      </c>
      <c r="W231" s="163" t="s">
        <v>2541</v>
      </c>
      <c r="X231" s="163" t="s">
        <v>2194</v>
      </c>
      <c r="Y231" s="163" t="s">
        <v>111</v>
      </c>
      <c r="Z231" s="163" t="s">
        <v>111</v>
      </c>
      <c r="AA231" s="163" t="s">
        <v>2353</v>
      </c>
      <c r="AB231" s="163" t="s">
        <v>3021</v>
      </c>
      <c r="AC231" s="163" t="s">
        <v>2195</v>
      </c>
      <c r="AD231" s="163" t="s">
        <v>2196</v>
      </c>
      <c r="AE231" s="163" t="s">
        <v>1762</v>
      </c>
      <c r="AF231" s="163" t="s">
        <v>3419</v>
      </c>
      <c r="AG231" s="163" t="s">
        <v>36</v>
      </c>
      <c r="AH231" s="163" t="s">
        <v>36</v>
      </c>
      <c r="AI231" s="163" t="s">
        <v>36</v>
      </c>
      <c r="AJ231" s="163" t="s">
        <v>36</v>
      </c>
      <c r="AK231" s="163" t="s">
        <v>2197</v>
      </c>
      <c r="AL231" s="163" t="s">
        <v>36</v>
      </c>
      <c r="AM231" t="s">
        <v>4876</v>
      </c>
      <c r="AN231" s="487">
        <v>0</v>
      </c>
      <c r="AO231" s="487">
        <v>0</v>
      </c>
    </row>
    <row r="232" spans="1:41" x14ac:dyDescent="0.2">
      <c r="A232">
        <v>231</v>
      </c>
      <c r="B232" s="471" t="s">
        <v>1257</v>
      </c>
      <c r="C232" s="163" t="s">
        <v>5787</v>
      </c>
      <c r="D232" s="163" t="s">
        <v>5788</v>
      </c>
      <c r="E232" s="163" t="s">
        <v>2975</v>
      </c>
      <c r="F232" s="163" t="s">
        <v>2018</v>
      </c>
      <c r="G232" s="163" t="s">
        <v>36</v>
      </c>
      <c r="H232" s="163" t="s">
        <v>2200</v>
      </c>
      <c r="I232" s="163" t="s">
        <v>5757</v>
      </c>
      <c r="J232" s="163" t="s">
        <v>2468</v>
      </c>
      <c r="K232" s="163" t="s">
        <v>2376</v>
      </c>
      <c r="L232" s="163" t="s">
        <v>2998</v>
      </c>
      <c r="M232" s="549" t="s">
        <v>2999</v>
      </c>
      <c r="N232" s="163" t="s">
        <v>5787</v>
      </c>
      <c r="O232" s="163" t="s">
        <v>906</v>
      </c>
      <c r="P232" s="163" t="s">
        <v>2978</v>
      </c>
      <c r="Q232" s="163" t="s">
        <v>3001</v>
      </c>
      <c r="R232" s="163" t="s">
        <v>2193</v>
      </c>
      <c r="S232" s="163" t="s">
        <v>3002</v>
      </c>
      <c r="T232" s="163">
        <v>346.4</v>
      </c>
      <c r="U232" s="163" t="s">
        <v>1952</v>
      </c>
      <c r="V232" s="163" t="s">
        <v>4900</v>
      </c>
      <c r="W232" s="163">
        <v>5244</v>
      </c>
      <c r="X232" s="163" t="s">
        <v>2194</v>
      </c>
      <c r="Y232" s="163" t="s">
        <v>5295</v>
      </c>
      <c r="Z232" s="163" t="s">
        <v>2327</v>
      </c>
      <c r="AA232" s="163" t="s">
        <v>2194</v>
      </c>
      <c r="AB232" s="163" t="s">
        <v>5296</v>
      </c>
      <c r="AC232" s="163" t="s">
        <v>2195</v>
      </c>
      <c r="AD232" s="163" t="s">
        <v>2196</v>
      </c>
      <c r="AE232" s="163" t="s">
        <v>1762</v>
      </c>
      <c r="AF232" s="163" t="s">
        <v>3419</v>
      </c>
      <c r="AG232" s="163" t="s">
        <v>36</v>
      </c>
      <c r="AH232" s="163" t="s">
        <v>36</v>
      </c>
      <c r="AI232" s="163" t="s">
        <v>36</v>
      </c>
      <c r="AJ232" s="163" t="s">
        <v>36</v>
      </c>
      <c r="AK232" s="163" t="s">
        <v>2197</v>
      </c>
      <c r="AL232" s="163" t="s">
        <v>36</v>
      </c>
      <c r="AM232" t="s">
        <v>4876</v>
      </c>
      <c r="AN232" s="487">
        <v>0</v>
      </c>
      <c r="AO232" s="487">
        <v>0</v>
      </c>
    </row>
    <row r="233" spans="1:41" x14ac:dyDescent="0.2">
      <c r="A233">
        <v>232</v>
      </c>
      <c r="B233" s="471" t="s">
        <v>1257</v>
      </c>
      <c r="C233" s="163" t="s">
        <v>5789</v>
      </c>
      <c r="D233" s="163" t="s">
        <v>5790</v>
      </c>
      <c r="E233" s="163" t="s">
        <v>2975</v>
      </c>
      <c r="F233" s="163" t="s">
        <v>2018</v>
      </c>
      <c r="G233" s="163" t="s">
        <v>36</v>
      </c>
      <c r="H233" s="163" t="s">
        <v>2200</v>
      </c>
      <c r="I233" s="163" t="s">
        <v>5734</v>
      </c>
      <c r="J233" s="163" t="s">
        <v>2468</v>
      </c>
      <c r="K233" s="163" t="s">
        <v>2376</v>
      </c>
      <c r="L233" s="163" t="s">
        <v>2995</v>
      </c>
      <c r="M233" s="549" t="s">
        <v>2996</v>
      </c>
      <c r="N233" s="163" t="s">
        <v>5791</v>
      </c>
      <c r="O233" s="163" t="s">
        <v>906</v>
      </c>
      <c r="P233" s="163" t="s">
        <v>2978</v>
      </c>
      <c r="Q233" s="163" t="s">
        <v>2276</v>
      </c>
      <c r="R233" s="163" t="s">
        <v>2193</v>
      </c>
      <c r="S233" s="163" t="s">
        <v>2610</v>
      </c>
      <c r="T233" s="163">
        <v>990</v>
      </c>
      <c r="U233" s="163" t="s">
        <v>1952</v>
      </c>
      <c r="V233" s="163" t="s">
        <v>2997</v>
      </c>
      <c r="W233" s="163" t="s">
        <v>5792</v>
      </c>
      <c r="X233" s="163" t="s">
        <v>2194</v>
      </c>
      <c r="Y233" s="163" t="s">
        <v>111</v>
      </c>
      <c r="Z233" s="163" t="s">
        <v>111</v>
      </c>
      <c r="AA233" s="163" t="s">
        <v>2353</v>
      </c>
      <c r="AB233" s="163" t="s">
        <v>4757</v>
      </c>
      <c r="AC233" s="163" t="s">
        <v>2195</v>
      </c>
      <c r="AD233" s="163" t="s">
        <v>2196</v>
      </c>
      <c r="AE233" s="163" t="s">
        <v>1762</v>
      </c>
      <c r="AF233" s="163" t="s">
        <v>3419</v>
      </c>
      <c r="AG233" s="163" t="s">
        <v>36</v>
      </c>
      <c r="AH233" s="163" t="s">
        <v>36</v>
      </c>
      <c r="AI233" s="163" t="s">
        <v>36</v>
      </c>
      <c r="AJ233" s="163" t="s">
        <v>36</v>
      </c>
      <c r="AK233" s="163" t="s">
        <v>2197</v>
      </c>
      <c r="AL233" s="163" t="s">
        <v>36</v>
      </c>
      <c r="AM233" t="s">
        <v>4876</v>
      </c>
      <c r="AN233" s="487">
        <v>0</v>
      </c>
      <c r="AO233" s="487">
        <v>0</v>
      </c>
    </row>
    <row r="234" spans="1:41" x14ac:dyDescent="0.2">
      <c r="A234">
        <v>233</v>
      </c>
      <c r="B234" s="471" t="s">
        <v>1257</v>
      </c>
      <c r="C234" s="163" t="s">
        <v>1271</v>
      </c>
      <c r="D234" s="163" t="s">
        <v>4198</v>
      </c>
      <c r="E234" s="163" t="s">
        <v>2975</v>
      </c>
      <c r="F234" s="163" t="s">
        <v>2018</v>
      </c>
      <c r="G234" s="163" t="s">
        <v>36</v>
      </c>
      <c r="H234" s="163" t="s">
        <v>2200</v>
      </c>
      <c r="I234" s="163" t="s">
        <v>5725</v>
      </c>
      <c r="J234" s="163" t="s">
        <v>2812</v>
      </c>
      <c r="K234" s="163" t="s">
        <v>2817</v>
      </c>
      <c r="L234" s="163" t="s">
        <v>3003</v>
      </c>
      <c r="M234" s="549" t="s">
        <v>3010</v>
      </c>
      <c r="N234" s="163" t="s">
        <v>1271</v>
      </c>
      <c r="O234" s="163" t="s">
        <v>906</v>
      </c>
      <c r="P234" s="163" t="s">
        <v>4472</v>
      </c>
      <c r="Q234" s="163" t="s">
        <v>3006</v>
      </c>
      <c r="R234" s="163" t="s">
        <v>2257</v>
      </c>
      <c r="S234" s="163" t="s">
        <v>3007</v>
      </c>
      <c r="T234" s="163">
        <v>14</v>
      </c>
      <c r="U234" s="163" t="s">
        <v>1952</v>
      </c>
      <c r="V234" s="163" t="s">
        <v>3008</v>
      </c>
      <c r="W234" s="163" t="s">
        <v>3011</v>
      </c>
      <c r="X234" s="163" t="s">
        <v>2330</v>
      </c>
      <c r="Y234" s="163" t="s">
        <v>111</v>
      </c>
      <c r="Z234" s="163" t="s">
        <v>111</v>
      </c>
      <c r="AA234" s="163" t="s">
        <v>2353</v>
      </c>
      <c r="AB234" s="163" t="s">
        <v>4473</v>
      </c>
      <c r="AC234" s="163" t="s">
        <v>2195</v>
      </c>
      <c r="AD234" s="163" t="s">
        <v>2196</v>
      </c>
      <c r="AE234" s="163" t="s">
        <v>1762</v>
      </c>
      <c r="AF234" s="163" t="s">
        <v>3419</v>
      </c>
      <c r="AG234" s="163" t="s">
        <v>36</v>
      </c>
      <c r="AH234" s="163" t="s">
        <v>36</v>
      </c>
      <c r="AI234" s="163" t="s">
        <v>36</v>
      </c>
      <c r="AJ234" s="163" t="s">
        <v>36</v>
      </c>
      <c r="AK234" s="163" t="s">
        <v>2197</v>
      </c>
      <c r="AL234" s="163" t="s">
        <v>36</v>
      </c>
      <c r="AM234" t="s">
        <v>4877</v>
      </c>
      <c r="AN234" s="487">
        <v>0</v>
      </c>
      <c r="AO234" s="487">
        <v>0</v>
      </c>
    </row>
    <row r="235" spans="1:41" x14ac:dyDescent="0.2">
      <c r="A235">
        <v>234</v>
      </c>
      <c r="B235" s="471" t="s">
        <v>1257</v>
      </c>
      <c r="C235" s="163" t="s">
        <v>1273</v>
      </c>
      <c r="D235" s="163" t="s">
        <v>4199</v>
      </c>
      <c r="E235" s="163" t="s">
        <v>2975</v>
      </c>
      <c r="F235" s="163" t="s">
        <v>2018</v>
      </c>
      <c r="G235" s="163" t="s">
        <v>36</v>
      </c>
      <c r="H235" s="163" t="s">
        <v>2200</v>
      </c>
      <c r="I235" s="163" t="s">
        <v>5725</v>
      </c>
      <c r="J235" s="163" t="s">
        <v>2812</v>
      </c>
      <c r="K235" s="163" t="s">
        <v>2817</v>
      </c>
      <c r="L235" s="163" t="s">
        <v>3003</v>
      </c>
      <c r="M235" s="549" t="s">
        <v>3004</v>
      </c>
      <c r="N235" s="163" t="s">
        <v>1273</v>
      </c>
      <c r="O235" s="163" t="s">
        <v>906</v>
      </c>
      <c r="P235" s="163" t="s">
        <v>3005</v>
      </c>
      <c r="Q235" s="163" t="s">
        <v>3006</v>
      </c>
      <c r="R235" s="163" t="s">
        <v>2257</v>
      </c>
      <c r="S235" s="163" t="s">
        <v>3007</v>
      </c>
      <c r="T235" s="163">
        <v>14</v>
      </c>
      <c r="U235" s="163" t="s">
        <v>1952</v>
      </c>
      <c r="V235" s="163" t="s">
        <v>3008</v>
      </c>
      <c r="W235" s="163" t="s">
        <v>3009</v>
      </c>
      <c r="X235" s="163" t="s">
        <v>2330</v>
      </c>
      <c r="Y235" s="163" t="s">
        <v>111</v>
      </c>
      <c r="Z235" s="163" t="s">
        <v>111</v>
      </c>
      <c r="AA235" s="163" t="s">
        <v>2353</v>
      </c>
      <c r="AB235" s="163" t="s">
        <v>4473</v>
      </c>
      <c r="AC235" s="163" t="s">
        <v>2195</v>
      </c>
      <c r="AD235" s="163" t="s">
        <v>2196</v>
      </c>
      <c r="AE235" s="163" t="s">
        <v>1762</v>
      </c>
      <c r="AF235" s="163" t="s">
        <v>3419</v>
      </c>
      <c r="AG235" s="163" t="s">
        <v>36</v>
      </c>
      <c r="AH235" s="163" t="s">
        <v>36</v>
      </c>
      <c r="AI235" s="163" t="s">
        <v>36</v>
      </c>
      <c r="AJ235" s="163" t="s">
        <v>36</v>
      </c>
      <c r="AK235" s="163" t="s">
        <v>2197</v>
      </c>
      <c r="AL235" s="163" t="s">
        <v>36</v>
      </c>
      <c r="AM235" t="s">
        <v>4877</v>
      </c>
      <c r="AN235" s="487">
        <v>0</v>
      </c>
      <c r="AO235" s="487">
        <v>0</v>
      </c>
    </row>
    <row r="236" spans="1:41" x14ac:dyDescent="0.2">
      <c r="A236">
        <v>235</v>
      </c>
      <c r="B236" s="471" t="s">
        <v>1257</v>
      </c>
      <c r="C236" s="163" t="s">
        <v>4740</v>
      </c>
      <c r="D236" s="163" t="s">
        <v>4969</v>
      </c>
      <c r="E236" s="163" t="s">
        <v>2975</v>
      </c>
      <c r="F236" s="163" t="s">
        <v>2018</v>
      </c>
      <c r="G236" s="163" t="s">
        <v>36</v>
      </c>
      <c r="H236" s="163" t="s">
        <v>2200</v>
      </c>
      <c r="I236" s="163" t="s">
        <v>5725</v>
      </c>
      <c r="J236" s="163" t="s">
        <v>2468</v>
      </c>
      <c r="K236" s="163" t="s">
        <v>3022</v>
      </c>
      <c r="L236" s="163" t="s">
        <v>3023</v>
      </c>
      <c r="M236" s="549" t="s">
        <v>3024</v>
      </c>
      <c r="N236" s="163" t="s">
        <v>3025</v>
      </c>
      <c r="O236" s="163" t="s">
        <v>906</v>
      </c>
      <c r="P236" s="163" t="s">
        <v>2517</v>
      </c>
      <c r="Q236" s="163" t="s">
        <v>2276</v>
      </c>
      <c r="R236" s="163" t="s">
        <v>2193</v>
      </c>
      <c r="S236" s="163" t="s">
        <v>3026</v>
      </c>
      <c r="T236" s="163">
        <v>1150</v>
      </c>
      <c r="U236" s="163" t="s">
        <v>2222</v>
      </c>
      <c r="V236" s="163" t="s">
        <v>2613</v>
      </c>
      <c r="W236" s="163" t="s">
        <v>3027</v>
      </c>
      <c r="X236" s="163" t="s">
        <v>2194</v>
      </c>
      <c r="Y236" s="163" t="s">
        <v>111</v>
      </c>
      <c r="Z236" s="163" t="s">
        <v>111</v>
      </c>
      <c r="AA236" s="163" t="s">
        <v>111</v>
      </c>
      <c r="AB236" s="163" t="s">
        <v>36</v>
      </c>
      <c r="AC236" s="163" t="s">
        <v>2195</v>
      </c>
      <c r="AD236" s="163" t="s">
        <v>2196</v>
      </c>
      <c r="AE236" s="163" t="s">
        <v>1762</v>
      </c>
      <c r="AF236" s="163">
        <v>5</v>
      </c>
      <c r="AG236" s="163">
        <v>85</v>
      </c>
      <c r="AH236" s="163">
        <v>12</v>
      </c>
      <c r="AI236" s="163" t="s">
        <v>36</v>
      </c>
      <c r="AJ236" s="163" t="s">
        <v>36</v>
      </c>
      <c r="AK236" s="163" t="s">
        <v>2197</v>
      </c>
      <c r="AL236" s="163" t="s">
        <v>2197</v>
      </c>
      <c r="AM236" t="s">
        <v>4876</v>
      </c>
      <c r="AN236" s="487">
        <v>0</v>
      </c>
      <c r="AO236" s="487">
        <v>0</v>
      </c>
    </row>
    <row r="237" spans="1:41" x14ac:dyDescent="0.2">
      <c r="A237">
        <v>236</v>
      </c>
      <c r="B237" s="471" t="s">
        <v>1257</v>
      </c>
      <c r="C237" s="163" t="s">
        <v>1281</v>
      </c>
      <c r="D237" s="163" t="s">
        <v>4200</v>
      </c>
      <c r="E237" s="163" t="s">
        <v>2975</v>
      </c>
      <c r="F237" s="163" t="s">
        <v>2018</v>
      </c>
      <c r="G237" s="163" t="s">
        <v>36</v>
      </c>
      <c r="H237" s="163" t="s">
        <v>2200</v>
      </c>
      <c r="I237" s="163" t="s">
        <v>5725</v>
      </c>
      <c r="J237" s="163" t="s">
        <v>2468</v>
      </c>
      <c r="K237" s="163" t="s">
        <v>2981</v>
      </c>
      <c r="L237" s="163" t="s">
        <v>2981</v>
      </c>
      <c r="M237" s="549" t="s">
        <v>2982</v>
      </c>
      <c r="N237" s="163" t="s">
        <v>1281</v>
      </c>
      <c r="O237" s="163" t="s">
        <v>906</v>
      </c>
      <c r="P237" s="163" t="s">
        <v>2983</v>
      </c>
      <c r="Q237" s="163" t="s">
        <v>2276</v>
      </c>
      <c r="R237" s="163" t="s">
        <v>2193</v>
      </c>
      <c r="S237" s="163" t="s">
        <v>2984</v>
      </c>
      <c r="T237" s="163">
        <v>378</v>
      </c>
      <c r="U237" s="163" t="s">
        <v>1952</v>
      </c>
      <c r="V237" s="163" t="s">
        <v>2980</v>
      </c>
      <c r="W237" s="163" t="s">
        <v>2985</v>
      </c>
      <c r="X237" s="163" t="s">
        <v>2194</v>
      </c>
      <c r="Y237" s="163" t="s">
        <v>111</v>
      </c>
      <c r="Z237" s="163" t="s">
        <v>111</v>
      </c>
      <c r="AA237" s="163" t="s">
        <v>2353</v>
      </c>
      <c r="AB237" s="163" t="s">
        <v>3021</v>
      </c>
      <c r="AC237" s="163" t="s">
        <v>2195</v>
      </c>
      <c r="AD237" s="163" t="s">
        <v>2196</v>
      </c>
      <c r="AE237" s="163" t="s">
        <v>1762</v>
      </c>
      <c r="AF237" s="163" t="s">
        <v>3419</v>
      </c>
      <c r="AG237" s="163" t="s">
        <v>36</v>
      </c>
      <c r="AH237" s="163" t="s">
        <v>36</v>
      </c>
      <c r="AI237" s="163" t="s">
        <v>36</v>
      </c>
      <c r="AJ237" s="163" t="s">
        <v>36</v>
      </c>
      <c r="AK237" s="163" t="s">
        <v>2197</v>
      </c>
      <c r="AL237" s="163" t="s">
        <v>36</v>
      </c>
      <c r="AM237" t="s">
        <v>4876</v>
      </c>
      <c r="AN237" s="487">
        <v>0</v>
      </c>
      <c r="AO237" s="487">
        <v>0</v>
      </c>
    </row>
    <row r="238" spans="1:41" x14ac:dyDescent="0.2">
      <c r="A238">
        <v>237</v>
      </c>
      <c r="B238" s="471" t="s">
        <v>1257</v>
      </c>
      <c r="C238" s="163" t="s">
        <v>1267</v>
      </c>
      <c r="D238" s="163" t="s">
        <v>4201</v>
      </c>
      <c r="E238" s="163" t="s">
        <v>2975</v>
      </c>
      <c r="F238" s="163" t="s">
        <v>2018</v>
      </c>
      <c r="G238" s="163" t="s">
        <v>36</v>
      </c>
      <c r="H238" s="163" t="s">
        <v>2200</v>
      </c>
      <c r="I238" s="163" t="s">
        <v>5725</v>
      </c>
      <c r="J238" s="163" t="s">
        <v>2812</v>
      </c>
      <c r="K238" s="163" t="s">
        <v>2204</v>
      </c>
      <c r="L238" s="163" t="s">
        <v>3012</v>
      </c>
      <c r="M238" s="549">
        <v>115130901</v>
      </c>
      <c r="N238" s="163" t="s">
        <v>1267</v>
      </c>
      <c r="O238" s="163" t="s">
        <v>906</v>
      </c>
      <c r="P238" s="163" t="s">
        <v>3013</v>
      </c>
      <c r="Q238" s="163" t="s">
        <v>2276</v>
      </c>
      <c r="R238" s="163" t="s">
        <v>2193</v>
      </c>
      <c r="S238" s="163" t="s">
        <v>3014</v>
      </c>
      <c r="T238" s="163">
        <v>61.3</v>
      </c>
      <c r="U238" s="163" t="s">
        <v>1952</v>
      </c>
      <c r="V238" s="163" t="s">
        <v>2475</v>
      </c>
      <c r="W238" s="163" t="s">
        <v>3015</v>
      </c>
      <c r="X238" s="163" t="s">
        <v>2194</v>
      </c>
      <c r="Y238" s="163" t="s">
        <v>3016</v>
      </c>
      <c r="Z238" s="163" t="s">
        <v>3017</v>
      </c>
      <c r="AA238" s="163" t="s">
        <v>2194</v>
      </c>
      <c r="AB238" s="163" t="s">
        <v>36</v>
      </c>
      <c r="AC238" s="163" t="s">
        <v>2195</v>
      </c>
      <c r="AD238" s="163" t="s">
        <v>2196</v>
      </c>
      <c r="AE238" s="163" t="s">
        <v>1762</v>
      </c>
      <c r="AF238" s="163">
        <v>7</v>
      </c>
      <c r="AG238" s="163">
        <v>0.09</v>
      </c>
      <c r="AH238" s="163">
        <v>0.28999999999999998</v>
      </c>
      <c r="AI238" s="163" t="s">
        <v>36</v>
      </c>
      <c r="AJ238" s="163" t="s">
        <v>36</v>
      </c>
      <c r="AK238" s="163" t="s">
        <v>2197</v>
      </c>
      <c r="AL238" s="163" t="s">
        <v>36</v>
      </c>
      <c r="AM238" t="s">
        <v>4879</v>
      </c>
      <c r="AN238" s="487">
        <v>0</v>
      </c>
      <c r="AO238" s="487">
        <v>0</v>
      </c>
    </row>
    <row r="239" spans="1:41" x14ac:dyDescent="0.2">
      <c r="A239">
        <v>238</v>
      </c>
      <c r="B239" s="471" t="s">
        <v>1257</v>
      </c>
      <c r="C239" s="163" t="s">
        <v>1816</v>
      </c>
      <c r="D239" s="163" t="s">
        <v>4202</v>
      </c>
      <c r="E239" s="163" t="s">
        <v>2975</v>
      </c>
      <c r="F239" s="163" t="s">
        <v>2018</v>
      </c>
      <c r="G239" s="163" t="s">
        <v>36</v>
      </c>
      <c r="H239" s="163" t="s">
        <v>2200</v>
      </c>
      <c r="I239" s="163" t="s">
        <v>5734</v>
      </c>
      <c r="J239" s="163" t="s">
        <v>2468</v>
      </c>
      <c r="K239" s="163" t="s">
        <v>2204</v>
      </c>
      <c r="L239" s="163" t="s">
        <v>2976</v>
      </c>
      <c r="M239" s="549" t="s">
        <v>2977</v>
      </c>
      <c r="N239" s="163" t="s">
        <v>1816</v>
      </c>
      <c r="O239" s="163" t="s">
        <v>906</v>
      </c>
      <c r="P239" s="163" t="s">
        <v>2978</v>
      </c>
      <c r="Q239" s="163" t="s">
        <v>2276</v>
      </c>
      <c r="R239" s="163" t="s">
        <v>2193</v>
      </c>
      <c r="S239" s="163" t="s">
        <v>2979</v>
      </c>
      <c r="T239" s="163">
        <v>588</v>
      </c>
      <c r="U239" s="163" t="s">
        <v>1952</v>
      </c>
      <c r="V239" s="163" t="s">
        <v>111</v>
      </c>
      <c r="W239" s="163" t="s">
        <v>111</v>
      </c>
      <c r="X239" s="163" t="s">
        <v>2353</v>
      </c>
      <c r="Y239" s="163" t="s">
        <v>111</v>
      </c>
      <c r="Z239" s="163" t="s">
        <v>111</v>
      </c>
      <c r="AA239" s="163" t="s">
        <v>2353</v>
      </c>
      <c r="AB239" s="163" t="s">
        <v>5843</v>
      </c>
      <c r="AC239" s="163" t="s">
        <v>2195</v>
      </c>
      <c r="AD239" s="163" t="s">
        <v>2196</v>
      </c>
      <c r="AE239" s="163" t="s">
        <v>1762</v>
      </c>
      <c r="AF239" s="163" t="s">
        <v>3419</v>
      </c>
      <c r="AG239" s="163" t="s">
        <v>36</v>
      </c>
      <c r="AH239" s="163" t="s">
        <v>36</v>
      </c>
      <c r="AI239" s="163" t="s">
        <v>36</v>
      </c>
      <c r="AJ239" s="163" t="s">
        <v>36</v>
      </c>
      <c r="AK239" s="163" t="s">
        <v>2197</v>
      </c>
      <c r="AL239" s="163" t="s">
        <v>36</v>
      </c>
      <c r="AM239" t="s">
        <v>4892</v>
      </c>
      <c r="AN239" s="487">
        <v>0</v>
      </c>
      <c r="AO239" s="487">
        <v>0</v>
      </c>
    </row>
    <row r="240" spans="1:41" x14ac:dyDescent="0.2">
      <c r="A240">
        <v>239</v>
      </c>
      <c r="B240" s="471" t="s">
        <v>1257</v>
      </c>
      <c r="C240" s="163" t="s">
        <v>4758</v>
      </c>
      <c r="D240" s="163" t="s">
        <v>4759</v>
      </c>
      <c r="E240" s="163" t="s">
        <v>2975</v>
      </c>
      <c r="F240" s="163" t="s">
        <v>2018</v>
      </c>
      <c r="G240" s="163" t="s">
        <v>36</v>
      </c>
      <c r="H240" s="163" t="s">
        <v>2200</v>
      </c>
      <c r="I240" s="163" t="s">
        <v>5734</v>
      </c>
      <c r="J240" s="163" t="s">
        <v>1768</v>
      </c>
      <c r="K240" s="163" t="s">
        <v>4760</v>
      </c>
      <c r="L240" s="163" t="s">
        <v>2471</v>
      </c>
      <c r="M240" s="549" t="s">
        <v>4761</v>
      </c>
      <c r="N240" s="163" t="s">
        <v>4758</v>
      </c>
      <c r="O240" s="163" t="s">
        <v>111</v>
      </c>
      <c r="P240" s="163" t="s">
        <v>4762</v>
      </c>
      <c r="Q240" s="163" t="s">
        <v>2273</v>
      </c>
      <c r="R240" s="163" t="s">
        <v>2193</v>
      </c>
      <c r="S240" s="163" t="s">
        <v>4763</v>
      </c>
      <c r="T240" s="163">
        <v>896</v>
      </c>
      <c r="U240" s="163" t="s">
        <v>4764</v>
      </c>
      <c r="V240" s="163" t="s">
        <v>111</v>
      </c>
      <c r="W240" s="163" t="s">
        <v>111</v>
      </c>
      <c r="X240" s="163" t="s">
        <v>111</v>
      </c>
      <c r="Y240" s="163" t="s">
        <v>4765</v>
      </c>
      <c r="Z240" s="163" t="s">
        <v>4765</v>
      </c>
      <c r="AA240" s="163" t="s">
        <v>111</v>
      </c>
      <c r="AB240" s="163" t="s">
        <v>4766</v>
      </c>
      <c r="AC240" s="163" t="s">
        <v>2195</v>
      </c>
      <c r="AD240" s="163" t="s">
        <v>2196</v>
      </c>
      <c r="AE240" s="163" t="s">
        <v>1762</v>
      </c>
      <c r="AF240" s="163" t="s">
        <v>3419</v>
      </c>
      <c r="AG240" s="163" t="s">
        <v>36</v>
      </c>
      <c r="AH240" s="163" t="s">
        <v>36</v>
      </c>
      <c r="AI240" s="163" t="s">
        <v>36</v>
      </c>
      <c r="AJ240" s="163" t="s">
        <v>36</v>
      </c>
      <c r="AK240" s="163" t="s">
        <v>2197</v>
      </c>
      <c r="AL240" s="163" t="s">
        <v>36</v>
      </c>
      <c r="AM240" t="s">
        <v>4893</v>
      </c>
      <c r="AN240" s="487">
        <v>0</v>
      </c>
      <c r="AO240" s="487">
        <v>0</v>
      </c>
    </row>
    <row r="241" spans="1:41" x14ac:dyDescent="0.2">
      <c r="A241">
        <v>240</v>
      </c>
      <c r="B241" s="471" t="s">
        <v>1257</v>
      </c>
      <c r="C241" s="163" t="s">
        <v>4767</v>
      </c>
      <c r="D241" s="163" t="s">
        <v>4768</v>
      </c>
      <c r="E241" s="163" t="s">
        <v>2975</v>
      </c>
      <c r="F241" s="163" t="s">
        <v>2018</v>
      </c>
      <c r="G241" s="163" t="s">
        <v>36</v>
      </c>
      <c r="H241" s="163" t="s">
        <v>2200</v>
      </c>
      <c r="I241" s="163" t="s">
        <v>5734</v>
      </c>
      <c r="J241" s="163" t="s">
        <v>1768</v>
      </c>
      <c r="K241" s="163" t="s">
        <v>4760</v>
      </c>
      <c r="L241" s="163" t="s">
        <v>4769</v>
      </c>
      <c r="M241" s="549" t="s">
        <v>4770</v>
      </c>
      <c r="N241" s="163" t="s">
        <v>4767</v>
      </c>
      <c r="O241" s="163" t="s">
        <v>111</v>
      </c>
      <c r="P241" s="163" t="s">
        <v>4762</v>
      </c>
      <c r="Q241" s="163" t="s">
        <v>2273</v>
      </c>
      <c r="R241" s="163" t="s">
        <v>2193</v>
      </c>
      <c r="S241" s="163" t="s">
        <v>4771</v>
      </c>
      <c r="T241" s="163">
        <v>245</v>
      </c>
      <c r="U241" s="163" t="s">
        <v>4764</v>
      </c>
      <c r="V241" s="163" t="s">
        <v>111</v>
      </c>
      <c r="W241" s="163" t="s">
        <v>111</v>
      </c>
      <c r="X241" s="163" t="s">
        <v>111</v>
      </c>
      <c r="Y241" s="163" t="s">
        <v>4765</v>
      </c>
      <c r="Z241" s="163" t="s">
        <v>4765</v>
      </c>
      <c r="AA241" s="163" t="s">
        <v>111</v>
      </c>
      <c r="AB241" s="163" t="s">
        <v>4766</v>
      </c>
      <c r="AC241" s="163" t="s">
        <v>2195</v>
      </c>
      <c r="AD241" s="163" t="s">
        <v>2196</v>
      </c>
      <c r="AE241" s="163" t="s">
        <v>1762</v>
      </c>
      <c r="AF241" s="163" t="s">
        <v>3419</v>
      </c>
      <c r="AG241" s="163" t="s">
        <v>36</v>
      </c>
      <c r="AH241" s="163" t="s">
        <v>36</v>
      </c>
      <c r="AI241" s="163" t="s">
        <v>36</v>
      </c>
      <c r="AJ241" s="163" t="s">
        <v>36</v>
      </c>
      <c r="AK241" s="163" t="s">
        <v>2197</v>
      </c>
      <c r="AL241" s="163" t="s">
        <v>36</v>
      </c>
      <c r="AM241" t="s">
        <v>4893</v>
      </c>
      <c r="AN241" s="487">
        <v>0</v>
      </c>
      <c r="AO241" s="487">
        <v>0</v>
      </c>
    </row>
    <row r="242" spans="1:41" x14ac:dyDescent="0.2">
      <c r="A242">
        <v>241</v>
      </c>
      <c r="B242" s="471" t="s">
        <v>1257</v>
      </c>
      <c r="C242" s="163" t="s">
        <v>4772</v>
      </c>
      <c r="D242" s="163" t="s">
        <v>4773</v>
      </c>
      <c r="E242" s="163" t="s">
        <v>2975</v>
      </c>
      <c r="F242" s="163" t="s">
        <v>2018</v>
      </c>
      <c r="G242" s="163" t="s">
        <v>36</v>
      </c>
      <c r="H242" s="163" t="s">
        <v>2200</v>
      </c>
      <c r="I242" s="163" t="s">
        <v>5734</v>
      </c>
      <c r="J242" s="163" t="s">
        <v>1768</v>
      </c>
      <c r="K242" s="163" t="s">
        <v>4760</v>
      </c>
      <c r="L242" s="163" t="s">
        <v>4774</v>
      </c>
      <c r="M242" s="549" t="s">
        <v>4775</v>
      </c>
      <c r="N242" s="163" t="s">
        <v>4772</v>
      </c>
      <c r="O242" s="163" t="s">
        <v>111</v>
      </c>
      <c r="P242" s="163" t="s">
        <v>4762</v>
      </c>
      <c r="Q242" s="163" t="s">
        <v>2273</v>
      </c>
      <c r="R242" s="163" t="s">
        <v>2193</v>
      </c>
      <c r="S242" s="163" t="s">
        <v>2610</v>
      </c>
      <c r="T242" s="163">
        <v>4544.1000000000004</v>
      </c>
      <c r="U242" s="163" t="s">
        <v>4764</v>
      </c>
      <c r="V242" s="163" t="s">
        <v>111</v>
      </c>
      <c r="W242" s="163" t="s">
        <v>111</v>
      </c>
      <c r="X242" s="163" t="s">
        <v>111</v>
      </c>
      <c r="Y242" s="163" t="s">
        <v>4765</v>
      </c>
      <c r="Z242" s="163" t="s">
        <v>4765</v>
      </c>
      <c r="AA242" s="163" t="s">
        <v>111</v>
      </c>
      <c r="AB242" s="163" t="s">
        <v>4766</v>
      </c>
      <c r="AC242" s="163" t="s">
        <v>2195</v>
      </c>
      <c r="AD242" s="163" t="s">
        <v>2196</v>
      </c>
      <c r="AE242" s="163" t="s">
        <v>1762</v>
      </c>
      <c r="AF242" s="163" t="s">
        <v>3419</v>
      </c>
      <c r="AG242" s="163" t="s">
        <v>36</v>
      </c>
      <c r="AH242" s="163" t="s">
        <v>36</v>
      </c>
      <c r="AI242" s="163" t="s">
        <v>36</v>
      </c>
      <c r="AJ242" s="163" t="s">
        <v>36</v>
      </c>
      <c r="AK242" s="163" t="s">
        <v>2197</v>
      </c>
      <c r="AL242" s="163" t="s">
        <v>36</v>
      </c>
      <c r="AM242" t="s">
        <v>4893</v>
      </c>
      <c r="AN242" s="487">
        <v>0</v>
      </c>
      <c r="AO242" s="487">
        <v>0</v>
      </c>
    </row>
    <row r="243" spans="1:41" x14ac:dyDescent="0.2">
      <c r="A243">
        <v>242</v>
      </c>
      <c r="B243" s="471" t="s">
        <v>1283</v>
      </c>
      <c r="C243" s="163" t="s">
        <v>1285</v>
      </c>
      <c r="D243" s="163" t="s">
        <v>4203</v>
      </c>
      <c r="E243" s="163" t="s">
        <v>3035</v>
      </c>
      <c r="F243" s="163" t="s">
        <v>2025</v>
      </c>
      <c r="G243" s="163" t="s">
        <v>36</v>
      </c>
      <c r="H243" s="163" t="s">
        <v>2200</v>
      </c>
      <c r="I243" s="163" t="s">
        <v>5725</v>
      </c>
      <c r="J243" s="163" t="s">
        <v>2812</v>
      </c>
      <c r="K243" s="163" t="s">
        <v>3036</v>
      </c>
      <c r="L243" s="163" t="s">
        <v>3037</v>
      </c>
      <c r="M243" s="549" t="s">
        <v>3038</v>
      </c>
      <c r="N243" s="163" t="s">
        <v>1285</v>
      </c>
      <c r="O243" s="163" t="s">
        <v>906</v>
      </c>
      <c r="P243" s="163" t="s">
        <v>3039</v>
      </c>
      <c r="Q243" s="163" t="s">
        <v>2273</v>
      </c>
      <c r="R243" s="163" t="s">
        <v>2193</v>
      </c>
      <c r="S243" s="163" t="s">
        <v>3040</v>
      </c>
      <c r="T243" s="163">
        <v>0</v>
      </c>
      <c r="U243" s="163" t="s">
        <v>2223</v>
      </c>
      <c r="V243" s="163" t="s">
        <v>3041</v>
      </c>
      <c r="W243" s="163" t="s">
        <v>3042</v>
      </c>
      <c r="X243" s="163" t="s">
        <v>2194</v>
      </c>
      <c r="Y243" s="163" t="s">
        <v>111</v>
      </c>
      <c r="Z243" s="163" t="s">
        <v>111</v>
      </c>
      <c r="AA243" s="163" t="s">
        <v>111</v>
      </c>
      <c r="AB243" s="163" t="s">
        <v>3043</v>
      </c>
      <c r="AC243" s="163" t="s">
        <v>2195</v>
      </c>
      <c r="AD243" s="163" t="s">
        <v>2196</v>
      </c>
      <c r="AE243" s="163" t="s">
        <v>1762</v>
      </c>
      <c r="AF243" s="163" t="s">
        <v>3419</v>
      </c>
      <c r="AG243" s="163" t="s">
        <v>36</v>
      </c>
      <c r="AH243" s="163" t="s">
        <v>36</v>
      </c>
      <c r="AI243" s="163" t="s">
        <v>36</v>
      </c>
      <c r="AJ243" s="163" t="s">
        <v>36</v>
      </c>
      <c r="AK243" s="163" t="s">
        <v>2197</v>
      </c>
      <c r="AL243" s="163" t="s">
        <v>36</v>
      </c>
      <c r="AM243" t="s">
        <v>4876</v>
      </c>
      <c r="AN243" s="487">
        <v>0</v>
      </c>
      <c r="AO243" s="487">
        <v>0</v>
      </c>
    </row>
    <row r="244" spans="1:41" x14ac:dyDescent="0.2">
      <c r="A244">
        <v>243</v>
      </c>
      <c r="B244" s="471" t="s">
        <v>1908</v>
      </c>
      <c r="C244" s="163" t="s">
        <v>1910</v>
      </c>
      <c r="D244" s="163" t="s">
        <v>4204</v>
      </c>
      <c r="E244" s="163" t="s">
        <v>2112</v>
      </c>
      <c r="F244" s="163" t="s">
        <v>2018</v>
      </c>
      <c r="G244" s="163" t="s">
        <v>36</v>
      </c>
      <c r="H244" s="163" t="s">
        <v>2200</v>
      </c>
      <c r="I244" s="163" t="s">
        <v>5725</v>
      </c>
      <c r="J244" s="163" t="s">
        <v>2812</v>
      </c>
      <c r="K244" s="163" t="s">
        <v>2204</v>
      </c>
      <c r="L244" s="163" t="s">
        <v>3044</v>
      </c>
      <c r="M244" s="549" t="s">
        <v>1910</v>
      </c>
      <c r="N244" s="163" t="s">
        <v>1910</v>
      </c>
      <c r="O244" s="163" t="s">
        <v>906</v>
      </c>
      <c r="P244" s="163" t="s">
        <v>2911</v>
      </c>
      <c r="Q244" s="163" t="s">
        <v>2276</v>
      </c>
      <c r="R244" s="163" t="s">
        <v>2257</v>
      </c>
      <c r="S244" s="163" t="s">
        <v>3045</v>
      </c>
      <c r="T244" s="163">
        <v>432</v>
      </c>
      <c r="U244" s="163" t="s">
        <v>1952</v>
      </c>
      <c r="V244" s="163" t="s">
        <v>3046</v>
      </c>
      <c r="W244" s="163" t="s">
        <v>3047</v>
      </c>
      <c r="X244" s="163" t="s">
        <v>2194</v>
      </c>
      <c r="Y244" s="163" t="s">
        <v>111</v>
      </c>
      <c r="Z244" s="163" t="s">
        <v>111</v>
      </c>
      <c r="AA244" s="163" t="s">
        <v>111</v>
      </c>
      <c r="AB244" s="163" t="s">
        <v>5778</v>
      </c>
      <c r="AC244" s="163" t="s">
        <v>2195</v>
      </c>
      <c r="AD244" s="163" t="s">
        <v>2196</v>
      </c>
      <c r="AE244" s="163" t="s">
        <v>1762</v>
      </c>
      <c r="AF244" s="163" t="s">
        <v>3419</v>
      </c>
      <c r="AG244" s="163" t="s">
        <v>36</v>
      </c>
      <c r="AH244" s="163" t="s">
        <v>36</v>
      </c>
      <c r="AI244" s="163" t="s">
        <v>36</v>
      </c>
      <c r="AJ244" s="163" t="s">
        <v>36</v>
      </c>
      <c r="AK244" s="163" t="s">
        <v>2197</v>
      </c>
      <c r="AL244" s="163" t="s">
        <v>36</v>
      </c>
      <c r="AM244" t="s">
        <v>4879</v>
      </c>
      <c r="AN244" s="487">
        <v>0</v>
      </c>
      <c r="AO244" s="487">
        <v>0</v>
      </c>
    </row>
    <row r="245" spans="1:41" x14ac:dyDescent="0.2">
      <c r="A245">
        <v>244</v>
      </c>
      <c r="B245" s="471" t="s">
        <v>1908</v>
      </c>
      <c r="C245" s="163" t="s">
        <v>1299</v>
      </c>
      <c r="D245" s="163" t="s">
        <v>4397</v>
      </c>
      <c r="E245" s="163" t="s">
        <v>2112</v>
      </c>
      <c r="F245" s="163" t="s">
        <v>2018</v>
      </c>
      <c r="G245" s="163" t="s">
        <v>36</v>
      </c>
      <c r="H245" s="163" t="s">
        <v>2200</v>
      </c>
      <c r="I245" s="163" t="s">
        <v>5725</v>
      </c>
      <c r="J245" s="163" t="s">
        <v>2812</v>
      </c>
      <c r="K245" s="163" t="s">
        <v>1453</v>
      </c>
      <c r="L245" s="163" t="s">
        <v>4398</v>
      </c>
      <c r="M245" s="549" t="s">
        <v>1299</v>
      </c>
      <c r="N245" s="163" t="s">
        <v>1299</v>
      </c>
      <c r="O245" s="163" t="s">
        <v>906</v>
      </c>
      <c r="P245" s="163" t="s">
        <v>4399</v>
      </c>
      <c r="Q245" s="163" t="s">
        <v>3493</v>
      </c>
      <c r="R245" s="163" t="s">
        <v>2257</v>
      </c>
      <c r="S245" s="163" t="s">
        <v>4400</v>
      </c>
      <c r="T245" s="163">
        <v>2.7</v>
      </c>
      <c r="U245" s="163" t="s">
        <v>2222</v>
      </c>
      <c r="V245" s="163" t="s">
        <v>4401</v>
      </c>
      <c r="W245" s="163" t="s">
        <v>4402</v>
      </c>
      <c r="X245" s="163" t="s">
        <v>4403</v>
      </c>
      <c r="Y245" s="163" t="s">
        <v>111</v>
      </c>
      <c r="Z245" s="163" t="s">
        <v>111</v>
      </c>
      <c r="AA245" s="163" t="s">
        <v>111</v>
      </c>
      <c r="AB245" s="163" t="s">
        <v>5779</v>
      </c>
      <c r="AC245" s="163" t="s">
        <v>2195</v>
      </c>
      <c r="AD245" s="163" t="s">
        <v>2196</v>
      </c>
      <c r="AE245" s="163" t="s">
        <v>1762</v>
      </c>
      <c r="AF245" s="163">
        <v>5</v>
      </c>
      <c r="AG245" s="163">
        <v>1</v>
      </c>
      <c r="AH245" s="163">
        <v>75</v>
      </c>
      <c r="AI245" s="163" t="s">
        <v>3984</v>
      </c>
      <c r="AJ245" s="163" t="s">
        <v>36</v>
      </c>
      <c r="AK245" s="163" t="s">
        <v>2197</v>
      </c>
      <c r="AL245" s="163" t="s">
        <v>36</v>
      </c>
      <c r="AM245" t="s">
        <v>4876</v>
      </c>
      <c r="AN245" s="487">
        <v>0</v>
      </c>
      <c r="AO245" s="487">
        <v>0</v>
      </c>
    </row>
    <row r="246" spans="1:41" x14ac:dyDescent="0.2">
      <c r="A246">
        <v>245</v>
      </c>
      <c r="B246" s="471" t="s">
        <v>3844</v>
      </c>
      <c r="C246" s="163" t="s">
        <v>3846</v>
      </c>
      <c r="D246" s="163" t="s">
        <v>4501</v>
      </c>
      <c r="E246" s="163" t="s">
        <v>4502</v>
      </c>
      <c r="F246" s="163" t="s">
        <v>4503</v>
      </c>
      <c r="G246" s="163" t="s">
        <v>36</v>
      </c>
      <c r="H246" s="163" t="s">
        <v>2200</v>
      </c>
      <c r="I246" s="163" t="s">
        <v>5725</v>
      </c>
      <c r="J246" s="163" t="s">
        <v>1768</v>
      </c>
      <c r="K246" s="163" t="s">
        <v>4504</v>
      </c>
      <c r="L246" s="163" t="s">
        <v>4505</v>
      </c>
      <c r="M246" s="549">
        <v>17091325</v>
      </c>
      <c r="N246" s="163" t="s">
        <v>3846</v>
      </c>
      <c r="O246" s="163" t="s">
        <v>906</v>
      </c>
      <c r="P246" s="163" t="s">
        <v>4506</v>
      </c>
      <c r="Q246" s="163" t="s">
        <v>4506</v>
      </c>
      <c r="R246" s="163" t="s">
        <v>2294</v>
      </c>
      <c r="S246" s="163" t="s">
        <v>4507</v>
      </c>
      <c r="T246" s="163">
        <v>12.3</v>
      </c>
      <c r="U246" s="163" t="s">
        <v>2222</v>
      </c>
      <c r="V246" s="163" t="s">
        <v>2268</v>
      </c>
      <c r="W246" s="163">
        <v>17091325</v>
      </c>
      <c r="X246" s="163" t="s">
        <v>4508</v>
      </c>
      <c r="Y246" s="163" t="s">
        <v>111</v>
      </c>
      <c r="Z246" s="163" t="s">
        <v>111</v>
      </c>
      <c r="AA246" s="163" t="s">
        <v>111</v>
      </c>
      <c r="AB246" s="163" t="s">
        <v>4509</v>
      </c>
      <c r="AC246" s="163" t="s">
        <v>4510</v>
      </c>
      <c r="AD246" s="163" t="s">
        <v>2196</v>
      </c>
      <c r="AE246" s="163" t="s">
        <v>1762</v>
      </c>
      <c r="AF246" s="163" t="s">
        <v>111</v>
      </c>
      <c r="AG246" s="163" t="s">
        <v>36</v>
      </c>
      <c r="AH246" s="163" t="s">
        <v>36</v>
      </c>
      <c r="AI246" s="163" t="s">
        <v>36</v>
      </c>
      <c r="AJ246" s="163" t="s">
        <v>36</v>
      </c>
      <c r="AK246" s="163" t="s">
        <v>2197</v>
      </c>
      <c r="AL246" s="163" t="s">
        <v>36</v>
      </c>
      <c r="AM246" t="s">
        <v>4876</v>
      </c>
      <c r="AN246" s="487">
        <v>0</v>
      </c>
      <c r="AO246" s="487">
        <v>0</v>
      </c>
    </row>
    <row r="247" spans="1:41" x14ac:dyDescent="0.2">
      <c r="A247">
        <v>246</v>
      </c>
      <c r="B247" s="471" t="s">
        <v>5589</v>
      </c>
      <c r="C247" s="163" t="s">
        <v>5590</v>
      </c>
      <c r="D247" s="163" t="s">
        <v>5591</v>
      </c>
      <c r="E247" s="163" t="s">
        <v>5592</v>
      </c>
      <c r="F247" s="163" t="s">
        <v>5593</v>
      </c>
      <c r="G247" s="163" t="s">
        <v>36</v>
      </c>
      <c r="H247" s="163" t="s">
        <v>2200</v>
      </c>
      <c r="I247" s="163" t="s">
        <v>5725</v>
      </c>
      <c r="J247" s="163" t="s">
        <v>2468</v>
      </c>
      <c r="K247" s="163" t="s">
        <v>3372</v>
      </c>
      <c r="L247" s="163" t="s">
        <v>5594</v>
      </c>
      <c r="M247" s="549" t="s">
        <v>5595</v>
      </c>
      <c r="N247" s="163" t="s">
        <v>5596</v>
      </c>
      <c r="O247" s="163" t="s">
        <v>2471</v>
      </c>
      <c r="P247" s="163" t="s">
        <v>5597</v>
      </c>
      <c r="Q247" s="163" t="s">
        <v>5598</v>
      </c>
      <c r="R247" s="163" t="s">
        <v>4533</v>
      </c>
      <c r="S247" s="163" t="s">
        <v>5599</v>
      </c>
      <c r="T247" s="163">
        <v>483.9</v>
      </c>
      <c r="U247" s="163" t="s">
        <v>2222</v>
      </c>
      <c r="V247" s="163" t="s">
        <v>5600</v>
      </c>
      <c r="W247" s="163" t="s">
        <v>5613</v>
      </c>
      <c r="X247" s="163" t="s">
        <v>2810</v>
      </c>
      <c r="Y247" s="163" t="s">
        <v>5614</v>
      </c>
      <c r="Z247" s="163" t="s">
        <v>5601</v>
      </c>
      <c r="AA247" s="163" t="s">
        <v>4937</v>
      </c>
      <c r="AB247" s="163" t="s">
        <v>5615</v>
      </c>
      <c r="AC247" s="163" t="s">
        <v>2195</v>
      </c>
      <c r="AD247" s="163" t="s">
        <v>2196</v>
      </c>
      <c r="AE247" s="163" t="s">
        <v>1762</v>
      </c>
      <c r="AF247" s="163" t="s">
        <v>111</v>
      </c>
      <c r="AG247" s="163" t="s">
        <v>111</v>
      </c>
      <c r="AH247" s="163" t="s">
        <v>111</v>
      </c>
      <c r="AI247" s="163" t="s">
        <v>111</v>
      </c>
      <c r="AJ247" s="163" t="s">
        <v>111</v>
      </c>
      <c r="AK247" s="163" t="s">
        <v>2197</v>
      </c>
      <c r="AL247" s="163" t="s">
        <v>36</v>
      </c>
      <c r="AM247" t="s">
        <v>4879</v>
      </c>
      <c r="AN247" s="487">
        <v>0</v>
      </c>
      <c r="AO247" s="487">
        <v>0</v>
      </c>
    </row>
    <row r="248" spans="1:41" x14ac:dyDescent="0.2">
      <c r="A248">
        <v>247</v>
      </c>
      <c r="B248" s="471" t="s">
        <v>1302</v>
      </c>
      <c r="C248" s="163" t="s">
        <v>1313</v>
      </c>
      <c r="D248" s="163" t="s">
        <v>4205</v>
      </c>
      <c r="E248" s="163" t="s">
        <v>3048</v>
      </c>
      <c r="F248" s="163" t="s">
        <v>2116</v>
      </c>
      <c r="G248" s="163" t="s">
        <v>36</v>
      </c>
      <c r="H248" s="163" t="s">
        <v>2200</v>
      </c>
      <c r="I248" s="163" t="s">
        <v>5725</v>
      </c>
      <c r="J248" s="163" t="s">
        <v>2468</v>
      </c>
      <c r="K248" s="163" t="s">
        <v>2322</v>
      </c>
      <c r="L248" s="163" t="s">
        <v>3061</v>
      </c>
      <c r="M248" s="549">
        <v>10282008</v>
      </c>
      <c r="N248" s="163" t="s">
        <v>1313</v>
      </c>
      <c r="O248" s="163" t="s">
        <v>906</v>
      </c>
      <c r="P248" s="163" t="s">
        <v>2934</v>
      </c>
      <c r="Q248" s="163" t="s">
        <v>2276</v>
      </c>
      <c r="R248" s="163" t="s">
        <v>2358</v>
      </c>
      <c r="S248" s="163" t="s">
        <v>3062</v>
      </c>
      <c r="T248" s="163">
        <v>2002</v>
      </c>
      <c r="U248" s="163" t="s">
        <v>2223</v>
      </c>
      <c r="V248" s="163" t="s">
        <v>3063</v>
      </c>
      <c r="W248" s="163" t="s">
        <v>3064</v>
      </c>
      <c r="X248" s="163" t="s">
        <v>2342</v>
      </c>
      <c r="Y248" s="163" t="s">
        <v>2539</v>
      </c>
      <c r="Z248" s="163" t="s">
        <v>3065</v>
      </c>
      <c r="AA248" s="163" t="s">
        <v>2194</v>
      </c>
      <c r="AB248" s="163" t="s">
        <v>3066</v>
      </c>
      <c r="AC248" s="163" t="s">
        <v>2195</v>
      </c>
      <c r="AD248" s="163" t="s">
        <v>2196</v>
      </c>
      <c r="AE248" s="163" t="s">
        <v>1762</v>
      </c>
      <c r="AF248" s="163" t="s">
        <v>3419</v>
      </c>
      <c r="AG248" s="163" t="s">
        <v>36</v>
      </c>
      <c r="AH248" s="163" t="s">
        <v>36</v>
      </c>
      <c r="AI248" s="163" t="s">
        <v>36</v>
      </c>
      <c r="AJ248" s="163" t="s">
        <v>36</v>
      </c>
      <c r="AK248" s="163" t="s">
        <v>2197</v>
      </c>
      <c r="AL248" s="163" t="s">
        <v>36</v>
      </c>
      <c r="AM248" t="s">
        <v>4878</v>
      </c>
      <c r="AN248" s="487">
        <v>0</v>
      </c>
      <c r="AO248" s="487">
        <v>0</v>
      </c>
    </row>
    <row r="249" spans="1:41" x14ac:dyDescent="0.2">
      <c r="A249">
        <v>248</v>
      </c>
      <c r="B249" s="471" t="s">
        <v>1302</v>
      </c>
      <c r="C249" s="163" t="s">
        <v>4451</v>
      </c>
      <c r="D249" s="163" t="s">
        <v>4511</v>
      </c>
      <c r="E249" s="163" t="s">
        <v>3048</v>
      </c>
      <c r="F249" s="163" t="s">
        <v>2116</v>
      </c>
      <c r="G249" s="163" t="s">
        <v>36</v>
      </c>
      <c r="H249" s="163" t="s">
        <v>2200</v>
      </c>
      <c r="I249" s="163" t="s">
        <v>3946</v>
      </c>
      <c r="J249" s="163" t="s">
        <v>1768</v>
      </c>
      <c r="K249" s="163" t="s">
        <v>4451</v>
      </c>
      <c r="L249" s="163" t="s">
        <v>2522</v>
      </c>
      <c r="M249" s="549" t="s">
        <v>4458</v>
      </c>
      <c r="N249" s="163" t="s">
        <v>4512</v>
      </c>
      <c r="O249" s="163" t="s">
        <v>906</v>
      </c>
      <c r="P249" s="163" t="s">
        <v>4453</v>
      </c>
      <c r="Q249" s="163" t="s">
        <v>4453</v>
      </c>
      <c r="R249" s="163" t="s">
        <v>2193</v>
      </c>
      <c r="S249" s="163" t="s">
        <v>4459</v>
      </c>
      <c r="T249" s="163">
        <v>2253.3000000000002</v>
      </c>
      <c r="U249" s="163" t="s">
        <v>2223</v>
      </c>
      <c r="V249" s="163" t="s">
        <v>2525</v>
      </c>
      <c r="W249" s="163">
        <v>43144</v>
      </c>
      <c r="X249" s="163" t="s">
        <v>2810</v>
      </c>
      <c r="Y249" s="163" t="s">
        <v>4460</v>
      </c>
      <c r="Z249" s="163" t="s">
        <v>4461</v>
      </c>
      <c r="AA249" s="163" t="s">
        <v>4462</v>
      </c>
      <c r="AB249" s="163" t="s">
        <v>4463</v>
      </c>
      <c r="AC249" s="163" t="s">
        <v>2195</v>
      </c>
      <c r="AD249" s="163" t="s">
        <v>2196</v>
      </c>
      <c r="AE249" s="163" t="s">
        <v>1762</v>
      </c>
      <c r="AF249" s="163" t="s">
        <v>3419</v>
      </c>
      <c r="AG249" s="163" t="s">
        <v>36</v>
      </c>
      <c r="AH249" s="163" t="s">
        <v>36</v>
      </c>
      <c r="AI249" s="163" t="s">
        <v>36</v>
      </c>
      <c r="AJ249" s="163" t="s">
        <v>36</v>
      </c>
      <c r="AK249" s="163" t="s">
        <v>2197</v>
      </c>
      <c r="AL249" s="163" t="s">
        <v>36</v>
      </c>
      <c r="AM249" t="s">
        <v>4878</v>
      </c>
      <c r="AN249" s="487">
        <v>0</v>
      </c>
      <c r="AO249" s="487">
        <v>0</v>
      </c>
    </row>
    <row r="250" spans="1:41" x14ac:dyDescent="0.2">
      <c r="A250">
        <v>249</v>
      </c>
      <c r="B250" s="471" t="s">
        <v>1302</v>
      </c>
      <c r="C250" s="163" t="s">
        <v>4513</v>
      </c>
      <c r="D250" s="163" t="s">
        <v>4514</v>
      </c>
      <c r="E250" s="163" t="s">
        <v>3048</v>
      </c>
      <c r="F250" s="163" t="s">
        <v>2116</v>
      </c>
      <c r="G250" s="163" t="s">
        <v>36</v>
      </c>
      <c r="H250" s="163" t="s">
        <v>2200</v>
      </c>
      <c r="I250" s="163" t="s">
        <v>5725</v>
      </c>
      <c r="J250" s="163" t="s">
        <v>1768</v>
      </c>
      <c r="K250" s="163" t="s">
        <v>4457</v>
      </c>
      <c r="L250" s="163" t="s">
        <v>2522</v>
      </c>
      <c r="M250" s="549" t="s">
        <v>4452</v>
      </c>
      <c r="N250" s="163" t="s">
        <v>4515</v>
      </c>
      <c r="O250" s="163" t="s">
        <v>906</v>
      </c>
      <c r="P250" s="163" t="s">
        <v>4453</v>
      </c>
      <c r="Q250" s="163" t="s">
        <v>4453</v>
      </c>
      <c r="R250" s="163" t="s">
        <v>2193</v>
      </c>
      <c r="S250" s="163" t="s">
        <v>4454</v>
      </c>
      <c r="T250" s="163">
        <v>2380</v>
      </c>
      <c r="U250" s="163" t="s">
        <v>2223</v>
      </c>
      <c r="V250" s="163" t="s">
        <v>2525</v>
      </c>
      <c r="W250" s="163">
        <v>23131</v>
      </c>
      <c r="X250" s="163" t="s">
        <v>2810</v>
      </c>
      <c r="Y250" s="163" t="s">
        <v>111</v>
      </c>
      <c r="Z250" s="163" t="s">
        <v>4455</v>
      </c>
      <c r="AA250" s="163" t="s">
        <v>111</v>
      </c>
      <c r="AB250" s="163" t="s">
        <v>4456</v>
      </c>
      <c r="AC250" s="163" t="s">
        <v>2195</v>
      </c>
      <c r="AD250" s="163" t="s">
        <v>2196</v>
      </c>
      <c r="AE250" s="163" t="s">
        <v>1762</v>
      </c>
      <c r="AF250" s="163" t="s">
        <v>3419</v>
      </c>
      <c r="AG250" s="163" t="s">
        <v>36</v>
      </c>
      <c r="AH250" s="163" t="s">
        <v>36</v>
      </c>
      <c r="AI250" s="163" t="s">
        <v>36</v>
      </c>
      <c r="AJ250" s="163" t="s">
        <v>36</v>
      </c>
      <c r="AK250" s="163" t="s">
        <v>2197</v>
      </c>
      <c r="AL250" s="163" t="s">
        <v>36</v>
      </c>
      <c r="AM250" t="s">
        <v>4878</v>
      </c>
      <c r="AN250" s="487">
        <v>0</v>
      </c>
      <c r="AO250" s="487">
        <v>0</v>
      </c>
    </row>
    <row r="251" spans="1:41" x14ac:dyDescent="0.2">
      <c r="A251">
        <v>250</v>
      </c>
      <c r="B251" s="471" t="s">
        <v>1302</v>
      </c>
      <c r="C251" s="163" t="s">
        <v>1311</v>
      </c>
      <c r="D251" s="163" t="s">
        <v>4368</v>
      </c>
      <c r="E251" s="163" t="s">
        <v>3048</v>
      </c>
      <c r="F251" s="163" t="s">
        <v>2116</v>
      </c>
      <c r="G251" s="163" t="s">
        <v>36</v>
      </c>
      <c r="H251" s="163" t="s">
        <v>2200</v>
      </c>
      <c r="I251" s="163" t="s">
        <v>5725</v>
      </c>
      <c r="J251" s="163" t="s">
        <v>2812</v>
      </c>
      <c r="K251" s="163" t="s">
        <v>4369</v>
      </c>
      <c r="L251" s="163" t="s">
        <v>3067</v>
      </c>
      <c r="M251" s="549" t="s">
        <v>4369</v>
      </c>
      <c r="N251" s="163" t="s">
        <v>1311</v>
      </c>
      <c r="O251" s="163" t="s">
        <v>2471</v>
      </c>
      <c r="P251" s="163" t="s">
        <v>4370</v>
      </c>
      <c r="Q251" s="163" t="s">
        <v>2192</v>
      </c>
      <c r="R251" s="163" t="s">
        <v>2367</v>
      </c>
      <c r="S251" s="163" t="s">
        <v>4371</v>
      </c>
      <c r="T251" s="163">
        <v>1296</v>
      </c>
      <c r="U251" s="163" t="s">
        <v>2223</v>
      </c>
      <c r="V251" s="163" t="s">
        <v>4372</v>
      </c>
      <c r="W251" s="163" t="s">
        <v>4373</v>
      </c>
      <c r="X251" s="163" t="s">
        <v>2194</v>
      </c>
      <c r="Y251" s="163" t="s">
        <v>2539</v>
      </c>
      <c r="Z251" s="163" t="s">
        <v>4374</v>
      </c>
      <c r="AA251" s="163" t="s">
        <v>2194</v>
      </c>
      <c r="AB251" s="163" t="s">
        <v>36</v>
      </c>
      <c r="AC251" s="163" t="s">
        <v>2195</v>
      </c>
      <c r="AD251" s="163" t="s">
        <v>2196</v>
      </c>
      <c r="AE251" s="163" t="s">
        <v>1762</v>
      </c>
      <c r="AF251" s="163">
        <v>4</v>
      </c>
      <c r="AG251" s="163">
        <v>0.5</v>
      </c>
      <c r="AH251" s="163">
        <v>1</v>
      </c>
      <c r="AI251" s="163" t="s">
        <v>4375</v>
      </c>
      <c r="AJ251" s="163" t="s">
        <v>4376</v>
      </c>
      <c r="AK251" s="163" t="s">
        <v>2197</v>
      </c>
      <c r="AL251" s="163" t="s">
        <v>36</v>
      </c>
      <c r="AM251" t="s">
        <v>4876</v>
      </c>
      <c r="AN251" s="487">
        <v>0</v>
      </c>
      <c r="AO251" s="487">
        <v>0</v>
      </c>
    </row>
    <row r="252" spans="1:41" x14ac:dyDescent="0.2">
      <c r="A252">
        <v>251</v>
      </c>
      <c r="B252" s="471" t="s">
        <v>1302</v>
      </c>
      <c r="C252" s="163" t="s">
        <v>1307</v>
      </c>
      <c r="D252" s="163" t="s">
        <v>4206</v>
      </c>
      <c r="E252" s="163" t="s">
        <v>3048</v>
      </c>
      <c r="F252" s="163" t="s">
        <v>2116</v>
      </c>
      <c r="G252" s="163" t="s">
        <v>36</v>
      </c>
      <c r="H252" s="163" t="s">
        <v>2200</v>
      </c>
      <c r="I252" s="163" t="s">
        <v>5725</v>
      </c>
      <c r="J252" s="163" t="s">
        <v>2812</v>
      </c>
      <c r="K252" s="163" t="s">
        <v>3079</v>
      </c>
      <c r="L252" s="163" t="s">
        <v>111</v>
      </c>
      <c r="M252" s="549">
        <v>260</v>
      </c>
      <c r="N252" s="163" t="s">
        <v>1307</v>
      </c>
      <c r="O252" s="163" t="s">
        <v>4651</v>
      </c>
      <c r="P252" s="163" t="s">
        <v>3080</v>
      </c>
      <c r="Q252" s="163" t="s">
        <v>2192</v>
      </c>
      <c r="R252" s="163" t="s">
        <v>2257</v>
      </c>
      <c r="S252" s="163" t="s">
        <v>3081</v>
      </c>
      <c r="T252" s="163">
        <v>675</v>
      </c>
      <c r="U252" s="163" t="s">
        <v>2222</v>
      </c>
      <c r="V252" s="163" t="s">
        <v>3082</v>
      </c>
      <c r="W252" s="163">
        <v>261</v>
      </c>
      <c r="X252" s="163" t="s">
        <v>3083</v>
      </c>
      <c r="Y252" s="163" t="s">
        <v>3084</v>
      </c>
      <c r="Z252" s="163">
        <v>259</v>
      </c>
      <c r="AA252" s="163" t="s">
        <v>2194</v>
      </c>
      <c r="AB252" s="163" t="s">
        <v>4464</v>
      </c>
      <c r="AC252" s="163" t="s">
        <v>2195</v>
      </c>
      <c r="AD252" s="163" t="s">
        <v>2196</v>
      </c>
      <c r="AE252" s="163" t="s">
        <v>1762</v>
      </c>
      <c r="AF252" s="163" t="s">
        <v>3419</v>
      </c>
      <c r="AG252" s="163" t="s">
        <v>36</v>
      </c>
      <c r="AH252" s="163" t="s">
        <v>36</v>
      </c>
      <c r="AI252" s="163" t="s">
        <v>36</v>
      </c>
      <c r="AJ252" s="163" t="s">
        <v>36</v>
      </c>
      <c r="AK252" s="163" t="s">
        <v>2197</v>
      </c>
      <c r="AL252" s="163" t="s">
        <v>36</v>
      </c>
      <c r="AM252" t="s">
        <v>4879</v>
      </c>
      <c r="AN252" s="487">
        <v>0</v>
      </c>
      <c r="AO252" s="487">
        <v>0</v>
      </c>
    </row>
    <row r="253" spans="1:41" x14ac:dyDescent="0.2">
      <c r="A253">
        <v>252</v>
      </c>
      <c r="B253" s="471" t="s">
        <v>1302</v>
      </c>
      <c r="C253" s="163" t="s">
        <v>1309</v>
      </c>
      <c r="D253" s="163" t="s">
        <v>4207</v>
      </c>
      <c r="E253" s="163" t="s">
        <v>3048</v>
      </c>
      <c r="F253" s="163" t="s">
        <v>2116</v>
      </c>
      <c r="G253" s="163" t="s">
        <v>36</v>
      </c>
      <c r="H253" s="163" t="s">
        <v>2200</v>
      </c>
      <c r="I253" s="163" t="s">
        <v>3946</v>
      </c>
      <c r="J253" s="163" t="s">
        <v>2468</v>
      </c>
      <c r="K253" s="163" t="s">
        <v>1123</v>
      </c>
      <c r="L253" s="163" t="s">
        <v>3068</v>
      </c>
      <c r="M253" s="549">
        <v>98</v>
      </c>
      <c r="N253" s="163" t="s">
        <v>1309</v>
      </c>
      <c r="O253" s="163" t="s">
        <v>906</v>
      </c>
      <c r="P253" s="163" t="s">
        <v>2934</v>
      </c>
      <c r="Q253" s="163" t="s">
        <v>2192</v>
      </c>
      <c r="R253" s="163" t="s">
        <v>2193</v>
      </c>
      <c r="S253" s="163" t="s">
        <v>3069</v>
      </c>
      <c r="T253" s="163">
        <v>4752</v>
      </c>
      <c r="U253" s="163" t="s">
        <v>2223</v>
      </c>
      <c r="V253" s="163" t="s">
        <v>4587</v>
      </c>
      <c r="W253" s="163" t="s">
        <v>3070</v>
      </c>
      <c r="X253" s="163" t="s">
        <v>2194</v>
      </c>
      <c r="Y253" s="163" t="s">
        <v>3016</v>
      </c>
      <c r="Z253" s="163" t="s">
        <v>3071</v>
      </c>
      <c r="AA253" s="163" t="s">
        <v>4601</v>
      </c>
      <c r="AB253" s="163" t="s">
        <v>4588</v>
      </c>
      <c r="AC253" s="163" t="s">
        <v>2195</v>
      </c>
      <c r="AD253" s="163" t="s">
        <v>2196</v>
      </c>
      <c r="AE253" s="163" t="s">
        <v>1762</v>
      </c>
      <c r="AF253" s="163" t="s">
        <v>3419</v>
      </c>
      <c r="AG253" s="163" t="s">
        <v>36</v>
      </c>
      <c r="AH253" s="163" t="s">
        <v>36</v>
      </c>
      <c r="AI253" s="163" t="s">
        <v>36</v>
      </c>
      <c r="AJ253" s="163" t="s">
        <v>36</v>
      </c>
      <c r="AK253" s="163" t="s">
        <v>2197</v>
      </c>
      <c r="AL253" s="163" t="s">
        <v>36</v>
      </c>
      <c r="AM253" t="s">
        <v>4878</v>
      </c>
      <c r="AN253" s="487">
        <v>0</v>
      </c>
      <c r="AO253" s="487">
        <v>0</v>
      </c>
    </row>
    <row r="254" spans="1:41" x14ac:dyDescent="0.2">
      <c r="A254">
        <v>253</v>
      </c>
      <c r="B254" s="471" t="s">
        <v>1302</v>
      </c>
      <c r="C254" s="163" t="s">
        <v>1304</v>
      </c>
      <c r="D254" s="163" t="s">
        <v>4208</v>
      </c>
      <c r="E254" s="163" t="s">
        <v>3048</v>
      </c>
      <c r="F254" s="163" t="s">
        <v>2116</v>
      </c>
      <c r="G254" s="163" t="s">
        <v>36</v>
      </c>
      <c r="H254" s="163" t="s">
        <v>2200</v>
      </c>
      <c r="I254" s="163" t="s">
        <v>5725</v>
      </c>
      <c r="J254" s="163" t="s">
        <v>2812</v>
      </c>
      <c r="K254" s="163" t="s">
        <v>1123</v>
      </c>
      <c r="L254" s="163" t="s">
        <v>2522</v>
      </c>
      <c r="M254" s="549" t="s">
        <v>3072</v>
      </c>
      <c r="N254" s="163" t="s">
        <v>1304</v>
      </c>
      <c r="O254" s="163" t="s">
        <v>906</v>
      </c>
      <c r="P254" s="163" t="s">
        <v>2517</v>
      </c>
      <c r="Q254" s="163" t="s">
        <v>2192</v>
      </c>
      <c r="R254" s="163" t="s">
        <v>2193</v>
      </c>
      <c r="S254" s="163" t="s">
        <v>3073</v>
      </c>
      <c r="T254" s="163">
        <v>2928</v>
      </c>
      <c r="U254" s="163" t="s">
        <v>2223</v>
      </c>
      <c r="V254" s="163" t="s">
        <v>2525</v>
      </c>
      <c r="W254" s="163">
        <v>43144</v>
      </c>
      <c r="X254" s="163" t="s">
        <v>2810</v>
      </c>
      <c r="Y254" s="163" t="s">
        <v>3016</v>
      </c>
      <c r="Z254" s="163" t="s">
        <v>3071</v>
      </c>
      <c r="AA254" s="163" t="s">
        <v>2330</v>
      </c>
      <c r="AB254" s="163" t="s">
        <v>4822</v>
      </c>
      <c r="AC254" s="163" t="s">
        <v>2195</v>
      </c>
      <c r="AD254" s="163" t="s">
        <v>2196</v>
      </c>
      <c r="AE254" s="163" t="s">
        <v>1762</v>
      </c>
      <c r="AF254" s="163" t="s">
        <v>3419</v>
      </c>
      <c r="AG254" s="163" t="s">
        <v>36</v>
      </c>
      <c r="AH254" s="163" t="s">
        <v>36</v>
      </c>
      <c r="AI254" s="163" t="s">
        <v>36</v>
      </c>
      <c r="AJ254" s="163" t="s">
        <v>36</v>
      </c>
      <c r="AK254" s="163" t="s">
        <v>2197</v>
      </c>
      <c r="AL254" s="163" t="s">
        <v>36</v>
      </c>
      <c r="AM254" t="s">
        <v>4878</v>
      </c>
      <c r="AN254" s="487">
        <v>0</v>
      </c>
      <c r="AO254" s="487">
        <v>0</v>
      </c>
    </row>
    <row r="255" spans="1:41" x14ac:dyDescent="0.2">
      <c r="A255">
        <v>254</v>
      </c>
      <c r="B255" s="471" t="s">
        <v>1302</v>
      </c>
      <c r="C255" s="163" t="s">
        <v>4666</v>
      </c>
      <c r="D255" s="163" t="s">
        <v>4667</v>
      </c>
      <c r="E255" s="163" t="s">
        <v>3048</v>
      </c>
      <c r="F255" s="163" t="s">
        <v>2116</v>
      </c>
      <c r="G255" s="163" t="s">
        <v>36</v>
      </c>
      <c r="H255" s="163" t="s">
        <v>2200</v>
      </c>
      <c r="I255" s="163" t="s">
        <v>5725</v>
      </c>
      <c r="J255" s="163" t="s">
        <v>2812</v>
      </c>
      <c r="K255" s="163" t="s">
        <v>4668</v>
      </c>
      <c r="L255" s="163" t="s">
        <v>3067</v>
      </c>
      <c r="M255" s="549">
        <v>1605</v>
      </c>
      <c r="N255" s="163" t="s">
        <v>4666</v>
      </c>
      <c r="O255" s="163" t="s">
        <v>2471</v>
      </c>
      <c r="P255" s="163" t="s">
        <v>3074</v>
      </c>
      <c r="Q255" s="163" t="s">
        <v>2192</v>
      </c>
      <c r="R255" s="163" t="s">
        <v>2367</v>
      </c>
      <c r="S255" s="163" t="s">
        <v>3075</v>
      </c>
      <c r="T255" s="163">
        <v>2320</v>
      </c>
      <c r="U255" s="163" t="s">
        <v>2223</v>
      </c>
      <c r="V255" s="163" t="s">
        <v>3076</v>
      </c>
      <c r="W255" s="163" t="s">
        <v>3077</v>
      </c>
      <c r="X255" s="163" t="s">
        <v>2194</v>
      </c>
      <c r="Y255" s="163" t="s">
        <v>2375</v>
      </c>
      <c r="Z255" s="163" t="s">
        <v>3078</v>
      </c>
      <c r="AA255" s="163" t="s">
        <v>2194</v>
      </c>
      <c r="AB255" s="163" t="s">
        <v>36</v>
      </c>
      <c r="AC255" s="163" t="s">
        <v>2195</v>
      </c>
      <c r="AD255" s="163" t="s">
        <v>2196</v>
      </c>
      <c r="AE255" s="163" t="s">
        <v>1762</v>
      </c>
      <c r="AF255" s="163">
        <v>4</v>
      </c>
      <c r="AG255" s="163">
        <v>0.5</v>
      </c>
      <c r="AH255" s="163">
        <v>1</v>
      </c>
      <c r="AI255" s="163" t="s">
        <v>4003</v>
      </c>
      <c r="AJ255" s="163" t="s">
        <v>3966</v>
      </c>
      <c r="AK255" s="163" t="s">
        <v>2197</v>
      </c>
      <c r="AL255" s="163" t="s">
        <v>36</v>
      </c>
      <c r="AM255" t="s">
        <v>4878</v>
      </c>
      <c r="AN255" s="487">
        <v>0</v>
      </c>
      <c r="AO255" s="487">
        <v>0</v>
      </c>
    </row>
    <row r="256" spans="1:41" x14ac:dyDescent="0.2">
      <c r="A256">
        <v>255</v>
      </c>
      <c r="B256" s="471" t="s">
        <v>1302</v>
      </c>
      <c r="C256" s="163" t="s">
        <v>5183</v>
      </c>
      <c r="D256" s="163" t="s">
        <v>5184</v>
      </c>
      <c r="E256" s="163" t="s">
        <v>3048</v>
      </c>
      <c r="F256" s="163" t="s">
        <v>2116</v>
      </c>
      <c r="G256" s="163" t="s">
        <v>36</v>
      </c>
      <c r="H256" s="163" t="s">
        <v>2200</v>
      </c>
      <c r="I256" s="163" t="s">
        <v>5725</v>
      </c>
      <c r="J256" s="163" t="s">
        <v>2812</v>
      </c>
      <c r="K256" s="163" t="s">
        <v>5183</v>
      </c>
      <c r="L256" s="163" t="s">
        <v>3067</v>
      </c>
      <c r="M256" s="549">
        <v>1605</v>
      </c>
      <c r="N256" s="163" t="s">
        <v>5185</v>
      </c>
      <c r="O256" s="163" t="s">
        <v>4651</v>
      </c>
      <c r="P256" s="163" t="s">
        <v>3080</v>
      </c>
      <c r="Q256" s="163" t="s">
        <v>2192</v>
      </c>
      <c r="R256" s="163" t="s">
        <v>2367</v>
      </c>
      <c r="S256" s="163" t="s">
        <v>3075</v>
      </c>
      <c r="T256" s="163">
        <v>2320</v>
      </c>
      <c r="U256" s="163" t="s">
        <v>2222</v>
      </c>
      <c r="V256" s="163" t="s">
        <v>3076</v>
      </c>
      <c r="W256" s="163" t="s">
        <v>3077</v>
      </c>
      <c r="X256" s="163" t="s">
        <v>2194</v>
      </c>
      <c r="Y256" s="163" t="s">
        <v>2375</v>
      </c>
      <c r="Z256" s="163" t="s">
        <v>3078</v>
      </c>
      <c r="AA256" s="163" t="s">
        <v>2194</v>
      </c>
      <c r="AB256" s="163" t="s">
        <v>36</v>
      </c>
      <c r="AC256" s="163" t="s">
        <v>2195</v>
      </c>
      <c r="AD256" s="163" t="s">
        <v>2196</v>
      </c>
      <c r="AE256" s="163" t="s">
        <v>1762</v>
      </c>
      <c r="AF256" s="163">
        <v>4</v>
      </c>
      <c r="AG256" s="163">
        <v>0.5</v>
      </c>
      <c r="AH256" s="163">
        <v>1</v>
      </c>
      <c r="AI256" s="163" t="s">
        <v>4003</v>
      </c>
      <c r="AJ256" s="163" t="s">
        <v>3966</v>
      </c>
      <c r="AK256" s="163" t="s">
        <v>2197</v>
      </c>
      <c r="AL256" s="163" t="s">
        <v>36</v>
      </c>
      <c r="AM256" t="s">
        <v>4878</v>
      </c>
      <c r="AN256" s="487"/>
      <c r="AO256" s="487"/>
    </row>
    <row r="257" spans="1:41" x14ac:dyDescent="0.2">
      <c r="A257">
        <v>256</v>
      </c>
      <c r="B257" s="471" t="s">
        <v>1302</v>
      </c>
      <c r="C257" s="163" t="s">
        <v>1316</v>
      </c>
      <c r="D257" s="163" t="s">
        <v>4209</v>
      </c>
      <c r="E257" s="163" t="s">
        <v>3048</v>
      </c>
      <c r="F257" s="163" t="s">
        <v>2116</v>
      </c>
      <c r="G257" s="163" t="s">
        <v>36</v>
      </c>
      <c r="H257" s="163" t="s">
        <v>2200</v>
      </c>
      <c r="I257" s="163" t="s">
        <v>5725</v>
      </c>
      <c r="J257" s="163" t="s">
        <v>2812</v>
      </c>
      <c r="K257" s="163" t="s">
        <v>3055</v>
      </c>
      <c r="L257" s="163" t="s">
        <v>2541</v>
      </c>
      <c r="M257" s="549">
        <v>156</v>
      </c>
      <c r="N257" s="163" t="s">
        <v>1316</v>
      </c>
      <c r="O257" s="163" t="s">
        <v>906</v>
      </c>
      <c r="P257" s="163" t="s">
        <v>3056</v>
      </c>
      <c r="Q257" s="163" t="s">
        <v>2273</v>
      </c>
      <c r="R257" s="163" t="s">
        <v>2257</v>
      </c>
      <c r="S257" s="163" t="s">
        <v>3051</v>
      </c>
      <c r="T257" s="163">
        <v>750</v>
      </c>
      <c r="U257" s="163" t="s">
        <v>1952</v>
      </c>
      <c r="V257" s="163" t="s">
        <v>3057</v>
      </c>
      <c r="W257" s="163" t="s">
        <v>3058</v>
      </c>
      <c r="X257" s="163" t="s">
        <v>2194</v>
      </c>
      <c r="Y257" s="163" t="s">
        <v>2539</v>
      </c>
      <c r="Z257" s="163" t="s">
        <v>3059</v>
      </c>
      <c r="AA257" s="163" t="s">
        <v>2333</v>
      </c>
      <c r="AB257" s="163" t="s">
        <v>3060</v>
      </c>
      <c r="AC257" s="163" t="s">
        <v>2195</v>
      </c>
      <c r="AD257" s="163" t="s">
        <v>2196</v>
      </c>
      <c r="AE257" s="163" t="s">
        <v>1762</v>
      </c>
      <c r="AF257" s="163" t="s">
        <v>3419</v>
      </c>
      <c r="AG257" s="163" t="s">
        <v>36</v>
      </c>
      <c r="AH257" s="163" t="s">
        <v>36</v>
      </c>
      <c r="AI257" s="163" t="s">
        <v>36</v>
      </c>
      <c r="AJ257" s="163" t="s">
        <v>36</v>
      </c>
      <c r="AK257" s="163" t="s">
        <v>2197</v>
      </c>
      <c r="AL257" s="163" t="s">
        <v>36</v>
      </c>
      <c r="AM257" t="s">
        <v>4876</v>
      </c>
      <c r="AN257" s="487">
        <v>0</v>
      </c>
      <c r="AO257" s="487">
        <v>0</v>
      </c>
    </row>
    <row r="258" spans="1:41" x14ac:dyDescent="0.2">
      <c r="A258">
        <v>257</v>
      </c>
      <c r="B258" s="471" t="s">
        <v>1302</v>
      </c>
      <c r="C258" s="163" t="s">
        <v>1318</v>
      </c>
      <c r="D258" s="163" t="s">
        <v>4210</v>
      </c>
      <c r="E258" s="163" t="s">
        <v>3048</v>
      </c>
      <c r="F258" s="163" t="s">
        <v>2116</v>
      </c>
      <c r="G258" s="163" t="s">
        <v>36</v>
      </c>
      <c r="H258" s="163" t="s">
        <v>2200</v>
      </c>
      <c r="I258" s="163" t="s">
        <v>5725</v>
      </c>
      <c r="J258" s="163" t="s">
        <v>2812</v>
      </c>
      <c r="K258" s="163" t="s">
        <v>3049</v>
      </c>
      <c r="L258" s="163" t="s">
        <v>2541</v>
      </c>
      <c r="M258" s="549">
        <v>208</v>
      </c>
      <c r="N258" s="163" t="s">
        <v>1318</v>
      </c>
      <c r="O258" s="163" t="s">
        <v>906</v>
      </c>
      <c r="P258" s="163" t="s">
        <v>3050</v>
      </c>
      <c r="Q258" s="163" t="s">
        <v>2273</v>
      </c>
      <c r="R258" s="163" t="s">
        <v>2257</v>
      </c>
      <c r="S258" s="163" t="s">
        <v>3051</v>
      </c>
      <c r="T258" s="163">
        <v>750</v>
      </c>
      <c r="U258" s="163" t="s">
        <v>1952</v>
      </c>
      <c r="V258" s="163" t="s">
        <v>3052</v>
      </c>
      <c r="W258" s="163">
        <v>16416124</v>
      </c>
      <c r="X258" s="163" t="s">
        <v>2194</v>
      </c>
      <c r="Y258" s="163" t="s">
        <v>3053</v>
      </c>
      <c r="Z258" s="163" t="s">
        <v>3054</v>
      </c>
      <c r="AA258" s="163" t="s">
        <v>2194</v>
      </c>
      <c r="AB258" s="163" t="s">
        <v>36</v>
      </c>
      <c r="AC258" s="163" t="s">
        <v>2195</v>
      </c>
      <c r="AD258" s="163" t="s">
        <v>2196</v>
      </c>
      <c r="AE258" s="163" t="s">
        <v>1762</v>
      </c>
      <c r="AF258" s="163" t="s">
        <v>3419</v>
      </c>
      <c r="AG258" s="163" t="s">
        <v>36</v>
      </c>
      <c r="AH258" s="163" t="s">
        <v>36</v>
      </c>
      <c r="AI258" s="163" t="s">
        <v>36</v>
      </c>
      <c r="AJ258" s="163" t="s">
        <v>36</v>
      </c>
      <c r="AK258" s="163" t="s">
        <v>2197</v>
      </c>
      <c r="AL258" s="163" t="s">
        <v>36</v>
      </c>
      <c r="AM258" t="s">
        <v>4876</v>
      </c>
      <c r="AN258" s="487">
        <v>0</v>
      </c>
      <c r="AO258" s="487">
        <v>0</v>
      </c>
    </row>
    <row r="259" spans="1:41" x14ac:dyDescent="0.2">
      <c r="A259">
        <v>258</v>
      </c>
      <c r="B259" s="471" t="s">
        <v>1302</v>
      </c>
      <c r="C259" s="163" t="s">
        <v>5063</v>
      </c>
      <c r="D259" s="163" t="s">
        <v>5064</v>
      </c>
      <c r="E259" s="163" t="s">
        <v>3048</v>
      </c>
      <c r="F259" s="163" t="s">
        <v>2116</v>
      </c>
      <c r="G259" s="163" t="s">
        <v>36</v>
      </c>
      <c r="H259" s="163" t="s">
        <v>2200</v>
      </c>
      <c r="I259" s="163" t="s">
        <v>5725</v>
      </c>
      <c r="J259" s="163" t="s">
        <v>2812</v>
      </c>
      <c r="K259" s="163" t="s">
        <v>5063</v>
      </c>
      <c r="L259" s="163" t="s">
        <v>2327</v>
      </c>
      <c r="M259" s="549" t="s">
        <v>5065</v>
      </c>
      <c r="N259" s="163" t="s">
        <v>5066</v>
      </c>
      <c r="O259" s="163" t="s">
        <v>906</v>
      </c>
      <c r="P259" s="163" t="s">
        <v>3050</v>
      </c>
      <c r="Q259" s="163" t="s">
        <v>2273</v>
      </c>
      <c r="R259" s="163" t="s">
        <v>2193</v>
      </c>
      <c r="S259" s="163" t="s">
        <v>2610</v>
      </c>
      <c r="T259" s="163">
        <v>1473.8</v>
      </c>
      <c r="U259" s="163" t="s">
        <v>1952</v>
      </c>
      <c r="V259" s="163" t="s">
        <v>5067</v>
      </c>
      <c r="W259" s="163" t="s">
        <v>5068</v>
      </c>
      <c r="X259" s="163" t="s">
        <v>2194</v>
      </c>
      <c r="Y259" s="163" t="s">
        <v>111</v>
      </c>
      <c r="Z259" s="163" t="s">
        <v>111</v>
      </c>
      <c r="AA259" s="163" t="s">
        <v>111</v>
      </c>
      <c r="AB259" s="163" t="s">
        <v>36</v>
      </c>
      <c r="AC259" s="163" t="s">
        <v>2195</v>
      </c>
      <c r="AD259" s="163" t="s">
        <v>4695</v>
      </c>
      <c r="AE259" s="163" t="s">
        <v>1762</v>
      </c>
      <c r="AF259" s="163" t="s">
        <v>3419</v>
      </c>
      <c r="AG259" s="163" t="s">
        <v>36</v>
      </c>
      <c r="AH259" s="163" t="s">
        <v>36</v>
      </c>
      <c r="AI259" s="163" t="s">
        <v>36</v>
      </c>
      <c r="AJ259" s="163" t="s">
        <v>36</v>
      </c>
      <c r="AK259" s="163" t="s">
        <v>2197</v>
      </c>
      <c r="AL259" s="163" t="s">
        <v>36</v>
      </c>
      <c r="AM259" t="s">
        <v>4876</v>
      </c>
      <c r="AN259" s="487"/>
      <c r="AO259" s="487"/>
    </row>
    <row r="260" spans="1:41" x14ac:dyDescent="0.2">
      <c r="A260">
        <v>259</v>
      </c>
      <c r="B260" s="471" t="s">
        <v>1302</v>
      </c>
      <c r="C260" s="163" t="s">
        <v>4689</v>
      </c>
      <c r="D260" s="163" t="s">
        <v>4690</v>
      </c>
      <c r="E260" s="163" t="s">
        <v>3048</v>
      </c>
      <c r="F260" s="163" t="s">
        <v>2116</v>
      </c>
      <c r="G260" s="163" t="s">
        <v>36</v>
      </c>
      <c r="H260" s="163" t="s">
        <v>2200</v>
      </c>
      <c r="I260" s="163" t="s">
        <v>5725</v>
      </c>
      <c r="J260" s="163" t="s">
        <v>2812</v>
      </c>
      <c r="K260" s="163" t="s">
        <v>4689</v>
      </c>
      <c r="L260" s="163" t="s">
        <v>2327</v>
      </c>
      <c r="M260" s="549" t="s">
        <v>4691</v>
      </c>
      <c r="N260" s="163">
        <v>326</v>
      </c>
      <c r="O260" s="163" t="s">
        <v>906</v>
      </c>
      <c r="P260" s="163" t="s">
        <v>3050</v>
      </c>
      <c r="Q260" s="163" t="s">
        <v>2273</v>
      </c>
      <c r="R260" s="163" t="s">
        <v>2193</v>
      </c>
      <c r="S260" s="163" t="s">
        <v>4692</v>
      </c>
      <c r="T260" s="163">
        <v>1474</v>
      </c>
      <c r="U260" s="163" t="s">
        <v>1952</v>
      </c>
      <c r="V260" s="163" t="s">
        <v>4693</v>
      </c>
      <c r="W260" s="163" t="s">
        <v>4694</v>
      </c>
      <c r="X260" s="163" t="s">
        <v>2194</v>
      </c>
      <c r="Y260" s="163" t="s">
        <v>111</v>
      </c>
      <c r="Z260" s="163" t="s">
        <v>111</v>
      </c>
      <c r="AA260" s="163" t="s">
        <v>111</v>
      </c>
      <c r="AB260" s="163" t="s">
        <v>36</v>
      </c>
      <c r="AC260" s="163" t="s">
        <v>2195</v>
      </c>
      <c r="AD260" s="163" t="s">
        <v>4695</v>
      </c>
      <c r="AE260" s="163" t="s">
        <v>1762</v>
      </c>
      <c r="AF260" s="163" t="s">
        <v>3419</v>
      </c>
      <c r="AG260" s="163" t="s">
        <v>36</v>
      </c>
      <c r="AH260" s="163" t="s">
        <v>36</v>
      </c>
      <c r="AI260" s="163" t="s">
        <v>36</v>
      </c>
      <c r="AJ260" s="163" t="s">
        <v>36</v>
      </c>
      <c r="AK260" s="163" t="s">
        <v>2197</v>
      </c>
      <c r="AL260" s="163" t="s">
        <v>36</v>
      </c>
      <c r="AM260" t="s">
        <v>4876</v>
      </c>
      <c r="AN260" s="487">
        <v>0</v>
      </c>
      <c r="AO260" s="487">
        <v>0</v>
      </c>
    </row>
    <row r="261" spans="1:41" x14ac:dyDescent="0.2">
      <c r="A261">
        <v>260</v>
      </c>
      <c r="B261" s="471" t="s">
        <v>4485</v>
      </c>
      <c r="C261" s="163" t="s">
        <v>4486</v>
      </c>
      <c r="D261" s="163" t="s">
        <v>4487</v>
      </c>
      <c r="E261" s="163" t="s">
        <v>4488</v>
      </c>
      <c r="F261" s="163" t="s">
        <v>4489</v>
      </c>
      <c r="G261" s="163" t="s">
        <v>36</v>
      </c>
      <c r="H261" s="163" t="s">
        <v>2200</v>
      </c>
      <c r="I261" s="163" t="s">
        <v>5725</v>
      </c>
      <c r="J261" s="163" t="s">
        <v>1768</v>
      </c>
      <c r="K261" s="163" t="s">
        <v>4490</v>
      </c>
      <c r="L261" s="163" t="s">
        <v>2315</v>
      </c>
      <c r="M261" s="549" t="s">
        <v>4486</v>
      </c>
      <c r="N261" s="163" t="s">
        <v>4486</v>
      </c>
      <c r="O261" s="163" t="s">
        <v>4491</v>
      </c>
      <c r="P261" s="163" t="s">
        <v>2531</v>
      </c>
      <c r="Q261" s="163" t="s">
        <v>4492</v>
      </c>
      <c r="R261" s="163" t="s">
        <v>4493</v>
      </c>
      <c r="S261" s="163" t="s">
        <v>4494</v>
      </c>
      <c r="T261" s="163">
        <v>52</v>
      </c>
      <c r="U261" s="163" t="s">
        <v>1952</v>
      </c>
      <c r="V261" s="163" t="s">
        <v>4600</v>
      </c>
      <c r="W261" s="163" t="s">
        <v>5005</v>
      </c>
      <c r="X261" s="163" t="s">
        <v>2194</v>
      </c>
      <c r="Y261" s="163" t="s">
        <v>111</v>
      </c>
      <c r="Z261" s="163" t="s">
        <v>111</v>
      </c>
      <c r="AA261" s="163" t="s">
        <v>111</v>
      </c>
      <c r="AB261" s="163" t="s">
        <v>36</v>
      </c>
      <c r="AC261" s="163" t="s">
        <v>2195</v>
      </c>
      <c r="AD261" s="163" t="s">
        <v>4446</v>
      </c>
      <c r="AE261" s="163" t="s">
        <v>1762</v>
      </c>
      <c r="AF261" s="163" t="s">
        <v>3419</v>
      </c>
      <c r="AG261" s="163"/>
      <c r="AH261" s="163"/>
      <c r="AI261" s="163" t="s">
        <v>36</v>
      </c>
      <c r="AJ261" s="163" t="s">
        <v>36</v>
      </c>
      <c r="AK261" s="163" t="s">
        <v>2197</v>
      </c>
      <c r="AL261" s="163" t="s">
        <v>36</v>
      </c>
      <c r="AM261" t="s">
        <v>4879</v>
      </c>
      <c r="AN261" s="487">
        <v>0</v>
      </c>
      <c r="AO261" s="487">
        <v>0</v>
      </c>
    </row>
    <row r="262" spans="1:41" x14ac:dyDescent="0.2">
      <c r="A262">
        <v>261</v>
      </c>
      <c r="B262" s="471" t="s">
        <v>3085</v>
      </c>
      <c r="C262" s="163" t="s">
        <v>1835</v>
      </c>
      <c r="D262" s="163" t="s">
        <v>5097</v>
      </c>
      <c r="E262" s="163" t="s">
        <v>2117</v>
      </c>
      <c r="F262" s="163" t="s">
        <v>2060</v>
      </c>
      <c r="G262" s="163" t="s">
        <v>36</v>
      </c>
      <c r="H262" s="163" t="s">
        <v>2200</v>
      </c>
      <c r="I262" s="163" t="s">
        <v>5725</v>
      </c>
      <c r="J262" s="163" t="s">
        <v>2468</v>
      </c>
      <c r="K262" s="163" t="s">
        <v>2981</v>
      </c>
      <c r="L262" s="163" t="s">
        <v>5098</v>
      </c>
      <c r="M262" s="549" t="s">
        <v>5099</v>
      </c>
      <c r="N262" s="163" t="s">
        <v>1835</v>
      </c>
      <c r="O262" s="163" t="s">
        <v>5756</v>
      </c>
      <c r="P262" s="163" t="s">
        <v>3115</v>
      </c>
      <c r="Q262" s="163" t="s">
        <v>4936</v>
      </c>
      <c r="R262" s="163" t="s">
        <v>2193</v>
      </c>
      <c r="S262" s="163" t="s">
        <v>5100</v>
      </c>
      <c r="T262" s="163">
        <v>438.1</v>
      </c>
      <c r="U262" s="163" t="s">
        <v>2220</v>
      </c>
      <c r="V262" s="163" t="s">
        <v>5101</v>
      </c>
      <c r="W262" s="163" t="s">
        <v>5102</v>
      </c>
      <c r="X262" s="163" t="s">
        <v>4937</v>
      </c>
      <c r="Y262" s="163" t="s">
        <v>4537</v>
      </c>
      <c r="Z262" s="163" t="s">
        <v>5103</v>
      </c>
      <c r="AA262" s="163" t="s">
        <v>4937</v>
      </c>
      <c r="AB262" s="163" t="s">
        <v>5104</v>
      </c>
      <c r="AC262" s="163" t="s">
        <v>2195</v>
      </c>
      <c r="AD262" s="163" t="s">
        <v>2196</v>
      </c>
      <c r="AE262" s="163" t="s">
        <v>1762</v>
      </c>
      <c r="AF262" s="163" t="s">
        <v>4844</v>
      </c>
      <c r="AG262" s="163" t="s">
        <v>36</v>
      </c>
      <c r="AH262" s="163" t="s">
        <v>36</v>
      </c>
      <c r="AI262" s="163" t="s">
        <v>36</v>
      </c>
      <c r="AJ262" s="163" t="s">
        <v>36</v>
      </c>
      <c r="AK262" s="163" t="s">
        <v>2197</v>
      </c>
      <c r="AL262" s="163" t="s">
        <v>3797</v>
      </c>
      <c r="AM262" t="s">
        <v>4876</v>
      </c>
      <c r="AN262" s="487"/>
      <c r="AO262" s="487"/>
    </row>
    <row r="263" spans="1:41" x14ac:dyDescent="0.2">
      <c r="A263">
        <v>262</v>
      </c>
      <c r="B263" s="471" t="s">
        <v>3085</v>
      </c>
      <c r="C263" s="163" t="s">
        <v>5105</v>
      </c>
      <c r="D263" s="163" t="s">
        <v>5106</v>
      </c>
      <c r="E263" s="163" t="s">
        <v>2117</v>
      </c>
      <c r="F263" s="163" t="s">
        <v>2060</v>
      </c>
      <c r="G263" s="163" t="s">
        <v>36</v>
      </c>
      <c r="H263" s="163" t="s">
        <v>2200</v>
      </c>
      <c r="I263" s="163" t="s">
        <v>3156</v>
      </c>
      <c r="J263" s="163" t="s">
        <v>2468</v>
      </c>
      <c r="K263" s="163" t="s">
        <v>2981</v>
      </c>
      <c r="L263" s="163" t="s">
        <v>5098</v>
      </c>
      <c r="M263" s="549" t="s">
        <v>5099</v>
      </c>
      <c r="N263" s="163" t="s">
        <v>1835</v>
      </c>
      <c r="O263" s="163" t="s">
        <v>3123</v>
      </c>
      <c r="P263" s="163" t="s">
        <v>3115</v>
      </c>
      <c r="Q263" s="163" t="s">
        <v>4936</v>
      </c>
      <c r="R263" s="163" t="s">
        <v>2193</v>
      </c>
      <c r="S263" s="163" t="s">
        <v>5100</v>
      </c>
      <c r="T263" s="163">
        <v>438.1</v>
      </c>
      <c r="U263" s="163" t="s">
        <v>1952</v>
      </c>
      <c r="V263" s="163" t="s">
        <v>5101</v>
      </c>
      <c r="W263" s="163" t="s">
        <v>5102</v>
      </c>
      <c r="X263" s="163" t="s">
        <v>4937</v>
      </c>
      <c r="Y263" s="163" t="s">
        <v>4537</v>
      </c>
      <c r="Z263" s="163" t="s">
        <v>5103</v>
      </c>
      <c r="AA263" s="163" t="s">
        <v>4937</v>
      </c>
      <c r="AB263" s="163" t="s">
        <v>5104</v>
      </c>
      <c r="AC263" s="163" t="s">
        <v>2195</v>
      </c>
      <c r="AD263" s="163" t="s">
        <v>2196</v>
      </c>
      <c r="AE263" s="163" t="s">
        <v>1762</v>
      </c>
      <c r="AF263" s="163" t="s">
        <v>4844</v>
      </c>
      <c r="AG263" s="163" t="s">
        <v>36</v>
      </c>
      <c r="AH263" s="163" t="s">
        <v>36</v>
      </c>
      <c r="AI263" s="163" t="s">
        <v>36</v>
      </c>
      <c r="AJ263" s="163" t="s">
        <v>36</v>
      </c>
      <c r="AK263" s="163" t="s">
        <v>2197</v>
      </c>
      <c r="AL263" s="163" t="s">
        <v>3797</v>
      </c>
      <c r="AM263" t="s">
        <v>4876</v>
      </c>
      <c r="AN263" s="487"/>
      <c r="AO263" s="487"/>
    </row>
    <row r="264" spans="1:41" x14ac:dyDescent="0.2">
      <c r="A264">
        <v>263</v>
      </c>
      <c r="B264" s="471" t="s">
        <v>3085</v>
      </c>
      <c r="C264" s="163" t="s">
        <v>1912</v>
      </c>
      <c r="D264" s="163" t="s">
        <v>4211</v>
      </c>
      <c r="E264" s="163" t="s">
        <v>2117</v>
      </c>
      <c r="F264" s="163" t="s">
        <v>2060</v>
      </c>
      <c r="G264" s="163" t="s">
        <v>36</v>
      </c>
      <c r="H264" s="163" t="s">
        <v>2200</v>
      </c>
      <c r="I264" s="163" t="s">
        <v>5734</v>
      </c>
      <c r="J264" s="163" t="s">
        <v>2468</v>
      </c>
      <c r="K264" s="163" t="s">
        <v>1912</v>
      </c>
      <c r="L264" s="163" t="s">
        <v>3124</v>
      </c>
      <c r="M264" s="549" t="s">
        <v>3125</v>
      </c>
      <c r="N264" s="163" t="s">
        <v>1912</v>
      </c>
      <c r="O264" s="163" t="s">
        <v>3123</v>
      </c>
      <c r="P264" s="163" t="s">
        <v>2978</v>
      </c>
      <c r="Q264" s="163" t="s">
        <v>2276</v>
      </c>
      <c r="R264" s="163" t="s">
        <v>2193</v>
      </c>
      <c r="S264" s="163" t="s">
        <v>3126</v>
      </c>
      <c r="T264" s="163">
        <v>235.6</v>
      </c>
      <c r="U264" s="163" t="s">
        <v>1952</v>
      </c>
      <c r="V264" s="163" t="s">
        <v>2278</v>
      </c>
      <c r="W264" s="163" t="s">
        <v>3121</v>
      </c>
      <c r="X264" s="163" t="s">
        <v>2194</v>
      </c>
      <c r="Y264" s="163" t="s">
        <v>2391</v>
      </c>
      <c r="Z264" s="163" t="s">
        <v>3127</v>
      </c>
      <c r="AA264" s="163" t="s">
        <v>2194</v>
      </c>
      <c r="AB264" s="163" t="s">
        <v>36</v>
      </c>
      <c r="AC264" s="163" t="s">
        <v>2195</v>
      </c>
      <c r="AD264" s="163" t="s">
        <v>2196</v>
      </c>
      <c r="AE264" s="163" t="s">
        <v>1762</v>
      </c>
      <c r="AF264" s="163">
        <v>12</v>
      </c>
      <c r="AG264" s="163" t="s">
        <v>3936</v>
      </c>
      <c r="AH264" s="163" t="s">
        <v>3936</v>
      </c>
      <c r="AI264" s="163" t="s">
        <v>36</v>
      </c>
      <c r="AJ264" s="163" t="s">
        <v>36</v>
      </c>
      <c r="AK264" s="163" t="s">
        <v>2197</v>
      </c>
      <c r="AL264" s="163" t="s">
        <v>3797</v>
      </c>
      <c r="AM264" t="s">
        <v>4894</v>
      </c>
      <c r="AN264" s="487">
        <v>0</v>
      </c>
      <c r="AO264" s="487">
        <v>0</v>
      </c>
    </row>
    <row r="265" spans="1:41" x14ac:dyDescent="0.2">
      <c r="A265">
        <v>264</v>
      </c>
      <c r="B265" s="471" t="s">
        <v>3085</v>
      </c>
      <c r="C265" s="163" t="s">
        <v>880</v>
      </c>
      <c r="D265" s="163" t="s">
        <v>4212</v>
      </c>
      <c r="E265" s="163" t="s">
        <v>2117</v>
      </c>
      <c r="F265" s="163" t="s">
        <v>2060</v>
      </c>
      <c r="G265" s="163" t="s">
        <v>36</v>
      </c>
      <c r="H265" s="163" t="s">
        <v>2200</v>
      </c>
      <c r="I265" s="163" t="s">
        <v>5725</v>
      </c>
      <c r="J265" s="163" t="s">
        <v>2468</v>
      </c>
      <c r="K265" s="163" t="s">
        <v>3112</v>
      </c>
      <c r="L265" s="163" t="s">
        <v>3141</v>
      </c>
      <c r="M265" s="549" t="s">
        <v>3125</v>
      </c>
      <c r="N265" s="163" t="s">
        <v>880</v>
      </c>
      <c r="O265" s="163" t="s">
        <v>5756</v>
      </c>
      <c r="P265" s="163" t="s">
        <v>3142</v>
      </c>
      <c r="Q265" s="163" t="s">
        <v>4970</v>
      </c>
      <c r="R265" s="163" t="s">
        <v>2193</v>
      </c>
      <c r="S265" s="163" t="s">
        <v>5189</v>
      </c>
      <c r="T265" s="163">
        <v>118</v>
      </c>
      <c r="U265" s="163" t="s">
        <v>2222</v>
      </c>
      <c r="V265" s="163" t="s">
        <v>2278</v>
      </c>
      <c r="W265" s="163" t="s">
        <v>3121</v>
      </c>
      <c r="X265" s="163" t="s">
        <v>4937</v>
      </c>
      <c r="Y265" s="163" t="s">
        <v>2391</v>
      </c>
      <c r="Z265" s="163" t="s">
        <v>3127</v>
      </c>
      <c r="AA265" s="163" t="s">
        <v>4937</v>
      </c>
      <c r="AB265" s="163" t="s">
        <v>3143</v>
      </c>
      <c r="AC265" s="163" t="s">
        <v>2195</v>
      </c>
      <c r="AD265" s="163" t="s">
        <v>2196</v>
      </c>
      <c r="AE265" s="163" t="s">
        <v>1762</v>
      </c>
      <c r="AF265" s="163">
        <v>12</v>
      </c>
      <c r="AG265" s="163" t="s">
        <v>3936</v>
      </c>
      <c r="AH265" s="163" t="s">
        <v>3936</v>
      </c>
      <c r="AI265" s="163" t="s">
        <v>36</v>
      </c>
      <c r="AJ265" s="163" t="s">
        <v>36</v>
      </c>
      <c r="AK265" s="163" t="s">
        <v>2197</v>
      </c>
      <c r="AL265" s="163" t="s">
        <v>3797</v>
      </c>
      <c r="AM265" t="s">
        <v>4876</v>
      </c>
      <c r="AN265" s="487">
        <v>0</v>
      </c>
      <c r="AO265" s="487">
        <v>0</v>
      </c>
    </row>
    <row r="266" spans="1:41" x14ac:dyDescent="0.2">
      <c r="A266">
        <v>265</v>
      </c>
      <c r="B266" s="471" t="s">
        <v>3085</v>
      </c>
      <c r="C266" s="163" t="s">
        <v>1924</v>
      </c>
      <c r="D266" s="163" t="s">
        <v>4213</v>
      </c>
      <c r="E266" s="163" t="s">
        <v>2117</v>
      </c>
      <c r="F266" s="163" t="s">
        <v>2060</v>
      </c>
      <c r="G266" s="163" t="s">
        <v>36</v>
      </c>
      <c r="H266" s="163" t="s">
        <v>2200</v>
      </c>
      <c r="I266" s="163" t="s">
        <v>5734</v>
      </c>
      <c r="J266" s="163" t="s">
        <v>2468</v>
      </c>
      <c r="K266" s="163" t="s">
        <v>3112</v>
      </c>
      <c r="L266" s="163" t="s">
        <v>3113</v>
      </c>
      <c r="M266" s="549" t="s">
        <v>3114</v>
      </c>
      <c r="N266" s="163" t="s">
        <v>3120</v>
      </c>
      <c r="O266" s="163" t="s">
        <v>3123</v>
      </c>
      <c r="P266" s="163" t="s">
        <v>2978</v>
      </c>
      <c r="Q266" s="163" t="s">
        <v>2276</v>
      </c>
      <c r="R266" s="163" t="s">
        <v>2367</v>
      </c>
      <c r="S266" s="163" t="s">
        <v>3116</v>
      </c>
      <c r="T266" s="163">
        <v>500</v>
      </c>
      <c r="U266" s="163" t="s">
        <v>1952</v>
      </c>
      <c r="V266" s="163" t="s">
        <v>2278</v>
      </c>
      <c r="W266" s="163" t="s">
        <v>3117</v>
      </c>
      <c r="X266" s="163" t="s">
        <v>2194</v>
      </c>
      <c r="Y266" s="163" t="s">
        <v>2391</v>
      </c>
      <c r="Z266" s="163" t="s">
        <v>3118</v>
      </c>
      <c r="AA266" s="163" t="s">
        <v>2194</v>
      </c>
      <c r="AB266" s="163" t="s">
        <v>3122</v>
      </c>
      <c r="AC266" s="163" t="s">
        <v>2195</v>
      </c>
      <c r="AD266" s="163" t="s">
        <v>2196</v>
      </c>
      <c r="AE266" s="163" t="s">
        <v>1762</v>
      </c>
      <c r="AF266" s="163">
        <v>5</v>
      </c>
      <c r="AG266" s="163" t="s">
        <v>3936</v>
      </c>
      <c r="AH266" s="163">
        <v>35</v>
      </c>
      <c r="AI266" s="163" t="s">
        <v>36</v>
      </c>
      <c r="AJ266" s="163" t="s">
        <v>36</v>
      </c>
      <c r="AK266" s="163" t="s">
        <v>2197</v>
      </c>
      <c r="AL266" s="163" t="s">
        <v>3797</v>
      </c>
      <c r="AM266" t="s">
        <v>4894</v>
      </c>
      <c r="AN266" s="487">
        <v>0</v>
      </c>
      <c r="AO266" s="487">
        <v>0</v>
      </c>
    </row>
    <row r="267" spans="1:41" x14ac:dyDescent="0.2">
      <c r="A267">
        <v>266</v>
      </c>
      <c r="B267" s="471" t="s">
        <v>3085</v>
      </c>
      <c r="C267" s="163" t="s">
        <v>1001</v>
      </c>
      <c r="D267" s="163" t="s">
        <v>4214</v>
      </c>
      <c r="E267" s="163" t="s">
        <v>2117</v>
      </c>
      <c r="F267" s="163" t="s">
        <v>2060</v>
      </c>
      <c r="G267" s="163" t="s">
        <v>36</v>
      </c>
      <c r="H267" s="163" t="s">
        <v>2200</v>
      </c>
      <c r="I267" s="163" t="s">
        <v>5725</v>
      </c>
      <c r="J267" s="163" t="s">
        <v>2812</v>
      </c>
      <c r="K267" s="163" t="s">
        <v>3112</v>
      </c>
      <c r="L267" s="163" t="s">
        <v>3113</v>
      </c>
      <c r="M267" s="549" t="s">
        <v>3114</v>
      </c>
      <c r="N267" s="163" t="s">
        <v>1001</v>
      </c>
      <c r="O267" s="163" t="s">
        <v>5756</v>
      </c>
      <c r="P267" s="163" t="s">
        <v>3115</v>
      </c>
      <c r="Q267" s="163" t="s">
        <v>4970</v>
      </c>
      <c r="R267" s="163" t="s">
        <v>2367</v>
      </c>
      <c r="S267" s="163" t="s">
        <v>3116</v>
      </c>
      <c r="T267" s="163">
        <v>500</v>
      </c>
      <c r="U267" s="163" t="s">
        <v>2222</v>
      </c>
      <c r="V267" s="163" t="s">
        <v>2278</v>
      </c>
      <c r="W267" s="163" t="s">
        <v>3117</v>
      </c>
      <c r="X267" s="163" t="s">
        <v>4937</v>
      </c>
      <c r="Y267" s="163" t="s">
        <v>2391</v>
      </c>
      <c r="Z267" s="163" t="s">
        <v>3118</v>
      </c>
      <c r="AA267" s="163" t="s">
        <v>4937</v>
      </c>
      <c r="AB267" s="163" t="s">
        <v>3119</v>
      </c>
      <c r="AC267" s="163" t="s">
        <v>2195</v>
      </c>
      <c r="AD267" s="163" t="s">
        <v>2196</v>
      </c>
      <c r="AE267" s="163" t="s">
        <v>1762</v>
      </c>
      <c r="AF267" s="163">
        <v>5</v>
      </c>
      <c r="AG267" s="163" t="s">
        <v>3936</v>
      </c>
      <c r="AH267" s="163">
        <v>35</v>
      </c>
      <c r="AI267" s="163" t="s">
        <v>36</v>
      </c>
      <c r="AJ267" s="163" t="s">
        <v>36</v>
      </c>
      <c r="AK267" s="163" t="s">
        <v>2197</v>
      </c>
      <c r="AL267" s="163" t="s">
        <v>3797</v>
      </c>
      <c r="AM267" t="s">
        <v>4876</v>
      </c>
      <c r="AN267" s="487">
        <v>0</v>
      </c>
      <c r="AO267" s="487">
        <v>0</v>
      </c>
    </row>
    <row r="268" spans="1:41" x14ac:dyDescent="0.2">
      <c r="A268">
        <v>267</v>
      </c>
      <c r="B268" s="471" t="s">
        <v>3085</v>
      </c>
      <c r="C268" s="163" t="s">
        <v>878</v>
      </c>
      <c r="D268" s="163" t="s">
        <v>4971</v>
      </c>
      <c r="E268" s="163" t="s">
        <v>2117</v>
      </c>
      <c r="F268" s="163" t="s">
        <v>2060</v>
      </c>
      <c r="G268" s="163" t="s">
        <v>36</v>
      </c>
      <c r="H268" s="163" t="s">
        <v>2200</v>
      </c>
      <c r="I268" s="163" t="s">
        <v>5725</v>
      </c>
      <c r="J268" s="163" t="s">
        <v>2468</v>
      </c>
      <c r="K268" s="163" t="s">
        <v>2376</v>
      </c>
      <c r="L268" s="163" t="s">
        <v>4972</v>
      </c>
      <c r="M268" s="549" t="s">
        <v>4973</v>
      </c>
      <c r="N268" s="163" t="s">
        <v>878</v>
      </c>
      <c r="O268" s="163" t="s">
        <v>5756</v>
      </c>
      <c r="P268" s="163" t="s">
        <v>4974</v>
      </c>
      <c r="Q268" s="163" t="s">
        <v>4936</v>
      </c>
      <c r="R268" s="163" t="s">
        <v>2257</v>
      </c>
      <c r="S268" s="163" t="s">
        <v>5190</v>
      </c>
      <c r="T268" s="163">
        <v>683.5</v>
      </c>
      <c r="U268" s="163" t="s">
        <v>2222</v>
      </c>
      <c r="V268" s="163" t="s">
        <v>4535</v>
      </c>
      <c r="W268" s="163">
        <v>13730</v>
      </c>
      <c r="X268" s="163" t="s">
        <v>4937</v>
      </c>
      <c r="Y268" s="163" t="s">
        <v>4537</v>
      </c>
      <c r="Z268" s="163" t="s">
        <v>3434</v>
      </c>
      <c r="AA268" s="163" t="s">
        <v>4937</v>
      </c>
      <c r="AB268" s="163" t="s">
        <v>36</v>
      </c>
      <c r="AC268" s="163" t="s">
        <v>2195</v>
      </c>
      <c r="AD268" s="163" t="s">
        <v>2196</v>
      </c>
      <c r="AE268" s="163" t="s">
        <v>1762</v>
      </c>
      <c r="AF268" s="163" t="s">
        <v>4976</v>
      </c>
      <c r="AG268" s="163" t="s">
        <v>4976</v>
      </c>
      <c r="AH268" s="163" t="s">
        <v>4976</v>
      </c>
      <c r="AI268" s="163" t="s">
        <v>36</v>
      </c>
      <c r="AJ268" s="163" t="s">
        <v>36</v>
      </c>
      <c r="AK268" s="163" t="s">
        <v>2197</v>
      </c>
      <c r="AL268" s="163" t="s">
        <v>3797</v>
      </c>
      <c r="AM268" t="s">
        <v>4876</v>
      </c>
      <c r="AN268" s="487">
        <v>0</v>
      </c>
      <c r="AO268" s="487">
        <v>0</v>
      </c>
    </row>
    <row r="269" spans="1:41" x14ac:dyDescent="0.2">
      <c r="A269">
        <v>268</v>
      </c>
      <c r="B269" s="471" t="s">
        <v>3085</v>
      </c>
      <c r="C269" s="163" t="s">
        <v>4977</v>
      </c>
      <c r="D269" s="163" t="s">
        <v>4978</v>
      </c>
      <c r="E269" s="163" t="s">
        <v>2117</v>
      </c>
      <c r="F269" s="163" t="s">
        <v>2060</v>
      </c>
      <c r="G269" s="163" t="s">
        <v>36</v>
      </c>
      <c r="H269" s="163" t="s">
        <v>2200</v>
      </c>
      <c r="I269" s="163" t="s">
        <v>3156</v>
      </c>
      <c r="J269" s="163" t="s">
        <v>2468</v>
      </c>
      <c r="K269" s="163" t="s">
        <v>2376</v>
      </c>
      <c r="L269" s="163" t="s">
        <v>4972</v>
      </c>
      <c r="M269" s="549" t="s">
        <v>4973</v>
      </c>
      <c r="N269" s="163" t="s">
        <v>878</v>
      </c>
      <c r="O269" s="163" t="s">
        <v>5756</v>
      </c>
      <c r="P269" s="163" t="s">
        <v>4974</v>
      </c>
      <c r="Q269" s="163" t="s">
        <v>2276</v>
      </c>
      <c r="R269" s="163" t="s">
        <v>2257</v>
      </c>
      <c r="S269" s="163" t="s">
        <v>4975</v>
      </c>
      <c r="T269" s="163">
        <v>686.55</v>
      </c>
      <c r="U269" s="163" t="s">
        <v>1952</v>
      </c>
      <c r="V269" s="163" t="s">
        <v>4535</v>
      </c>
      <c r="W269" s="163">
        <v>13730</v>
      </c>
      <c r="X269" s="163" t="s">
        <v>2194</v>
      </c>
      <c r="Y269" s="163" t="s">
        <v>4537</v>
      </c>
      <c r="Z269" s="163" t="s">
        <v>3434</v>
      </c>
      <c r="AA269" s="163" t="s">
        <v>2194</v>
      </c>
      <c r="AB269" s="163" t="s">
        <v>36</v>
      </c>
      <c r="AC269" s="163" t="s">
        <v>2195</v>
      </c>
      <c r="AD269" s="163" t="s">
        <v>2196</v>
      </c>
      <c r="AE269" s="163" t="s">
        <v>1762</v>
      </c>
      <c r="AF269" s="163" t="s">
        <v>4976</v>
      </c>
      <c r="AG269" s="163" t="s">
        <v>4976</v>
      </c>
      <c r="AH269" s="163" t="s">
        <v>4976</v>
      </c>
      <c r="AI269" s="163" t="s">
        <v>36</v>
      </c>
      <c r="AJ269" s="163" t="s">
        <v>36</v>
      </c>
      <c r="AK269" s="163" t="s">
        <v>2197</v>
      </c>
      <c r="AL269" s="163" t="s">
        <v>3797</v>
      </c>
      <c r="AM269" t="s">
        <v>4876</v>
      </c>
      <c r="AN269" s="487">
        <v>0</v>
      </c>
      <c r="AO269" s="487">
        <v>0</v>
      </c>
    </row>
    <row r="270" spans="1:41" x14ac:dyDescent="0.2">
      <c r="A270">
        <v>269</v>
      </c>
      <c r="B270" s="471" t="s">
        <v>3085</v>
      </c>
      <c r="C270" s="163" t="s">
        <v>3856</v>
      </c>
      <c r="D270" s="163" t="s">
        <v>4413</v>
      </c>
      <c r="E270" s="163" t="s">
        <v>2117</v>
      </c>
      <c r="F270" s="163" t="s">
        <v>2060</v>
      </c>
      <c r="G270" s="163" t="s">
        <v>36</v>
      </c>
      <c r="H270" s="163" t="s">
        <v>2200</v>
      </c>
      <c r="I270" s="163" t="s">
        <v>5725</v>
      </c>
      <c r="J270" s="163" t="s">
        <v>2468</v>
      </c>
      <c r="K270" s="163" t="s">
        <v>2376</v>
      </c>
      <c r="L270" s="163" t="s">
        <v>2541</v>
      </c>
      <c r="M270" s="549" t="s">
        <v>2999</v>
      </c>
      <c r="N270" s="163" t="s">
        <v>3856</v>
      </c>
      <c r="O270" s="163" t="s">
        <v>5756</v>
      </c>
      <c r="P270" s="163" t="s">
        <v>3115</v>
      </c>
      <c r="Q270" s="163" t="s">
        <v>4936</v>
      </c>
      <c r="R270" s="163" t="s">
        <v>2257</v>
      </c>
      <c r="S270" s="163" t="s">
        <v>4414</v>
      </c>
      <c r="T270" s="163">
        <v>260.39999999999998</v>
      </c>
      <c r="U270" s="163" t="s">
        <v>2222</v>
      </c>
      <c r="V270" s="163" t="s">
        <v>4415</v>
      </c>
      <c r="W270" s="163" t="s">
        <v>3031</v>
      </c>
      <c r="X270" s="163" t="s">
        <v>4937</v>
      </c>
      <c r="Y270" s="163" t="s">
        <v>4416</v>
      </c>
      <c r="Z270" s="163" t="s">
        <v>2999</v>
      </c>
      <c r="AA270" s="163" t="s">
        <v>4937</v>
      </c>
      <c r="AB270" s="163" t="s">
        <v>36</v>
      </c>
      <c r="AC270" s="163" t="s">
        <v>2195</v>
      </c>
      <c r="AD270" s="163" t="s">
        <v>2196</v>
      </c>
      <c r="AE270" s="163" t="s">
        <v>1762</v>
      </c>
      <c r="AF270" s="163" t="s">
        <v>4417</v>
      </c>
      <c r="AG270" s="163" t="s">
        <v>4418</v>
      </c>
      <c r="AH270" s="163" t="s">
        <v>4419</v>
      </c>
      <c r="AI270" s="163" t="s">
        <v>36</v>
      </c>
      <c r="AJ270" s="163" t="s">
        <v>36</v>
      </c>
      <c r="AK270" s="163" t="s">
        <v>2197</v>
      </c>
      <c r="AL270" s="163" t="s">
        <v>3797</v>
      </c>
      <c r="AM270" t="s">
        <v>4876</v>
      </c>
      <c r="AN270" s="487">
        <v>0</v>
      </c>
      <c r="AO270" s="487">
        <v>0</v>
      </c>
    </row>
    <row r="271" spans="1:41" x14ac:dyDescent="0.2">
      <c r="A271">
        <v>270</v>
      </c>
      <c r="B271" s="471" t="s">
        <v>3085</v>
      </c>
      <c r="C271" s="163" t="s">
        <v>4420</v>
      </c>
      <c r="D271" s="163" t="s">
        <v>4421</v>
      </c>
      <c r="E271" s="163" t="s">
        <v>2117</v>
      </c>
      <c r="F271" s="163" t="s">
        <v>2060</v>
      </c>
      <c r="G271" s="163" t="s">
        <v>36</v>
      </c>
      <c r="H271" s="163" t="s">
        <v>2200</v>
      </c>
      <c r="I271" s="163" t="s">
        <v>3156</v>
      </c>
      <c r="J271" s="163" t="s">
        <v>2468</v>
      </c>
      <c r="K271" s="163" t="s">
        <v>2376</v>
      </c>
      <c r="L271" s="163" t="s">
        <v>2541</v>
      </c>
      <c r="M271" s="549" t="s">
        <v>2999</v>
      </c>
      <c r="N271" s="163" t="s">
        <v>3856</v>
      </c>
      <c r="O271" s="163" t="s">
        <v>3123</v>
      </c>
      <c r="P271" s="163" t="s">
        <v>3115</v>
      </c>
      <c r="Q271" s="163" t="s">
        <v>2276</v>
      </c>
      <c r="R271" s="163" t="s">
        <v>2257</v>
      </c>
      <c r="S271" s="163" t="s">
        <v>4414</v>
      </c>
      <c r="T271" s="163">
        <v>260.39999999999998</v>
      </c>
      <c r="U271" s="163" t="s">
        <v>4422</v>
      </c>
      <c r="V271" s="163" t="s">
        <v>4415</v>
      </c>
      <c r="W271" s="163" t="s">
        <v>3031</v>
      </c>
      <c r="X271" s="163" t="s">
        <v>2194</v>
      </c>
      <c r="Y271" s="163" t="s">
        <v>4416</v>
      </c>
      <c r="Z271" s="163" t="s">
        <v>2999</v>
      </c>
      <c r="AA271" s="163" t="s">
        <v>2194</v>
      </c>
      <c r="AB271" s="163" t="s">
        <v>36</v>
      </c>
      <c r="AC271" s="163" t="s">
        <v>2195</v>
      </c>
      <c r="AD271" s="163" t="s">
        <v>2196</v>
      </c>
      <c r="AE271" s="163" t="s">
        <v>1762</v>
      </c>
      <c r="AF271" s="163" t="s">
        <v>4417</v>
      </c>
      <c r="AG271" s="163" t="s">
        <v>4418</v>
      </c>
      <c r="AH271" s="163" t="s">
        <v>4419</v>
      </c>
      <c r="AI271" s="163" t="s">
        <v>36</v>
      </c>
      <c r="AJ271" s="163" t="s">
        <v>36</v>
      </c>
      <c r="AK271" s="163" t="s">
        <v>2197</v>
      </c>
      <c r="AL271" s="163" t="s">
        <v>3797</v>
      </c>
      <c r="AM271" t="s">
        <v>4894</v>
      </c>
      <c r="AN271" s="487">
        <v>0</v>
      </c>
      <c r="AO271" s="487">
        <v>0</v>
      </c>
    </row>
    <row r="272" spans="1:41" x14ac:dyDescent="0.2">
      <c r="A272">
        <v>271</v>
      </c>
      <c r="B272" s="471" t="s">
        <v>3085</v>
      </c>
      <c r="C272" s="163" t="s">
        <v>5818</v>
      </c>
      <c r="D272" s="163" t="s">
        <v>5819</v>
      </c>
      <c r="E272" s="163" t="s">
        <v>2117</v>
      </c>
      <c r="F272" s="163" t="s">
        <v>2060</v>
      </c>
      <c r="G272" s="163"/>
      <c r="H272" s="163" t="s">
        <v>2200</v>
      </c>
      <c r="I272" s="163" t="s">
        <v>5725</v>
      </c>
      <c r="J272" s="163" t="s">
        <v>1768</v>
      </c>
      <c r="K272" s="163" t="s">
        <v>2376</v>
      </c>
      <c r="L272" s="163" t="s">
        <v>3419</v>
      </c>
      <c r="M272" s="549" t="s">
        <v>5820</v>
      </c>
      <c r="N272" s="163" t="s">
        <v>5818</v>
      </c>
      <c r="O272" s="163" t="s">
        <v>2471</v>
      </c>
      <c r="P272" s="163" t="s">
        <v>2594</v>
      </c>
      <c r="Q272" s="163" t="s">
        <v>2276</v>
      </c>
      <c r="R272" s="163" t="s">
        <v>2257</v>
      </c>
      <c r="S272" s="163" t="s">
        <v>5821</v>
      </c>
      <c r="T272" s="163">
        <v>654.88</v>
      </c>
      <c r="U272" s="163" t="s">
        <v>1952</v>
      </c>
      <c r="V272" s="163" t="s">
        <v>2475</v>
      </c>
      <c r="W272" s="163" t="s">
        <v>5822</v>
      </c>
      <c r="X272" s="163" t="s">
        <v>2194</v>
      </c>
      <c r="Y272" s="163" t="s">
        <v>4537</v>
      </c>
      <c r="Z272" s="163" t="s">
        <v>2327</v>
      </c>
      <c r="AA272" s="163" t="s">
        <v>2194</v>
      </c>
      <c r="AB272" s="163" t="s">
        <v>5823</v>
      </c>
      <c r="AC272" s="163" t="s">
        <v>2195</v>
      </c>
      <c r="AD272" s="163" t="s">
        <v>2196</v>
      </c>
      <c r="AE272" s="163" t="s">
        <v>1762</v>
      </c>
      <c r="AF272" s="163" t="s">
        <v>3419</v>
      </c>
      <c r="AG272" s="163"/>
      <c r="AH272" s="163"/>
      <c r="AI272" s="163"/>
      <c r="AJ272" s="163"/>
      <c r="AK272" s="163" t="s">
        <v>2197</v>
      </c>
      <c r="AL272" s="163" t="s">
        <v>3797</v>
      </c>
      <c r="AM272" t="s">
        <v>4876</v>
      </c>
      <c r="AN272" s="487"/>
      <c r="AO272" s="487"/>
    </row>
    <row r="273" spans="1:41" x14ac:dyDescent="0.2">
      <c r="A273">
        <v>272</v>
      </c>
      <c r="B273" s="471" t="s">
        <v>3085</v>
      </c>
      <c r="C273" s="163" t="s">
        <v>3855</v>
      </c>
      <c r="D273" s="163" t="s">
        <v>4435</v>
      </c>
      <c r="E273" s="163" t="s">
        <v>2117</v>
      </c>
      <c r="F273" s="163" t="s">
        <v>2060</v>
      </c>
      <c r="G273" s="163" t="s">
        <v>36</v>
      </c>
      <c r="H273" s="163" t="s">
        <v>2200</v>
      </c>
      <c r="I273" s="163" t="s">
        <v>5725</v>
      </c>
      <c r="J273" s="163" t="s">
        <v>2812</v>
      </c>
      <c r="K273" s="163" t="s">
        <v>3855</v>
      </c>
      <c r="L273" s="163" t="s">
        <v>3180</v>
      </c>
      <c r="M273" s="549" t="s">
        <v>3181</v>
      </c>
      <c r="N273" s="163" t="s">
        <v>3855</v>
      </c>
      <c r="O273" s="163" t="s">
        <v>906</v>
      </c>
      <c r="P273" s="163" t="s">
        <v>2815</v>
      </c>
      <c r="Q273" s="163" t="s">
        <v>4936</v>
      </c>
      <c r="R273" s="163" t="s">
        <v>2294</v>
      </c>
      <c r="S273" s="163" t="s">
        <v>3182</v>
      </c>
      <c r="T273" s="163">
        <v>2.2999999999999998</v>
      </c>
      <c r="U273" s="163" t="s">
        <v>2223</v>
      </c>
      <c r="V273" s="163" t="s">
        <v>3183</v>
      </c>
      <c r="W273" s="163" t="s">
        <v>3184</v>
      </c>
      <c r="X273" s="163" t="s">
        <v>3185</v>
      </c>
      <c r="Y273" s="163" t="s">
        <v>111</v>
      </c>
      <c r="Z273" s="163" t="s">
        <v>111</v>
      </c>
      <c r="AA273" s="163" t="s">
        <v>111</v>
      </c>
      <c r="AB273" s="163" t="s">
        <v>3186</v>
      </c>
      <c r="AC273" s="163" t="s">
        <v>2195</v>
      </c>
      <c r="AD273" s="163" t="s">
        <v>2196</v>
      </c>
      <c r="AE273" s="163" t="s">
        <v>1762</v>
      </c>
      <c r="AF273" s="163" t="s">
        <v>3419</v>
      </c>
      <c r="AG273" s="163" t="s">
        <v>36</v>
      </c>
      <c r="AH273" s="163" t="s">
        <v>36</v>
      </c>
      <c r="AI273" s="163" t="s">
        <v>36</v>
      </c>
      <c r="AJ273" s="163" t="s">
        <v>36</v>
      </c>
      <c r="AK273" s="163" t="s">
        <v>2197</v>
      </c>
      <c r="AL273" s="163" t="s">
        <v>3797</v>
      </c>
      <c r="AM273" t="s">
        <v>4876</v>
      </c>
      <c r="AN273" s="487">
        <v>0</v>
      </c>
      <c r="AO273" s="487">
        <v>0</v>
      </c>
    </row>
    <row r="274" spans="1:41" x14ac:dyDescent="0.2">
      <c r="A274">
        <v>273</v>
      </c>
      <c r="B274" s="471" t="s">
        <v>3085</v>
      </c>
      <c r="C274" s="163" t="s">
        <v>4632</v>
      </c>
      <c r="D274" s="163" t="s">
        <v>4633</v>
      </c>
      <c r="E274" s="163" t="s">
        <v>2117</v>
      </c>
      <c r="F274" s="163" t="s">
        <v>2060</v>
      </c>
      <c r="G274" s="163" t="s">
        <v>36</v>
      </c>
      <c r="H274" s="163" t="s">
        <v>2200</v>
      </c>
      <c r="I274" s="163" t="s">
        <v>5725</v>
      </c>
      <c r="J274" s="163" t="s">
        <v>2812</v>
      </c>
      <c r="K274" s="163" t="s">
        <v>2817</v>
      </c>
      <c r="L274" s="163" t="s">
        <v>4634</v>
      </c>
      <c r="M274" s="549" t="s">
        <v>4635</v>
      </c>
      <c r="N274" s="163" t="s">
        <v>4636</v>
      </c>
      <c r="O274" s="163" t="s">
        <v>906</v>
      </c>
      <c r="P274" s="163" t="s">
        <v>5440</v>
      </c>
      <c r="Q274" s="163" t="s">
        <v>2273</v>
      </c>
      <c r="R274" s="163" t="s">
        <v>2257</v>
      </c>
      <c r="S274" s="163" t="s">
        <v>2858</v>
      </c>
      <c r="T274" s="163">
        <v>8</v>
      </c>
      <c r="U274" s="163" t="s">
        <v>2223</v>
      </c>
      <c r="V274" s="163" t="s">
        <v>3008</v>
      </c>
      <c r="W274" s="163" t="s">
        <v>4637</v>
      </c>
      <c r="X274" s="163" t="s">
        <v>2333</v>
      </c>
      <c r="Y274" s="163" t="s">
        <v>111</v>
      </c>
      <c r="Z274" s="163" t="s">
        <v>111</v>
      </c>
      <c r="AA274" s="163" t="s">
        <v>111</v>
      </c>
      <c r="AB274" s="163" t="s">
        <v>4852</v>
      </c>
      <c r="AC274" s="163" t="s">
        <v>2195</v>
      </c>
      <c r="AD274" s="163" t="s">
        <v>2196</v>
      </c>
      <c r="AE274" s="163" t="s">
        <v>1762</v>
      </c>
      <c r="AF274" s="163" t="s">
        <v>3419</v>
      </c>
      <c r="AG274" s="163" t="s">
        <v>36</v>
      </c>
      <c r="AH274" s="163" t="s">
        <v>36</v>
      </c>
      <c r="AI274" s="163" t="s">
        <v>36</v>
      </c>
      <c r="AJ274" s="163" t="s">
        <v>36</v>
      </c>
      <c r="AK274" s="163" t="s">
        <v>2197</v>
      </c>
      <c r="AL274" s="163" t="s">
        <v>36</v>
      </c>
      <c r="AM274" t="s">
        <v>4877</v>
      </c>
      <c r="AN274" s="487">
        <v>0</v>
      </c>
      <c r="AO274" s="487">
        <v>0</v>
      </c>
    </row>
    <row r="275" spans="1:41" x14ac:dyDescent="0.2">
      <c r="A275">
        <v>274</v>
      </c>
      <c r="B275" s="471" t="s">
        <v>3085</v>
      </c>
      <c r="C275" s="163" t="s">
        <v>4558</v>
      </c>
      <c r="D275" s="163" t="s">
        <v>4559</v>
      </c>
      <c r="E275" s="163" t="s">
        <v>2117</v>
      </c>
      <c r="F275" s="163" t="s">
        <v>2060</v>
      </c>
      <c r="G275" s="163" t="s">
        <v>36</v>
      </c>
      <c r="H275" s="163" t="s">
        <v>2200</v>
      </c>
      <c r="I275" s="163" t="s">
        <v>5734</v>
      </c>
      <c r="J275" s="163" t="s">
        <v>2468</v>
      </c>
      <c r="K275" s="163" t="s">
        <v>3147</v>
      </c>
      <c r="L275" s="163" t="s">
        <v>3148</v>
      </c>
      <c r="M275" s="549" t="s">
        <v>4558</v>
      </c>
      <c r="N275" s="163" t="s">
        <v>4558</v>
      </c>
      <c r="O275" s="163" t="s">
        <v>906</v>
      </c>
      <c r="P275" s="163" t="s">
        <v>2443</v>
      </c>
      <c r="Q275" s="163" t="s">
        <v>2443</v>
      </c>
      <c r="R275" s="163" t="s">
        <v>2257</v>
      </c>
      <c r="S275" s="163" t="s">
        <v>4560</v>
      </c>
      <c r="T275" s="163">
        <v>7837</v>
      </c>
      <c r="U275" s="163" t="s">
        <v>1952</v>
      </c>
      <c r="V275" s="163" t="s">
        <v>4561</v>
      </c>
      <c r="W275" s="163" t="s">
        <v>4558</v>
      </c>
      <c r="X275" s="163" t="s">
        <v>111</v>
      </c>
      <c r="Y275" s="163" t="s">
        <v>4562</v>
      </c>
      <c r="Z275" s="163" t="s">
        <v>4563</v>
      </c>
      <c r="AA275" s="163" t="s">
        <v>2194</v>
      </c>
      <c r="AB275" s="163" t="s">
        <v>5506</v>
      </c>
      <c r="AC275" s="163" t="s">
        <v>2195</v>
      </c>
      <c r="AD275" s="163" t="s">
        <v>2196</v>
      </c>
      <c r="AE275" s="163" t="s">
        <v>1762</v>
      </c>
      <c r="AF275" s="163" t="s">
        <v>3419</v>
      </c>
      <c r="AG275" s="163" t="s">
        <v>36</v>
      </c>
      <c r="AH275" s="163" t="s">
        <v>36</v>
      </c>
      <c r="AI275" s="163" t="s">
        <v>36</v>
      </c>
      <c r="AJ275" s="163" t="s">
        <v>36</v>
      </c>
      <c r="AK275" s="163" t="s">
        <v>2197</v>
      </c>
      <c r="AL275" s="163" t="s">
        <v>3797</v>
      </c>
      <c r="AM275" t="s">
        <v>4893</v>
      </c>
      <c r="AN275" s="487">
        <v>0</v>
      </c>
      <c r="AO275" s="487">
        <v>0</v>
      </c>
    </row>
    <row r="276" spans="1:41" x14ac:dyDescent="0.2">
      <c r="A276">
        <v>275</v>
      </c>
      <c r="B276" s="471" t="s">
        <v>3085</v>
      </c>
      <c r="C276" s="163" t="s">
        <v>914</v>
      </c>
      <c r="D276" s="163" t="s">
        <v>4215</v>
      </c>
      <c r="E276" s="163" t="s">
        <v>2117</v>
      </c>
      <c r="F276" s="163" t="s">
        <v>2060</v>
      </c>
      <c r="G276" s="163" t="s">
        <v>36</v>
      </c>
      <c r="H276" s="163" t="s">
        <v>2200</v>
      </c>
      <c r="I276" s="163" t="s">
        <v>5725</v>
      </c>
      <c r="J276" s="163" t="s">
        <v>2468</v>
      </c>
      <c r="K276" s="163" t="s">
        <v>2377</v>
      </c>
      <c r="L276" s="163" t="s">
        <v>3162</v>
      </c>
      <c r="M276" s="549">
        <v>51644</v>
      </c>
      <c r="N276" s="163" t="s">
        <v>914</v>
      </c>
      <c r="O276" s="163" t="s">
        <v>906</v>
      </c>
      <c r="P276" s="163" t="s">
        <v>2443</v>
      </c>
      <c r="Q276" s="163" t="s">
        <v>2443</v>
      </c>
      <c r="R276" s="163" t="s">
        <v>2294</v>
      </c>
      <c r="S276" s="163" t="s">
        <v>3163</v>
      </c>
      <c r="T276" s="163">
        <v>1585</v>
      </c>
      <c r="U276" s="163" t="s">
        <v>2223</v>
      </c>
      <c r="V276" s="163" t="s">
        <v>3164</v>
      </c>
      <c r="W276" s="163" t="s">
        <v>3165</v>
      </c>
      <c r="X276" s="163" t="s">
        <v>2799</v>
      </c>
      <c r="Y276" s="163" t="s">
        <v>3166</v>
      </c>
      <c r="Z276" s="163" t="s">
        <v>3167</v>
      </c>
      <c r="AA276" s="163" t="s">
        <v>2194</v>
      </c>
      <c r="AB276" s="163" t="s">
        <v>3168</v>
      </c>
      <c r="AC276" s="163" t="s">
        <v>2195</v>
      </c>
      <c r="AD276" s="163" t="s">
        <v>2196</v>
      </c>
      <c r="AE276" s="163" t="s">
        <v>1762</v>
      </c>
      <c r="AF276" s="163" t="s">
        <v>3419</v>
      </c>
      <c r="AG276" s="163" t="s">
        <v>36</v>
      </c>
      <c r="AH276" s="163" t="s">
        <v>36</v>
      </c>
      <c r="AI276" s="163" t="s">
        <v>36</v>
      </c>
      <c r="AJ276" s="163" t="s">
        <v>36</v>
      </c>
      <c r="AK276" s="163" t="s">
        <v>2197</v>
      </c>
      <c r="AL276" s="163" t="s">
        <v>3797</v>
      </c>
      <c r="AM276" t="s">
        <v>4893</v>
      </c>
      <c r="AN276" s="487">
        <v>0</v>
      </c>
      <c r="AO276" s="487">
        <v>0</v>
      </c>
    </row>
    <row r="277" spans="1:41" x14ac:dyDescent="0.2">
      <c r="A277">
        <v>276</v>
      </c>
      <c r="B277" s="471" t="s">
        <v>3085</v>
      </c>
      <c r="C277" s="163" t="s">
        <v>1279</v>
      </c>
      <c r="D277" s="163" t="s">
        <v>4216</v>
      </c>
      <c r="E277" s="163" t="s">
        <v>2117</v>
      </c>
      <c r="F277" s="163" t="s">
        <v>2060</v>
      </c>
      <c r="G277" s="163" t="s">
        <v>36</v>
      </c>
      <c r="H277" s="163" t="s">
        <v>2200</v>
      </c>
      <c r="I277" s="163" t="s">
        <v>5725</v>
      </c>
      <c r="J277" s="163" t="s">
        <v>2812</v>
      </c>
      <c r="K277" s="163" t="s">
        <v>2377</v>
      </c>
      <c r="L277" s="163" t="s">
        <v>3169</v>
      </c>
      <c r="M277" s="549" t="s">
        <v>3170</v>
      </c>
      <c r="N277" s="163" t="s">
        <v>1279</v>
      </c>
      <c r="O277" s="163" t="s">
        <v>906</v>
      </c>
      <c r="P277" s="163" t="s">
        <v>2443</v>
      </c>
      <c r="Q277" s="163" t="s">
        <v>2443</v>
      </c>
      <c r="R277" s="163" t="s">
        <v>2294</v>
      </c>
      <c r="S277" s="163" t="s">
        <v>3171</v>
      </c>
      <c r="T277" s="163">
        <v>1526.5</v>
      </c>
      <c r="U277" s="163" t="s">
        <v>2223</v>
      </c>
      <c r="V277" s="163" t="s">
        <v>111</v>
      </c>
      <c r="W277" s="163" t="s">
        <v>111</v>
      </c>
      <c r="X277" s="163" t="s">
        <v>2353</v>
      </c>
      <c r="Y277" s="163" t="s">
        <v>3172</v>
      </c>
      <c r="Z277" s="163" t="s">
        <v>3173</v>
      </c>
      <c r="AA277" s="163" t="s">
        <v>3174</v>
      </c>
      <c r="AB277" s="163" t="s">
        <v>4623</v>
      </c>
      <c r="AC277" s="163" t="s">
        <v>2195</v>
      </c>
      <c r="AD277" s="163" t="s">
        <v>2196</v>
      </c>
      <c r="AE277" s="163" t="s">
        <v>1762</v>
      </c>
      <c r="AF277" s="163" t="s">
        <v>3419</v>
      </c>
      <c r="AG277" s="163" t="s">
        <v>36</v>
      </c>
      <c r="AH277" s="163" t="s">
        <v>36</v>
      </c>
      <c r="AI277" s="163" t="s">
        <v>36</v>
      </c>
      <c r="AJ277" s="163" t="s">
        <v>36</v>
      </c>
      <c r="AK277" s="163" t="s">
        <v>2197</v>
      </c>
      <c r="AL277" s="163" t="s">
        <v>3797</v>
      </c>
      <c r="AM277" t="s">
        <v>4893</v>
      </c>
      <c r="AN277" s="487">
        <v>0</v>
      </c>
      <c r="AO277" s="487">
        <v>0</v>
      </c>
    </row>
    <row r="278" spans="1:41" x14ac:dyDescent="0.2">
      <c r="A278">
        <v>277</v>
      </c>
      <c r="B278" s="471" t="s">
        <v>3085</v>
      </c>
      <c r="C278" s="163" t="s">
        <v>829</v>
      </c>
      <c r="D278" s="163" t="s">
        <v>4217</v>
      </c>
      <c r="E278" s="163" t="s">
        <v>2117</v>
      </c>
      <c r="F278" s="163" t="s">
        <v>2060</v>
      </c>
      <c r="G278" s="163" t="s">
        <v>36</v>
      </c>
      <c r="H278" s="163" t="s">
        <v>2200</v>
      </c>
      <c r="I278" s="163" t="s">
        <v>5725</v>
      </c>
      <c r="J278" s="163" t="s">
        <v>2812</v>
      </c>
      <c r="K278" s="163" t="s">
        <v>829</v>
      </c>
      <c r="L278" s="163" t="s">
        <v>3175</v>
      </c>
      <c r="M278" s="549" t="s">
        <v>3176</v>
      </c>
      <c r="N278" s="163" t="s">
        <v>829</v>
      </c>
      <c r="O278" s="163" t="s">
        <v>906</v>
      </c>
      <c r="P278" s="163" t="s">
        <v>3177</v>
      </c>
      <c r="Q278" s="163" t="s">
        <v>2276</v>
      </c>
      <c r="R278" s="163" t="s">
        <v>2257</v>
      </c>
      <c r="S278" s="163" t="s">
        <v>3178</v>
      </c>
      <c r="T278" s="163">
        <v>1.33</v>
      </c>
      <c r="U278" s="163" t="s">
        <v>2223</v>
      </c>
      <c r="V278" s="163" t="s">
        <v>3179</v>
      </c>
      <c r="W278" s="163">
        <v>176483</v>
      </c>
      <c r="X278" s="163" t="s">
        <v>2194</v>
      </c>
      <c r="Y278" s="163" t="s">
        <v>111</v>
      </c>
      <c r="Z278" s="163" t="s">
        <v>111</v>
      </c>
      <c r="AA278" s="163" t="s">
        <v>111</v>
      </c>
      <c r="AB278" s="163" t="s">
        <v>36</v>
      </c>
      <c r="AC278" s="163" t="s">
        <v>2195</v>
      </c>
      <c r="AD278" s="163" t="s">
        <v>2196</v>
      </c>
      <c r="AE278" s="163" t="s">
        <v>1762</v>
      </c>
      <c r="AF278" s="163">
        <v>13</v>
      </c>
      <c r="AG278" s="163">
        <v>0.17</v>
      </c>
      <c r="AH278" s="163">
        <v>0.2</v>
      </c>
      <c r="AI278" s="163" t="s">
        <v>3984</v>
      </c>
      <c r="AJ278" s="163" t="s">
        <v>36</v>
      </c>
      <c r="AK278" s="163" t="s">
        <v>2197</v>
      </c>
      <c r="AL278" s="163" t="s">
        <v>3797</v>
      </c>
      <c r="AM278" t="s">
        <v>4876</v>
      </c>
      <c r="AN278" s="487">
        <v>0</v>
      </c>
      <c r="AO278" s="487">
        <v>0</v>
      </c>
    </row>
    <row r="279" spans="1:41" x14ac:dyDescent="0.2">
      <c r="A279">
        <v>278</v>
      </c>
      <c r="B279" s="471" t="s">
        <v>3085</v>
      </c>
      <c r="C279" s="163" t="s">
        <v>1329</v>
      </c>
      <c r="D279" s="163" t="s">
        <v>4218</v>
      </c>
      <c r="E279" s="163" t="s">
        <v>2117</v>
      </c>
      <c r="F279" s="163" t="s">
        <v>2060</v>
      </c>
      <c r="G279" s="163" t="s">
        <v>36</v>
      </c>
      <c r="H279" s="163" t="s">
        <v>2200</v>
      </c>
      <c r="I279" s="163" t="s">
        <v>5725</v>
      </c>
      <c r="J279" s="163" t="s">
        <v>2812</v>
      </c>
      <c r="K279" s="163" t="s">
        <v>1329</v>
      </c>
      <c r="L279" s="163" t="s">
        <v>3180</v>
      </c>
      <c r="M279" s="549" t="s">
        <v>3181</v>
      </c>
      <c r="N279" s="163" t="s">
        <v>1329</v>
      </c>
      <c r="O279" s="163" t="s">
        <v>906</v>
      </c>
      <c r="P279" s="163" t="s">
        <v>2815</v>
      </c>
      <c r="Q279" s="163" t="s">
        <v>2276</v>
      </c>
      <c r="R279" s="163" t="s">
        <v>2294</v>
      </c>
      <c r="S279" s="163" t="s">
        <v>3182</v>
      </c>
      <c r="T279" s="163">
        <v>2.2999999999999998</v>
      </c>
      <c r="U279" s="163" t="s">
        <v>2223</v>
      </c>
      <c r="V279" s="163" t="s">
        <v>3183</v>
      </c>
      <c r="W279" s="163" t="s">
        <v>3184</v>
      </c>
      <c r="X279" s="163" t="s">
        <v>3185</v>
      </c>
      <c r="Y279" s="163" t="s">
        <v>111</v>
      </c>
      <c r="Z279" s="163" t="s">
        <v>111</v>
      </c>
      <c r="AA279" s="163" t="s">
        <v>111</v>
      </c>
      <c r="AB279" s="163" t="s">
        <v>3186</v>
      </c>
      <c r="AC279" s="163" t="s">
        <v>2195</v>
      </c>
      <c r="AD279" s="163" t="s">
        <v>2196</v>
      </c>
      <c r="AE279" s="163" t="s">
        <v>1762</v>
      </c>
      <c r="AF279" s="163" t="s">
        <v>3419</v>
      </c>
      <c r="AG279" s="163" t="s">
        <v>36</v>
      </c>
      <c r="AH279" s="163" t="s">
        <v>36</v>
      </c>
      <c r="AI279" s="163" t="s">
        <v>36</v>
      </c>
      <c r="AJ279" s="163" t="s">
        <v>36</v>
      </c>
      <c r="AK279" s="163" t="s">
        <v>2197</v>
      </c>
      <c r="AL279" s="163" t="s">
        <v>3797</v>
      </c>
      <c r="AM279" t="s">
        <v>4876</v>
      </c>
      <c r="AN279" s="487">
        <v>0</v>
      </c>
      <c r="AO279" s="487">
        <v>0</v>
      </c>
    </row>
    <row r="280" spans="1:41" x14ac:dyDescent="0.2">
      <c r="A280">
        <v>279</v>
      </c>
      <c r="B280" s="471" t="s">
        <v>3085</v>
      </c>
      <c r="C280" s="163" t="s">
        <v>5121</v>
      </c>
      <c r="D280" s="163" t="s">
        <v>5122</v>
      </c>
      <c r="E280" s="163" t="s">
        <v>2117</v>
      </c>
      <c r="F280" s="163" t="s">
        <v>2060</v>
      </c>
      <c r="G280" s="163" t="s">
        <v>36</v>
      </c>
      <c r="H280" s="163" t="s">
        <v>2200</v>
      </c>
      <c r="I280" s="163" t="s">
        <v>5734</v>
      </c>
      <c r="J280" s="163" t="s">
        <v>2468</v>
      </c>
      <c r="K280" s="163" t="s">
        <v>3147</v>
      </c>
      <c r="L280" s="163" t="s">
        <v>3148</v>
      </c>
      <c r="M280" s="549" t="s">
        <v>3149</v>
      </c>
      <c r="N280" s="163" t="s">
        <v>5121</v>
      </c>
      <c r="O280" s="163" t="s">
        <v>906</v>
      </c>
      <c r="P280" s="163" t="s">
        <v>2443</v>
      </c>
      <c r="Q280" s="163" t="s">
        <v>2443</v>
      </c>
      <c r="R280" s="163" t="s">
        <v>2257</v>
      </c>
      <c r="S280" s="163" t="s">
        <v>3150</v>
      </c>
      <c r="T280" s="163">
        <v>7875</v>
      </c>
      <c r="U280" s="163" t="s">
        <v>1952</v>
      </c>
      <c r="V280" s="163" t="s">
        <v>3151</v>
      </c>
      <c r="W280" s="163" t="s">
        <v>3152</v>
      </c>
      <c r="X280" s="163" t="s">
        <v>2273</v>
      </c>
      <c r="Y280" s="163" t="s">
        <v>3153</v>
      </c>
      <c r="Z280" s="163" t="s">
        <v>3154</v>
      </c>
      <c r="AA280" s="163" t="s">
        <v>2273</v>
      </c>
      <c r="AB280" s="163" t="s">
        <v>3155</v>
      </c>
      <c r="AC280" s="163" t="s">
        <v>2195</v>
      </c>
      <c r="AD280" s="163" t="s">
        <v>2196</v>
      </c>
      <c r="AE280" s="163" t="s">
        <v>1762</v>
      </c>
      <c r="AF280" s="163" t="s">
        <v>36</v>
      </c>
      <c r="AG280" s="163" t="s">
        <v>36</v>
      </c>
      <c r="AH280" s="163" t="s">
        <v>36</v>
      </c>
      <c r="AI280" s="163" t="s">
        <v>36</v>
      </c>
      <c r="AJ280" s="163" t="s">
        <v>36</v>
      </c>
      <c r="AK280" s="163" t="s">
        <v>2197</v>
      </c>
      <c r="AL280" s="163" t="s">
        <v>3797</v>
      </c>
      <c r="AM280" t="s">
        <v>4893</v>
      </c>
      <c r="AN280" s="487"/>
      <c r="AO280" s="487"/>
    </row>
    <row r="281" spans="1:41" x14ac:dyDescent="0.2">
      <c r="A281">
        <v>280</v>
      </c>
      <c r="B281" s="471" t="s">
        <v>3085</v>
      </c>
      <c r="C281" s="163" t="s">
        <v>5244</v>
      </c>
      <c r="D281" s="163" t="s">
        <v>5245</v>
      </c>
      <c r="E281" s="163" t="s">
        <v>2117</v>
      </c>
      <c r="F281" s="163" t="s">
        <v>2060</v>
      </c>
      <c r="G281" s="163" t="s">
        <v>36</v>
      </c>
      <c r="H281" s="163" t="s">
        <v>2200</v>
      </c>
      <c r="I281" s="163" t="s">
        <v>5734</v>
      </c>
      <c r="J281" s="163" t="s">
        <v>2468</v>
      </c>
      <c r="K281" s="163" t="s">
        <v>3086</v>
      </c>
      <c r="L281" s="163" t="s">
        <v>3108</v>
      </c>
      <c r="M281" s="549">
        <v>1</v>
      </c>
      <c r="N281" s="163" t="s">
        <v>5107</v>
      </c>
      <c r="O281" s="163" t="s">
        <v>3123</v>
      </c>
      <c r="P281" s="163" t="s">
        <v>4662</v>
      </c>
      <c r="Q281" s="163" t="s">
        <v>2276</v>
      </c>
      <c r="R281" s="163" t="s">
        <v>2193</v>
      </c>
      <c r="S281" s="163" t="s">
        <v>5191</v>
      </c>
      <c r="T281" s="163">
        <v>13.9</v>
      </c>
      <c r="U281" s="163" t="s">
        <v>1952</v>
      </c>
      <c r="V281" s="163" t="s">
        <v>2413</v>
      </c>
      <c r="W281" s="163" t="s">
        <v>4408</v>
      </c>
      <c r="X281" s="163" t="s">
        <v>4937</v>
      </c>
      <c r="Y281" s="163" t="s">
        <v>2391</v>
      </c>
      <c r="Z281" s="163" t="s">
        <v>3087</v>
      </c>
      <c r="AA281" s="163" t="s">
        <v>4937</v>
      </c>
      <c r="AB281" s="163" t="s">
        <v>36</v>
      </c>
      <c r="AC281" s="163" t="s">
        <v>2195</v>
      </c>
      <c r="AD281" s="163" t="s">
        <v>2196</v>
      </c>
      <c r="AE281" s="163" t="s">
        <v>1762</v>
      </c>
      <c r="AF281" s="163">
        <v>3</v>
      </c>
      <c r="AG281" s="163">
        <v>1</v>
      </c>
      <c r="AH281" s="163">
        <v>1</v>
      </c>
      <c r="AI281" s="163" t="s">
        <v>36</v>
      </c>
      <c r="AJ281" s="163" t="s">
        <v>36</v>
      </c>
      <c r="AK281" s="163" t="s">
        <v>2197</v>
      </c>
      <c r="AL281" s="163" t="s">
        <v>3797</v>
      </c>
      <c r="AM281" t="s">
        <v>5049</v>
      </c>
      <c r="AN281" s="487"/>
      <c r="AO281" s="487"/>
    </row>
    <row r="282" spans="1:41" x14ac:dyDescent="0.2">
      <c r="A282">
        <v>281</v>
      </c>
      <c r="B282" s="471" t="s">
        <v>3085</v>
      </c>
      <c r="C282" s="163" t="s">
        <v>5107</v>
      </c>
      <c r="D282" s="163" t="s">
        <v>5108</v>
      </c>
      <c r="E282" s="163" t="s">
        <v>2117</v>
      </c>
      <c r="F282" s="163" t="s">
        <v>2060</v>
      </c>
      <c r="G282" s="163" t="s">
        <v>36</v>
      </c>
      <c r="H282" s="163" t="s">
        <v>2200</v>
      </c>
      <c r="I282" s="163" t="s">
        <v>5734</v>
      </c>
      <c r="J282" s="163" t="s">
        <v>2468</v>
      </c>
      <c r="K282" s="163" t="s">
        <v>3086</v>
      </c>
      <c r="L282" s="163" t="s">
        <v>3108</v>
      </c>
      <c r="M282" s="549">
        <v>1</v>
      </c>
      <c r="N282" s="163" t="s">
        <v>5107</v>
      </c>
      <c r="O282" s="163" t="s">
        <v>5756</v>
      </c>
      <c r="P282" s="163" t="s">
        <v>4662</v>
      </c>
      <c r="Q282" s="163" t="s">
        <v>4970</v>
      </c>
      <c r="R282" s="163" t="s">
        <v>2193</v>
      </c>
      <c r="S282" s="163" t="s">
        <v>5191</v>
      </c>
      <c r="T282" s="163">
        <v>13.9</v>
      </c>
      <c r="U282" s="163" t="s">
        <v>2222</v>
      </c>
      <c r="V282" s="163" t="s">
        <v>2413</v>
      </c>
      <c r="W282" s="163" t="s">
        <v>4408</v>
      </c>
      <c r="X282" s="163" t="s">
        <v>4937</v>
      </c>
      <c r="Y282" s="163" t="s">
        <v>2391</v>
      </c>
      <c r="Z282" s="163" t="s">
        <v>3087</v>
      </c>
      <c r="AA282" s="163" t="s">
        <v>4937</v>
      </c>
      <c r="AB282" s="163" t="s">
        <v>36</v>
      </c>
      <c r="AC282" s="163" t="s">
        <v>2195</v>
      </c>
      <c r="AD282" s="163" t="s">
        <v>2196</v>
      </c>
      <c r="AE282" s="163" t="s">
        <v>1762</v>
      </c>
      <c r="AF282" s="163">
        <v>3</v>
      </c>
      <c r="AG282" s="163">
        <v>1</v>
      </c>
      <c r="AH282" s="163">
        <v>1</v>
      </c>
      <c r="AI282" s="163" t="s">
        <v>36</v>
      </c>
      <c r="AJ282" s="163" t="s">
        <v>36</v>
      </c>
      <c r="AK282" s="163" t="s">
        <v>2197</v>
      </c>
      <c r="AL282" s="163" t="s">
        <v>3797</v>
      </c>
      <c r="AM282" t="s">
        <v>4877</v>
      </c>
      <c r="AN282" s="487"/>
      <c r="AO282" s="487"/>
    </row>
    <row r="283" spans="1:41" x14ac:dyDescent="0.2">
      <c r="A283">
        <v>282</v>
      </c>
      <c r="B283" s="471" t="s">
        <v>3085</v>
      </c>
      <c r="C283" s="163" t="s">
        <v>837</v>
      </c>
      <c r="D283" s="163" t="s">
        <v>4219</v>
      </c>
      <c r="E283" s="163" t="s">
        <v>2117</v>
      </c>
      <c r="F283" s="163" t="s">
        <v>2060</v>
      </c>
      <c r="G283" s="163" t="s">
        <v>36</v>
      </c>
      <c r="H283" s="163" t="s">
        <v>2200</v>
      </c>
      <c r="I283" s="163" t="s">
        <v>5725</v>
      </c>
      <c r="J283" s="163" t="s">
        <v>2468</v>
      </c>
      <c r="K283" s="163" t="s">
        <v>3086</v>
      </c>
      <c r="L283" s="163" t="s">
        <v>2191</v>
      </c>
      <c r="M283" s="549">
        <v>2</v>
      </c>
      <c r="N283" s="163" t="s">
        <v>837</v>
      </c>
      <c r="O283" s="163" t="s">
        <v>5756</v>
      </c>
      <c r="P283" s="163" t="s">
        <v>3142</v>
      </c>
      <c r="Q283" s="163" t="s">
        <v>4936</v>
      </c>
      <c r="R283" s="163" t="s">
        <v>2367</v>
      </c>
      <c r="S283" s="163" t="s">
        <v>3110</v>
      </c>
      <c r="T283" s="163">
        <v>400</v>
      </c>
      <c r="U283" s="163" t="s">
        <v>2222</v>
      </c>
      <c r="V283" s="163" t="s">
        <v>2278</v>
      </c>
      <c r="W283" s="163" t="s">
        <v>3111</v>
      </c>
      <c r="X283" s="163" t="s">
        <v>4937</v>
      </c>
      <c r="Y283" s="163" t="s">
        <v>2391</v>
      </c>
      <c r="Z283" s="163" t="s">
        <v>3087</v>
      </c>
      <c r="AA283" s="163" t="s">
        <v>4937</v>
      </c>
      <c r="AB283" s="163" t="s">
        <v>36</v>
      </c>
      <c r="AC283" s="163" t="s">
        <v>2195</v>
      </c>
      <c r="AD283" s="163" t="s">
        <v>2196</v>
      </c>
      <c r="AE283" s="163" t="s">
        <v>1762</v>
      </c>
      <c r="AF283" s="163">
        <v>1.5</v>
      </c>
      <c r="AG283" s="163">
        <v>3</v>
      </c>
      <c r="AH283" s="163">
        <v>1</v>
      </c>
      <c r="AI283" s="163" t="s">
        <v>4007</v>
      </c>
      <c r="AJ283" s="163" t="s">
        <v>36</v>
      </c>
      <c r="AK283" s="163" t="s">
        <v>2197</v>
      </c>
      <c r="AL283" s="163" t="s">
        <v>3797</v>
      </c>
      <c r="AM283" t="s">
        <v>4876</v>
      </c>
      <c r="AN283" s="487">
        <v>0</v>
      </c>
      <c r="AO283" s="487">
        <v>0</v>
      </c>
    </row>
    <row r="284" spans="1:41" x14ac:dyDescent="0.2">
      <c r="A284">
        <v>283</v>
      </c>
      <c r="B284" s="471" t="s">
        <v>3085</v>
      </c>
      <c r="C284" s="163" t="s">
        <v>839</v>
      </c>
      <c r="D284" s="163" t="s">
        <v>4220</v>
      </c>
      <c r="E284" s="163" t="s">
        <v>2117</v>
      </c>
      <c r="F284" s="163" t="s">
        <v>2060</v>
      </c>
      <c r="G284" s="163" t="s">
        <v>36</v>
      </c>
      <c r="H284" s="163" t="s">
        <v>2200</v>
      </c>
      <c r="I284" s="163" t="s">
        <v>5725</v>
      </c>
      <c r="J284" s="163" t="s">
        <v>2468</v>
      </c>
      <c r="K284" s="163" t="s">
        <v>3086</v>
      </c>
      <c r="L284" s="163" t="s">
        <v>2484</v>
      </c>
      <c r="M284" s="549">
        <v>9321</v>
      </c>
      <c r="N284" s="163" t="s">
        <v>839</v>
      </c>
      <c r="O284" s="163" t="s">
        <v>5756</v>
      </c>
      <c r="P284" s="163" t="s">
        <v>3096</v>
      </c>
      <c r="Q284" s="163" t="s">
        <v>4936</v>
      </c>
      <c r="R284" s="163" t="s">
        <v>2367</v>
      </c>
      <c r="S284" s="163" t="s">
        <v>5192</v>
      </c>
      <c r="T284" s="163">
        <v>640</v>
      </c>
      <c r="U284" s="163" t="s">
        <v>2222</v>
      </c>
      <c r="V284" s="163" t="s">
        <v>2278</v>
      </c>
      <c r="W284" s="163" t="s">
        <v>3097</v>
      </c>
      <c r="X284" s="163" t="s">
        <v>4937</v>
      </c>
      <c r="Y284" s="163" t="s">
        <v>2391</v>
      </c>
      <c r="Z284" s="163" t="s">
        <v>3087</v>
      </c>
      <c r="AA284" s="163" t="s">
        <v>4937</v>
      </c>
      <c r="AB284" s="163" t="s">
        <v>36</v>
      </c>
      <c r="AC284" s="163" t="s">
        <v>2195</v>
      </c>
      <c r="AD284" s="163" t="s">
        <v>2196</v>
      </c>
      <c r="AE284" s="163" t="s">
        <v>1762</v>
      </c>
      <c r="AF284" s="163">
        <v>5.9</v>
      </c>
      <c r="AG284" s="163">
        <v>60</v>
      </c>
      <c r="AH284" s="163">
        <v>2</v>
      </c>
      <c r="AI284" s="163" t="s">
        <v>36</v>
      </c>
      <c r="AJ284" s="163" t="s">
        <v>36</v>
      </c>
      <c r="AK284" s="163" t="s">
        <v>2197</v>
      </c>
      <c r="AL284" s="163" t="s">
        <v>3797</v>
      </c>
      <c r="AM284" t="s">
        <v>4876</v>
      </c>
      <c r="AN284" s="487">
        <v>0</v>
      </c>
      <c r="AO284" s="487">
        <v>0</v>
      </c>
    </row>
    <row r="285" spans="1:41" x14ac:dyDescent="0.2">
      <c r="A285">
        <v>284</v>
      </c>
      <c r="B285" s="471" t="s">
        <v>3085</v>
      </c>
      <c r="C285" s="163" t="s">
        <v>1914</v>
      </c>
      <c r="D285" s="163" t="s">
        <v>4221</v>
      </c>
      <c r="E285" s="163" t="s">
        <v>2117</v>
      </c>
      <c r="F285" s="163" t="s">
        <v>2060</v>
      </c>
      <c r="G285" s="163" t="s">
        <v>36</v>
      </c>
      <c r="H285" s="163" t="s">
        <v>2200</v>
      </c>
      <c r="I285" s="163" t="s">
        <v>5734</v>
      </c>
      <c r="J285" s="163" t="s">
        <v>2468</v>
      </c>
      <c r="K285" s="163" t="s">
        <v>3130</v>
      </c>
      <c r="L285" s="163" t="s">
        <v>2191</v>
      </c>
      <c r="M285" s="549">
        <v>4</v>
      </c>
      <c r="N285" s="163" t="s">
        <v>1914</v>
      </c>
      <c r="O285" s="163" t="s">
        <v>3123</v>
      </c>
      <c r="P285" s="163" t="s">
        <v>2983</v>
      </c>
      <c r="Q285" s="163" t="s">
        <v>2276</v>
      </c>
      <c r="R285" s="163" t="s">
        <v>2367</v>
      </c>
      <c r="S285" s="163" t="s">
        <v>3131</v>
      </c>
      <c r="T285" s="163">
        <v>600</v>
      </c>
      <c r="U285" s="163" t="s">
        <v>1952</v>
      </c>
      <c r="V285" s="163" t="s">
        <v>2278</v>
      </c>
      <c r="W285" s="163" t="s">
        <v>3132</v>
      </c>
      <c r="X285" s="163" t="s">
        <v>2194</v>
      </c>
      <c r="Y285" s="163" t="s">
        <v>2391</v>
      </c>
      <c r="Z285" s="163" t="s">
        <v>3133</v>
      </c>
      <c r="AA285" s="163" t="s">
        <v>2194</v>
      </c>
      <c r="AB285" s="163" t="s">
        <v>36</v>
      </c>
      <c r="AC285" s="163" t="s">
        <v>2195</v>
      </c>
      <c r="AD285" s="163" t="s">
        <v>2196</v>
      </c>
      <c r="AE285" s="163" t="s">
        <v>1762</v>
      </c>
      <c r="AF285" s="163">
        <v>4</v>
      </c>
      <c r="AG285" s="163">
        <v>0</v>
      </c>
      <c r="AH285" s="163">
        <v>0</v>
      </c>
      <c r="AI285" s="163" t="s">
        <v>4008</v>
      </c>
      <c r="AJ285" s="163" t="s">
        <v>3967</v>
      </c>
      <c r="AK285" s="163" t="s">
        <v>2197</v>
      </c>
      <c r="AL285" s="163" t="s">
        <v>3797</v>
      </c>
      <c r="AM285" t="s">
        <v>4876</v>
      </c>
      <c r="AN285" s="487">
        <v>0</v>
      </c>
      <c r="AO285" s="487">
        <v>0</v>
      </c>
    </row>
    <row r="286" spans="1:41" x14ac:dyDescent="0.2">
      <c r="A286">
        <v>285</v>
      </c>
      <c r="B286" s="471" t="s">
        <v>3085</v>
      </c>
      <c r="C286" s="163" t="s">
        <v>827</v>
      </c>
      <c r="D286" s="163" t="s">
        <v>4222</v>
      </c>
      <c r="E286" s="163" t="s">
        <v>2117</v>
      </c>
      <c r="F286" s="163" t="s">
        <v>2060</v>
      </c>
      <c r="G286" s="163" t="s">
        <v>36</v>
      </c>
      <c r="H286" s="163" t="s">
        <v>2200</v>
      </c>
      <c r="I286" s="163" t="s">
        <v>5725</v>
      </c>
      <c r="J286" s="163" t="s">
        <v>2468</v>
      </c>
      <c r="K286" s="163" t="s">
        <v>3086</v>
      </c>
      <c r="L286" s="163" t="s">
        <v>2191</v>
      </c>
      <c r="M286" s="549">
        <v>4</v>
      </c>
      <c r="N286" s="163" t="s">
        <v>827</v>
      </c>
      <c r="O286" s="163" t="s">
        <v>5756</v>
      </c>
      <c r="P286" s="163" t="s">
        <v>3187</v>
      </c>
      <c r="Q286" s="163" t="s">
        <v>4936</v>
      </c>
      <c r="R286" s="163" t="s">
        <v>2367</v>
      </c>
      <c r="S286" s="163" t="s">
        <v>3131</v>
      </c>
      <c r="T286" s="163">
        <v>600</v>
      </c>
      <c r="U286" s="163" t="s">
        <v>2222</v>
      </c>
      <c r="V286" s="163" t="s">
        <v>2278</v>
      </c>
      <c r="W286" s="163" t="s">
        <v>3132</v>
      </c>
      <c r="X286" s="163" t="s">
        <v>4937</v>
      </c>
      <c r="Y286" s="163" t="s">
        <v>2391</v>
      </c>
      <c r="Z286" s="163" t="s">
        <v>3133</v>
      </c>
      <c r="AA286" s="163" t="s">
        <v>4937</v>
      </c>
      <c r="AB286" s="163" t="s">
        <v>36</v>
      </c>
      <c r="AC286" s="163" t="s">
        <v>2195</v>
      </c>
      <c r="AD286" s="163" t="s">
        <v>2196</v>
      </c>
      <c r="AE286" s="163" t="s">
        <v>1762</v>
      </c>
      <c r="AF286" s="163">
        <v>4</v>
      </c>
      <c r="AG286" s="163">
        <v>0</v>
      </c>
      <c r="AH286" s="163">
        <v>0</v>
      </c>
      <c r="AI286" s="163" t="s">
        <v>4008</v>
      </c>
      <c r="AJ286" s="163" t="s">
        <v>3967</v>
      </c>
      <c r="AK286" s="163" t="s">
        <v>2197</v>
      </c>
      <c r="AL286" s="163" t="s">
        <v>3797</v>
      </c>
      <c r="AM286" t="s">
        <v>4876</v>
      </c>
      <c r="AN286" s="487">
        <v>0</v>
      </c>
      <c r="AO286" s="487">
        <v>0</v>
      </c>
    </row>
    <row r="287" spans="1:41" x14ac:dyDescent="0.2">
      <c r="A287">
        <v>286</v>
      </c>
      <c r="B287" s="471" t="s">
        <v>3085</v>
      </c>
      <c r="C287" s="163" t="s">
        <v>831</v>
      </c>
      <c r="D287" s="163" t="s">
        <v>4223</v>
      </c>
      <c r="E287" s="163" t="s">
        <v>2117</v>
      </c>
      <c r="F287" s="163" t="s">
        <v>2060</v>
      </c>
      <c r="G287" s="163" t="s">
        <v>36</v>
      </c>
      <c r="H287" s="163" t="s">
        <v>2200</v>
      </c>
      <c r="I287" s="163" t="s">
        <v>5725</v>
      </c>
      <c r="J287" s="163" t="s">
        <v>2468</v>
      </c>
      <c r="K287" s="163" t="s">
        <v>4626</v>
      </c>
      <c r="L287" s="163" t="s">
        <v>5824</v>
      </c>
      <c r="M287" s="549">
        <v>5</v>
      </c>
      <c r="N287" s="163" t="s">
        <v>831</v>
      </c>
      <c r="O287" s="163" t="s">
        <v>906</v>
      </c>
      <c r="P287" s="163" t="s">
        <v>5825</v>
      </c>
      <c r="Q287" s="163" t="s">
        <v>4936</v>
      </c>
      <c r="R287" s="163" t="s">
        <v>2367</v>
      </c>
      <c r="S287" s="163" t="s">
        <v>5826</v>
      </c>
      <c r="T287" s="163">
        <v>75</v>
      </c>
      <c r="U287" s="163" t="s">
        <v>1952</v>
      </c>
      <c r="V287" s="163" t="s">
        <v>2980</v>
      </c>
      <c r="W287" s="163" t="s">
        <v>5827</v>
      </c>
      <c r="X287" s="163" t="s">
        <v>4937</v>
      </c>
      <c r="Y287" s="163" t="s">
        <v>111</v>
      </c>
      <c r="Z287" s="163" t="s">
        <v>111</v>
      </c>
      <c r="AA287" s="163" t="s">
        <v>111</v>
      </c>
      <c r="AB287" s="163" t="s">
        <v>36</v>
      </c>
      <c r="AC287" s="163" t="s">
        <v>2195</v>
      </c>
      <c r="AD287" s="163" t="s">
        <v>2196</v>
      </c>
      <c r="AE287" s="163" t="s">
        <v>1762</v>
      </c>
      <c r="AF287" s="163" t="s">
        <v>3419</v>
      </c>
      <c r="AG287" s="163" t="s">
        <v>36</v>
      </c>
      <c r="AH287" s="163" t="s">
        <v>36</v>
      </c>
      <c r="AI287" s="163" t="s">
        <v>36</v>
      </c>
      <c r="AJ287" s="163" t="s">
        <v>36</v>
      </c>
      <c r="AK287" s="163" t="s">
        <v>2197</v>
      </c>
      <c r="AL287" s="163" t="s">
        <v>3797</v>
      </c>
      <c r="AM287" t="s">
        <v>4876</v>
      </c>
      <c r="AN287" s="487">
        <v>0</v>
      </c>
      <c r="AO287" s="487">
        <v>0</v>
      </c>
    </row>
    <row r="288" spans="1:41" x14ac:dyDescent="0.2">
      <c r="A288">
        <v>287</v>
      </c>
      <c r="B288" s="471" t="s">
        <v>3085</v>
      </c>
      <c r="C288" s="163" t="s">
        <v>825</v>
      </c>
      <c r="D288" s="163" t="s">
        <v>4224</v>
      </c>
      <c r="E288" s="163" t="s">
        <v>2117</v>
      </c>
      <c r="F288" s="163" t="s">
        <v>2060</v>
      </c>
      <c r="G288" s="163" t="s">
        <v>36</v>
      </c>
      <c r="H288" s="163" t="s">
        <v>2200</v>
      </c>
      <c r="I288" s="163" t="s">
        <v>5725</v>
      </c>
      <c r="J288" s="163" t="s">
        <v>2468</v>
      </c>
      <c r="K288" s="163" t="s">
        <v>3130</v>
      </c>
      <c r="L288" s="163" t="s">
        <v>2616</v>
      </c>
      <c r="M288" s="549">
        <v>78700</v>
      </c>
      <c r="N288" s="163" t="s">
        <v>825</v>
      </c>
      <c r="O288" s="163" t="s">
        <v>5756</v>
      </c>
      <c r="P288" s="163" t="s">
        <v>3134</v>
      </c>
      <c r="Q288" s="163" t="s">
        <v>4936</v>
      </c>
      <c r="R288" s="163" t="s">
        <v>2358</v>
      </c>
      <c r="S288" s="163" t="s">
        <v>3135</v>
      </c>
      <c r="T288" s="163">
        <v>180</v>
      </c>
      <c r="U288" s="163" t="s">
        <v>2222</v>
      </c>
      <c r="V288" s="163" t="s">
        <v>2278</v>
      </c>
      <c r="W288" s="163" t="s">
        <v>3136</v>
      </c>
      <c r="X288" s="163" t="s">
        <v>4937</v>
      </c>
      <c r="Y288" s="163" t="s">
        <v>2391</v>
      </c>
      <c r="Z288" s="163" t="s">
        <v>3087</v>
      </c>
      <c r="AA288" s="163" t="s">
        <v>4937</v>
      </c>
      <c r="AB288" s="163" t="s">
        <v>36</v>
      </c>
      <c r="AC288" s="163" t="s">
        <v>2195</v>
      </c>
      <c r="AD288" s="163" t="s">
        <v>2196</v>
      </c>
      <c r="AE288" s="163" t="s">
        <v>1762</v>
      </c>
      <c r="AF288" s="163">
        <v>42.6</v>
      </c>
      <c r="AG288" s="163">
        <v>68</v>
      </c>
      <c r="AH288" s="163" t="s">
        <v>3936</v>
      </c>
      <c r="AI288" s="163" t="s">
        <v>36</v>
      </c>
      <c r="AJ288" s="163" t="s">
        <v>36</v>
      </c>
      <c r="AK288" s="163" t="s">
        <v>2197</v>
      </c>
      <c r="AL288" s="163" t="s">
        <v>3797</v>
      </c>
      <c r="AM288" t="s">
        <v>4876</v>
      </c>
      <c r="AN288" s="487">
        <v>0</v>
      </c>
      <c r="AO288" s="487">
        <v>0</v>
      </c>
    </row>
    <row r="289" spans="1:41" x14ac:dyDescent="0.2">
      <c r="A289">
        <v>288</v>
      </c>
      <c r="B289" s="471" t="s">
        <v>3085</v>
      </c>
      <c r="C289" s="163" t="s">
        <v>4741</v>
      </c>
      <c r="D289" s="163" t="s">
        <v>4742</v>
      </c>
      <c r="E289" s="163" t="s">
        <v>2117</v>
      </c>
      <c r="F289" s="163" t="s">
        <v>2060</v>
      </c>
      <c r="G289" s="163" t="s">
        <v>36</v>
      </c>
      <c r="H289" s="163" t="s">
        <v>2200</v>
      </c>
      <c r="I289" s="163" t="s">
        <v>5725</v>
      </c>
      <c r="J289" s="163" t="s">
        <v>2468</v>
      </c>
      <c r="K289" s="163" t="s">
        <v>2364</v>
      </c>
      <c r="L289" s="163" t="s">
        <v>4743</v>
      </c>
      <c r="M289" s="549" t="s">
        <v>4744</v>
      </c>
      <c r="N289" s="163" t="s">
        <v>4745</v>
      </c>
      <c r="O289" s="163" t="s">
        <v>3123</v>
      </c>
      <c r="P289" s="163" t="s">
        <v>3558</v>
      </c>
      <c r="Q289" s="163" t="s">
        <v>2276</v>
      </c>
      <c r="R289" s="163" t="s">
        <v>4746</v>
      </c>
      <c r="S289" s="163" t="s">
        <v>4747</v>
      </c>
      <c r="T289" s="163">
        <v>141.6</v>
      </c>
      <c r="U289" s="163" t="s">
        <v>1952</v>
      </c>
      <c r="V289" s="163" t="s">
        <v>2278</v>
      </c>
      <c r="W289" s="163" t="s">
        <v>4748</v>
      </c>
      <c r="X289" s="163" t="s">
        <v>2194</v>
      </c>
      <c r="Y289" s="163" t="s">
        <v>2391</v>
      </c>
      <c r="Z289" s="163" t="s">
        <v>3087</v>
      </c>
      <c r="AA289" s="163" t="s">
        <v>2194</v>
      </c>
      <c r="AB289" s="163" t="s">
        <v>36</v>
      </c>
      <c r="AC289" s="163" t="s">
        <v>2195</v>
      </c>
      <c r="AD289" s="163" t="s">
        <v>2196</v>
      </c>
      <c r="AE289" s="163" t="s">
        <v>1762</v>
      </c>
      <c r="AF289" s="163">
        <v>15.6</v>
      </c>
      <c r="AG289" s="163">
        <v>250</v>
      </c>
      <c r="AH289" s="163">
        <v>40</v>
      </c>
      <c r="AI289" s="163" t="s">
        <v>36</v>
      </c>
      <c r="AJ289" s="163" t="s">
        <v>36</v>
      </c>
      <c r="AK289" s="163" t="s">
        <v>2197</v>
      </c>
      <c r="AL289" s="163" t="s">
        <v>3797</v>
      </c>
      <c r="AM289" t="s">
        <v>4894</v>
      </c>
      <c r="AN289" s="487">
        <v>0</v>
      </c>
      <c r="AO289" s="487">
        <v>0</v>
      </c>
    </row>
    <row r="290" spans="1:41" x14ac:dyDescent="0.2">
      <c r="A290">
        <v>289</v>
      </c>
      <c r="B290" s="471" t="s">
        <v>3085</v>
      </c>
      <c r="C290" s="163" t="s">
        <v>821</v>
      </c>
      <c r="D290" s="163" t="s">
        <v>4225</v>
      </c>
      <c r="E290" s="163" t="s">
        <v>2117</v>
      </c>
      <c r="F290" s="163" t="s">
        <v>2060</v>
      </c>
      <c r="G290" s="163" t="s">
        <v>36</v>
      </c>
      <c r="H290" s="163" t="s">
        <v>2200</v>
      </c>
      <c r="I290" s="163" t="s">
        <v>5725</v>
      </c>
      <c r="J290" s="163" t="s">
        <v>2812</v>
      </c>
      <c r="K290" s="163" t="s">
        <v>3130</v>
      </c>
      <c r="L290" s="163" t="s">
        <v>111</v>
      </c>
      <c r="M290" s="549">
        <v>7</v>
      </c>
      <c r="N290" s="163" t="s">
        <v>821</v>
      </c>
      <c r="O290" s="163" t="s">
        <v>906</v>
      </c>
      <c r="P290" s="163" t="s">
        <v>2702</v>
      </c>
      <c r="Q290" s="163" t="s">
        <v>2276</v>
      </c>
      <c r="R290" s="163" t="s">
        <v>2358</v>
      </c>
      <c r="S290" s="163" t="s">
        <v>3137</v>
      </c>
      <c r="T290" s="163">
        <v>240</v>
      </c>
      <c r="U290" s="163" t="s">
        <v>2223</v>
      </c>
      <c r="V290" s="163" t="s">
        <v>2480</v>
      </c>
      <c r="W290" s="163">
        <v>431103000</v>
      </c>
      <c r="X290" s="163" t="s">
        <v>2194</v>
      </c>
      <c r="Y290" s="163" t="s">
        <v>111</v>
      </c>
      <c r="Z290" s="163" t="s">
        <v>111</v>
      </c>
      <c r="AA290" s="163" t="s">
        <v>111</v>
      </c>
      <c r="AB290" s="163" t="s">
        <v>36</v>
      </c>
      <c r="AC290" s="163" t="s">
        <v>2195</v>
      </c>
      <c r="AD290" s="163" t="s">
        <v>2196</v>
      </c>
      <c r="AE290" s="163" t="s">
        <v>1762</v>
      </c>
      <c r="AF290" s="163">
        <v>2.5</v>
      </c>
      <c r="AG290" s="163">
        <v>2</v>
      </c>
      <c r="AH290" s="163">
        <v>2</v>
      </c>
      <c r="AI290" s="163" t="s">
        <v>4009</v>
      </c>
      <c r="AJ290" s="163" t="s">
        <v>4010</v>
      </c>
      <c r="AK290" s="163" t="s">
        <v>2197</v>
      </c>
      <c r="AL290" s="163" t="s">
        <v>3797</v>
      </c>
      <c r="AM290" t="s">
        <v>4876</v>
      </c>
      <c r="AN290" s="487">
        <v>0</v>
      </c>
      <c r="AO290" s="487">
        <v>0</v>
      </c>
    </row>
    <row r="291" spans="1:41" x14ac:dyDescent="0.2">
      <c r="A291">
        <v>290</v>
      </c>
      <c r="B291" s="471" t="s">
        <v>3085</v>
      </c>
      <c r="C291" s="163" t="s">
        <v>4530</v>
      </c>
      <c r="D291" s="163" t="s">
        <v>4531</v>
      </c>
      <c r="E291" s="163" t="s">
        <v>2117</v>
      </c>
      <c r="F291" s="163" t="s">
        <v>2060</v>
      </c>
      <c r="G291" s="163" t="s">
        <v>36</v>
      </c>
      <c r="H291" s="163" t="s">
        <v>2200</v>
      </c>
      <c r="I291" s="163" t="s">
        <v>5758</v>
      </c>
      <c r="J291" s="163" t="s">
        <v>2468</v>
      </c>
      <c r="K291" s="163" t="s">
        <v>3130</v>
      </c>
      <c r="L291" s="163" t="s">
        <v>2987</v>
      </c>
      <c r="M291" s="549" t="s">
        <v>4532</v>
      </c>
      <c r="N291" s="163" t="s">
        <v>4530</v>
      </c>
      <c r="O291" s="163" t="s">
        <v>5756</v>
      </c>
      <c r="P291" s="163" t="s">
        <v>3555</v>
      </c>
      <c r="Q291" s="163" t="s">
        <v>4936</v>
      </c>
      <c r="R291" s="163" t="s">
        <v>4533</v>
      </c>
      <c r="S291" s="163" t="s">
        <v>4534</v>
      </c>
      <c r="T291" s="163">
        <v>601</v>
      </c>
      <c r="U291" s="163" t="s">
        <v>2222</v>
      </c>
      <c r="V291" s="163" t="s">
        <v>4535</v>
      </c>
      <c r="W291" s="163" t="s">
        <v>4536</v>
      </c>
      <c r="X291" s="163" t="s">
        <v>4937</v>
      </c>
      <c r="Y291" s="163" t="s">
        <v>4537</v>
      </c>
      <c r="Z291" s="163" t="s">
        <v>2327</v>
      </c>
      <c r="AA291" s="163" t="s">
        <v>4937</v>
      </c>
      <c r="AB291" s="163" t="s">
        <v>36</v>
      </c>
      <c r="AC291" s="163" t="s">
        <v>2195</v>
      </c>
      <c r="AD291" s="163" t="s">
        <v>2196</v>
      </c>
      <c r="AE291" s="163" t="s">
        <v>1762</v>
      </c>
      <c r="AF291" s="163" t="s">
        <v>3419</v>
      </c>
      <c r="AG291" s="163" t="s">
        <v>36</v>
      </c>
      <c r="AH291" s="163" t="s">
        <v>36</v>
      </c>
      <c r="AI291" s="163" t="s">
        <v>36</v>
      </c>
      <c r="AJ291" s="163" t="s">
        <v>36</v>
      </c>
      <c r="AK291" s="163" t="s">
        <v>2197</v>
      </c>
      <c r="AL291" s="163" t="s">
        <v>3797</v>
      </c>
      <c r="AM291" t="s">
        <v>4876</v>
      </c>
      <c r="AN291" s="487">
        <v>0</v>
      </c>
      <c r="AO291" s="487">
        <v>0</v>
      </c>
    </row>
    <row r="292" spans="1:41" x14ac:dyDescent="0.2">
      <c r="A292">
        <v>291</v>
      </c>
      <c r="B292" s="471" t="s">
        <v>3085</v>
      </c>
      <c r="C292" s="163" t="s">
        <v>5232</v>
      </c>
      <c r="D292" s="163" t="s">
        <v>5233</v>
      </c>
      <c r="E292" s="163" t="s">
        <v>2117</v>
      </c>
      <c r="F292" s="163" t="s">
        <v>2060</v>
      </c>
      <c r="G292" s="163" t="s">
        <v>36</v>
      </c>
      <c r="H292" s="163" t="s">
        <v>2200</v>
      </c>
      <c r="I292" s="163" t="s">
        <v>5234</v>
      </c>
      <c r="J292" s="163" t="s">
        <v>2468</v>
      </c>
      <c r="K292" s="163" t="s">
        <v>3130</v>
      </c>
      <c r="L292" s="163" t="s">
        <v>2987</v>
      </c>
      <c r="M292" s="549" t="s">
        <v>4532</v>
      </c>
      <c r="N292" s="163" t="s">
        <v>4530</v>
      </c>
      <c r="O292" s="163" t="s">
        <v>3123</v>
      </c>
      <c r="P292" s="163" t="s">
        <v>3555</v>
      </c>
      <c r="Q292" s="163" t="s">
        <v>4936</v>
      </c>
      <c r="R292" s="163" t="s">
        <v>4533</v>
      </c>
      <c r="S292" s="163" t="s">
        <v>4534</v>
      </c>
      <c r="T292" s="163">
        <v>601</v>
      </c>
      <c r="U292" s="163" t="s">
        <v>1952</v>
      </c>
      <c r="V292" s="163" t="s">
        <v>4535</v>
      </c>
      <c r="W292" s="163" t="s">
        <v>4536</v>
      </c>
      <c r="X292" s="163" t="s">
        <v>4937</v>
      </c>
      <c r="Y292" s="163" t="s">
        <v>4537</v>
      </c>
      <c r="Z292" s="163" t="s">
        <v>2327</v>
      </c>
      <c r="AA292" s="163" t="s">
        <v>4937</v>
      </c>
      <c r="AB292" s="163" t="s">
        <v>36</v>
      </c>
      <c r="AC292" s="163" t="s">
        <v>2195</v>
      </c>
      <c r="AD292" s="163" t="s">
        <v>2196</v>
      </c>
      <c r="AE292" s="163" t="s">
        <v>1762</v>
      </c>
      <c r="AF292" s="163" t="s">
        <v>3419</v>
      </c>
      <c r="AG292" s="163" t="s">
        <v>36</v>
      </c>
      <c r="AH292" s="163" t="s">
        <v>36</v>
      </c>
      <c r="AI292" s="163" t="s">
        <v>36</v>
      </c>
      <c r="AJ292" s="163" t="s">
        <v>36</v>
      </c>
      <c r="AK292" s="163" t="s">
        <v>2197</v>
      </c>
      <c r="AL292" s="163" t="s">
        <v>3797</v>
      </c>
      <c r="AM292" t="s">
        <v>4876</v>
      </c>
      <c r="AN292" s="487"/>
      <c r="AO292" s="487"/>
    </row>
    <row r="293" spans="1:41" x14ac:dyDescent="0.2">
      <c r="A293">
        <v>292</v>
      </c>
      <c r="B293" s="471" t="s">
        <v>3085</v>
      </c>
      <c r="C293" s="163" t="s">
        <v>823</v>
      </c>
      <c r="D293" s="163" t="s">
        <v>4226</v>
      </c>
      <c r="E293" s="163" t="s">
        <v>2117</v>
      </c>
      <c r="F293" s="163" t="s">
        <v>2060</v>
      </c>
      <c r="G293" s="163" t="s">
        <v>36</v>
      </c>
      <c r="H293" s="163" t="s">
        <v>2200</v>
      </c>
      <c r="I293" s="163" t="s">
        <v>5725</v>
      </c>
      <c r="J293" s="163" t="s">
        <v>2812</v>
      </c>
      <c r="K293" s="163" t="s">
        <v>3130</v>
      </c>
      <c r="L293" s="163" t="s">
        <v>2191</v>
      </c>
      <c r="M293" s="549">
        <v>8</v>
      </c>
      <c r="N293" s="163" t="s">
        <v>823</v>
      </c>
      <c r="O293" s="163" t="s">
        <v>906</v>
      </c>
      <c r="P293" s="163" t="s">
        <v>3138</v>
      </c>
      <c r="Q293" s="163" t="s">
        <v>2276</v>
      </c>
      <c r="R293" s="163" t="s">
        <v>2367</v>
      </c>
      <c r="S293" s="163" t="s">
        <v>3137</v>
      </c>
      <c r="T293" s="163">
        <v>240</v>
      </c>
      <c r="U293" s="163" t="s">
        <v>2223</v>
      </c>
      <c r="V293" s="163" t="s">
        <v>3139</v>
      </c>
      <c r="W293" s="163" t="s">
        <v>3140</v>
      </c>
      <c r="X293" s="163" t="s">
        <v>2194</v>
      </c>
      <c r="Y293" s="163" t="s">
        <v>111</v>
      </c>
      <c r="Z293" s="163" t="s">
        <v>111</v>
      </c>
      <c r="AA293" s="163" t="s">
        <v>111</v>
      </c>
      <c r="AB293" s="163" t="s">
        <v>36</v>
      </c>
      <c r="AC293" s="163" t="s">
        <v>2195</v>
      </c>
      <c r="AD293" s="163" t="s">
        <v>2196</v>
      </c>
      <c r="AE293" s="163" t="s">
        <v>1762</v>
      </c>
      <c r="AF293" s="163">
        <v>4</v>
      </c>
      <c r="AG293" s="163">
        <v>0</v>
      </c>
      <c r="AH293" s="163">
        <v>0</v>
      </c>
      <c r="AI293" s="163" t="s">
        <v>4008</v>
      </c>
      <c r="AJ293" s="163" t="s">
        <v>36</v>
      </c>
      <c r="AK293" s="163" t="s">
        <v>2197</v>
      </c>
      <c r="AL293" s="163" t="s">
        <v>3797</v>
      </c>
      <c r="AM293" t="s">
        <v>4876</v>
      </c>
      <c r="AN293" s="487">
        <v>0</v>
      </c>
      <c r="AO293" s="487">
        <v>0</v>
      </c>
    </row>
    <row r="294" spans="1:41" x14ac:dyDescent="0.2">
      <c r="A294">
        <v>293</v>
      </c>
      <c r="B294" s="471" t="s">
        <v>3085</v>
      </c>
      <c r="C294" s="163" t="s">
        <v>4696</v>
      </c>
      <c r="D294" s="163" t="s">
        <v>4697</v>
      </c>
      <c r="E294" s="163" t="s">
        <v>2117</v>
      </c>
      <c r="F294" s="163" t="s">
        <v>2060</v>
      </c>
      <c r="G294" s="163" t="s">
        <v>36</v>
      </c>
      <c r="H294" s="163" t="s">
        <v>2200</v>
      </c>
      <c r="I294" s="163" t="s">
        <v>5725</v>
      </c>
      <c r="J294" s="163" t="s">
        <v>2468</v>
      </c>
      <c r="K294" s="163" t="s">
        <v>1120</v>
      </c>
      <c r="L294" s="163" t="s">
        <v>2541</v>
      </c>
      <c r="M294" s="549">
        <v>9</v>
      </c>
      <c r="N294" s="163" t="s">
        <v>841</v>
      </c>
      <c r="O294" s="163" t="s">
        <v>3123</v>
      </c>
      <c r="P294" s="163" t="s">
        <v>3105</v>
      </c>
      <c r="Q294" s="163" t="s">
        <v>2276</v>
      </c>
      <c r="R294" s="163" t="s">
        <v>2193</v>
      </c>
      <c r="S294" s="163" t="s">
        <v>3106</v>
      </c>
      <c r="T294" s="163">
        <v>73.900000000000006</v>
      </c>
      <c r="U294" s="163" t="s">
        <v>1952</v>
      </c>
      <c r="V294" s="163" t="s">
        <v>2432</v>
      </c>
      <c r="W294" s="163" t="s">
        <v>3107</v>
      </c>
      <c r="X294" s="163" t="s">
        <v>2194</v>
      </c>
      <c r="Y294" s="163" t="s">
        <v>3161</v>
      </c>
      <c r="Z294" s="163" t="s">
        <v>5290</v>
      </c>
      <c r="AA294" s="163" t="s">
        <v>2194</v>
      </c>
      <c r="AB294" s="163" t="s">
        <v>36</v>
      </c>
      <c r="AC294" s="163" t="s">
        <v>2195</v>
      </c>
      <c r="AD294" s="163" t="s">
        <v>2196</v>
      </c>
      <c r="AE294" s="163" t="s">
        <v>1762</v>
      </c>
      <c r="AF294" s="163">
        <v>0.8</v>
      </c>
      <c r="AG294" s="163">
        <v>1</v>
      </c>
      <c r="AH294" s="163">
        <v>4.05</v>
      </c>
      <c r="AI294" s="163" t="s">
        <v>4006</v>
      </c>
      <c r="AJ294" s="163" t="s">
        <v>36</v>
      </c>
      <c r="AK294" s="163" t="s">
        <v>2197</v>
      </c>
      <c r="AL294" s="163" t="s">
        <v>3797</v>
      </c>
      <c r="AM294" t="s">
        <v>4894</v>
      </c>
      <c r="AN294" s="487">
        <v>0</v>
      </c>
      <c r="AO294" s="487">
        <v>0</v>
      </c>
    </row>
    <row r="295" spans="1:41" x14ac:dyDescent="0.2">
      <c r="A295">
        <v>294</v>
      </c>
      <c r="B295" s="471" t="s">
        <v>3085</v>
      </c>
      <c r="C295" s="163" t="s">
        <v>841</v>
      </c>
      <c r="D295" s="163" t="s">
        <v>4227</v>
      </c>
      <c r="E295" s="163" t="s">
        <v>2117</v>
      </c>
      <c r="F295" s="163" t="s">
        <v>2060</v>
      </c>
      <c r="G295" s="163" t="s">
        <v>36</v>
      </c>
      <c r="H295" s="163" t="s">
        <v>2200</v>
      </c>
      <c r="I295" s="163" t="s">
        <v>5725</v>
      </c>
      <c r="J295" s="163" t="s">
        <v>2812</v>
      </c>
      <c r="K295" s="163" t="s">
        <v>1120</v>
      </c>
      <c r="L295" s="163" t="s">
        <v>2541</v>
      </c>
      <c r="M295" s="549">
        <v>9</v>
      </c>
      <c r="N295" s="163" t="s">
        <v>841</v>
      </c>
      <c r="O295" s="163" t="s">
        <v>906</v>
      </c>
      <c r="P295" s="163" t="s">
        <v>3105</v>
      </c>
      <c r="Q295" s="163" t="s">
        <v>4936</v>
      </c>
      <c r="R295" s="163" t="s">
        <v>2193</v>
      </c>
      <c r="S295" s="163" t="s">
        <v>3106</v>
      </c>
      <c r="T295" s="163">
        <v>73.900000000000006</v>
      </c>
      <c r="U295" s="163" t="s">
        <v>2223</v>
      </c>
      <c r="V295" s="163" t="s">
        <v>2432</v>
      </c>
      <c r="W295" s="163" t="s">
        <v>3107</v>
      </c>
      <c r="X295" s="163" t="s">
        <v>4937</v>
      </c>
      <c r="Y295" s="163" t="s">
        <v>5123</v>
      </c>
      <c r="Z295" s="163" t="s">
        <v>5290</v>
      </c>
      <c r="AA295" s="163" t="s">
        <v>4937</v>
      </c>
      <c r="AB295" s="163" t="s">
        <v>36</v>
      </c>
      <c r="AC295" s="163" t="s">
        <v>2195</v>
      </c>
      <c r="AD295" s="163" t="s">
        <v>2196</v>
      </c>
      <c r="AE295" s="163" t="s">
        <v>1762</v>
      </c>
      <c r="AF295" s="163">
        <v>0.8</v>
      </c>
      <c r="AG295" s="163">
        <v>1</v>
      </c>
      <c r="AH295" s="163">
        <v>4.05</v>
      </c>
      <c r="AI295" s="163" t="s">
        <v>4006</v>
      </c>
      <c r="AJ295" s="163" t="s">
        <v>36</v>
      </c>
      <c r="AK295" s="163" t="s">
        <v>2197</v>
      </c>
      <c r="AL295" s="163" t="s">
        <v>3797</v>
      </c>
      <c r="AM295" t="s">
        <v>4879</v>
      </c>
      <c r="AN295" s="487">
        <v>0</v>
      </c>
      <c r="AO295" s="487">
        <v>0</v>
      </c>
    </row>
    <row r="296" spans="1:41" x14ac:dyDescent="0.2">
      <c r="A296">
        <v>295</v>
      </c>
      <c r="B296" s="471" t="s">
        <v>3085</v>
      </c>
      <c r="C296" s="163" t="s">
        <v>1974</v>
      </c>
      <c r="D296" s="163" t="s">
        <v>4228</v>
      </c>
      <c r="E296" s="163" t="s">
        <v>2117</v>
      </c>
      <c r="F296" s="163" t="s">
        <v>2060</v>
      </c>
      <c r="G296" s="163" t="s">
        <v>36</v>
      </c>
      <c r="H296" s="163" t="s">
        <v>2200</v>
      </c>
      <c r="I296" s="163" t="s">
        <v>5734</v>
      </c>
      <c r="J296" s="163" t="s">
        <v>2468</v>
      </c>
      <c r="K296" s="163" t="s">
        <v>3098</v>
      </c>
      <c r="L296" s="163" t="s">
        <v>3099</v>
      </c>
      <c r="M296" s="549" t="s">
        <v>3128</v>
      </c>
      <c r="N296" s="163" t="s">
        <v>3129</v>
      </c>
      <c r="O296" s="163" t="s">
        <v>3123</v>
      </c>
      <c r="P296" s="163" t="s">
        <v>5165</v>
      </c>
      <c r="Q296" s="163" t="s">
        <v>2276</v>
      </c>
      <c r="R296" s="163" t="s">
        <v>2367</v>
      </c>
      <c r="S296" s="163" t="s">
        <v>3101</v>
      </c>
      <c r="T296" s="163">
        <v>630</v>
      </c>
      <c r="U296" s="163" t="s">
        <v>1952</v>
      </c>
      <c r="V296" s="163" t="s">
        <v>2278</v>
      </c>
      <c r="W296" s="163" t="s">
        <v>3102</v>
      </c>
      <c r="X296" s="163" t="s">
        <v>2194</v>
      </c>
      <c r="Y296" s="163" t="s">
        <v>2391</v>
      </c>
      <c r="Z296" s="163" t="s">
        <v>3103</v>
      </c>
      <c r="AA296" s="163" t="s">
        <v>2194</v>
      </c>
      <c r="AB296" s="163" t="s">
        <v>3104</v>
      </c>
      <c r="AC296" s="163" t="s">
        <v>2195</v>
      </c>
      <c r="AD296" s="163" t="s">
        <v>2196</v>
      </c>
      <c r="AE296" s="163" t="s">
        <v>1762</v>
      </c>
      <c r="AF296" s="163">
        <v>17</v>
      </c>
      <c r="AG296" s="163">
        <v>60</v>
      </c>
      <c r="AH296" s="163">
        <v>10</v>
      </c>
      <c r="AI296" s="163" t="s">
        <v>4005</v>
      </c>
      <c r="AJ296" s="163" t="s">
        <v>36</v>
      </c>
      <c r="AK296" s="163" t="s">
        <v>2197</v>
      </c>
      <c r="AL296" s="163" t="s">
        <v>3797</v>
      </c>
      <c r="AM296" t="s">
        <v>4894</v>
      </c>
      <c r="AN296" s="487">
        <v>0</v>
      </c>
      <c r="AO296" s="487">
        <v>0</v>
      </c>
    </row>
    <row r="297" spans="1:41" x14ac:dyDescent="0.2">
      <c r="A297">
        <v>296</v>
      </c>
      <c r="B297" s="471" t="s">
        <v>3085</v>
      </c>
      <c r="C297" s="163" t="s">
        <v>843</v>
      </c>
      <c r="D297" s="163" t="s">
        <v>4229</v>
      </c>
      <c r="E297" s="163" t="s">
        <v>2117</v>
      </c>
      <c r="F297" s="163" t="s">
        <v>2060</v>
      </c>
      <c r="G297" s="163" t="s">
        <v>36</v>
      </c>
      <c r="H297" s="163" t="s">
        <v>2200</v>
      </c>
      <c r="I297" s="163" t="s">
        <v>5725</v>
      </c>
      <c r="J297" s="163" t="s">
        <v>2468</v>
      </c>
      <c r="K297" s="163" t="s">
        <v>3098</v>
      </c>
      <c r="L297" s="163" t="s">
        <v>3099</v>
      </c>
      <c r="M297" s="549" t="s">
        <v>3100</v>
      </c>
      <c r="N297" s="163" t="s">
        <v>843</v>
      </c>
      <c r="O297" s="163" t="s">
        <v>5756</v>
      </c>
      <c r="P297" s="163" t="s">
        <v>5186</v>
      </c>
      <c r="Q297" s="163" t="s">
        <v>4936</v>
      </c>
      <c r="R297" s="163" t="s">
        <v>2367</v>
      </c>
      <c r="S297" s="163" t="s">
        <v>3101</v>
      </c>
      <c r="T297" s="163">
        <v>630</v>
      </c>
      <c r="U297" s="163" t="s">
        <v>2222</v>
      </c>
      <c r="V297" s="163" t="s">
        <v>2278</v>
      </c>
      <c r="W297" s="163" t="s">
        <v>3102</v>
      </c>
      <c r="X297" s="163" t="s">
        <v>4937</v>
      </c>
      <c r="Y297" s="163" t="s">
        <v>2391</v>
      </c>
      <c r="Z297" s="163" t="s">
        <v>3103</v>
      </c>
      <c r="AA297" s="163" t="s">
        <v>4937</v>
      </c>
      <c r="AB297" s="163" t="s">
        <v>3104</v>
      </c>
      <c r="AC297" s="163" t="s">
        <v>2195</v>
      </c>
      <c r="AD297" s="163" t="s">
        <v>2196</v>
      </c>
      <c r="AE297" s="163" t="s">
        <v>1762</v>
      </c>
      <c r="AF297" s="163">
        <v>17</v>
      </c>
      <c r="AG297" s="163">
        <v>60</v>
      </c>
      <c r="AH297" s="163">
        <v>10</v>
      </c>
      <c r="AI297" s="163" t="s">
        <v>4005</v>
      </c>
      <c r="AJ297" s="163" t="s">
        <v>36</v>
      </c>
      <c r="AK297" s="163" t="s">
        <v>2197</v>
      </c>
      <c r="AL297" s="163" t="s">
        <v>3797</v>
      </c>
      <c r="AM297" t="s">
        <v>4876</v>
      </c>
      <c r="AN297" s="487">
        <v>0</v>
      </c>
      <c r="AO297" s="487">
        <v>0</v>
      </c>
    </row>
    <row r="298" spans="1:41" x14ac:dyDescent="0.2">
      <c r="A298">
        <v>297</v>
      </c>
      <c r="B298" s="471" t="s">
        <v>3085</v>
      </c>
      <c r="C298" s="163" t="s">
        <v>5235</v>
      </c>
      <c r="D298" s="163" t="s">
        <v>5236</v>
      </c>
      <c r="E298" s="163" t="s">
        <v>2117</v>
      </c>
      <c r="F298" s="163" t="s">
        <v>2060</v>
      </c>
      <c r="G298" s="163" t="s">
        <v>36</v>
      </c>
      <c r="H298" s="163" t="s">
        <v>2200</v>
      </c>
      <c r="I298" s="163" t="s">
        <v>5725</v>
      </c>
      <c r="J298" s="163" t="s">
        <v>2812</v>
      </c>
      <c r="K298" s="163" t="s">
        <v>1123</v>
      </c>
      <c r="L298" s="163" t="s">
        <v>3088</v>
      </c>
      <c r="M298" s="549" t="s">
        <v>3089</v>
      </c>
      <c r="N298" s="163" t="s">
        <v>5235</v>
      </c>
      <c r="O298" s="163" t="s">
        <v>906</v>
      </c>
      <c r="P298" s="163" t="s">
        <v>3090</v>
      </c>
      <c r="Q298" s="163" t="s">
        <v>2276</v>
      </c>
      <c r="R298" s="163" t="s">
        <v>2193</v>
      </c>
      <c r="S298" s="163" t="s">
        <v>3091</v>
      </c>
      <c r="T298" s="163">
        <v>564.6</v>
      </c>
      <c r="U298" s="163" t="s">
        <v>2223</v>
      </c>
      <c r="V298" s="163" t="s">
        <v>3092</v>
      </c>
      <c r="W298" s="163" t="s">
        <v>3093</v>
      </c>
      <c r="X298" s="163" t="s">
        <v>2194</v>
      </c>
      <c r="Y298" s="163" t="s">
        <v>5069</v>
      </c>
      <c r="Z298" s="163">
        <v>12347135</v>
      </c>
      <c r="AA298" s="163" t="s">
        <v>2194</v>
      </c>
      <c r="AB298" s="163" t="s">
        <v>3066</v>
      </c>
      <c r="AC298" s="163" t="s">
        <v>2195</v>
      </c>
      <c r="AD298" s="163" t="s">
        <v>2196</v>
      </c>
      <c r="AE298" s="163" t="s">
        <v>1762</v>
      </c>
      <c r="AF298" s="163" t="s">
        <v>3419</v>
      </c>
      <c r="AG298" s="163" t="s">
        <v>36</v>
      </c>
      <c r="AH298" s="163" t="s">
        <v>36</v>
      </c>
      <c r="AI298" s="163" t="s">
        <v>36</v>
      </c>
      <c r="AJ298" s="163" t="s">
        <v>36</v>
      </c>
      <c r="AK298" s="163" t="s">
        <v>2197</v>
      </c>
      <c r="AL298" s="163" t="s">
        <v>3797</v>
      </c>
      <c r="AM298" t="s">
        <v>4877</v>
      </c>
      <c r="AN298" s="487"/>
      <c r="AO298" s="487"/>
    </row>
    <row r="299" spans="1:41" x14ac:dyDescent="0.2">
      <c r="A299">
        <v>298</v>
      </c>
      <c r="B299" s="471" t="s">
        <v>3085</v>
      </c>
      <c r="C299" s="163" t="s">
        <v>5237</v>
      </c>
      <c r="D299" s="163" t="s">
        <v>5238</v>
      </c>
      <c r="E299" s="163" t="s">
        <v>2117</v>
      </c>
      <c r="F299" s="163" t="s">
        <v>2060</v>
      </c>
      <c r="G299" s="163" t="s">
        <v>36</v>
      </c>
      <c r="H299" s="163" t="s">
        <v>2200</v>
      </c>
      <c r="I299" s="163" t="s">
        <v>5734</v>
      </c>
      <c r="J299" s="163" t="s">
        <v>2812</v>
      </c>
      <c r="K299" s="163" t="s">
        <v>1123</v>
      </c>
      <c r="L299" s="163" t="s">
        <v>3088</v>
      </c>
      <c r="M299" s="549" t="s">
        <v>3089</v>
      </c>
      <c r="N299" s="163" t="s">
        <v>5235</v>
      </c>
      <c r="O299" s="163" t="s">
        <v>906</v>
      </c>
      <c r="P299" s="163" t="s">
        <v>3090</v>
      </c>
      <c r="Q299" s="163" t="s">
        <v>2276</v>
      </c>
      <c r="R299" s="163" t="s">
        <v>2193</v>
      </c>
      <c r="S299" s="163" t="s">
        <v>3091</v>
      </c>
      <c r="T299" s="163">
        <v>564.6</v>
      </c>
      <c r="U299" s="163" t="s">
        <v>1952</v>
      </c>
      <c r="V299" s="163" t="s">
        <v>4914</v>
      </c>
      <c r="W299" s="163" t="s">
        <v>3093</v>
      </c>
      <c r="X299" s="163" t="s">
        <v>2333</v>
      </c>
      <c r="Y299" s="163" t="s">
        <v>3094</v>
      </c>
      <c r="Z299" s="163" t="s">
        <v>3095</v>
      </c>
      <c r="AA299" s="163" t="s">
        <v>2194</v>
      </c>
      <c r="AB299" s="163" t="s">
        <v>4915</v>
      </c>
      <c r="AC299" s="163" t="s">
        <v>2195</v>
      </c>
      <c r="AD299" s="163" t="s">
        <v>2196</v>
      </c>
      <c r="AE299" s="163" t="s">
        <v>1762</v>
      </c>
      <c r="AF299" s="163" t="s">
        <v>3419</v>
      </c>
      <c r="AG299" s="163" t="s">
        <v>36</v>
      </c>
      <c r="AH299" s="163" t="s">
        <v>36</v>
      </c>
      <c r="AI299" s="163" t="s">
        <v>36</v>
      </c>
      <c r="AJ299" s="163" t="s">
        <v>36</v>
      </c>
      <c r="AK299" s="163" t="s">
        <v>2197</v>
      </c>
      <c r="AL299" s="163" t="s">
        <v>3797</v>
      </c>
      <c r="AM299" t="s">
        <v>4894</v>
      </c>
      <c r="AN299" s="487"/>
      <c r="AO299" s="487"/>
    </row>
    <row r="300" spans="1:41" x14ac:dyDescent="0.2">
      <c r="A300">
        <v>299</v>
      </c>
      <c r="B300" s="471" t="s">
        <v>3085</v>
      </c>
      <c r="C300" s="163" t="s">
        <v>4823</v>
      </c>
      <c r="D300" s="163" t="s">
        <v>4824</v>
      </c>
      <c r="E300" s="163" t="s">
        <v>2117</v>
      </c>
      <c r="F300" s="163" t="s">
        <v>2060</v>
      </c>
      <c r="G300" s="163" t="s">
        <v>36</v>
      </c>
      <c r="H300" s="163" t="s">
        <v>2200</v>
      </c>
      <c r="I300" s="163" t="s">
        <v>5758</v>
      </c>
      <c r="J300" s="163" t="s">
        <v>2468</v>
      </c>
      <c r="K300" s="163" t="s">
        <v>4825</v>
      </c>
      <c r="L300" s="163" t="s">
        <v>4826</v>
      </c>
      <c r="M300" s="549" t="s">
        <v>4827</v>
      </c>
      <c r="N300" s="163" t="s">
        <v>4828</v>
      </c>
      <c r="O300" s="163" t="s">
        <v>3123</v>
      </c>
      <c r="P300" s="163" t="s">
        <v>4829</v>
      </c>
      <c r="Q300" s="163" t="s">
        <v>2276</v>
      </c>
      <c r="R300" s="163" t="s">
        <v>4533</v>
      </c>
      <c r="S300" s="163" t="s">
        <v>4830</v>
      </c>
      <c r="T300" s="163">
        <v>538.70000000000005</v>
      </c>
      <c r="U300" s="163" t="s">
        <v>1952</v>
      </c>
      <c r="V300" s="163" t="s">
        <v>2613</v>
      </c>
      <c r="W300" s="163" t="s">
        <v>4831</v>
      </c>
      <c r="X300" s="163" t="s">
        <v>2194</v>
      </c>
      <c r="Y300" s="163" t="s">
        <v>3161</v>
      </c>
      <c r="Z300" s="163">
        <v>12347139</v>
      </c>
      <c r="AA300" s="163" t="s">
        <v>2194</v>
      </c>
      <c r="AB300" s="163" t="s">
        <v>4832</v>
      </c>
      <c r="AC300" s="163" t="s">
        <v>2195</v>
      </c>
      <c r="AD300" s="163" t="s">
        <v>2196</v>
      </c>
      <c r="AE300" s="163" t="s">
        <v>1762</v>
      </c>
      <c r="AF300" s="163">
        <v>123</v>
      </c>
      <c r="AG300" s="163">
        <v>1.6</v>
      </c>
      <c r="AH300" s="163">
        <v>2.62</v>
      </c>
      <c r="AI300" s="163" t="s">
        <v>111</v>
      </c>
      <c r="AJ300" s="163" t="s">
        <v>111</v>
      </c>
      <c r="AK300" s="163" t="s">
        <v>2197</v>
      </c>
      <c r="AL300" s="163" t="s">
        <v>3797</v>
      </c>
      <c r="AM300" t="s">
        <v>4894</v>
      </c>
      <c r="AN300" s="487">
        <v>0</v>
      </c>
      <c r="AO300" s="487">
        <v>0</v>
      </c>
    </row>
    <row r="301" spans="1:41" x14ac:dyDescent="0.2">
      <c r="A301">
        <v>300</v>
      </c>
      <c r="B301" s="471" t="s">
        <v>3085</v>
      </c>
      <c r="C301" s="163" t="s">
        <v>4624</v>
      </c>
      <c r="D301" s="163" t="s">
        <v>4625</v>
      </c>
      <c r="E301" s="163" t="s">
        <v>2117</v>
      </c>
      <c r="F301" s="163" t="s">
        <v>2060</v>
      </c>
      <c r="G301" s="163" t="s">
        <v>36</v>
      </c>
      <c r="H301" s="163" t="s">
        <v>2200</v>
      </c>
      <c r="I301" s="163" t="s">
        <v>5725</v>
      </c>
      <c r="J301" s="163" t="s">
        <v>2468</v>
      </c>
      <c r="K301" s="163" t="s">
        <v>4626</v>
      </c>
      <c r="L301" s="163" t="s">
        <v>3157</v>
      </c>
      <c r="M301" s="549" t="s">
        <v>3158</v>
      </c>
      <c r="N301" s="163" t="s">
        <v>3146</v>
      </c>
      <c r="O301" s="163" t="s">
        <v>906</v>
      </c>
      <c r="P301" s="163" t="s">
        <v>5187</v>
      </c>
      <c r="Q301" s="163" t="s">
        <v>2276</v>
      </c>
      <c r="R301" s="163" t="s">
        <v>2193</v>
      </c>
      <c r="S301" s="163" t="s">
        <v>3159</v>
      </c>
      <c r="T301" s="163">
        <v>528</v>
      </c>
      <c r="U301" s="163" t="s">
        <v>2223</v>
      </c>
      <c r="V301" s="163" t="s">
        <v>2613</v>
      </c>
      <c r="W301" s="163" t="s">
        <v>3160</v>
      </c>
      <c r="X301" s="163" t="s">
        <v>2194</v>
      </c>
      <c r="Y301" s="163" t="s">
        <v>3161</v>
      </c>
      <c r="Z301" s="163" t="s">
        <v>4631</v>
      </c>
      <c r="AA301" s="163" t="s">
        <v>2194</v>
      </c>
      <c r="AB301" s="163" t="s">
        <v>36</v>
      </c>
      <c r="AC301" s="163" t="s">
        <v>2195</v>
      </c>
      <c r="AD301" s="163" t="s">
        <v>2196</v>
      </c>
      <c r="AE301" s="163" t="s">
        <v>1762</v>
      </c>
      <c r="AF301" s="163">
        <v>25</v>
      </c>
      <c r="AG301" s="163">
        <v>385</v>
      </c>
      <c r="AH301" s="163">
        <v>8</v>
      </c>
      <c r="AI301" s="163" t="s">
        <v>4004</v>
      </c>
      <c r="AJ301" s="163" t="s">
        <v>36</v>
      </c>
      <c r="AK301" s="163" t="s">
        <v>2197</v>
      </c>
      <c r="AL301" s="163" t="s">
        <v>3797</v>
      </c>
      <c r="AM301" t="s">
        <v>4879</v>
      </c>
      <c r="AN301" s="487">
        <v>0</v>
      </c>
      <c r="AO301" s="487">
        <v>0</v>
      </c>
    </row>
    <row r="302" spans="1:41" x14ac:dyDescent="0.2">
      <c r="A302">
        <v>301</v>
      </c>
      <c r="B302" s="471" t="s">
        <v>3085</v>
      </c>
      <c r="C302" s="163" t="s">
        <v>4627</v>
      </c>
      <c r="D302" s="163" t="s">
        <v>4628</v>
      </c>
      <c r="E302" s="163" t="s">
        <v>2117</v>
      </c>
      <c r="F302" s="163" t="s">
        <v>2060</v>
      </c>
      <c r="G302" s="163" t="s">
        <v>36</v>
      </c>
      <c r="H302" s="163" t="s">
        <v>2200</v>
      </c>
      <c r="I302" s="163" t="s">
        <v>5734</v>
      </c>
      <c r="J302" s="163" t="s">
        <v>2468</v>
      </c>
      <c r="K302" s="163" t="s">
        <v>4629</v>
      </c>
      <c r="L302" s="163" t="s">
        <v>3157</v>
      </c>
      <c r="M302" s="549" t="s">
        <v>3158</v>
      </c>
      <c r="N302" s="163" t="s">
        <v>3146</v>
      </c>
      <c r="O302" s="163" t="s">
        <v>3123</v>
      </c>
      <c r="P302" s="163" t="s">
        <v>5187</v>
      </c>
      <c r="Q302" s="163" t="s">
        <v>2276</v>
      </c>
      <c r="R302" s="163" t="s">
        <v>2193</v>
      </c>
      <c r="S302" s="163" t="s">
        <v>3159</v>
      </c>
      <c r="T302" s="163">
        <v>528</v>
      </c>
      <c r="U302" s="163" t="s">
        <v>1952</v>
      </c>
      <c r="V302" s="163" t="s">
        <v>2613</v>
      </c>
      <c r="W302" s="163" t="s">
        <v>3160</v>
      </c>
      <c r="X302" s="163" t="s">
        <v>2194</v>
      </c>
      <c r="Y302" s="163" t="s">
        <v>3161</v>
      </c>
      <c r="Z302" s="163" t="s">
        <v>4631</v>
      </c>
      <c r="AA302" s="163" t="s">
        <v>2194</v>
      </c>
      <c r="AB302" s="163" t="s">
        <v>36</v>
      </c>
      <c r="AC302" s="163" t="s">
        <v>2195</v>
      </c>
      <c r="AD302" s="163" t="s">
        <v>2196</v>
      </c>
      <c r="AE302" s="163" t="s">
        <v>1762</v>
      </c>
      <c r="AF302" s="163">
        <v>25</v>
      </c>
      <c r="AG302" s="163">
        <v>385</v>
      </c>
      <c r="AH302" s="163">
        <v>8</v>
      </c>
      <c r="AI302" s="163" t="s">
        <v>4004</v>
      </c>
      <c r="AJ302" s="163" t="s">
        <v>36</v>
      </c>
      <c r="AK302" s="163" t="s">
        <v>2197</v>
      </c>
      <c r="AL302" s="163" t="s">
        <v>3797</v>
      </c>
      <c r="AM302" t="s">
        <v>4894</v>
      </c>
      <c r="AN302" s="487">
        <v>0</v>
      </c>
      <c r="AO302" s="487">
        <v>0</v>
      </c>
    </row>
    <row r="303" spans="1:41" x14ac:dyDescent="0.2">
      <c r="A303">
        <v>302</v>
      </c>
      <c r="B303" s="471" t="s">
        <v>3085</v>
      </c>
      <c r="C303" s="163" t="s">
        <v>2608</v>
      </c>
      <c r="D303" s="163" t="s">
        <v>4860</v>
      </c>
      <c r="E303" s="163" t="s">
        <v>2117</v>
      </c>
      <c r="F303" s="163" t="s">
        <v>2060</v>
      </c>
      <c r="G303" s="163" t="s">
        <v>36</v>
      </c>
      <c r="H303" s="163" t="s">
        <v>2200</v>
      </c>
      <c r="I303" s="163" t="s">
        <v>5758</v>
      </c>
      <c r="J303" s="163" t="s">
        <v>2468</v>
      </c>
      <c r="K303" s="163" t="s">
        <v>3397</v>
      </c>
      <c r="L303" s="163" t="s">
        <v>4861</v>
      </c>
      <c r="M303" s="549" t="s">
        <v>4862</v>
      </c>
      <c r="N303" s="163" t="s">
        <v>4863</v>
      </c>
      <c r="O303" s="163" t="s">
        <v>5730</v>
      </c>
      <c r="P303" s="163" t="s">
        <v>3090</v>
      </c>
      <c r="Q303" s="163" t="s">
        <v>4936</v>
      </c>
      <c r="R303" s="163" t="s">
        <v>4533</v>
      </c>
      <c r="S303" s="163" t="s">
        <v>5199</v>
      </c>
      <c r="T303" s="163">
        <v>692.5</v>
      </c>
      <c r="U303" s="163" t="s">
        <v>2221</v>
      </c>
      <c r="V303" s="163" t="s">
        <v>2613</v>
      </c>
      <c r="W303" s="163" t="s">
        <v>4865</v>
      </c>
      <c r="X303" s="163" t="s">
        <v>4937</v>
      </c>
      <c r="Y303" s="163" t="s">
        <v>3161</v>
      </c>
      <c r="Z303" s="163">
        <v>19134057</v>
      </c>
      <c r="AA303" s="163" t="s">
        <v>4937</v>
      </c>
      <c r="AB303" s="163" t="s">
        <v>36</v>
      </c>
      <c r="AC303" s="163" t="s">
        <v>2195</v>
      </c>
      <c r="AD303" s="163" t="s">
        <v>2196</v>
      </c>
      <c r="AE303" s="163" t="s">
        <v>1762</v>
      </c>
      <c r="AF303" s="163">
        <v>25.6</v>
      </c>
      <c r="AG303" s="163">
        <v>385</v>
      </c>
      <c r="AH303" s="163">
        <v>8</v>
      </c>
      <c r="AI303" s="163" t="s">
        <v>111</v>
      </c>
      <c r="AJ303" s="163" t="s">
        <v>111</v>
      </c>
      <c r="AK303" s="163" t="s">
        <v>2197</v>
      </c>
      <c r="AL303" s="163" t="s">
        <v>36</v>
      </c>
      <c r="AM303" t="s">
        <v>4876</v>
      </c>
      <c r="AN303" s="487">
        <v>0</v>
      </c>
      <c r="AO303" s="487">
        <v>0</v>
      </c>
    </row>
    <row r="304" spans="1:41" x14ac:dyDescent="0.2">
      <c r="A304">
        <v>303</v>
      </c>
      <c r="B304" s="471" t="s">
        <v>3085</v>
      </c>
      <c r="C304" s="163" t="s">
        <v>4866</v>
      </c>
      <c r="D304" s="163" t="s">
        <v>4867</v>
      </c>
      <c r="E304" s="163" t="s">
        <v>2117</v>
      </c>
      <c r="F304" s="163" t="s">
        <v>2060</v>
      </c>
      <c r="G304" s="163" t="s">
        <v>36</v>
      </c>
      <c r="H304" s="163" t="s">
        <v>2200</v>
      </c>
      <c r="I304" s="163" t="s">
        <v>5758</v>
      </c>
      <c r="J304" s="163" t="s">
        <v>2468</v>
      </c>
      <c r="K304" s="163" t="s">
        <v>3397</v>
      </c>
      <c r="L304" s="163" t="s">
        <v>4861</v>
      </c>
      <c r="M304" s="549" t="s">
        <v>4862</v>
      </c>
      <c r="N304" s="163" t="s">
        <v>4863</v>
      </c>
      <c r="O304" s="163" t="s">
        <v>3123</v>
      </c>
      <c r="P304" s="163" t="s">
        <v>3090</v>
      </c>
      <c r="Q304" s="163" t="s">
        <v>2276</v>
      </c>
      <c r="R304" s="163" t="s">
        <v>4533</v>
      </c>
      <c r="S304" s="163" t="s">
        <v>4864</v>
      </c>
      <c r="T304" s="163">
        <v>722.1</v>
      </c>
      <c r="U304" s="163" t="s">
        <v>1952</v>
      </c>
      <c r="V304" s="163" t="s">
        <v>2613</v>
      </c>
      <c r="W304" s="163" t="s">
        <v>4865</v>
      </c>
      <c r="X304" s="163" t="s">
        <v>2194</v>
      </c>
      <c r="Y304" s="163" t="s">
        <v>3161</v>
      </c>
      <c r="Z304" s="163">
        <v>19134057</v>
      </c>
      <c r="AA304" s="163" t="s">
        <v>2194</v>
      </c>
      <c r="AB304" s="163" t="s">
        <v>4832</v>
      </c>
      <c r="AC304" s="163" t="s">
        <v>2195</v>
      </c>
      <c r="AD304" s="163" t="s">
        <v>2196</v>
      </c>
      <c r="AE304" s="163" t="s">
        <v>1762</v>
      </c>
      <c r="AF304" s="163">
        <v>25.6</v>
      </c>
      <c r="AG304" s="163">
        <v>385</v>
      </c>
      <c r="AH304" s="163">
        <v>8</v>
      </c>
      <c r="AI304" s="163" t="s">
        <v>111</v>
      </c>
      <c r="AJ304" s="163" t="s">
        <v>111</v>
      </c>
      <c r="AK304" s="163" t="s">
        <v>2197</v>
      </c>
      <c r="AL304" s="163" t="s">
        <v>36</v>
      </c>
      <c r="AM304" t="s">
        <v>4894</v>
      </c>
      <c r="AN304" s="487">
        <v>0</v>
      </c>
      <c r="AO304" s="487">
        <v>0</v>
      </c>
    </row>
    <row r="305" spans="1:41" x14ac:dyDescent="0.2">
      <c r="A305">
        <v>304</v>
      </c>
      <c r="B305" s="471" t="s">
        <v>3085</v>
      </c>
      <c r="C305" s="163" t="s">
        <v>5040</v>
      </c>
      <c r="D305" s="163" t="s">
        <v>5041</v>
      </c>
      <c r="E305" s="163" t="s">
        <v>2117</v>
      </c>
      <c r="F305" s="163" t="s">
        <v>2060</v>
      </c>
      <c r="G305" s="163" t="s">
        <v>36</v>
      </c>
      <c r="H305" s="163" t="s">
        <v>2200</v>
      </c>
      <c r="I305" s="163" t="s">
        <v>5758</v>
      </c>
      <c r="J305" s="163" t="s">
        <v>2468</v>
      </c>
      <c r="K305" s="163" t="s">
        <v>3397</v>
      </c>
      <c r="L305" s="163" t="s">
        <v>4861</v>
      </c>
      <c r="M305" s="549" t="s">
        <v>5042</v>
      </c>
      <c r="N305" s="163" t="s">
        <v>5043</v>
      </c>
      <c r="O305" s="163" t="s">
        <v>3123</v>
      </c>
      <c r="P305" s="163" t="s">
        <v>3090</v>
      </c>
      <c r="Q305" s="163" t="s">
        <v>4936</v>
      </c>
      <c r="R305" s="163" t="s">
        <v>4533</v>
      </c>
      <c r="S305" s="163" t="s">
        <v>5044</v>
      </c>
      <c r="T305" s="163">
        <v>781.4</v>
      </c>
      <c r="U305" s="163" t="s">
        <v>1952</v>
      </c>
      <c r="V305" s="163" t="s">
        <v>2613</v>
      </c>
      <c r="W305" s="163" t="s">
        <v>5045</v>
      </c>
      <c r="X305" s="163" t="s">
        <v>4937</v>
      </c>
      <c r="Y305" s="163" t="s">
        <v>5046</v>
      </c>
      <c r="Z305" s="163">
        <v>16455738</v>
      </c>
      <c r="AA305" s="163" t="s">
        <v>4937</v>
      </c>
      <c r="AB305" s="163" t="s">
        <v>5047</v>
      </c>
      <c r="AC305" s="163" t="s">
        <v>2195</v>
      </c>
      <c r="AD305" s="163" t="s">
        <v>2196</v>
      </c>
      <c r="AE305" s="163" t="s">
        <v>1762</v>
      </c>
      <c r="AF305" s="163">
        <v>25</v>
      </c>
      <c r="AG305" s="163">
        <v>385</v>
      </c>
      <c r="AH305" s="163">
        <v>8</v>
      </c>
      <c r="AI305" s="163" t="s">
        <v>5048</v>
      </c>
      <c r="AJ305" s="163" t="s">
        <v>111</v>
      </c>
      <c r="AK305" s="163" t="s">
        <v>2197</v>
      </c>
      <c r="AL305" s="163" t="s">
        <v>36</v>
      </c>
      <c r="AM305" t="s">
        <v>5049</v>
      </c>
      <c r="AN305" s="487"/>
      <c r="AO305" s="487"/>
    </row>
    <row r="306" spans="1:41" x14ac:dyDescent="0.2">
      <c r="A306">
        <v>305</v>
      </c>
      <c r="B306" s="471" t="s">
        <v>3085</v>
      </c>
      <c r="C306" s="163" t="s">
        <v>2604</v>
      </c>
      <c r="D306" s="163" t="s">
        <v>5050</v>
      </c>
      <c r="E306" s="163" t="s">
        <v>2117</v>
      </c>
      <c r="F306" s="163" t="s">
        <v>2060</v>
      </c>
      <c r="G306" s="163" t="s">
        <v>36</v>
      </c>
      <c r="H306" s="163" t="s">
        <v>2200</v>
      </c>
      <c r="I306" s="163" t="s">
        <v>5758</v>
      </c>
      <c r="J306" s="163" t="s">
        <v>2468</v>
      </c>
      <c r="K306" s="163" t="s">
        <v>3397</v>
      </c>
      <c r="L306" s="163" t="s">
        <v>4861</v>
      </c>
      <c r="M306" s="549" t="s">
        <v>5042</v>
      </c>
      <c r="N306" s="163" t="s">
        <v>5043</v>
      </c>
      <c r="O306" s="163" t="s">
        <v>5730</v>
      </c>
      <c r="P306" s="163" t="s">
        <v>3090</v>
      </c>
      <c r="Q306" s="163" t="s">
        <v>4936</v>
      </c>
      <c r="R306" s="163" t="s">
        <v>4533</v>
      </c>
      <c r="S306" s="163" t="s">
        <v>5044</v>
      </c>
      <c r="T306" s="163">
        <v>781.4</v>
      </c>
      <c r="U306" s="163" t="s">
        <v>2221</v>
      </c>
      <c r="V306" s="163" t="s">
        <v>2613</v>
      </c>
      <c r="W306" s="163" t="s">
        <v>5045</v>
      </c>
      <c r="X306" s="163" t="s">
        <v>4937</v>
      </c>
      <c r="Y306" s="163" t="s">
        <v>5046</v>
      </c>
      <c r="Z306" s="163" t="s">
        <v>5157</v>
      </c>
      <c r="AA306" s="163" t="s">
        <v>4937</v>
      </c>
      <c r="AB306" s="163" t="s">
        <v>5047</v>
      </c>
      <c r="AC306" s="163" t="s">
        <v>2195</v>
      </c>
      <c r="AD306" s="163" t="s">
        <v>2196</v>
      </c>
      <c r="AE306" s="163" t="s">
        <v>1762</v>
      </c>
      <c r="AF306" s="163">
        <v>25</v>
      </c>
      <c r="AG306" s="163">
        <v>385</v>
      </c>
      <c r="AH306" s="163">
        <v>8</v>
      </c>
      <c r="AI306" s="163" t="s">
        <v>5048</v>
      </c>
      <c r="AJ306" s="163" t="s">
        <v>111</v>
      </c>
      <c r="AK306" s="163" t="s">
        <v>2197</v>
      </c>
      <c r="AL306" s="163" t="s">
        <v>36</v>
      </c>
      <c r="AM306" t="s">
        <v>4876</v>
      </c>
      <c r="AN306" s="487"/>
      <c r="AO306" s="487"/>
    </row>
    <row r="307" spans="1:41" x14ac:dyDescent="0.2">
      <c r="A307">
        <v>306</v>
      </c>
      <c r="B307" s="471" t="s">
        <v>3085</v>
      </c>
      <c r="C307" s="163">
        <v>11303</v>
      </c>
      <c r="D307" s="163" t="s">
        <v>4230</v>
      </c>
      <c r="E307" s="163" t="s">
        <v>2117</v>
      </c>
      <c r="F307" s="163" t="s">
        <v>2060</v>
      </c>
      <c r="G307" s="163" t="s">
        <v>36</v>
      </c>
      <c r="H307" s="163" t="s">
        <v>2200</v>
      </c>
      <c r="I307" s="163" t="s">
        <v>5725</v>
      </c>
      <c r="J307" s="163" t="s">
        <v>2812</v>
      </c>
      <c r="K307" s="163" t="s">
        <v>2817</v>
      </c>
      <c r="L307" s="163" t="s">
        <v>3144</v>
      </c>
      <c r="M307" s="549">
        <v>11303</v>
      </c>
      <c r="N307" s="163">
        <v>11303</v>
      </c>
      <c r="O307" s="163" t="s">
        <v>906</v>
      </c>
      <c r="P307" s="163" t="s">
        <v>2587</v>
      </c>
      <c r="Q307" s="163" t="s">
        <v>2276</v>
      </c>
      <c r="R307" s="163" t="s">
        <v>2257</v>
      </c>
      <c r="S307" s="163" t="s">
        <v>3145</v>
      </c>
      <c r="T307" s="163">
        <v>0.125</v>
      </c>
      <c r="U307" s="163" t="s">
        <v>1952</v>
      </c>
      <c r="V307" s="163" t="s">
        <v>2832</v>
      </c>
      <c r="W307" s="163">
        <v>7329</v>
      </c>
      <c r="X307" s="163" t="s">
        <v>2194</v>
      </c>
      <c r="Y307" s="163" t="s">
        <v>111</v>
      </c>
      <c r="Z307" s="163" t="s">
        <v>111</v>
      </c>
      <c r="AA307" s="163" t="s">
        <v>111</v>
      </c>
      <c r="AB307" s="163" t="s">
        <v>36</v>
      </c>
      <c r="AC307" s="163" t="s">
        <v>2195</v>
      </c>
      <c r="AD307" s="163" t="s">
        <v>2196</v>
      </c>
      <c r="AE307" s="163" t="s">
        <v>1762</v>
      </c>
      <c r="AF307" s="163" t="s">
        <v>3419</v>
      </c>
      <c r="AG307" s="163" t="s">
        <v>36</v>
      </c>
      <c r="AH307" s="163" t="s">
        <v>36</v>
      </c>
      <c r="AI307" s="163" t="s">
        <v>36</v>
      </c>
      <c r="AJ307" s="163" t="s">
        <v>36</v>
      </c>
      <c r="AK307" s="163" t="s">
        <v>2197</v>
      </c>
      <c r="AL307" s="163" t="s">
        <v>3797</v>
      </c>
      <c r="AM307" t="s">
        <v>4876</v>
      </c>
      <c r="AN307" s="487">
        <v>0</v>
      </c>
      <c r="AO307" s="487">
        <v>0</v>
      </c>
    </row>
    <row r="308" spans="1:41" x14ac:dyDescent="0.2">
      <c r="A308">
        <v>307</v>
      </c>
      <c r="B308" s="471" t="s">
        <v>3085</v>
      </c>
      <c r="C308" s="163" t="s">
        <v>4719</v>
      </c>
      <c r="D308" s="163" t="s">
        <v>4720</v>
      </c>
      <c r="E308" s="163" t="s">
        <v>2117</v>
      </c>
      <c r="F308" s="163" t="s">
        <v>2060</v>
      </c>
      <c r="G308" s="163" t="s">
        <v>36</v>
      </c>
      <c r="H308" s="163" t="s">
        <v>2200</v>
      </c>
      <c r="I308" s="163" t="s">
        <v>5734</v>
      </c>
      <c r="J308" s="163" t="s">
        <v>2468</v>
      </c>
      <c r="K308" s="163" t="s">
        <v>4721</v>
      </c>
      <c r="L308" s="163" t="s">
        <v>2327</v>
      </c>
      <c r="M308" s="549">
        <v>411620</v>
      </c>
      <c r="N308" s="163" t="s">
        <v>4721</v>
      </c>
      <c r="O308" s="163" t="s">
        <v>4687</v>
      </c>
      <c r="P308" s="163" t="s">
        <v>5507</v>
      </c>
      <c r="Q308" s="163" t="s">
        <v>2276</v>
      </c>
      <c r="R308" s="163" t="s">
        <v>2257</v>
      </c>
      <c r="S308" s="163" t="s">
        <v>4722</v>
      </c>
      <c r="T308" s="163">
        <v>56.1</v>
      </c>
      <c r="U308" s="163" t="s">
        <v>1952</v>
      </c>
      <c r="V308" s="163" t="s">
        <v>4723</v>
      </c>
      <c r="W308" s="163">
        <v>391488</v>
      </c>
      <c r="X308" s="163" t="s">
        <v>2194</v>
      </c>
      <c r="Y308" s="163" t="s">
        <v>3161</v>
      </c>
      <c r="Z308" s="163" t="s">
        <v>4724</v>
      </c>
      <c r="AA308" s="163" t="s">
        <v>2194</v>
      </c>
      <c r="AB308" s="163" t="s">
        <v>36</v>
      </c>
      <c r="AC308" s="163" t="s">
        <v>2195</v>
      </c>
      <c r="AD308" s="163" t="s">
        <v>2196</v>
      </c>
      <c r="AE308" s="163" t="s">
        <v>1762</v>
      </c>
      <c r="AF308" s="163" t="s">
        <v>4649</v>
      </c>
      <c r="AG308" s="163" t="s">
        <v>36</v>
      </c>
      <c r="AH308" s="163" t="s">
        <v>36</v>
      </c>
      <c r="AI308" s="163" t="s">
        <v>36</v>
      </c>
      <c r="AJ308" s="163" t="s">
        <v>36</v>
      </c>
      <c r="AK308" s="163" t="s">
        <v>2197</v>
      </c>
      <c r="AL308" s="163" t="s">
        <v>3797</v>
      </c>
      <c r="AM308" t="s">
        <v>4894</v>
      </c>
      <c r="AN308" s="487">
        <v>0</v>
      </c>
      <c r="AO308" s="487">
        <v>0</v>
      </c>
    </row>
    <row r="309" spans="1:41" x14ac:dyDescent="0.2">
      <c r="A309">
        <v>308</v>
      </c>
      <c r="B309" s="471" t="s">
        <v>3085</v>
      </c>
      <c r="C309" s="163" t="s">
        <v>4685</v>
      </c>
      <c r="D309" s="163" t="s">
        <v>4686</v>
      </c>
      <c r="E309" s="163" t="s">
        <v>2117</v>
      </c>
      <c r="F309" s="163" t="s">
        <v>2060</v>
      </c>
      <c r="G309" s="163" t="s">
        <v>36</v>
      </c>
      <c r="H309" s="163" t="s">
        <v>2200</v>
      </c>
      <c r="I309" s="163" t="s">
        <v>5734</v>
      </c>
      <c r="J309" s="163" t="s">
        <v>2468</v>
      </c>
      <c r="K309" s="163" t="s">
        <v>4654</v>
      </c>
      <c r="L309" s="163" t="s">
        <v>2315</v>
      </c>
      <c r="M309" s="549" t="s">
        <v>4652</v>
      </c>
      <c r="N309" s="163" t="s">
        <v>4652</v>
      </c>
      <c r="O309" s="163" t="s">
        <v>4687</v>
      </c>
      <c r="P309" s="163" t="s">
        <v>3301</v>
      </c>
      <c r="Q309" s="163" t="s">
        <v>2276</v>
      </c>
      <c r="R309" s="163" t="s">
        <v>2257</v>
      </c>
      <c r="S309" s="163" t="s">
        <v>5650</v>
      </c>
      <c r="T309" s="163">
        <v>826.67</v>
      </c>
      <c r="U309" s="163" t="s">
        <v>1952</v>
      </c>
      <c r="V309" s="163" t="s">
        <v>4655</v>
      </c>
      <c r="W309" s="163">
        <v>188905</v>
      </c>
      <c r="X309" s="163" t="s">
        <v>2194</v>
      </c>
      <c r="Y309" s="163" t="s">
        <v>4656</v>
      </c>
      <c r="Z309" s="163">
        <v>16386514</v>
      </c>
      <c r="AA309" s="163" t="s">
        <v>2194</v>
      </c>
      <c r="AB309" s="163" t="s">
        <v>36</v>
      </c>
      <c r="AC309" s="163" t="s">
        <v>2195</v>
      </c>
      <c r="AD309" s="163" t="s">
        <v>2196</v>
      </c>
      <c r="AE309" s="163" t="s">
        <v>1762</v>
      </c>
      <c r="AF309" s="163" t="s">
        <v>4649</v>
      </c>
      <c r="AG309" s="163" t="s">
        <v>36</v>
      </c>
      <c r="AH309" s="163" t="s">
        <v>36</v>
      </c>
      <c r="AI309" s="163" t="s">
        <v>36</v>
      </c>
      <c r="AJ309" s="163" t="s">
        <v>36</v>
      </c>
      <c r="AK309" s="163" t="s">
        <v>2197</v>
      </c>
      <c r="AL309" s="163" t="s">
        <v>3797</v>
      </c>
      <c r="AM309" t="s">
        <v>4894</v>
      </c>
      <c r="AN309" s="487">
        <v>0</v>
      </c>
      <c r="AO309" s="487">
        <v>0</v>
      </c>
    </row>
    <row r="310" spans="1:41" x14ac:dyDescent="0.2">
      <c r="A310">
        <v>309</v>
      </c>
      <c r="B310" s="471" t="s">
        <v>3085</v>
      </c>
      <c r="C310" s="163" t="s">
        <v>4652</v>
      </c>
      <c r="D310" s="163" t="s">
        <v>4653</v>
      </c>
      <c r="E310" s="163" t="s">
        <v>2117</v>
      </c>
      <c r="F310" s="163" t="s">
        <v>2060</v>
      </c>
      <c r="G310" s="163" t="s">
        <v>36</v>
      </c>
      <c r="H310" s="163" t="s">
        <v>2200</v>
      </c>
      <c r="I310" s="163" t="s">
        <v>5725</v>
      </c>
      <c r="J310" s="163" t="s">
        <v>2468</v>
      </c>
      <c r="K310" s="163" t="s">
        <v>4654</v>
      </c>
      <c r="L310" s="163" t="s">
        <v>2315</v>
      </c>
      <c r="M310" s="549" t="s">
        <v>4652</v>
      </c>
      <c r="N310" s="163" t="s">
        <v>4652</v>
      </c>
      <c r="O310" s="163" t="s">
        <v>906</v>
      </c>
      <c r="P310" s="163" t="s">
        <v>3301</v>
      </c>
      <c r="Q310" s="163" t="s">
        <v>2276</v>
      </c>
      <c r="R310" s="163" t="s">
        <v>2257</v>
      </c>
      <c r="S310" s="163" t="s">
        <v>5650</v>
      </c>
      <c r="T310" s="163">
        <v>826.67</v>
      </c>
      <c r="U310" s="163" t="s">
        <v>2222</v>
      </c>
      <c r="V310" s="163" t="s">
        <v>4655</v>
      </c>
      <c r="W310" s="163">
        <v>188905</v>
      </c>
      <c r="X310" s="163" t="s">
        <v>2194</v>
      </c>
      <c r="Y310" s="163" t="s">
        <v>4656</v>
      </c>
      <c r="Z310" s="163">
        <v>16386514</v>
      </c>
      <c r="AA310" s="163" t="s">
        <v>2194</v>
      </c>
      <c r="AB310" s="163" t="s">
        <v>36</v>
      </c>
      <c r="AC310" s="163" t="s">
        <v>2195</v>
      </c>
      <c r="AD310" s="163" t="s">
        <v>2196</v>
      </c>
      <c r="AE310" s="163" t="s">
        <v>1762</v>
      </c>
      <c r="AF310" s="163" t="s">
        <v>4649</v>
      </c>
      <c r="AG310" s="163" t="s">
        <v>36</v>
      </c>
      <c r="AH310" s="163" t="s">
        <v>36</v>
      </c>
      <c r="AI310" s="163" t="s">
        <v>36</v>
      </c>
      <c r="AJ310" s="163" t="s">
        <v>36</v>
      </c>
      <c r="AK310" s="163" t="s">
        <v>2197</v>
      </c>
      <c r="AL310" s="163" t="s">
        <v>3797</v>
      </c>
      <c r="AM310" t="s">
        <v>4877</v>
      </c>
      <c r="AN310" s="487">
        <v>0</v>
      </c>
      <c r="AO310" s="487">
        <v>0</v>
      </c>
    </row>
    <row r="311" spans="1:41" x14ac:dyDescent="0.2">
      <c r="A311">
        <v>310</v>
      </c>
      <c r="B311" s="471" t="s">
        <v>3085</v>
      </c>
      <c r="C311" s="163" t="s">
        <v>4669</v>
      </c>
      <c r="D311" s="163" t="s">
        <v>4670</v>
      </c>
      <c r="E311" s="163" t="s">
        <v>2117</v>
      </c>
      <c r="F311" s="163" t="s">
        <v>2060</v>
      </c>
      <c r="G311" s="163" t="s">
        <v>36</v>
      </c>
      <c r="H311" s="163" t="s">
        <v>2200</v>
      </c>
      <c r="I311" s="163" t="s">
        <v>5725</v>
      </c>
      <c r="J311" s="163" t="s">
        <v>2468</v>
      </c>
      <c r="K311" s="163" t="s">
        <v>4654</v>
      </c>
      <c r="L311" s="163" t="s">
        <v>2315</v>
      </c>
      <c r="M311" s="549" t="s">
        <v>4671</v>
      </c>
      <c r="N311" s="163" t="s">
        <v>4671</v>
      </c>
      <c r="O311" s="163" t="s">
        <v>5730</v>
      </c>
      <c r="P311" s="163" t="s">
        <v>3301</v>
      </c>
      <c r="Q311" s="163" t="s">
        <v>4936</v>
      </c>
      <c r="R311" s="163" t="s">
        <v>2257</v>
      </c>
      <c r="S311" s="163" t="s">
        <v>4672</v>
      </c>
      <c r="T311" s="163">
        <v>1178.5999999999999</v>
      </c>
      <c r="U311" s="163" t="s">
        <v>2221</v>
      </c>
      <c r="V311" s="163" t="s">
        <v>2980</v>
      </c>
      <c r="W311" s="163">
        <v>43420</v>
      </c>
      <c r="X311" s="163" t="s">
        <v>4937</v>
      </c>
      <c r="Y311" s="163" t="s">
        <v>5561</v>
      </c>
      <c r="Z311" s="163">
        <v>16461118</v>
      </c>
      <c r="AA311" s="163" t="s">
        <v>4937</v>
      </c>
      <c r="AB311" s="163" t="s">
        <v>36</v>
      </c>
      <c r="AC311" s="163" t="s">
        <v>2195</v>
      </c>
      <c r="AD311" s="163" t="s">
        <v>2196</v>
      </c>
      <c r="AE311" s="163" t="s">
        <v>1762</v>
      </c>
      <c r="AF311" s="163">
        <v>7</v>
      </c>
      <c r="AG311" s="163">
        <v>0.09</v>
      </c>
      <c r="AH311" s="163">
        <v>0.28999999999999998</v>
      </c>
      <c r="AI311" s="163" t="s">
        <v>36</v>
      </c>
      <c r="AJ311" s="163" t="s">
        <v>36</v>
      </c>
      <c r="AK311" s="163" t="s">
        <v>2197</v>
      </c>
      <c r="AL311" s="163" t="s">
        <v>3797</v>
      </c>
      <c r="AM311" t="s">
        <v>4877</v>
      </c>
      <c r="AN311" s="487">
        <v>0</v>
      </c>
      <c r="AO311" s="487">
        <v>0</v>
      </c>
    </row>
    <row r="312" spans="1:41" x14ac:dyDescent="0.2">
      <c r="A312">
        <v>311</v>
      </c>
      <c r="B312" s="471" t="s">
        <v>3085</v>
      </c>
      <c r="C312" s="163" t="s">
        <v>4673</v>
      </c>
      <c r="D312" s="163" t="s">
        <v>4674</v>
      </c>
      <c r="E312" s="163" t="s">
        <v>2117</v>
      </c>
      <c r="F312" s="163" t="s">
        <v>2060</v>
      </c>
      <c r="G312" s="163" t="s">
        <v>36</v>
      </c>
      <c r="H312" s="163" t="s">
        <v>2200</v>
      </c>
      <c r="I312" s="163" t="s">
        <v>5725</v>
      </c>
      <c r="J312" s="163" t="s">
        <v>2468</v>
      </c>
      <c r="K312" s="163" t="s">
        <v>4654</v>
      </c>
      <c r="L312" s="163" t="s">
        <v>2315</v>
      </c>
      <c r="M312" s="549" t="s">
        <v>4671</v>
      </c>
      <c r="N312" s="163" t="s">
        <v>4671</v>
      </c>
      <c r="O312" s="163" t="s">
        <v>3123</v>
      </c>
      <c r="P312" s="163" t="s">
        <v>3301</v>
      </c>
      <c r="Q312" s="163" t="s">
        <v>2276</v>
      </c>
      <c r="R312" s="163" t="s">
        <v>2257</v>
      </c>
      <c r="S312" s="163" t="s">
        <v>4672</v>
      </c>
      <c r="T312" s="163">
        <v>1178.5999999999999</v>
      </c>
      <c r="U312" s="163" t="s">
        <v>1952</v>
      </c>
      <c r="V312" s="163" t="s">
        <v>2980</v>
      </c>
      <c r="W312" s="163">
        <v>43420</v>
      </c>
      <c r="X312" s="163" t="s">
        <v>2194</v>
      </c>
      <c r="Y312" s="163" t="s">
        <v>4656</v>
      </c>
      <c r="Z312" s="163">
        <v>16446054</v>
      </c>
      <c r="AA312" s="163" t="s">
        <v>2194</v>
      </c>
      <c r="AB312" s="163" t="s">
        <v>36</v>
      </c>
      <c r="AC312" s="163" t="s">
        <v>2195</v>
      </c>
      <c r="AD312" s="163" t="s">
        <v>2196</v>
      </c>
      <c r="AE312" s="163" t="s">
        <v>1762</v>
      </c>
      <c r="AF312" s="163">
        <v>7</v>
      </c>
      <c r="AG312" s="163">
        <v>0.09</v>
      </c>
      <c r="AH312" s="163">
        <v>0.28999999999999998</v>
      </c>
      <c r="AI312" s="163" t="s">
        <v>36</v>
      </c>
      <c r="AJ312" s="163" t="s">
        <v>36</v>
      </c>
      <c r="AK312" s="163" t="s">
        <v>2197</v>
      </c>
      <c r="AL312" s="163" t="s">
        <v>3797</v>
      </c>
      <c r="AM312" t="s">
        <v>4894</v>
      </c>
      <c r="AN312" s="487">
        <v>0</v>
      </c>
      <c r="AO312" s="487">
        <v>0</v>
      </c>
    </row>
    <row r="313" spans="1:41" x14ac:dyDescent="0.2">
      <c r="A313">
        <v>312</v>
      </c>
      <c r="B313" s="471" t="s">
        <v>3085</v>
      </c>
      <c r="C313" s="163" t="s">
        <v>4991</v>
      </c>
      <c r="D313" s="163" t="s">
        <v>4992</v>
      </c>
      <c r="E313" s="163" t="s">
        <v>2117</v>
      </c>
      <c r="F313" s="163" t="s">
        <v>2060</v>
      </c>
      <c r="G313" s="163" t="s">
        <v>36</v>
      </c>
      <c r="H313" s="163" t="s">
        <v>2200</v>
      </c>
      <c r="I313" s="163" t="s">
        <v>3156</v>
      </c>
      <c r="J313" s="163" t="s">
        <v>2468</v>
      </c>
      <c r="K313" s="163" t="s">
        <v>4654</v>
      </c>
      <c r="L313" s="163" t="s">
        <v>4993</v>
      </c>
      <c r="M313" s="549">
        <v>144582</v>
      </c>
      <c r="N313" s="163" t="s">
        <v>4994</v>
      </c>
      <c r="O313" s="163" t="s">
        <v>3123</v>
      </c>
      <c r="P313" s="163" t="s">
        <v>4995</v>
      </c>
      <c r="Q313" s="163" t="s">
        <v>2276</v>
      </c>
      <c r="R313" s="163" t="s">
        <v>2257</v>
      </c>
      <c r="S313" s="163" t="s">
        <v>4996</v>
      </c>
      <c r="T313" s="163">
        <v>25.5</v>
      </c>
      <c r="U313" s="163" t="s">
        <v>1952</v>
      </c>
      <c r="V313" s="163" t="s">
        <v>4997</v>
      </c>
      <c r="W313" s="163" t="s">
        <v>4998</v>
      </c>
      <c r="X313" s="163" t="s">
        <v>2194</v>
      </c>
      <c r="Y313" s="163" t="s">
        <v>4999</v>
      </c>
      <c r="Z313" s="163" t="s">
        <v>5000</v>
      </c>
      <c r="AA313" s="163" t="s">
        <v>2194</v>
      </c>
      <c r="AB313" s="163" t="s">
        <v>36</v>
      </c>
      <c r="AC313" s="163" t="s">
        <v>2195</v>
      </c>
      <c r="AD313" s="163" t="s">
        <v>2196</v>
      </c>
      <c r="AE313" s="163" t="s">
        <v>1762</v>
      </c>
      <c r="AF313" s="163" t="s">
        <v>3419</v>
      </c>
      <c r="AG313" s="163" t="s">
        <v>36</v>
      </c>
      <c r="AH313" s="163" t="s">
        <v>36</v>
      </c>
      <c r="AI313" s="163" t="s">
        <v>36</v>
      </c>
      <c r="AJ313" s="163" t="s">
        <v>36</v>
      </c>
      <c r="AK313" s="163" t="s">
        <v>2197</v>
      </c>
      <c r="AL313" s="163" t="s">
        <v>3797</v>
      </c>
      <c r="AM313" t="s">
        <v>4894</v>
      </c>
      <c r="AN313" s="487">
        <v>0</v>
      </c>
      <c r="AO313" s="487">
        <v>0</v>
      </c>
    </row>
    <row r="314" spans="1:41" x14ac:dyDescent="0.2">
      <c r="A314">
        <v>313</v>
      </c>
      <c r="B314" s="471" t="s">
        <v>3085</v>
      </c>
      <c r="C314" s="163" t="s">
        <v>4789</v>
      </c>
      <c r="D314" s="163" t="s">
        <v>4790</v>
      </c>
      <c r="E314" s="163" t="s">
        <v>2117</v>
      </c>
      <c r="F314" s="163" t="s">
        <v>2060</v>
      </c>
      <c r="G314" s="163" t="s">
        <v>36</v>
      </c>
      <c r="H314" s="163" t="s">
        <v>2200</v>
      </c>
      <c r="I314" s="163" t="s">
        <v>5725</v>
      </c>
      <c r="J314" s="163" t="s">
        <v>2468</v>
      </c>
      <c r="K314" s="163" t="s">
        <v>4654</v>
      </c>
      <c r="L314" s="163" t="s">
        <v>2315</v>
      </c>
      <c r="M314" s="549" t="s">
        <v>4791</v>
      </c>
      <c r="N314" s="163" t="s">
        <v>4792</v>
      </c>
      <c r="O314" s="163" t="s">
        <v>3123</v>
      </c>
      <c r="P314" s="163" t="s">
        <v>2317</v>
      </c>
      <c r="Q314" s="163" t="s">
        <v>2276</v>
      </c>
      <c r="R314" s="163" t="s">
        <v>2257</v>
      </c>
      <c r="S314" s="163" t="s">
        <v>4793</v>
      </c>
      <c r="T314" s="163">
        <v>73.900000000000006</v>
      </c>
      <c r="U314" s="163" t="s">
        <v>1952</v>
      </c>
      <c r="V314" s="163" t="s">
        <v>4794</v>
      </c>
      <c r="W314" s="163" t="s">
        <v>4795</v>
      </c>
      <c r="X314" s="163" t="s">
        <v>2194</v>
      </c>
      <c r="Y314" s="163" t="s">
        <v>4656</v>
      </c>
      <c r="Z314" s="163">
        <v>16279345</v>
      </c>
      <c r="AA314" s="163" t="s">
        <v>2194</v>
      </c>
      <c r="AB314" s="163" t="s">
        <v>36</v>
      </c>
      <c r="AC314" s="163" t="s">
        <v>2195</v>
      </c>
      <c r="AD314" s="163" t="s">
        <v>2196</v>
      </c>
      <c r="AE314" s="163" t="s">
        <v>1762</v>
      </c>
      <c r="AF314" s="163">
        <v>1</v>
      </c>
      <c r="AG314" s="163">
        <v>4</v>
      </c>
      <c r="AH314" s="163">
        <v>1</v>
      </c>
      <c r="AI314" s="163" t="s">
        <v>4796</v>
      </c>
      <c r="AJ314" s="163" t="s">
        <v>36</v>
      </c>
      <c r="AK314" s="163" t="s">
        <v>2197</v>
      </c>
      <c r="AL314" s="163" t="s">
        <v>3797</v>
      </c>
      <c r="AM314" t="s">
        <v>4894</v>
      </c>
      <c r="AN314" s="487">
        <v>0</v>
      </c>
      <c r="AO314" s="487">
        <v>0</v>
      </c>
    </row>
    <row r="315" spans="1:41" x14ac:dyDescent="0.2">
      <c r="A315">
        <v>314</v>
      </c>
      <c r="B315" s="471" t="s">
        <v>3085</v>
      </c>
      <c r="C315" s="163" t="s">
        <v>4838</v>
      </c>
      <c r="D315" s="163" t="s">
        <v>4839</v>
      </c>
      <c r="E315" s="163" t="s">
        <v>2117</v>
      </c>
      <c r="F315" s="163" t="s">
        <v>2060</v>
      </c>
      <c r="G315" s="163" t="s">
        <v>36</v>
      </c>
      <c r="H315" s="163" t="s">
        <v>2200</v>
      </c>
      <c r="I315" s="163" t="s">
        <v>3156</v>
      </c>
      <c r="J315" s="163" t="s">
        <v>2468</v>
      </c>
      <c r="K315" s="163" t="s">
        <v>2981</v>
      </c>
      <c r="L315" s="163" t="s">
        <v>4840</v>
      </c>
      <c r="M315" s="549" t="s">
        <v>4841</v>
      </c>
      <c r="N315" s="163" t="s">
        <v>4842</v>
      </c>
      <c r="O315" s="163" t="s">
        <v>3123</v>
      </c>
      <c r="P315" s="163" t="s">
        <v>3109</v>
      </c>
      <c r="Q315" s="163" t="s">
        <v>2276</v>
      </c>
      <c r="R315" s="163" t="s">
        <v>2193</v>
      </c>
      <c r="S315" s="163" t="s">
        <v>2984</v>
      </c>
      <c r="T315" s="163">
        <v>378</v>
      </c>
      <c r="U315" s="163" t="s">
        <v>1952</v>
      </c>
      <c r="V315" s="163" t="s">
        <v>2980</v>
      </c>
      <c r="W315" s="163">
        <v>19259</v>
      </c>
      <c r="X315" s="163" t="s">
        <v>2194</v>
      </c>
      <c r="Y315" s="163" t="s">
        <v>4537</v>
      </c>
      <c r="Z315" s="163" t="s">
        <v>4843</v>
      </c>
      <c r="AA315" s="163" t="s">
        <v>2194</v>
      </c>
      <c r="AB315" s="163" t="s">
        <v>36</v>
      </c>
      <c r="AC315" s="163" t="s">
        <v>2195</v>
      </c>
      <c r="AD315" s="163" t="s">
        <v>2196</v>
      </c>
      <c r="AE315" s="163" t="s">
        <v>1762</v>
      </c>
      <c r="AF315" s="163" t="s">
        <v>4844</v>
      </c>
      <c r="AG315" s="163" t="s">
        <v>36</v>
      </c>
      <c r="AH315" s="163" t="s">
        <v>36</v>
      </c>
      <c r="AI315" s="163" t="s">
        <v>36</v>
      </c>
      <c r="AJ315" s="163" t="s">
        <v>36</v>
      </c>
      <c r="AK315" s="163" t="s">
        <v>2197</v>
      </c>
      <c r="AL315" s="163" t="s">
        <v>36</v>
      </c>
      <c r="AM315" t="s">
        <v>4894</v>
      </c>
      <c r="AN315" s="487">
        <v>0</v>
      </c>
      <c r="AO315" s="487">
        <v>0</v>
      </c>
    </row>
    <row r="316" spans="1:41" x14ac:dyDescent="0.2">
      <c r="A316">
        <v>315</v>
      </c>
      <c r="B316" s="550" t="s">
        <v>3085</v>
      </c>
      <c r="C316" s="551" t="s">
        <v>4842</v>
      </c>
      <c r="D316" s="550" t="s">
        <v>4845</v>
      </c>
      <c r="E316" s="550" t="s">
        <v>2117</v>
      </c>
      <c r="F316" s="551" t="s">
        <v>2060</v>
      </c>
      <c r="G316" s="550" t="s">
        <v>36</v>
      </c>
      <c r="H316" s="552" t="s">
        <v>2200</v>
      </c>
      <c r="I316" s="550" t="s">
        <v>5725</v>
      </c>
      <c r="J316" s="551" t="s">
        <v>2468</v>
      </c>
      <c r="K316" s="550" t="s">
        <v>2981</v>
      </c>
      <c r="L316" s="551" t="s">
        <v>4840</v>
      </c>
      <c r="M316" s="553" t="s">
        <v>4841</v>
      </c>
      <c r="N316" s="551" t="s">
        <v>4842</v>
      </c>
      <c r="O316" s="550" t="s">
        <v>5756</v>
      </c>
      <c r="P316" s="551" t="s">
        <v>3109</v>
      </c>
      <c r="Q316" s="429" t="s">
        <v>4936</v>
      </c>
      <c r="R316" s="551" t="s">
        <v>2193</v>
      </c>
      <c r="S316" s="550" t="s">
        <v>5759</v>
      </c>
      <c r="T316" s="551">
        <v>378</v>
      </c>
      <c r="U316" s="550" t="s">
        <v>2222</v>
      </c>
      <c r="V316" s="550" t="s">
        <v>2980</v>
      </c>
      <c r="W316" s="554" t="s">
        <v>4853</v>
      </c>
      <c r="X316" s="554" t="s">
        <v>4937</v>
      </c>
      <c r="Y316" s="551" t="s">
        <v>4537</v>
      </c>
      <c r="Z316" s="550" t="s">
        <v>4843</v>
      </c>
      <c r="AA316" s="554" t="s">
        <v>4937</v>
      </c>
      <c r="AB316" s="550" t="s">
        <v>36</v>
      </c>
      <c r="AC316" s="550" t="s">
        <v>2195</v>
      </c>
      <c r="AD316" s="555" t="s">
        <v>2196</v>
      </c>
      <c r="AE316" s="550" t="s">
        <v>1762</v>
      </c>
      <c r="AF316" s="550" t="s">
        <v>4844</v>
      </c>
      <c r="AG316" s="550" t="s">
        <v>36</v>
      </c>
      <c r="AH316" s="550" t="s">
        <v>36</v>
      </c>
      <c r="AI316" s="550" t="s">
        <v>36</v>
      </c>
      <c r="AJ316" s="550" t="s">
        <v>36</v>
      </c>
      <c r="AK316" s="551" t="s">
        <v>2197</v>
      </c>
      <c r="AL316" t="s">
        <v>36</v>
      </c>
      <c r="AM316" s="556" t="s">
        <v>4876</v>
      </c>
      <c r="AN316">
        <v>0</v>
      </c>
      <c r="AO316">
        <v>0</v>
      </c>
    </row>
    <row r="317" spans="1:41" x14ac:dyDescent="0.2">
      <c r="A317">
        <v>316</v>
      </c>
      <c r="B317" s="471" t="s">
        <v>3085</v>
      </c>
      <c r="C317" s="163" t="s">
        <v>5828</v>
      </c>
      <c r="D317" s="163" t="s">
        <v>5829</v>
      </c>
      <c r="E317" s="163" t="s">
        <v>2117</v>
      </c>
      <c r="F317" s="163" t="s">
        <v>2060</v>
      </c>
      <c r="G317" s="163"/>
      <c r="H317" s="163" t="s">
        <v>2200</v>
      </c>
      <c r="I317" s="163" t="s">
        <v>5725</v>
      </c>
      <c r="J317" s="163" t="s">
        <v>2468</v>
      </c>
      <c r="K317" s="163" t="s">
        <v>2204</v>
      </c>
      <c r="L317" s="163" t="s">
        <v>2992</v>
      </c>
      <c r="M317" s="549" t="s">
        <v>3024</v>
      </c>
      <c r="N317" s="163" t="s">
        <v>5828</v>
      </c>
      <c r="O317" s="163" t="s">
        <v>906</v>
      </c>
      <c r="P317" s="163" t="s">
        <v>3090</v>
      </c>
      <c r="Q317" s="163" t="s">
        <v>2276</v>
      </c>
      <c r="R317" s="163" t="s">
        <v>2193</v>
      </c>
      <c r="S317" s="163" t="s">
        <v>5830</v>
      </c>
      <c r="T317" s="163">
        <v>1150</v>
      </c>
      <c r="U317" s="163" t="s">
        <v>1952</v>
      </c>
      <c r="V317" s="163" t="s">
        <v>2613</v>
      </c>
      <c r="W317" s="163" t="s">
        <v>3027</v>
      </c>
      <c r="X317" s="163" t="s">
        <v>2194</v>
      </c>
      <c r="Y317" s="163" t="s">
        <v>111</v>
      </c>
      <c r="Z317" s="163" t="s">
        <v>111</v>
      </c>
      <c r="AA317" s="163" t="s">
        <v>111</v>
      </c>
      <c r="AB317" s="163"/>
      <c r="AC317" s="163" t="s">
        <v>2195</v>
      </c>
      <c r="AD317" s="163" t="s">
        <v>2196</v>
      </c>
      <c r="AE317" s="163" t="s">
        <v>1762</v>
      </c>
      <c r="AF317" s="163" t="s">
        <v>3419</v>
      </c>
      <c r="AG317" s="163"/>
      <c r="AH317" s="163"/>
      <c r="AI317" s="163"/>
      <c r="AJ317" s="163"/>
      <c r="AK317" s="163" t="s">
        <v>2197</v>
      </c>
      <c r="AL317" s="163"/>
      <c r="AM317" t="s">
        <v>4876</v>
      </c>
      <c r="AN317" s="487"/>
      <c r="AO317" s="487"/>
    </row>
    <row r="318" spans="1:41" x14ac:dyDescent="0.2">
      <c r="A318">
        <v>317</v>
      </c>
      <c r="B318" s="471" t="s">
        <v>1341</v>
      </c>
      <c r="C318" s="163" t="s">
        <v>1976</v>
      </c>
      <c r="D318" s="163" t="s">
        <v>4231</v>
      </c>
      <c r="E318" s="163" t="s">
        <v>2118</v>
      </c>
      <c r="F318" s="163" t="s">
        <v>2120</v>
      </c>
      <c r="G318" s="163" t="s">
        <v>36</v>
      </c>
      <c r="H318" s="163" t="s">
        <v>2200</v>
      </c>
      <c r="I318" s="163" t="s">
        <v>5725</v>
      </c>
      <c r="J318" s="163" t="s">
        <v>2468</v>
      </c>
      <c r="K318" s="163" t="s">
        <v>1976</v>
      </c>
      <c r="L318" s="163" t="s">
        <v>1976</v>
      </c>
      <c r="M318" s="549" t="s">
        <v>3188</v>
      </c>
      <c r="N318" s="163" t="s">
        <v>1976</v>
      </c>
      <c r="O318" s="163" t="s">
        <v>5732</v>
      </c>
      <c r="P318" s="163" t="s">
        <v>3189</v>
      </c>
      <c r="Q318" s="163" t="s">
        <v>4934</v>
      </c>
      <c r="R318" s="163" t="s">
        <v>2257</v>
      </c>
      <c r="S318" s="163" t="s">
        <v>3190</v>
      </c>
      <c r="T318" s="163">
        <v>5.7</v>
      </c>
      <c r="U318" s="163" t="s">
        <v>2222</v>
      </c>
      <c r="V318" s="163" t="s">
        <v>3191</v>
      </c>
      <c r="W318" s="163" t="s">
        <v>3192</v>
      </c>
      <c r="X318" s="163" t="s">
        <v>5052</v>
      </c>
      <c r="Y318" s="163" t="s">
        <v>2391</v>
      </c>
      <c r="Z318" s="163" t="s">
        <v>3193</v>
      </c>
      <c r="AA318" s="163" t="s">
        <v>5052</v>
      </c>
      <c r="AB318" s="163" t="s">
        <v>36</v>
      </c>
      <c r="AC318" s="163" t="s">
        <v>2195</v>
      </c>
      <c r="AD318" s="163" t="s">
        <v>2196</v>
      </c>
      <c r="AE318" s="163" t="s">
        <v>1762</v>
      </c>
      <c r="AF318" s="163" t="s">
        <v>3947</v>
      </c>
      <c r="AG318" s="163">
        <v>0.5</v>
      </c>
      <c r="AH318" s="163">
        <v>0.99</v>
      </c>
      <c r="AI318" s="163" t="s">
        <v>36</v>
      </c>
      <c r="AJ318" s="163" t="s">
        <v>36</v>
      </c>
      <c r="AK318" s="163" t="s">
        <v>2197</v>
      </c>
      <c r="AL318" s="163" t="s">
        <v>3797</v>
      </c>
      <c r="AM318" t="s">
        <v>4876</v>
      </c>
      <c r="AN318" s="487">
        <v>0</v>
      </c>
      <c r="AO318" s="487">
        <v>0</v>
      </c>
    </row>
    <row r="319" spans="1:41" x14ac:dyDescent="0.2">
      <c r="A319">
        <v>318</v>
      </c>
      <c r="B319" s="471" t="s">
        <v>1341</v>
      </c>
      <c r="C319" s="163" t="s">
        <v>1343</v>
      </c>
      <c r="D319" s="163" t="s">
        <v>4232</v>
      </c>
      <c r="E319" s="163" t="s">
        <v>2118</v>
      </c>
      <c r="F319" s="163" t="s">
        <v>2120</v>
      </c>
      <c r="G319" s="163" t="s">
        <v>36</v>
      </c>
      <c r="H319" s="163" t="s">
        <v>2200</v>
      </c>
      <c r="I319" s="163" t="s">
        <v>5725</v>
      </c>
      <c r="J319" s="163" t="s">
        <v>2468</v>
      </c>
      <c r="K319" s="163" t="s">
        <v>3194</v>
      </c>
      <c r="L319" s="163" t="s">
        <v>3197</v>
      </c>
      <c r="M319" s="549" t="s">
        <v>3198</v>
      </c>
      <c r="N319" s="163" t="s">
        <v>1343</v>
      </c>
      <c r="O319" s="163" t="s">
        <v>5732</v>
      </c>
      <c r="P319" s="163" t="s">
        <v>3189</v>
      </c>
      <c r="Q319" s="163" t="s">
        <v>4934</v>
      </c>
      <c r="R319" s="163" t="s">
        <v>2193</v>
      </c>
      <c r="S319" s="163" t="s">
        <v>3199</v>
      </c>
      <c r="T319" s="163">
        <v>17.5</v>
      </c>
      <c r="U319" s="163" t="s">
        <v>2222</v>
      </c>
      <c r="V319" s="163" t="s">
        <v>2539</v>
      </c>
      <c r="W319" s="163" t="s">
        <v>3200</v>
      </c>
      <c r="X319" s="163" t="s">
        <v>4963</v>
      </c>
      <c r="Y319" s="163" t="s">
        <v>2391</v>
      </c>
      <c r="Z319" s="163" t="s">
        <v>3193</v>
      </c>
      <c r="AA319" s="163" t="s">
        <v>4963</v>
      </c>
      <c r="AB319" s="163" t="s">
        <v>36</v>
      </c>
      <c r="AC319" s="163" t="s">
        <v>2195</v>
      </c>
      <c r="AD319" s="163" t="s">
        <v>2196</v>
      </c>
      <c r="AE319" s="163" t="s">
        <v>1762</v>
      </c>
      <c r="AF319" s="163">
        <v>3</v>
      </c>
      <c r="AG319" s="163">
        <v>0.2</v>
      </c>
      <c r="AH319" s="163">
        <v>2</v>
      </c>
      <c r="AI319" s="163" t="s">
        <v>36</v>
      </c>
      <c r="AJ319" s="163" t="s">
        <v>36</v>
      </c>
      <c r="AK319" s="163" t="s">
        <v>2197</v>
      </c>
      <c r="AL319" s="163" t="s">
        <v>3797</v>
      </c>
      <c r="AM319" t="s">
        <v>4879</v>
      </c>
      <c r="AN319" s="487">
        <v>0</v>
      </c>
      <c r="AO319" s="487">
        <v>0</v>
      </c>
    </row>
    <row r="320" spans="1:41" x14ac:dyDescent="0.2">
      <c r="A320">
        <v>319</v>
      </c>
      <c r="B320" s="471" t="s">
        <v>1341</v>
      </c>
      <c r="C320" s="163" t="s">
        <v>839</v>
      </c>
      <c r="D320" s="163" t="s">
        <v>4233</v>
      </c>
      <c r="E320" s="163" t="s">
        <v>2118</v>
      </c>
      <c r="F320" s="163" t="s">
        <v>2120</v>
      </c>
      <c r="G320" s="163" t="s">
        <v>36</v>
      </c>
      <c r="H320" s="163" t="s">
        <v>2200</v>
      </c>
      <c r="I320" s="163" t="s">
        <v>5725</v>
      </c>
      <c r="J320" s="163" t="s">
        <v>2468</v>
      </c>
      <c r="K320" s="163" t="s">
        <v>3194</v>
      </c>
      <c r="L320" s="163">
        <v>332</v>
      </c>
      <c r="M320" s="549">
        <v>3</v>
      </c>
      <c r="N320" s="163" t="s">
        <v>839</v>
      </c>
      <c r="O320" s="163" t="s">
        <v>5732</v>
      </c>
      <c r="P320" s="163" t="s">
        <v>3195</v>
      </c>
      <c r="Q320" s="163" t="s">
        <v>4934</v>
      </c>
      <c r="R320" s="163" t="s">
        <v>2367</v>
      </c>
      <c r="S320" s="163" t="s">
        <v>5230</v>
      </c>
      <c r="T320" s="163">
        <v>0.7</v>
      </c>
      <c r="U320" s="163" t="s">
        <v>2223</v>
      </c>
      <c r="V320" s="163" t="s">
        <v>3196</v>
      </c>
      <c r="W320" s="163">
        <v>12199403014</v>
      </c>
      <c r="X320" s="163" t="s">
        <v>4963</v>
      </c>
      <c r="Y320" s="163" t="s">
        <v>2391</v>
      </c>
      <c r="Z320" s="163" t="s">
        <v>3193</v>
      </c>
      <c r="AA320" s="163" t="s">
        <v>4963</v>
      </c>
      <c r="AB320" s="163" t="s">
        <v>36</v>
      </c>
      <c r="AC320" s="163" t="s">
        <v>2195</v>
      </c>
      <c r="AD320" s="163" t="s">
        <v>2196</v>
      </c>
      <c r="AE320" s="163" t="s">
        <v>1762</v>
      </c>
      <c r="AF320" s="163" t="s">
        <v>3419</v>
      </c>
      <c r="AG320" s="163" t="s">
        <v>36</v>
      </c>
      <c r="AH320" s="163" t="s">
        <v>36</v>
      </c>
      <c r="AI320" s="163" t="s">
        <v>36</v>
      </c>
      <c r="AJ320" s="163" t="s">
        <v>36</v>
      </c>
      <c r="AK320" s="163" t="s">
        <v>2197</v>
      </c>
      <c r="AL320" s="163" t="s">
        <v>3797</v>
      </c>
      <c r="AM320" t="s">
        <v>4876</v>
      </c>
      <c r="AN320" s="487">
        <v>0</v>
      </c>
      <c r="AO320" s="487">
        <v>0</v>
      </c>
    </row>
    <row r="321" spans="1:41" x14ac:dyDescent="0.2">
      <c r="A321">
        <v>320</v>
      </c>
      <c r="B321" s="471" t="s">
        <v>1781</v>
      </c>
      <c r="C321" s="163" t="s">
        <v>974</v>
      </c>
      <c r="D321" s="163" t="s">
        <v>4234</v>
      </c>
      <c r="E321" s="163" t="s">
        <v>2121</v>
      </c>
      <c r="F321" s="163" t="s">
        <v>2027</v>
      </c>
      <c r="G321" s="163" t="s">
        <v>36</v>
      </c>
      <c r="H321" s="163" t="s">
        <v>2200</v>
      </c>
      <c r="I321" s="163" t="s">
        <v>5760</v>
      </c>
      <c r="J321" s="163" t="s">
        <v>2812</v>
      </c>
      <c r="K321" s="163" t="s">
        <v>1241</v>
      </c>
      <c r="L321" s="163" t="s">
        <v>3226</v>
      </c>
      <c r="M321" s="549">
        <v>896034</v>
      </c>
      <c r="N321" s="163" t="s">
        <v>974</v>
      </c>
      <c r="O321" s="163" t="s">
        <v>906</v>
      </c>
      <c r="P321" s="163" t="s">
        <v>3227</v>
      </c>
      <c r="Q321" s="163" t="s">
        <v>2192</v>
      </c>
      <c r="R321" s="163" t="s">
        <v>2193</v>
      </c>
      <c r="S321" s="163" t="s">
        <v>3228</v>
      </c>
      <c r="T321" s="163">
        <v>22.2</v>
      </c>
      <c r="U321" s="163" t="s">
        <v>2222</v>
      </c>
      <c r="V321" s="163" t="s">
        <v>3229</v>
      </c>
      <c r="W321" s="163">
        <v>5890</v>
      </c>
      <c r="X321" s="163" t="s">
        <v>2192</v>
      </c>
      <c r="Y321" s="163" t="s">
        <v>111</v>
      </c>
      <c r="Z321" s="163" t="s">
        <v>111</v>
      </c>
      <c r="AA321" s="163" t="s">
        <v>111</v>
      </c>
      <c r="AB321" s="163" t="s">
        <v>3230</v>
      </c>
      <c r="AC321" s="163" t="s">
        <v>2195</v>
      </c>
      <c r="AD321" s="163" t="s">
        <v>2196</v>
      </c>
      <c r="AE321" s="163" t="s">
        <v>1762</v>
      </c>
      <c r="AF321" s="163" t="s">
        <v>3419</v>
      </c>
      <c r="AG321" s="163" t="s">
        <v>36</v>
      </c>
      <c r="AH321" s="163" t="s">
        <v>36</v>
      </c>
      <c r="AI321" s="163" t="s">
        <v>36</v>
      </c>
      <c r="AJ321" s="163" t="s">
        <v>36</v>
      </c>
      <c r="AK321" s="163" t="s">
        <v>2197</v>
      </c>
      <c r="AL321" s="163" t="s">
        <v>36</v>
      </c>
      <c r="AM321" t="s">
        <v>4876</v>
      </c>
      <c r="AN321" s="487">
        <v>0</v>
      </c>
      <c r="AO321" s="487">
        <v>0</v>
      </c>
    </row>
    <row r="322" spans="1:41" x14ac:dyDescent="0.2">
      <c r="A322">
        <v>321</v>
      </c>
      <c r="B322" s="471" t="s">
        <v>1781</v>
      </c>
      <c r="C322" s="163" t="s">
        <v>971</v>
      </c>
      <c r="D322" s="163" t="s">
        <v>4235</v>
      </c>
      <c r="E322" s="163" t="s">
        <v>2121</v>
      </c>
      <c r="F322" s="163" t="s">
        <v>2027</v>
      </c>
      <c r="G322" s="163" t="s">
        <v>36</v>
      </c>
      <c r="H322" s="163" t="s">
        <v>2200</v>
      </c>
      <c r="I322" s="163" t="s">
        <v>5761</v>
      </c>
      <c r="J322" s="163" t="s">
        <v>2812</v>
      </c>
      <c r="K322" s="163" t="s">
        <v>3231</v>
      </c>
      <c r="L322" s="163" t="s">
        <v>2541</v>
      </c>
      <c r="M322" s="549" t="s">
        <v>971</v>
      </c>
      <c r="N322" s="163" t="s">
        <v>971</v>
      </c>
      <c r="O322" s="163" t="s">
        <v>906</v>
      </c>
      <c r="P322" s="163" t="s">
        <v>3227</v>
      </c>
      <c r="Q322" s="163" t="s">
        <v>2192</v>
      </c>
      <c r="R322" s="163" t="s">
        <v>2367</v>
      </c>
      <c r="S322" s="163" t="s">
        <v>3232</v>
      </c>
      <c r="T322" s="163">
        <v>87.5</v>
      </c>
      <c r="U322" s="163" t="s">
        <v>2222</v>
      </c>
      <c r="V322" s="163" t="s">
        <v>5441</v>
      </c>
      <c r="W322" s="163" t="s">
        <v>5442</v>
      </c>
      <c r="X322" s="163" t="s">
        <v>2192</v>
      </c>
      <c r="Y322" s="163" t="s">
        <v>111</v>
      </c>
      <c r="Z322" s="163" t="s">
        <v>111</v>
      </c>
      <c r="AA322" s="163" t="s">
        <v>111</v>
      </c>
      <c r="AB322" s="163" t="s">
        <v>3233</v>
      </c>
      <c r="AC322" s="163" t="s">
        <v>2195</v>
      </c>
      <c r="AD322" s="163" t="s">
        <v>2196</v>
      </c>
      <c r="AE322" s="163" t="s">
        <v>1762</v>
      </c>
      <c r="AF322" s="163">
        <v>1</v>
      </c>
      <c r="AG322" s="163">
        <v>0.32</v>
      </c>
      <c r="AH322" s="163">
        <v>0.08</v>
      </c>
      <c r="AI322" s="163" t="s">
        <v>3968</v>
      </c>
      <c r="AJ322" s="163" t="s">
        <v>36</v>
      </c>
      <c r="AK322" s="163" t="s">
        <v>2197</v>
      </c>
      <c r="AL322" s="163" t="s">
        <v>36</v>
      </c>
      <c r="AM322" t="s">
        <v>4876</v>
      </c>
      <c r="AN322" s="487">
        <v>0</v>
      </c>
      <c r="AO322" s="487">
        <v>0</v>
      </c>
    </row>
    <row r="323" spans="1:41" x14ac:dyDescent="0.2">
      <c r="A323">
        <v>322</v>
      </c>
      <c r="B323" s="471" t="s">
        <v>1781</v>
      </c>
      <c r="C323" s="163" t="s">
        <v>962</v>
      </c>
      <c r="D323" s="163" t="s">
        <v>4236</v>
      </c>
      <c r="E323" s="163" t="s">
        <v>2121</v>
      </c>
      <c r="F323" s="163" t="s">
        <v>2027</v>
      </c>
      <c r="G323" s="163" t="s">
        <v>36</v>
      </c>
      <c r="H323" s="163" t="s">
        <v>2200</v>
      </c>
      <c r="I323" s="163" t="s">
        <v>5725</v>
      </c>
      <c r="J323" s="163" t="s">
        <v>2468</v>
      </c>
      <c r="K323" s="163" t="s">
        <v>3207</v>
      </c>
      <c r="L323" s="163" t="s">
        <v>3208</v>
      </c>
      <c r="M323" s="549" t="s">
        <v>3209</v>
      </c>
      <c r="N323" s="163" t="s">
        <v>962</v>
      </c>
      <c r="O323" s="163" t="s">
        <v>5726</v>
      </c>
      <c r="P323" s="163" t="s">
        <v>2493</v>
      </c>
      <c r="Q323" s="163" t="s">
        <v>4936</v>
      </c>
      <c r="R323" s="163" t="s">
        <v>2367</v>
      </c>
      <c r="S323" s="163" t="s">
        <v>3210</v>
      </c>
      <c r="T323" s="163">
        <v>302.5</v>
      </c>
      <c r="U323" s="163" t="s">
        <v>2222</v>
      </c>
      <c r="V323" s="163" t="s">
        <v>3400</v>
      </c>
      <c r="W323" s="163" t="s">
        <v>5508</v>
      </c>
      <c r="X323" s="163" t="s">
        <v>4937</v>
      </c>
      <c r="Y323" s="163" t="s">
        <v>3400</v>
      </c>
      <c r="Z323" s="163" t="s">
        <v>5508</v>
      </c>
      <c r="AA323" s="163" t="s">
        <v>4937</v>
      </c>
      <c r="AB323" s="163" t="s">
        <v>36</v>
      </c>
      <c r="AC323" s="163" t="s">
        <v>2195</v>
      </c>
      <c r="AD323" s="163" t="s">
        <v>2196</v>
      </c>
      <c r="AE323" s="163" t="s">
        <v>1762</v>
      </c>
      <c r="AF323" s="163">
        <v>31.4</v>
      </c>
      <c r="AG323" s="163">
        <v>68</v>
      </c>
      <c r="AH323" s="163">
        <v>11</v>
      </c>
      <c r="AI323" s="163" t="s">
        <v>36</v>
      </c>
      <c r="AJ323" s="163" t="s">
        <v>36</v>
      </c>
      <c r="AK323" s="163" t="s">
        <v>2197</v>
      </c>
      <c r="AL323" s="163" t="s">
        <v>36</v>
      </c>
      <c r="AM323" t="s">
        <v>4876</v>
      </c>
      <c r="AN323" s="487"/>
      <c r="AO323" s="487"/>
    </row>
    <row r="324" spans="1:41" x14ac:dyDescent="0.2">
      <c r="A324">
        <v>323</v>
      </c>
      <c r="B324" s="471" t="s">
        <v>1781</v>
      </c>
      <c r="C324" s="163" t="s">
        <v>985</v>
      </c>
      <c r="D324" s="163" t="s">
        <v>4237</v>
      </c>
      <c r="E324" s="163" t="s">
        <v>2121</v>
      </c>
      <c r="F324" s="163" t="s">
        <v>2027</v>
      </c>
      <c r="G324" s="163" t="s">
        <v>36</v>
      </c>
      <c r="H324" s="163" t="s">
        <v>2200</v>
      </c>
      <c r="I324" s="163" t="s">
        <v>5725</v>
      </c>
      <c r="J324" s="163" t="s">
        <v>2468</v>
      </c>
      <c r="K324" s="163" t="s">
        <v>2923</v>
      </c>
      <c r="L324" s="163" t="s">
        <v>3211</v>
      </c>
      <c r="M324" s="549" t="s">
        <v>3212</v>
      </c>
      <c r="N324" s="163" t="s">
        <v>985</v>
      </c>
      <c r="O324" s="163" t="s">
        <v>5726</v>
      </c>
      <c r="P324" s="163" t="s">
        <v>3213</v>
      </c>
      <c r="Q324" s="163" t="s">
        <v>4936</v>
      </c>
      <c r="R324" s="163" t="s">
        <v>2367</v>
      </c>
      <c r="S324" s="163" t="s">
        <v>3214</v>
      </c>
      <c r="T324" s="163">
        <v>196</v>
      </c>
      <c r="U324" s="163" t="s">
        <v>2222</v>
      </c>
      <c r="V324" s="163" t="s">
        <v>3215</v>
      </c>
      <c r="W324" s="163" t="s">
        <v>2268</v>
      </c>
      <c r="X324" s="163" t="s">
        <v>4937</v>
      </c>
      <c r="Y324" s="163" t="s">
        <v>3215</v>
      </c>
      <c r="Z324" s="163" t="s">
        <v>2268</v>
      </c>
      <c r="AA324" s="163" t="s">
        <v>4937</v>
      </c>
      <c r="AB324" s="163" t="s">
        <v>36</v>
      </c>
      <c r="AC324" s="163" t="s">
        <v>2195</v>
      </c>
      <c r="AD324" s="163" t="s">
        <v>2196</v>
      </c>
      <c r="AE324" s="163" t="s">
        <v>1762</v>
      </c>
      <c r="AF324" s="163">
        <v>30000</v>
      </c>
      <c r="AG324" s="163">
        <v>10</v>
      </c>
      <c r="AH324" s="163">
        <v>1000</v>
      </c>
      <c r="AI324" s="163" t="s">
        <v>36</v>
      </c>
      <c r="AJ324" s="163" t="s">
        <v>36</v>
      </c>
      <c r="AK324" s="163" t="s">
        <v>2197</v>
      </c>
      <c r="AL324" s="163" t="s">
        <v>36</v>
      </c>
      <c r="AM324" t="s">
        <v>4879</v>
      </c>
      <c r="AN324" s="487">
        <v>1.4583333333333332E-2</v>
      </c>
      <c r="AO324" s="487">
        <v>0</v>
      </c>
    </row>
    <row r="325" spans="1:41" x14ac:dyDescent="0.2">
      <c r="A325">
        <v>324</v>
      </c>
      <c r="B325" s="471" t="s">
        <v>1781</v>
      </c>
      <c r="C325" s="163" t="s">
        <v>976</v>
      </c>
      <c r="D325" s="163" t="s">
        <v>4238</v>
      </c>
      <c r="E325" s="163" t="s">
        <v>2121</v>
      </c>
      <c r="F325" s="163" t="s">
        <v>2027</v>
      </c>
      <c r="G325" s="163" t="s">
        <v>36</v>
      </c>
      <c r="H325" s="163" t="s">
        <v>2200</v>
      </c>
      <c r="I325" s="163" t="s">
        <v>5725</v>
      </c>
      <c r="J325" s="163" t="s">
        <v>2468</v>
      </c>
      <c r="K325" s="163" t="s">
        <v>3238</v>
      </c>
      <c r="L325" s="163" t="s">
        <v>3239</v>
      </c>
      <c r="M325" s="549" t="s">
        <v>976</v>
      </c>
      <c r="N325" s="163" t="s">
        <v>976</v>
      </c>
      <c r="O325" s="163" t="s">
        <v>5120</v>
      </c>
      <c r="P325" s="163" t="s">
        <v>3240</v>
      </c>
      <c r="Q325" s="163" t="s">
        <v>4934</v>
      </c>
      <c r="R325" s="163" t="s">
        <v>2367</v>
      </c>
      <c r="S325" s="163" t="s">
        <v>3241</v>
      </c>
      <c r="T325" s="163">
        <v>390</v>
      </c>
      <c r="U325" s="163" t="s">
        <v>2222</v>
      </c>
      <c r="V325" s="163" t="s">
        <v>5443</v>
      </c>
      <c r="W325" s="163" t="s">
        <v>5444</v>
      </c>
      <c r="X325" s="163" t="s">
        <v>4937</v>
      </c>
      <c r="Y325" s="163" t="s">
        <v>5443</v>
      </c>
      <c r="Z325" s="163" t="s">
        <v>5444</v>
      </c>
      <c r="AA325" s="163" t="s">
        <v>4937</v>
      </c>
      <c r="AB325" s="163" t="s">
        <v>36</v>
      </c>
      <c r="AC325" s="163" t="s">
        <v>2195</v>
      </c>
      <c r="AD325" s="163" t="s">
        <v>2196</v>
      </c>
      <c r="AE325" s="163" t="s">
        <v>1762</v>
      </c>
      <c r="AF325" s="163" t="s">
        <v>3419</v>
      </c>
      <c r="AG325" s="163" t="s">
        <v>36</v>
      </c>
      <c r="AH325" s="163" t="s">
        <v>36</v>
      </c>
      <c r="AI325" s="163" t="s">
        <v>36</v>
      </c>
      <c r="AJ325" s="163" t="s">
        <v>36</v>
      </c>
      <c r="AK325" s="163" t="s">
        <v>2197</v>
      </c>
      <c r="AL325" s="163" t="s">
        <v>36</v>
      </c>
      <c r="AM325" t="s">
        <v>4876</v>
      </c>
      <c r="AN325" s="487">
        <v>0</v>
      </c>
      <c r="AO325" s="487">
        <v>2.1527777777777781E-2</v>
      </c>
    </row>
    <row r="326" spans="1:41" x14ac:dyDescent="0.2">
      <c r="A326">
        <v>325</v>
      </c>
      <c r="B326" s="471" t="s">
        <v>1781</v>
      </c>
      <c r="C326" s="163" t="s">
        <v>978</v>
      </c>
      <c r="D326" s="163" t="s">
        <v>4239</v>
      </c>
      <c r="E326" s="163" t="s">
        <v>2121</v>
      </c>
      <c r="F326" s="163" t="s">
        <v>2027</v>
      </c>
      <c r="G326" s="163" t="s">
        <v>36</v>
      </c>
      <c r="H326" s="163" t="s">
        <v>2200</v>
      </c>
      <c r="I326" s="163" t="s">
        <v>5725</v>
      </c>
      <c r="J326" s="163" t="s">
        <v>2468</v>
      </c>
      <c r="K326" s="163" t="s">
        <v>3242</v>
      </c>
      <c r="L326" s="163" t="s">
        <v>3239</v>
      </c>
      <c r="M326" s="549" t="s">
        <v>978</v>
      </c>
      <c r="N326" s="163" t="s">
        <v>978</v>
      </c>
      <c r="O326" s="163" t="s">
        <v>5762</v>
      </c>
      <c r="P326" s="163" t="s">
        <v>3243</v>
      </c>
      <c r="Q326" s="163" t="s">
        <v>4934</v>
      </c>
      <c r="R326" s="163" t="s">
        <v>2367</v>
      </c>
      <c r="S326" s="163" t="s">
        <v>3244</v>
      </c>
      <c r="T326" s="163">
        <v>382.3</v>
      </c>
      <c r="U326" s="163" t="s">
        <v>2222</v>
      </c>
      <c r="V326" s="163" t="s">
        <v>5443</v>
      </c>
      <c r="W326" s="163" t="s">
        <v>5445</v>
      </c>
      <c r="X326" s="163" t="s">
        <v>4937</v>
      </c>
      <c r="Y326" s="163" t="s">
        <v>5443</v>
      </c>
      <c r="Z326" s="163" t="s">
        <v>5445</v>
      </c>
      <c r="AA326" s="163" t="s">
        <v>4937</v>
      </c>
      <c r="AB326" s="163" t="s">
        <v>36</v>
      </c>
      <c r="AC326" s="163" t="s">
        <v>2195</v>
      </c>
      <c r="AD326" s="163" t="s">
        <v>2196</v>
      </c>
      <c r="AE326" s="163" t="s">
        <v>1762</v>
      </c>
      <c r="AF326" s="163" t="s">
        <v>3419</v>
      </c>
      <c r="AG326" s="163" t="s">
        <v>36</v>
      </c>
      <c r="AH326" s="163" t="s">
        <v>36</v>
      </c>
      <c r="AI326" s="163" t="s">
        <v>36</v>
      </c>
      <c r="AJ326" s="163" t="s">
        <v>36</v>
      </c>
      <c r="AK326" s="163" t="s">
        <v>2197</v>
      </c>
      <c r="AL326" s="163" t="s">
        <v>36</v>
      </c>
      <c r="AM326" t="s">
        <v>4876</v>
      </c>
      <c r="AN326" s="487">
        <v>0</v>
      </c>
      <c r="AO326" s="487">
        <v>0</v>
      </c>
    </row>
    <row r="327" spans="1:41" x14ac:dyDescent="0.2">
      <c r="A327">
        <v>326</v>
      </c>
      <c r="B327" s="471" t="s">
        <v>1781</v>
      </c>
      <c r="C327" s="163" t="s">
        <v>980</v>
      </c>
      <c r="D327" s="163" t="s">
        <v>4240</v>
      </c>
      <c r="E327" s="163" t="s">
        <v>2121</v>
      </c>
      <c r="F327" s="163" t="s">
        <v>2027</v>
      </c>
      <c r="G327" s="163" t="s">
        <v>36</v>
      </c>
      <c r="H327" s="163" t="s">
        <v>2200</v>
      </c>
      <c r="I327" s="163" t="s">
        <v>5760</v>
      </c>
      <c r="J327" s="163" t="s">
        <v>2468</v>
      </c>
      <c r="K327" s="163" t="s">
        <v>3224</v>
      </c>
      <c r="L327" s="163" t="s">
        <v>2327</v>
      </c>
      <c r="M327" s="549" t="s">
        <v>980</v>
      </c>
      <c r="N327" s="163" t="s">
        <v>980</v>
      </c>
      <c r="O327" s="163" t="s">
        <v>111</v>
      </c>
      <c r="P327" s="163" t="s">
        <v>2317</v>
      </c>
      <c r="Q327" s="163" t="s">
        <v>2198</v>
      </c>
      <c r="R327" s="163" t="s">
        <v>3223</v>
      </c>
      <c r="S327" s="163" t="s">
        <v>3225</v>
      </c>
      <c r="T327" s="163">
        <v>100</v>
      </c>
      <c r="U327" s="163" t="s">
        <v>2222</v>
      </c>
      <c r="V327" s="163" t="s">
        <v>5434</v>
      </c>
      <c r="W327" s="163" t="s">
        <v>5793</v>
      </c>
      <c r="X327" s="163" t="s">
        <v>2194</v>
      </c>
      <c r="Y327" s="163" t="s">
        <v>5434</v>
      </c>
      <c r="Z327" s="163" t="s">
        <v>5793</v>
      </c>
      <c r="AA327" s="163" t="s">
        <v>2194</v>
      </c>
      <c r="AB327" s="163" t="s">
        <v>5794</v>
      </c>
      <c r="AC327" s="163" t="s">
        <v>2195</v>
      </c>
      <c r="AD327" s="163" t="s">
        <v>2196</v>
      </c>
      <c r="AE327" s="163" t="s">
        <v>1762</v>
      </c>
      <c r="AF327" s="163" t="s">
        <v>3419</v>
      </c>
      <c r="AG327" s="163" t="s">
        <v>36</v>
      </c>
      <c r="AH327" s="163" t="s">
        <v>36</v>
      </c>
      <c r="AI327" s="163" t="s">
        <v>36</v>
      </c>
      <c r="AJ327" s="163" t="s">
        <v>36</v>
      </c>
      <c r="AK327" s="163" t="s">
        <v>2197</v>
      </c>
      <c r="AL327" s="163" t="s">
        <v>36</v>
      </c>
      <c r="AM327" t="s">
        <v>4895</v>
      </c>
      <c r="AN327" s="487">
        <v>0</v>
      </c>
      <c r="AO327" s="487">
        <v>0</v>
      </c>
    </row>
    <row r="328" spans="1:41" x14ac:dyDescent="0.2">
      <c r="A328">
        <v>327</v>
      </c>
      <c r="B328" s="471" t="s">
        <v>1781</v>
      </c>
      <c r="C328" s="163" t="s">
        <v>983</v>
      </c>
      <c r="D328" s="163" t="s">
        <v>4241</v>
      </c>
      <c r="E328" s="163" t="s">
        <v>2121</v>
      </c>
      <c r="F328" s="163" t="s">
        <v>2027</v>
      </c>
      <c r="G328" s="163" t="s">
        <v>36</v>
      </c>
      <c r="H328" s="163" t="s">
        <v>2200</v>
      </c>
      <c r="I328" s="163" t="s">
        <v>5725</v>
      </c>
      <c r="J328" s="163" t="s">
        <v>2468</v>
      </c>
      <c r="K328" s="163" t="s">
        <v>3216</v>
      </c>
      <c r="L328" s="163" t="s">
        <v>3217</v>
      </c>
      <c r="M328" s="549" t="s">
        <v>3218</v>
      </c>
      <c r="N328" s="163" t="s">
        <v>983</v>
      </c>
      <c r="O328" s="163" t="s">
        <v>5001</v>
      </c>
      <c r="P328" s="163" t="s">
        <v>3219</v>
      </c>
      <c r="Q328" s="163" t="s">
        <v>4949</v>
      </c>
      <c r="R328" s="163" t="s">
        <v>2367</v>
      </c>
      <c r="S328" s="163" t="s">
        <v>3220</v>
      </c>
      <c r="T328" s="163">
        <v>270</v>
      </c>
      <c r="U328" s="163" t="s">
        <v>2222</v>
      </c>
      <c r="V328" s="163" t="s">
        <v>2871</v>
      </c>
      <c r="W328" s="163" t="s">
        <v>3221</v>
      </c>
      <c r="X328" s="163" t="s">
        <v>4937</v>
      </c>
      <c r="Y328" s="163" t="s">
        <v>3053</v>
      </c>
      <c r="Z328" s="163" t="s">
        <v>3222</v>
      </c>
      <c r="AA328" s="163" t="s">
        <v>4937</v>
      </c>
      <c r="AB328" s="163" t="s">
        <v>36</v>
      </c>
      <c r="AC328" s="163" t="s">
        <v>2195</v>
      </c>
      <c r="AD328" s="163" t="s">
        <v>2196</v>
      </c>
      <c r="AE328" s="163" t="s">
        <v>1762</v>
      </c>
      <c r="AF328" s="163" t="s">
        <v>3948</v>
      </c>
      <c r="AG328" s="163" t="s">
        <v>3949</v>
      </c>
      <c r="AH328" s="163" t="s">
        <v>4011</v>
      </c>
      <c r="AI328" s="163" t="s">
        <v>4012</v>
      </c>
      <c r="AJ328" s="163" t="s">
        <v>4013</v>
      </c>
      <c r="AK328" s="163" t="s">
        <v>2197</v>
      </c>
      <c r="AL328" s="163" t="s">
        <v>36</v>
      </c>
      <c r="AM328" t="s">
        <v>4879</v>
      </c>
      <c r="AN328" s="487">
        <v>0</v>
      </c>
      <c r="AO328" s="487">
        <v>0</v>
      </c>
    </row>
    <row r="329" spans="1:41" x14ac:dyDescent="0.2">
      <c r="A329">
        <v>328</v>
      </c>
      <c r="B329" s="471" t="s">
        <v>1781</v>
      </c>
      <c r="C329" s="163" t="s">
        <v>3861</v>
      </c>
      <c r="D329" s="163" t="s">
        <v>4516</v>
      </c>
      <c r="E329" s="163" t="s">
        <v>2121</v>
      </c>
      <c r="F329" s="163" t="s">
        <v>2027</v>
      </c>
      <c r="G329" s="163" t="s">
        <v>36</v>
      </c>
      <c r="H329" s="163" t="s">
        <v>2200</v>
      </c>
      <c r="I329" s="163" t="s">
        <v>5725</v>
      </c>
      <c r="J329" s="163" t="s">
        <v>2188</v>
      </c>
      <c r="K329" s="163" t="s">
        <v>4517</v>
      </c>
      <c r="L329" s="163" t="s">
        <v>906</v>
      </c>
      <c r="M329" s="549" t="s">
        <v>3861</v>
      </c>
      <c r="N329" s="163" t="s">
        <v>3861</v>
      </c>
      <c r="O329" s="163" t="s">
        <v>906</v>
      </c>
      <c r="P329" s="163" t="s">
        <v>2843</v>
      </c>
      <c r="Q329" s="163" t="s">
        <v>2273</v>
      </c>
      <c r="R329" s="163" t="s">
        <v>2193</v>
      </c>
      <c r="S329" s="163" t="s">
        <v>3201</v>
      </c>
      <c r="T329" s="163">
        <v>189</v>
      </c>
      <c r="U329" s="163" t="s">
        <v>2223</v>
      </c>
      <c r="V329" s="163" t="s">
        <v>2315</v>
      </c>
      <c r="W329" s="163" t="s">
        <v>4518</v>
      </c>
      <c r="X329" s="163" t="s">
        <v>2333</v>
      </c>
      <c r="Y329" s="163" t="s">
        <v>111</v>
      </c>
      <c r="Z329" s="163" t="s">
        <v>111</v>
      </c>
      <c r="AA329" s="163" t="s">
        <v>111</v>
      </c>
      <c r="AB329" s="163" t="s">
        <v>3203</v>
      </c>
      <c r="AC329" s="163" t="s">
        <v>2195</v>
      </c>
      <c r="AD329" s="163" t="s">
        <v>2196</v>
      </c>
      <c r="AE329" s="163" t="s">
        <v>1762</v>
      </c>
      <c r="AF329" s="163" t="s">
        <v>36</v>
      </c>
      <c r="AG329" s="163" t="s">
        <v>36</v>
      </c>
      <c r="AH329" s="163" t="s">
        <v>36</v>
      </c>
      <c r="AI329" s="163" t="s">
        <v>36</v>
      </c>
      <c r="AJ329" s="163" t="s">
        <v>36</v>
      </c>
      <c r="AK329" s="163" t="s">
        <v>2197</v>
      </c>
      <c r="AL329" s="163" t="s">
        <v>36</v>
      </c>
      <c r="AM329" t="s">
        <v>4876</v>
      </c>
      <c r="AN329" s="487">
        <v>0</v>
      </c>
      <c r="AO329" s="487">
        <v>0</v>
      </c>
    </row>
    <row r="330" spans="1:41" x14ac:dyDescent="0.2">
      <c r="A330">
        <v>329</v>
      </c>
      <c r="B330" s="471" t="s">
        <v>1781</v>
      </c>
      <c r="C330" s="163" t="s">
        <v>1930</v>
      </c>
      <c r="D330" s="163" t="s">
        <v>4242</v>
      </c>
      <c r="E330" s="163" t="s">
        <v>2121</v>
      </c>
      <c r="F330" s="163" t="s">
        <v>2027</v>
      </c>
      <c r="G330" s="163" t="s">
        <v>36</v>
      </c>
      <c r="H330" s="163" t="s">
        <v>2200</v>
      </c>
      <c r="I330" s="163" t="s">
        <v>5761</v>
      </c>
      <c r="J330" s="163" t="s">
        <v>2812</v>
      </c>
      <c r="K330" s="163" t="s">
        <v>3234</v>
      </c>
      <c r="L330" s="163" t="s">
        <v>2327</v>
      </c>
      <c r="M330" s="549" t="s">
        <v>1930</v>
      </c>
      <c r="N330" s="163" t="s">
        <v>1930</v>
      </c>
      <c r="O330" s="163" t="s">
        <v>906</v>
      </c>
      <c r="P330" s="163" t="s">
        <v>3235</v>
      </c>
      <c r="Q330" s="163" t="s">
        <v>2276</v>
      </c>
      <c r="R330" s="163" t="s">
        <v>2193</v>
      </c>
      <c r="S330" s="163" t="s">
        <v>3236</v>
      </c>
      <c r="T330" s="163">
        <v>346.5</v>
      </c>
      <c r="U330" s="163" t="s">
        <v>2223</v>
      </c>
      <c r="V330" s="163" t="s">
        <v>2327</v>
      </c>
      <c r="W330" s="163" t="s">
        <v>3237</v>
      </c>
      <c r="X330" s="163" t="s">
        <v>2342</v>
      </c>
      <c r="Y330" s="163" t="s">
        <v>111</v>
      </c>
      <c r="Z330" s="163" t="s">
        <v>111</v>
      </c>
      <c r="AA330" s="163" t="s">
        <v>111</v>
      </c>
      <c r="AB330" s="163" t="s">
        <v>3203</v>
      </c>
      <c r="AC330" s="163" t="s">
        <v>2195</v>
      </c>
      <c r="AD330" s="163" t="s">
        <v>2196</v>
      </c>
      <c r="AE330" s="163" t="s">
        <v>1762</v>
      </c>
      <c r="AF330" s="163" t="s">
        <v>3419</v>
      </c>
      <c r="AG330" s="163" t="s">
        <v>36</v>
      </c>
      <c r="AH330" s="163" t="s">
        <v>36</v>
      </c>
      <c r="AI330" s="163" t="s">
        <v>36</v>
      </c>
      <c r="AJ330" s="163" t="s">
        <v>36</v>
      </c>
      <c r="AK330" s="163" t="s">
        <v>2197</v>
      </c>
      <c r="AL330" s="163" t="s">
        <v>36</v>
      </c>
      <c r="AM330" t="s">
        <v>4876</v>
      </c>
      <c r="AN330" s="487">
        <v>0</v>
      </c>
      <c r="AO330" s="487">
        <v>0</v>
      </c>
    </row>
    <row r="331" spans="1:41" x14ac:dyDescent="0.2">
      <c r="A331">
        <v>330</v>
      </c>
      <c r="B331" s="471" t="s">
        <v>1781</v>
      </c>
      <c r="C331" s="163" t="s">
        <v>3863</v>
      </c>
      <c r="D331" s="163" t="s">
        <v>4404</v>
      </c>
      <c r="E331" s="163" t="s">
        <v>2121</v>
      </c>
      <c r="F331" s="163" t="s">
        <v>2027</v>
      </c>
      <c r="G331" s="163" t="s">
        <v>36</v>
      </c>
      <c r="H331" s="163" t="s">
        <v>2200</v>
      </c>
      <c r="I331" s="163" t="s">
        <v>5725</v>
      </c>
      <c r="J331" s="163" t="s">
        <v>2812</v>
      </c>
      <c r="K331" s="163" t="s">
        <v>4405</v>
      </c>
      <c r="L331" s="163" t="s">
        <v>2327</v>
      </c>
      <c r="M331" s="549" t="s">
        <v>3863</v>
      </c>
      <c r="N331" s="163" t="s">
        <v>3863</v>
      </c>
      <c r="O331" s="163" t="s">
        <v>906</v>
      </c>
      <c r="P331" s="163" t="s">
        <v>5763</v>
      </c>
      <c r="Q331" s="163" t="s">
        <v>2276</v>
      </c>
      <c r="R331" s="163" t="s">
        <v>2193</v>
      </c>
      <c r="S331" s="163" t="s">
        <v>3236</v>
      </c>
      <c r="T331" s="163">
        <v>346.5</v>
      </c>
      <c r="U331" s="163" t="s">
        <v>2223</v>
      </c>
      <c r="V331" s="163" t="s">
        <v>2327</v>
      </c>
      <c r="W331" s="163" t="s">
        <v>4406</v>
      </c>
      <c r="X331" s="163" t="s">
        <v>2263</v>
      </c>
      <c r="Y331" s="163" t="s">
        <v>111</v>
      </c>
      <c r="Z331" s="163" t="s">
        <v>111</v>
      </c>
      <c r="AA331" s="163" t="s">
        <v>111</v>
      </c>
      <c r="AB331" s="163" t="s">
        <v>5764</v>
      </c>
      <c r="AC331" s="163" t="s">
        <v>2195</v>
      </c>
      <c r="AD331" s="163" t="s">
        <v>2196</v>
      </c>
      <c r="AE331" s="163" t="s">
        <v>1762</v>
      </c>
      <c r="AF331" s="163" t="s">
        <v>3419</v>
      </c>
      <c r="AG331" s="163" t="s">
        <v>36</v>
      </c>
      <c r="AH331" s="163" t="s">
        <v>36</v>
      </c>
      <c r="AI331" s="163" t="s">
        <v>36</v>
      </c>
      <c r="AJ331" s="163" t="s">
        <v>36</v>
      </c>
      <c r="AK331" s="163" t="s">
        <v>2197</v>
      </c>
      <c r="AL331" s="163" t="s">
        <v>36</v>
      </c>
      <c r="AM331" t="s">
        <v>4876</v>
      </c>
      <c r="AN331" s="487">
        <v>0</v>
      </c>
      <c r="AO331" s="487">
        <v>0</v>
      </c>
    </row>
    <row r="332" spans="1:41" x14ac:dyDescent="0.2">
      <c r="A332">
        <v>331</v>
      </c>
      <c r="B332" s="471" t="s">
        <v>1781</v>
      </c>
      <c r="C332" s="163" t="s">
        <v>966</v>
      </c>
      <c r="D332" s="163" t="s">
        <v>4243</v>
      </c>
      <c r="E332" s="163" t="s">
        <v>2121</v>
      </c>
      <c r="F332" s="163" t="s">
        <v>2027</v>
      </c>
      <c r="G332" s="163" t="s">
        <v>36</v>
      </c>
      <c r="H332" s="163" t="s">
        <v>2200</v>
      </c>
      <c r="I332" s="163" t="s">
        <v>5725</v>
      </c>
      <c r="J332" s="163" t="s">
        <v>2468</v>
      </c>
      <c r="K332" s="163" t="s">
        <v>2847</v>
      </c>
      <c r="L332" s="163" t="s">
        <v>906</v>
      </c>
      <c r="M332" s="549" t="s">
        <v>966</v>
      </c>
      <c r="N332" s="163" t="s">
        <v>966</v>
      </c>
      <c r="O332" s="163" t="s">
        <v>906</v>
      </c>
      <c r="P332" s="163" t="s">
        <v>2623</v>
      </c>
      <c r="Q332" s="163" t="s">
        <v>4936</v>
      </c>
      <c r="R332" s="163" t="s">
        <v>2193</v>
      </c>
      <c r="S332" s="163" t="s">
        <v>3201</v>
      </c>
      <c r="T332" s="163">
        <v>189</v>
      </c>
      <c r="U332" s="163" t="s">
        <v>2223</v>
      </c>
      <c r="V332" s="163" t="s">
        <v>2315</v>
      </c>
      <c r="W332" s="163" t="s">
        <v>3202</v>
      </c>
      <c r="X332" s="163" t="s">
        <v>4944</v>
      </c>
      <c r="Y332" s="163" t="s">
        <v>111</v>
      </c>
      <c r="Z332" s="163" t="s">
        <v>111</v>
      </c>
      <c r="AA332" s="163" t="s">
        <v>111</v>
      </c>
      <c r="AB332" s="163" t="s">
        <v>3203</v>
      </c>
      <c r="AC332" s="163" t="s">
        <v>2195</v>
      </c>
      <c r="AD332" s="163" t="s">
        <v>2196</v>
      </c>
      <c r="AE332" s="163" t="s">
        <v>1762</v>
      </c>
      <c r="AF332" s="163" t="s">
        <v>36</v>
      </c>
      <c r="AG332" s="163" t="s">
        <v>36</v>
      </c>
      <c r="AH332" s="163" t="s">
        <v>36</v>
      </c>
      <c r="AI332" s="163" t="s">
        <v>36</v>
      </c>
      <c r="AJ332" s="163" t="s">
        <v>36</v>
      </c>
      <c r="AK332" s="163" t="s">
        <v>2197</v>
      </c>
      <c r="AL332" s="163" t="s">
        <v>36</v>
      </c>
      <c r="AM332" t="s">
        <v>4876</v>
      </c>
      <c r="AN332" s="487">
        <v>0</v>
      </c>
      <c r="AO332" s="487">
        <v>0</v>
      </c>
    </row>
    <row r="333" spans="1:41" x14ac:dyDescent="0.2">
      <c r="A333">
        <v>332</v>
      </c>
      <c r="B333" s="471" t="s">
        <v>1781</v>
      </c>
      <c r="C333" s="163" t="s">
        <v>964</v>
      </c>
      <c r="D333" s="163" t="s">
        <v>4244</v>
      </c>
      <c r="E333" s="163" t="s">
        <v>2121</v>
      </c>
      <c r="F333" s="163" t="s">
        <v>2027</v>
      </c>
      <c r="G333" s="163" t="s">
        <v>36</v>
      </c>
      <c r="H333" s="163" t="s">
        <v>2200</v>
      </c>
      <c r="I333" s="163" t="s">
        <v>5725</v>
      </c>
      <c r="J333" s="163" t="s">
        <v>2468</v>
      </c>
      <c r="K333" s="163" t="s">
        <v>3204</v>
      </c>
      <c r="L333" s="163" t="s">
        <v>906</v>
      </c>
      <c r="M333" s="549" t="s">
        <v>964</v>
      </c>
      <c r="N333" s="163" t="s">
        <v>964</v>
      </c>
      <c r="O333" s="163" t="s">
        <v>906</v>
      </c>
      <c r="P333" s="163" t="s">
        <v>3205</v>
      </c>
      <c r="Q333" s="163" t="s">
        <v>2273</v>
      </c>
      <c r="R333" s="163" t="s">
        <v>2193</v>
      </c>
      <c r="S333" s="163" t="s">
        <v>3201</v>
      </c>
      <c r="T333" s="163">
        <v>189</v>
      </c>
      <c r="U333" s="163" t="s">
        <v>2223</v>
      </c>
      <c r="V333" s="163" t="s">
        <v>2315</v>
      </c>
      <c r="W333" s="163" t="s">
        <v>3206</v>
      </c>
      <c r="X333" s="163" t="s">
        <v>2333</v>
      </c>
      <c r="Y333" s="163" t="s">
        <v>111</v>
      </c>
      <c r="Z333" s="163" t="s">
        <v>111</v>
      </c>
      <c r="AA333" s="163" t="s">
        <v>111</v>
      </c>
      <c r="AB333" s="163" t="s">
        <v>3203</v>
      </c>
      <c r="AC333" s="163" t="s">
        <v>2195</v>
      </c>
      <c r="AD333" s="163" t="s">
        <v>2196</v>
      </c>
      <c r="AE333" s="163" t="s">
        <v>1762</v>
      </c>
      <c r="AF333" s="163" t="s">
        <v>36</v>
      </c>
      <c r="AG333" s="163" t="s">
        <v>36</v>
      </c>
      <c r="AH333" s="163" t="s">
        <v>36</v>
      </c>
      <c r="AI333" s="163" t="s">
        <v>36</v>
      </c>
      <c r="AJ333" s="163" t="s">
        <v>36</v>
      </c>
      <c r="AK333" s="163" t="s">
        <v>2197</v>
      </c>
      <c r="AL333" s="163" t="s">
        <v>36</v>
      </c>
      <c r="AM333" t="s">
        <v>4876</v>
      </c>
      <c r="AN333" s="487">
        <v>0</v>
      </c>
      <c r="AO333" s="487">
        <v>0</v>
      </c>
    </row>
    <row r="334" spans="1:41" x14ac:dyDescent="0.2">
      <c r="A334">
        <v>333</v>
      </c>
      <c r="B334" s="471" t="s">
        <v>1346</v>
      </c>
      <c r="C334" s="163">
        <v>3037</v>
      </c>
      <c r="D334" s="163" t="s">
        <v>4245</v>
      </c>
      <c r="E334" s="163" t="s">
        <v>2122</v>
      </c>
      <c r="F334" s="163" t="s">
        <v>2123</v>
      </c>
      <c r="G334" s="163" t="s">
        <v>36</v>
      </c>
      <c r="H334" s="163" t="s">
        <v>2200</v>
      </c>
      <c r="I334" s="163" t="s">
        <v>5725</v>
      </c>
      <c r="J334" s="163" t="s">
        <v>2468</v>
      </c>
      <c r="K334" s="163" t="s">
        <v>1123</v>
      </c>
      <c r="L334" s="163" t="s">
        <v>3253</v>
      </c>
      <c r="M334" s="549">
        <v>82216</v>
      </c>
      <c r="N334" s="163">
        <v>3037</v>
      </c>
      <c r="O334" s="163" t="s">
        <v>5743</v>
      </c>
      <c r="P334" s="163" t="s">
        <v>3247</v>
      </c>
      <c r="Q334" s="163" t="s">
        <v>4934</v>
      </c>
      <c r="R334" s="163" t="s">
        <v>2193</v>
      </c>
      <c r="S334" s="163" t="s">
        <v>3254</v>
      </c>
      <c r="T334" s="163">
        <v>248.9</v>
      </c>
      <c r="U334" s="163" t="s">
        <v>2222</v>
      </c>
      <c r="V334" s="163" t="s">
        <v>3407</v>
      </c>
      <c r="W334" s="163">
        <v>305939</v>
      </c>
      <c r="X334" s="163" t="s">
        <v>4937</v>
      </c>
      <c r="Y334" s="163" t="s">
        <v>5509</v>
      </c>
      <c r="Z334" s="163" t="s">
        <v>5510</v>
      </c>
      <c r="AA334" s="163" t="s">
        <v>4937</v>
      </c>
      <c r="AB334" s="163" t="s">
        <v>36</v>
      </c>
      <c r="AC334" s="163" t="s">
        <v>2195</v>
      </c>
      <c r="AD334" s="163" t="s">
        <v>2196</v>
      </c>
      <c r="AE334" s="163" t="s">
        <v>1762</v>
      </c>
      <c r="AF334" s="163">
        <v>6</v>
      </c>
      <c r="AG334" s="163">
        <v>0.17</v>
      </c>
      <c r="AH334" s="163">
        <v>0.28000000000000003</v>
      </c>
      <c r="AI334" s="163" t="s">
        <v>36</v>
      </c>
      <c r="AJ334" s="163" t="s">
        <v>36</v>
      </c>
      <c r="AK334" s="163" t="s">
        <v>2197</v>
      </c>
      <c r="AL334" s="163" t="s">
        <v>36</v>
      </c>
      <c r="AM334" t="s">
        <v>4879</v>
      </c>
      <c r="AN334" s="487">
        <v>0</v>
      </c>
      <c r="AO334" s="487">
        <v>0</v>
      </c>
    </row>
    <row r="335" spans="1:41" x14ac:dyDescent="0.2">
      <c r="A335">
        <v>334</v>
      </c>
      <c r="B335" s="471" t="s">
        <v>1346</v>
      </c>
      <c r="C335" s="163" t="s">
        <v>1349</v>
      </c>
      <c r="D335" s="163" t="s">
        <v>4246</v>
      </c>
      <c r="E335" s="163" t="s">
        <v>2122</v>
      </c>
      <c r="F335" s="163" t="s">
        <v>2123</v>
      </c>
      <c r="G335" s="163" t="s">
        <v>36</v>
      </c>
      <c r="H335" s="163" t="s">
        <v>2200</v>
      </c>
      <c r="I335" s="163" t="s">
        <v>5725</v>
      </c>
      <c r="J335" s="163" t="s">
        <v>2468</v>
      </c>
      <c r="K335" s="163" t="s">
        <v>1123</v>
      </c>
      <c r="L335" s="163" t="s">
        <v>3245</v>
      </c>
      <c r="M335" s="549" t="s">
        <v>3246</v>
      </c>
      <c r="N335" s="163" t="s">
        <v>1349</v>
      </c>
      <c r="O335" s="163" t="s">
        <v>5743</v>
      </c>
      <c r="P335" s="163" t="s">
        <v>3247</v>
      </c>
      <c r="Q335" s="163" t="s">
        <v>4934</v>
      </c>
      <c r="R335" s="163" t="s">
        <v>2193</v>
      </c>
      <c r="S335" s="163" t="s">
        <v>3248</v>
      </c>
      <c r="T335" s="163">
        <v>292.5</v>
      </c>
      <c r="U335" s="163" t="s">
        <v>2223</v>
      </c>
      <c r="V335" s="163" t="s">
        <v>3249</v>
      </c>
      <c r="W335" s="163" t="s">
        <v>3250</v>
      </c>
      <c r="X335" s="163" t="s">
        <v>4937</v>
      </c>
      <c r="Y335" s="163" t="s">
        <v>3251</v>
      </c>
      <c r="Z335" s="163" t="s">
        <v>3252</v>
      </c>
      <c r="AA335" s="163" t="s">
        <v>4937</v>
      </c>
      <c r="AB335" s="163" t="s">
        <v>36</v>
      </c>
      <c r="AC335" s="163" t="s">
        <v>2195</v>
      </c>
      <c r="AD335" s="163" t="s">
        <v>2196</v>
      </c>
      <c r="AE335" s="163" t="s">
        <v>1762</v>
      </c>
      <c r="AF335" s="163" t="s">
        <v>3419</v>
      </c>
      <c r="AG335" s="163" t="s">
        <v>36</v>
      </c>
      <c r="AH335" s="163" t="s">
        <v>36</v>
      </c>
      <c r="AI335" s="163" t="s">
        <v>36</v>
      </c>
      <c r="AJ335" s="163" t="s">
        <v>36</v>
      </c>
      <c r="AK335" s="163" t="s">
        <v>2197</v>
      </c>
      <c r="AL335" s="163" t="s">
        <v>36</v>
      </c>
      <c r="AM335" t="s">
        <v>4879</v>
      </c>
      <c r="AN335" s="487">
        <v>0</v>
      </c>
      <c r="AO335" s="487">
        <v>0</v>
      </c>
    </row>
    <row r="336" spans="1:41" x14ac:dyDescent="0.2">
      <c r="A336">
        <v>335</v>
      </c>
      <c r="B336" s="471" t="s">
        <v>1381</v>
      </c>
      <c r="C336" s="163" t="s">
        <v>1385</v>
      </c>
      <c r="D336" s="163" t="s">
        <v>4247</v>
      </c>
      <c r="E336" s="163" t="s">
        <v>3311</v>
      </c>
      <c r="F336" s="163" t="s">
        <v>2038</v>
      </c>
      <c r="G336" s="163" t="s">
        <v>36</v>
      </c>
      <c r="H336" s="163" t="s">
        <v>2200</v>
      </c>
      <c r="I336" s="163" t="s">
        <v>5725</v>
      </c>
      <c r="J336" s="163" t="s">
        <v>2812</v>
      </c>
      <c r="K336" s="163" t="s">
        <v>3312</v>
      </c>
      <c r="L336" s="163" t="s">
        <v>3313</v>
      </c>
      <c r="M336" s="549" t="s">
        <v>3314</v>
      </c>
      <c r="N336" s="163" t="s">
        <v>1385</v>
      </c>
      <c r="O336" s="163" t="s">
        <v>906</v>
      </c>
      <c r="P336" s="163" t="s">
        <v>3315</v>
      </c>
      <c r="Q336" s="163" t="s">
        <v>2276</v>
      </c>
      <c r="R336" s="163" t="s">
        <v>2367</v>
      </c>
      <c r="S336" s="163" t="s">
        <v>3316</v>
      </c>
      <c r="T336" s="163">
        <v>840</v>
      </c>
      <c r="U336" s="163" t="s">
        <v>2222</v>
      </c>
      <c r="V336" s="163" t="s">
        <v>3191</v>
      </c>
      <c r="W336" s="163" t="s">
        <v>3317</v>
      </c>
      <c r="X336" s="163" t="s">
        <v>2194</v>
      </c>
      <c r="Y336" s="163" t="s">
        <v>2866</v>
      </c>
      <c r="Z336" s="163" t="s">
        <v>3318</v>
      </c>
      <c r="AA336" s="163" t="s">
        <v>2194</v>
      </c>
      <c r="AB336" s="163" t="s">
        <v>36</v>
      </c>
      <c r="AC336" s="163" t="s">
        <v>2195</v>
      </c>
      <c r="AD336" s="163" t="s">
        <v>2196</v>
      </c>
      <c r="AE336" s="163" t="s">
        <v>1762</v>
      </c>
      <c r="AF336" s="163" t="s">
        <v>4474</v>
      </c>
      <c r="AG336" s="163">
        <v>1</v>
      </c>
      <c r="AH336" s="163">
        <v>1</v>
      </c>
      <c r="AI336" s="163" t="s">
        <v>4475</v>
      </c>
      <c r="AJ336" s="163" t="s">
        <v>36</v>
      </c>
      <c r="AK336" s="163" t="s">
        <v>2197</v>
      </c>
      <c r="AL336" s="163" t="s">
        <v>36</v>
      </c>
      <c r="AM336" t="s">
        <v>4878</v>
      </c>
      <c r="AN336" s="487">
        <v>0</v>
      </c>
      <c r="AO336" s="487">
        <v>0</v>
      </c>
    </row>
    <row r="337" spans="1:41" x14ac:dyDescent="0.2">
      <c r="A337">
        <v>336</v>
      </c>
      <c r="B337" s="471" t="s">
        <v>1381</v>
      </c>
      <c r="C337" s="163" t="s">
        <v>1867</v>
      </c>
      <c r="D337" s="163" t="s">
        <v>4248</v>
      </c>
      <c r="E337" s="163" t="s">
        <v>3311</v>
      </c>
      <c r="F337" s="163" t="s">
        <v>2038</v>
      </c>
      <c r="G337" s="163" t="s">
        <v>36</v>
      </c>
      <c r="H337" s="163" t="s">
        <v>2200</v>
      </c>
      <c r="I337" s="163" t="s">
        <v>5725</v>
      </c>
      <c r="J337" s="163" t="s">
        <v>2812</v>
      </c>
      <c r="K337" s="163" t="s">
        <v>3312</v>
      </c>
      <c r="L337" s="163" t="s">
        <v>2515</v>
      </c>
      <c r="M337" s="549" t="s">
        <v>3324</v>
      </c>
      <c r="N337" s="163" t="s">
        <v>3325</v>
      </c>
      <c r="O337" s="163" t="s">
        <v>906</v>
      </c>
      <c r="P337" s="163" t="s">
        <v>3270</v>
      </c>
      <c r="Q337" s="163" t="s">
        <v>2276</v>
      </c>
      <c r="R337" s="163" t="s">
        <v>2358</v>
      </c>
      <c r="S337" s="163" t="s">
        <v>3326</v>
      </c>
      <c r="T337" s="163">
        <v>1481</v>
      </c>
      <c r="U337" s="163" t="s">
        <v>2222</v>
      </c>
      <c r="V337" s="163" t="s">
        <v>3327</v>
      </c>
      <c r="W337" s="163" t="s">
        <v>3328</v>
      </c>
      <c r="X337" s="163" t="s">
        <v>2353</v>
      </c>
      <c r="Y337" s="163" t="s">
        <v>111</v>
      </c>
      <c r="Z337" s="163" t="s">
        <v>111</v>
      </c>
      <c r="AA337" s="163" t="s">
        <v>111</v>
      </c>
      <c r="AB337" s="163" t="s">
        <v>3329</v>
      </c>
      <c r="AC337" s="163" t="s">
        <v>2195</v>
      </c>
      <c r="AD337" s="163" t="s">
        <v>2196</v>
      </c>
      <c r="AE337" s="163" t="s">
        <v>1762</v>
      </c>
      <c r="AF337" s="163" t="s">
        <v>36</v>
      </c>
      <c r="AG337" s="163" t="s">
        <v>36</v>
      </c>
      <c r="AH337" s="163" t="s">
        <v>36</v>
      </c>
      <c r="AI337" s="163" t="s">
        <v>36</v>
      </c>
      <c r="AJ337" s="163" t="s">
        <v>36</v>
      </c>
      <c r="AK337" s="163" t="s">
        <v>2197</v>
      </c>
      <c r="AL337" s="163" t="s">
        <v>36</v>
      </c>
      <c r="AM337" t="s">
        <v>4878</v>
      </c>
      <c r="AN337" s="487">
        <v>0</v>
      </c>
      <c r="AO337" s="487">
        <v>0</v>
      </c>
    </row>
    <row r="338" spans="1:41" x14ac:dyDescent="0.2">
      <c r="A338">
        <v>337</v>
      </c>
      <c r="B338" s="471" t="s">
        <v>1381</v>
      </c>
      <c r="C338" s="163" t="s">
        <v>1383</v>
      </c>
      <c r="D338" s="163" t="s">
        <v>4249</v>
      </c>
      <c r="E338" s="163" t="s">
        <v>3311</v>
      </c>
      <c r="F338" s="163" t="s">
        <v>2038</v>
      </c>
      <c r="G338" s="163" t="s">
        <v>36</v>
      </c>
      <c r="H338" s="163" t="s">
        <v>2200</v>
      </c>
      <c r="I338" s="163" t="s">
        <v>5725</v>
      </c>
      <c r="J338" s="163" t="s">
        <v>2468</v>
      </c>
      <c r="K338" s="163" t="s">
        <v>1123</v>
      </c>
      <c r="L338" s="163" t="s">
        <v>3319</v>
      </c>
      <c r="M338" s="549">
        <v>92063</v>
      </c>
      <c r="N338" s="163" t="s">
        <v>1383</v>
      </c>
      <c r="O338" s="163" t="s">
        <v>906</v>
      </c>
      <c r="P338" s="163" t="s">
        <v>3315</v>
      </c>
      <c r="Q338" s="163" t="s">
        <v>4934</v>
      </c>
      <c r="R338" s="163" t="s">
        <v>2358</v>
      </c>
      <c r="S338" s="163" t="s">
        <v>3320</v>
      </c>
      <c r="T338" s="163">
        <v>742.5</v>
      </c>
      <c r="U338" s="163" t="s">
        <v>2223</v>
      </c>
      <c r="V338" s="163" t="s">
        <v>3321</v>
      </c>
      <c r="W338" s="163" t="s">
        <v>3322</v>
      </c>
      <c r="X338" s="163" t="s">
        <v>4937</v>
      </c>
      <c r="Y338" s="163" t="s">
        <v>2866</v>
      </c>
      <c r="Z338" s="163" t="s">
        <v>3323</v>
      </c>
      <c r="AA338" s="163" t="s">
        <v>4937</v>
      </c>
      <c r="AB338" s="163" t="s">
        <v>36</v>
      </c>
      <c r="AC338" s="163" t="s">
        <v>2195</v>
      </c>
      <c r="AD338" s="163" t="s">
        <v>2196</v>
      </c>
      <c r="AE338" s="163" t="s">
        <v>1762</v>
      </c>
      <c r="AF338" s="163">
        <v>5</v>
      </c>
      <c r="AG338" s="163">
        <v>5</v>
      </c>
      <c r="AH338" s="163">
        <v>0</v>
      </c>
      <c r="AI338" s="163">
        <v>30</v>
      </c>
      <c r="AJ338" s="163" t="s">
        <v>36</v>
      </c>
      <c r="AK338" s="163" t="s">
        <v>2197</v>
      </c>
      <c r="AL338" s="163" t="s">
        <v>36</v>
      </c>
      <c r="AM338" t="s">
        <v>4878</v>
      </c>
      <c r="AN338" s="487">
        <v>0</v>
      </c>
      <c r="AO338" s="487">
        <v>0</v>
      </c>
    </row>
    <row r="339" spans="1:41" x14ac:dyDescent="0.2">
      <c r="A339">
        <v>338</v>
      </c>
      <c r="B339" s="471" t="s">
        <v>1351</v>
      </c>
      <c r="C339" s="163" t="s">
        <v>1354</v>
      </c>
      <c r="D339" s="163" t="s">
        <v>4250</v>
      </c>
      <c r="E339" s="163" t="s">
        <v>2124</v>
      </c>
      <c r="F339" s="163" t="s">
        <v>2018</v>
      </c>
      <c r="G339" s="163" t="s">
        <v>36</v>
      </c>
      <c r="H339" s="163" t="s">
        <v>2200</v>
      </c>
      <c r="I339" s="163" t="s">
        <v>5725</v>
      </c>
      <c r="J339" s="163" t="s">
        <v>2812</v>
      </c>
      <c r="K339" s="163" t="s">
        <v>1120</v>
      </c>
      <c r="L339" s="163" t="s">
        <v>3259</v>
      </c>
      <c r="M339" s="549" t="s">
        <v>1354</v>
      </c>
      <c r="N339" s="163" t="s">
        <v>1354</v>
      </c>
      <c r="O339" s="163" t="s">
        <v>906</v>
      </c>
      <c r="P339" s="163" t="s">
        <v>2983</v>
      </c>
      <c r="Q339" s="163" t="s">
        <v>2276</v>
      </c>
      <c r="R339" s="163" t="s">
        <v>2257</v>
      </c>
      <c r="S339" s="163" t="s">
        <v>3260</v>
      </c>
      <c r="T339" s="163">
        <v>0.3</v>
      </c>
      <c r="U339" s="163" t="s">
        <v>1952</v>
      </c>
      <c r="V339" s="163" t="s">
        <v>3261</v>
      </c>
      <c r="W339" s="163" t="s">
        <v>3262</v>
      </c>
      <c r="X339" s="163" t="s">
        <v>4508</v>
      </c>
      <c r="Y339" s="163" t="s">
        <v>111</v>
      </c>
      <c r="Z339" s="163" t="s">
        <v>111</v>
      </c>
      <c r="AA339" s="163" t="s">
        <v>111</v>
      </c>
      <c r="AB339" s="163" t="s">
        <v>5333</v>
      </c>
      <c r="AC339" s="163" t="s">
        <v>2195</v>
      </c>
      <c r="AD339" s="163" t="s">
        <v>2196</v>
      </c>
      <c r="AE339" s="163" t="s">
        <v>1762</v>
      </c>
      <c r="AF339" s="163" t="s">
        <v>3419</v>
      </c>
      <c r="AG339" s="163" t="s">
        <v>36</v>
      </c>
      <c r="AH339" s="163" t="s">
        <v>36</v>
      </c>
      <c r="AI339" s="163" t="s">
        <v>36</v>
      </c>
      <c r="AJ339" s="163" t="s">
        <v>36</v>
      </c>
      <c r="AK339" s="163" t="s">
        <v>2197</v>
      </c>
      <c r="AL339" s="163" t="s">
        <v>36</v>
      </c>
      <c r="AM339" t="s">
        <v>4896</v>
      </c>
      <c r="AN339" s="487">
        <v>0</v>
      </c>
      <c r="AO339" s="487">
        <v>0</v>
      </c>
    </row>
    <row r="340" spans="1:41" x14ac:dyDescent="0.2">
      <c r="A340">
        <v>339</v>
      </c>
      <c r="B340" s="471" t="s">
        <v>1351</v>
      </c>
      <c r="C340" s="163" t="s">
        <v>1379</v>
      </c>
      <c r="D340" s="163" t="s">
        <v>4251</v>
      </c>
      <c r="E340" s="163" t="s">
        <v>2124</v>
      </c>
      <c r="F340" s="163" t="s">
        <v>2018</v>
      </c>
      <c r="G340" s="163" t="s">
        <v>36</v>
      </c>
      <c r="H340" s="163" t="s">
        <v>2200</v>
      </c>
      <c r="I340" s="163" t="s">
        <v>5725</v>
      </c>
      <c r="J340" s="163" t="s">
        <v>2468</v>
      </c>
      <c r="K340" s="163" t="s">
        <v>1120</v>
      </c>
      <c r="L340" s="163" t="s">
        <v>3255</v>
      </c>
      <c r="M340" s="549" t="s">
        <v>3256</v>
      </c>
      <c r="N340" s="163" t="s">
        <v>1379</v>
      </c>
      <c r="O340" s="163" t="s">
        <v>906</v>
      </c>
      <c r="P340" s="163" t="s">
        <v>2531</v>
      </c>
      <c r="Q340" s="163" t="s">
        <v>2276</v>
      </c>
      <c r="R340" s="163" t="s">
        <v>2367</v>
      </c>
      <c r="S340" s="163" t="s">
        <v>3257</v>
      </c>
      <c r="T340" s="163">
        <v>120</v>
      </c>
      <c r="U340" s="163" t="s">
        <v>2222</v>
      </c>
      <c r="V340" s="163" t="s">
        <v>5511</v>
      </c>
      <c r="W340" s="163" t="s">
        <v>5512</v>
      </c>
      <c r="X340" s="163" t="s">
        <v>2194</v>
      </c>
      <c r="Y340" s="163" t="s">
        <v>5511</v>
      </c>
      <c r="Z340" s="163" t="s">
        <v>5512</v>
      </c>
      <c r="AA340" s="163" t="s">
        <v>111</v>
      </c>
      <c r="AB340" s="163" t="s">
        <v>36</v>
      </c>
      <c r="AC340" s="163" t="s">
        <v>2195</v>
      </c>
      <c r="AD340" s="163" t="s">
        <v>2196</v>
      </c>
      <c r="AE340" s="163" t="s">
        <v>1762</v>
      </c>
      <c r="AF340" s="163" t="s">
        <v>3950</v>
      </c>
      <c r="AG340" s="163">
        <v>0.5</v>
      </c>
      <c r="AH340" s="163">
        <v>0.75</v>
      </c>
      <c r="AI340" s="163" t="s">
        <v>36</v>
      </c>
      <c r="AJ340" s="163" t="s">
        <v>36</v>
      </c>
      <c r="AK340" s="163" t="s">
        <v>2197</v>
      </c>
      <c r="AL340" s="163" t="s">
        <v>36</v>
      </c>
      <c r="AM340" t="s">
        <v>4876</v>
      </c>
      <c r="AN340" s="487"/>
      <c r="AO340" s="487"/>
    </row>
    <row r="341" spans="1:41" x14ac:dyDescent="0.2">
      <c r="A341">
        <v>340</v>
      </c>
      <c r="B341" s="471" t="s">
        <v>1351</v>
      </c>
      <c r="C341" s="163" t="s">
        <v>5006</v>
      </c>
      <c r="D341" s="163" t="s">
        <v>5007</v>
      </c>
      <c r="E341" s="163" t="s">
        <v>2124</v>
      </c>
      <c r="F341" s="163" t="s">
        <v>2018</v>
      </c>
      <c r="G341" s="163" t="s">
        <v>36</v>
      </c>
      <c r="H341" s="163" t="s">
        <v>2200</v>
      </c>
      <c r="I341" s="163" t="s">
        <v>5725</v>
      </c>
      <c r="J341" s="163" t="s">
        <v>2468</v>
      </c>
      <c r="K341" s="163" t="s">
        <v>1120</v>
      </c>
      <c r="L341" s="163" t="s">
        <v>5008</v>
      </c>
      <c r="M341" s="549" t="s">
        <v>5009</v>
      </c>
      <c r="N341" s="163" t="s">
        <v>5006</v>
      </c>
      <c r="O341" s="163" t="s">
        <v>906</v>
      </c>
      <c r="P341" s="163" t="s">
        <v>2531</v>
      </c>
      <c r="Q341" s="163" t="s">
        <v>2276</v>
      </c>
      <c r="R341" s="163" t="s">
        <v>4570</v>
      </c>
      <c r="S341" s="163" t="s">
        <v>5010</v>
      </c>
      <c r="T341" s="163">
        <v>395</v>
      </c>
      <c r="U341" s="163" t="s">
        <v>2222</v>
      </c>
      <c r="V341" s="163" t="s">
        <v>5217</v>
      </c>
      <c r="W341" s="163" t="s">
        <v>5218</v>
      </c>
      <c r="X341" s="163" t="s">
        <v>2194</v>
      </c>
      <c r="Y341" s="163" t="s">
        <v>5217</v>
      </c>
      <c r="Z341" s="163" t="s">
        <v>5218</v>
      </c>
      <c r="AA341" s="163" t="s">
        <v>2194</v>
      </c>
      <c r="AB341" s="163" t="s">
        <v>36</v>
      </c>
      <c r="AC341" s="163" t="s">
        <v>2195</v>
      </c>
      <c r="AD341" s="163" t="s">
        <v>2196</v>
      </c>
      <c r="AE341" s="163" t="s">
        <v>1762</v>
      </c>
      <c r="AF341" s="163">
        <v>21.5</v>
      </c>
      <c r="AG341" s="163">
        <v>230</v>
      </c>
      <c r="AH341" s="163" t="s">
        <v>5219</v>
      </c>
      <c r="AI341" s="163" t="s">
        <v>5220</v>
      </c>
      <c r="AJ341" s="163" t="s">
        <v>5221</v>
      </c>
      <c r="AK341" s="163" t="s">
        <v>2197</v>
      </c>
      <c r="AL341" s="163" t="s">
        <v>36</v>
      </c>
      <c r="AM341" t="s">
        <v>4876</v>
      </c>
      <c r="AN341" s="487">
        <v>0</v>
      </c>
      <c r="AO341" s="487">
        <v>0</v>
      </c>
    </row>
    <row r="342" spans="1:41" x14ac:dyDescent="0.2">
      <c r="A342">
        <v>341</v>
      </c>
      <c r="B342" s="471" t="s">
        <v>1351</v>
      </c>
      <c r="C342" s="163" t="s">
        <v>1356</v>
      </c>
      <c r="D342" s="163" t="s">
        <v>4252</v>
      </c>
      <c r="E342" s="163" t="s">
        <v>2124</v>
      </c>
      <c r="F342" s="163" t="s">
        <v>2018</v>
      </c>
      <c r="G342" s="163" t="s">
        <v>36</v>
      </c>
      <c r="H342" s="163" t="s">
        <v>2200</v>
      </c>
      <c r="I342" s="163" t="s">
        <v>5725</v>
      </c>
      <c r="J342" s="163" t="s">
        <v>2468</v>
      </c>
      <c r="K342" s="163" t="s">
        <v>1120</v>
      </c>
      <c r="L342" s="163" t="s">
        <v>3263</v>
      </c>
      <c r="M342" s="549" t="s">
        <v>3264</v>
      </c>
      <c r="N342" s="163" t="s">
        <v>1356</v>
      </c>
      <c r="O342" s="163" t="s">
        <v>906</v>
      </c>
      <c r="P342" s="163" t="s">
        <v>3265</v>
      </c>
      <c r="Q342" s="163" t="s">
        <v>4949</v>
      </c>
      <c r="R342" s="163" t="s">
        <v>2193</v>
      </c>
      <c r="S342" s="163" t="s">
        <v>3266</v>
      </c>
      <c r="T342" s="163">
        <v>4.5999999999999996</v>
      </c>
      <c r="U342" s="163" t="s">
        <v>2222</v>
      </c>
      <c r="V342" s="163" t="s">
        <v>5193</v>
      </c>
      <c r="W342" s="163" t="s">
        <v>5194</v>
      </c>
      <c r="X342" s="163" t="s">
        <v>4937</v>
      </c>
      <c r="Y342" s="163" t="s">
        <v>5306</v>
      </c>
      <c r="Z342" s="163" t="s">
        <v>5446</v>
      </c>
      <c r="AA342" s="163" t="s">
        <v>4937</v>
      </c>
      <c r="AB342" s="163" t="s">
        <v>36</v>
      </c>
      <c r="AC342" s="163" t="s">
        <v>2195</v>
      </c>
      <c r="AD342" s="163" t="s">
        <v>2196</v>
      </c>
      <c r="AE342" s="163" t="s">
        <v>1762</v>
      </c>
      <c r="AF342" s="163">
        <v>10</v>
      </c>
      <c r="AG342" s="163">
        <v>1</v>
      </c>
      <c r="AH342" s="163">
        <v>0.1</v>
      </c>
      <c r="AI342" s="163" t="s">
        <v>4014</v>
      </c>
      <c r="AJ342" s="163" t="s">
        <v>3992</v>
      </c>
      <c r="AK342" s="163" t="s">
        <v>2197</v>
      </c>
      <c r="AL342" s="163" t="s">
        <v>36</v>
      </c>
      <c r="AM342" t="s">
        <v>4876</v>
      </c>
      <c r="AN342" s="487">
        <v>0</v>
      </c>
      <c r="AO342" s="487">
        <v>0</v>
      </c>
    </row>
    <row r="343" spans="1:41" x14ac:dyDescent="0.2">
      <c r="A343">
        <v>342</v>
      </c>
      <c r="B343" s="471" t="s">
        <v>1351</v>
      </c>
      <c r="C343" s="163" t="s">
        <v>1359</v>
      </c>
      <c r="D343" s="163" t="s">
        <v>4253</v>
      </c>
      <c r="E343" s="163" t="s">
        <v>2124</v>
      </c>
      <c r="F343" s="163" t="s">
        <v>2018</v>
      </c>
      <c r="G343" s="163" t="s">
        <v>36</v>
      </c>
      <c r="H343" s="163" t="s">
        <v>2200</v>
      </c>
      <c r="I343" s="163" t="s">
        <v>5725</v>
      </c>
      <c r="J343" s="163" t="s">
        <v>2468</v>
      </c>
      <c r="K343" s="163" t="s">
        <v>1120</v>
      </c>
      <c r="L343" s="163" t="s">
        <v>3267</v>
      </c>
      <c r="M343" s="549">
        <v>54064</v>
      </c>
      <c r="N343" s="163" t="s">
        <v>1359</v>
      </c>
      <c r="O343" s="163" t="s">
        <v>906</v>
      </c>
      <c r="P343" s="163" t="s">
        <v>3268</v>
      </c>
      <c r="Q343" s="163" t="s">
        <v>4934</v>
      </c>
      <c r="R343" s="163" t="s">
        <v>2193</v>
      </c>
      <c r="S343" s="163" t="s">
        <v>3269</v>
      </c>
      <c r="T343" s="163">
        <v>5.3</v>
      </c>
      <c r="U343" s="163" t="s">
        <v>2223</v>
      </c>
      <c r="V343" s="163" t="s">
        <v>5429</v>
      </c>
      <c r="W343" s="163" t="s">
        <v>5430</v>
      </c>
      <c r="X343" s="163" t="s">
        <v>4937</v>
      </c>
      <c r="Y343" s="163" t="s">
        <v>111</v>
      </c>
      <c r="Z343" s="163" t="s">
        <v>111</v>
      </c>
      <c r="AA343" s="163" t="s">
        <v>111</v>
      </c>
      <c r="AB343" s="163" t="s">
        <v>36</v>
      </c>
      <c r="AC343" s="163" t="s">
        <v>2195</v>
      </c>
      <c r="AD343" s="163" t="s">
        <v>2196</v>
      </c>
      <c r="AE343" s="163" t="s">
        <v>1762</v>
      </c>
      <c r="AF343" s="163">
        <v>20</v>
      </c>
      <c r="AG343" s="163">
        <v>360</v>
      </c>
      <c r="AH343" s="163">
        <v>60</v>
      </c>
      <c r="AI343" s="163" t="s">
        <v>36</v>
      </c>
      <c r="AJ343" s="163" t="s">
        <v>36</v>
      </c>
      <c r="AK343" s="163" t="s">
        <v>2197</v>
      </c>
      <c r="AL343" s="163" t="s">
        <v>36</v>
      </c>
      <c r="AM343" t="s">
        <v>4876</v>
      </c>
      <c r="AN343" s="487">
        <v>0</v>
      </c>
      <c r="AO343" s="487">
        <v>0</v>
      </c>
    </row>
    <row r="344" spans="1:41" x14ac:dyDescent="0.2">
      <c r="A344">
        <v>343</v>
      </c>
      <c r="B344" s="471" t="s">
        <v>1351</v>
      </c>
      <c r="C344" s="163" t="s">
        <v>1361</v>
      </c>
      <c r="D344" s="163" t="s">
        <v>4254</v>
      </c>
      <c r="E344" s="163" t="s">
        <v>2124</v>
      </c>
      <c r="F344" s="163" t="s">
        <v>2018</v>
      </c>
      <c r="G344" s="163" t="s">
        <v>36</v>
      </c>
      <c r="H344" s="163" t="s">
        <v>2200</v>
      </c>
      <c r="I344" s="163" t="s">
        <v>5725</v>
      </c>
      <c r="J344" s="163" t="s">
        <v>2812</v>
      </c>
      <c r="K344" s="163" t="s">
        <v>1120</v>
      </c>
      <c r="L344" s="163" t="s">
        <v>3211</v>
      </c>
      <c r="M344" s="549" t="s">
        <v>3284</v>
      </c>
      <c r="N344" s="163" t="s">
        <v>1361</v>
      </c>
      <c r="O344" s="163" t="s">
        <v>906</v>
      </c>
      <c r="P344" s="163" t="s">
        <v>2594</v>
      </c>
      <c r="Q344" s="163" t="s">
        <v>2276</v>
      </c>
      <c r="R344" s="163" t="s">
        <v>2257</v>
      </c>
      <c r="S344" s="163" t="s">
        <v>3285</v>
      </c>
      <c r="T344" s="163">
        <v>232.9</v>
      </c>
      <c r="U344" s="163" t="s">
        <v>2222</v>
      </c>
      <c r="V344" s="163" t="s">
        <v>3286</v>
      </c>
      <c r="W344" s="163" t="s">
        <v>3287</v>
      </c>
      <c r="X344" s="163" t="s">
        <v>2194</v>
      </c>
      <c r="Y344" s="163" t="s">
        <v>2706</v>
      </c>
      <c r="Z344" s="163" t="s">
        <v>3288</v>
      </c>
      <c r="AA344" s="163" t="s">
        <v>2194</v>
      </c>
      <c r="AB344" s="163" t="s">
        <v>36</v>
      </c>
      <c r="AC344" s="163" t="s">
        <v>2195</v>
      </c>
      <c r="AD344" s="163" t="s">
        <v>2196</v>
      </c>
      <c r="AE344" s="163" t="s">
        <v>1762</v>
      </c>
      <c r="AF344" s="163">
        <v>1.3</v>
      </c>
      <c r="AG344" s="163">
        <v>1.08</v>
      </c>
      <c r="AH344" s="163">
        <v>0.17</v>
      </c>
      <c r="AI344" s="163" t="s">
        <v>3989</v>
      </c>
      <c r="AJ344" s="163" t="s">
        <v>4017</v>
      </c>
      <c r="AK344" s="163" t="s">
        <v>2197</v>
      </c>
      <c r="AL344" s="163" t="s">
        <v>36</v>
      </c>
      <c r="AM344" t="s">
        <v>4876</v>
      </c>
      <c r="AN344" s="487">
        <v>0</v>
      </c>
      <c r="AO344" s="487">
        <v>0</v>
      </c>
    </row>
    <row r="345" spans="1:41" x14ac:dyDescent="0.2">
      <c r="A345">
        <v>344</v>
      </c>
      <c r="B345" s="471" t="s">
        <v>1351</v>
      </c>
      <c r="C345" s="163" t="s">
        <v>1363</v>
      </c>
      <c r="D345" s="163" t="s">
        <v>4255</v>
      </c>
      <c r="E345" s="163" t="s">
        <v>2124</v>
      </c>
      <c r="F345" s="163" t="s">
        <v>2018</v>
      </c>
      <c r="G345" s="163" t="s">
        <v>36</v>
      </c>
      <c r="H345" s="163" t="s">
        <v>2200</v>
      </c>
      <c r="I345" s="163" t="s">
        <v>5725</v>
      </c>
      <c r="J345" s="163" t="s">
        <v>2812</v>
      </c>
      <c r="K345" s="163" t="s">
        <v>1120</v>
      </c>
      <c r="L345" s="163" t="s">
        <v>3289</v>
      </c>
      <c r="M345" s="549" t="s">
        <v>3290</v>
      </c>
      <c r="N345" s="163" t="s">
        <v>1363</v>
      </c>
      <c r="O345" s="163" t="s">
        <v>906</v>
      </c>
      <c r="P345" s="163" t="s">
        <v>2594</v>
      </c>
      <c r="Q345" s="163" t="s">
        <v>2276</v>
      </c>
      <c r="R345" s="163" t="s">
        <v>2257</v>
      </c>
      <c r="S345" s="163" t="s">
        <v>3291</v>
      </c>
      <c r="T345" s="163">
        <v>8.25</v>
      </c>
      <c r="U345" s="163" t="s">
        <v>2222</v>
      </c>
      <c r="V345" s="163" t="s">
        <v>3292</v>
      </c>
      <c r="W345" s="163" t="s">
        <v>3293</v>
      </c>
      <c r="X345" s="163" t="s">
        <v>2194</v>
      </c>
      <c r="Y345" s="163" t="s">
        <v>2706</v>
      </c>
      <c r="Z345" s="163" t="s">
        <v>3294</v>
      </c>
      <c r="AA345" s="163" t="s">
        <v>2194</v>
      </c>
      <c r="AB345" s="163" t="s">
        <v>36</v>
      </c>
      <c r="AC345" s="163" t="s">
        <v>2195</v>
      </c>
      <c r="AD345" s="163" t="s">
        <v>2196</v>
      </c>
      <c r="AE345" s="163" t="s">
        <v>1762</v>
      </c>
      <c r="AF345" s="163">
        <v>5</v>
      </c>
      <c r="AG345" s="163">
        <v>2</v>
      </c>
      <c r="AH345" s="163">
        <v>0.1</v>
      </c>
      <c r="AI345" s="163" t="s">
        <v>4014</v>
      </c>
      <c r="AJ345" s="163" t="s">
        <v>4018</v>
      </c>
      <c r="AK345" s="163" t="s">
        <v>2197</v>
      </c>
      <c r="AL345" s="163" t="s">
        <v>36</v>
      </c>
      <c r="AM345" t="s">
        <v>4876</v>
      </c>
      <c r="AN345" s="487">
        <v>0</v>
      </c>
      <c r="AO345" s="487">
        <v>0</v>
      </c>
    </row>
    <row r="346" spans="1:41" x14ac:dyDescent="0.2">
      <c r="A346">
        <v>345</v>
      </c>
      <c r="B346" s="471" t="s">
        <v>1351</v>
      </c>
      <c r="C346" s="163" t="s">
        <v>1369</v>
      </c>
      <c r="D346" s="163" t="s">
        <v>4256</v>
      </c>
      <c r="E346" s="163" t="s">
        <v>2124</v>
      </c>
      <c r="F346" s="163" t="s">
        <v>2018</v>
      </c>
      <c r="G346" s="163" t="s">
        <v>36</v>
      </c>
      <c r="H346" s="163" t="s">
        <v>2200</v>
      </c>
      <c r="I346" s="163" t="s">
        <v>5725</v>
      </c>
      <c r="J346" s="163" t="s">
        <v>2812</v>
      </c>
      <c r="K346" s="163" t="s">
        <v>3304</v>
      </c>
      <c r="L346" s="163" t="s">
        <v>3305</v>
      </c>
      <c r="M346" s="549" t="s">
        <v>3306</v>
      </c>
      <c r="N346" s="163" t="s">
        <v>1369</v>
      </c>
      <c r="O346" s="163" t="s">
        <v>906</v>
      </c>
      <c r="P346" s="163" t="s">
        <v>2531</v>
      </c>
      <c r="Q346" s="163" t="s">
        <v>2192</v>
      </c>
      <c r="R346" s="163" t="s">
        <v>2257</v>
      </c>
      <c r="S346" s="163" t="s">
        <v>3307</v>
      </c>
      <c r="T346" s="163">
        <v>10.4</v>
      </c>
      <c r="U346" s="163" t="s">
        <v>2222</v>
      </c>
      <c r="V346" s="163" t="s">
        <v>3308</v>
      </c>
      <c r="W346" s="163" t="s">
        <v>3309</v>
      </c>
      <c r="X346" s="163" t="s">
        <v>2194</v>
      </c>
      <c r="Y346" s="163" t="s">
        <v>3310</v>
      </c>
      <c r="Z346" s="163">
        <v>7961820</v>
      </c>
      <c r="AA346" s="163" t="s">
        <v>2330</v>
      </c>
      <c r="AB346" s="163" t="s">
        <v>2264</v>
      </c>
      <c r="AC346" s="163" t="s">
        <v>2195</v>
      </c>
      <c r="AD346" s="163" t="s">
        <v>2196</v>
      </c>
      <c r="AE346" s="163" t="s">
        <v>1762</v>
      </c>
      <c r="AF346" s="163" t="s">
        <v>3419</v>
      </c>
      <c r="AG346" s="163" t="s">
        <v>36</v>
      </c>
      <c r="AH346" s="163" t="s">
        <v>36</v>
      </c>
      <c r="AI346" s="163" t="s">
        <v>36</v>
      </c>
      <c r="AJ346" s="163" t="s">
        <v>36</v>
      </c>
      <c r="AK346" s="163" t="s">
        <v>2197</v>
      </c>
      <c r="AL346" s="163" t="s">
        <v>36</v>
      </c>
      <c r="AM346" t="s">
        <v>4877</v>
      </c>
      <c r="AN346" s="487">
        <v>0</v>
      </c>
      <c r="AO346" s="487">
        <v>0</v>
      </c>
    </row>
    <row r="347" spans="1:41" x14ac:dyDescent="0.2">
      <c r="A347">
        <v>346</v>
      </c>
      <c r="B347" s="471" t="s">
        <v>1351</v>
      </c>
      <c r="C347" s="163" t="s">
        <v>1365</v>
      </c>
      <c r="D347" s="163" t="s">
        <v>4257</v>
      </c>
      <c r="E347" s="163" t="s">
        <v>2124</v>
      </c>
      <c r="F347" s="163" t="s">
        <v>2018</v>
      </c>
      <c r="G347" s="163" t="s">
        <v>36</v>
      </c>
      <c r="H347" s="163" t="s">
        <v>2200</v>
      </c>
      <c r="I347" s="163" t="s">
        <v>5725</v>
      </c>
      <c r="J347" s="163" t="s">
        <v>2812</v>
      </c>
      <c r="K347" s="163" t="s">
        <v>2204</v>
      </c>
      <c r="L347" s="163" t="s">
        <v>3295</v>
      </c>
      <c r="M347" s="549">
        <v>87914</v>
      </c>
      <c r="N347" s="163" t="s">
        <v>1365</v>
      </c>
      <c r="O347" s="163" t="s">
        <v>906</v>
      </c>
      <c r="P347" s="163" t="s">
        <v>3296</v>
      </c>
      <c r="Q347" s="163" t="s">
        <v>2276</v>
      </c>
      <c r="R347" s="163" t="s">
        <v>2257</v>
      </c>
      <c r="S347" s="163" t="s">
        <v>3297</v>
      </c>
      <c r="T347" s="163">
        <v>42.7</v>
      </c>
      <c r="U347" s="163" t="s">
        <v>2223</v>
      </c>
      <c r="V347" s="163" t="s">
        <v>3298</v>
      </c>
      <c r="W347" s="163">
        <v>97.39</v>
      </c>
      <c r="X347" s="163" t="s">
        <v>2194</v>
      </c>
      <c r="Y347" s="163" t="s">
        <v>2706</v>
      </c>
      <c r="Z347" s="163" t="s">
        <v>3299</v>
      </c>
      <c r="AA347" s="163" t="s">
        <v>2194</v>
      </c>
      <c r="AB347" s="163" t="s">
        <v>36</v>
      </c>
      <c r="AC347" s="163" t="s">
        <v>2195</v>
      </c>
      <c r="AD347" s="163" t="s">
        <v>2196</v>
      </c>
      <c r="AE347" s="163" t="s">
        <v>1762</v>
      </c>
      <c r="AF347" s="163">
        <v>6.5</v>
      </c>
      <c r="AG347" s="163">
        <v>0.3</v>
      </c>
      <c r="AH347" s="163">
        <v>0.08</v>
      </c>
      <c r="AI347" s="163" t="s">
        <v>3999</v>
      </c>
      <c r="AJ347" s="163" t="s">
        <v>4019</v>
      </c>
      <c r="AK347" s="163" t="s">
        <v>2197</v>
      </c>
      <c r="AL347" s="163" t="s">
        <v>36</v>
      </c>
      <c r="AM347" t="s">
        <v>4879</v>
      </c>
      <c r="AN347" s="487">
        <v>0</v>
      </c>
      <c r="AO347" s="487">
        <v>0</v>
      </c>
    </row>
    <row r="348" spans="1:41" x14ac:dyDescent="0.2">
      <c r="A348">
        <v>347</v>
      </c>
      <c r="B348" s="471" t="s">
        <v>1351</v>
      </c>
      <c r="C348" s="163" t="s">
        <v>5513</v>
      </c>
      <c r="D348" s="163" t="s">
        <v>5514</v>
      </c>
      <c r="E348" s="163" t="s">
        <v>2124</v>
      </c>
      <c r="F348" s="163" t="s">
        <v>2018</v>
      </c>
      <c r="G348" s="163"/>
      <c r="H348" s="163" t="s">
        <v>2200</v>
      </c>
      <c r="I348" s="163" t="s">
        <v>5119</v>
      </c>
      <c r="J348" s="163" t="s">
        <v>2468</v>
      </c>
      <c r="K348" s="163" t="s">
        <v>1120</v>
      </c>
      <c r="L348" s="163" t="s">
        <v>5515</v>
      </c>
      <c r="M348" s="549">
        <v>630195</v>
      </c>
      <c r="N348" s="163" t="s">
        <v>5513</v>
      </c>
      <c r="O348" s="163" t="s">
        <v>906</v>
      </c>
      <c r="P348" s="163" t="s">
        <v>2531</v>
      </c>
      <c r="Q348" s="163" t="s">
        <v>2276</v>
      </c>
      <c r="R348" s="163" t="s">
        <v>4570</v>
      </c>
      <c r="S348" s="163" t="s">
        <v>5516</v>
      </c>
      <c r="T348" s="163">
        <v>70.83</v>
      </c>
      <c r="U348" s="163" t="s">
        <v>2222</v>
      </c>
      <c r="V348" s="163" t="s">
        <v>5193</v>
      </c>
      <c r="W348" s="163" t="s">
        <v>5517</v>
      </c>
      <c r="X348" s="163" t="s">
        <v>2194</v>
      </c>
      <c r="Y348" s="163" t="s">
        <v>5511</v>
      </c>
      <c r="Z348" s="163" t="s">
        <v>5517</v>
      </c>
      <c r="AA348" s="163" t="s">
        <v>2194</v>
      </c>
      <c r="AB348" s="163"/>
      <c r="AC348" s="163" t="s">
        <v>2195</v>
      </c>
      <c r="AD348" s="163" t="s">
        <v>2196</v>
      </c>
      <c r="AE348" s="163" t="s">
        <v>1762</v>
      </c>
      <c r="AF348" s="163">
        <v>14.1</v>
      </c>
      <c r="AG348" s="163">
        <v>189</v>
      </c>
      <c r="AH348" s="163" t="s">
        <v>4471</v>
      </c>
      <c r="AI348" s="163" t="s">
        <v>5518</v>
      </c>
      <c r="AJ348" s="163"/>
      <c r="AK348" s="163" t="s">
        <v>2197</v>
      </c>
      <c r="AL348" s="163"/>
      <c r="AM348" t="s">
        <v>4876</v>
      </c>
      <c r="AN348" s="487"/>
      <c r="AO348" s="487"/>
    </row>
    <row r="349" spans="1:41" x14ac:dyDescent="0.2">
      <c r="A349">
        <v>348</v>
      </c>
      <c r="B349" s="471" t="s">
        <v>1351</v>
      </c>
      <c r="C349" s="163" t="s">
        <v>1367</v>
      </c>
      <c r="D349" s="163" t="s">
        <v>4258</v>
      </c>
      <c r="E349" s="163" t="s">
        <v>2124</v>
      </c>
      <c r="F349" s="163" t="s">
        <v>2018</v>
      </c>
      <c r="G349" s="163" t="s">
        <v>36</v>
      </c>
      <c r="H349" s="163" t="s">
        <v>2200</v>
      </c>
      <c r="I349" s="163" t="s">
        <v>5725</v>
      </c>
      <c r="J349" s="163" t="s">
        <v>2812</v>
      </c>
      <c r="K349" s="163" t="s">
        <v>2322</v>
      </c>
      <c r="L349" s="163" t="s">
        <v>3300</v>
      </c>
      <c r="M349" s="549">
        <v>122026</v>
      </c>
      <c r="N349" s="163" t="s">
        <v>1367</v>
      </c>
      <c r="O349" s="163" t="s">
        <v>906</v>
      </c>
      <c r="P349" s="163" t="s">
        <v>3301</v>
      </c>
      <c r="Q349" s="163" t="s">
        <v>2198</v>
      </c>
      <c r="R349" s="163" t="s">
        <v>2367</v>
      </c>
      <c r="S349" s="163" t="s">
        <v>3302</v>
      </c>
      <c r="T349" s="163">
        <v>1380</v>
      </c>
      <c r="U349" s="163" t="s">
        <v>2223</v>
      </c>
      <c r="V349" s="163" t="s">
        <v>3303</v>
      </c>
      <c r="W349" s="163">
        <v>133569</v>
      </c>
      <c r="X349" s="163" t="s">
        <v>2194</v>
      </c>
      <c r="Y349" s="163" t="s">
        <v>111</v>
      </c>
      <c r="Z349" s="163" t="s">
        <v>111</v>
      </c>
      <c r="AA349" s="163" t="s">
        <v>111</v>
      </c>
      <c r="AB349" s="163" t="s">
        <v>36</v>
      </c>
      <c r="AC349" s="163" t="s">
        <v>2195</v>
      </c>
      <c r="AD349" s="163" t="s">
        <v>2196</v>
      </c>
      <c r="AE349" s="163" t="s">
        <v>1762</v>
      </c>
      <c r="AF349" s="163">
        <v>25</v>
      </c>
      <c r="AG349" s="163">
        <v>180</v>
      </c>
      <c r="AH349" s="163">
        <v>0</v>
      </c>
      <c r="AI349" s="163" t="s">
        <v>4020</v>
      </c>
      <c r="AJ349" s="163" t="s">
        <v>36</v>
      </c>
      <c r="AK349" s="163" t="s">
        <v>2197</v>
      </c>
      <c r="AL349" s="163" t="s">
        <v>36</v>
      </c>
      <c r="AM349" t="s">
        <v>4878</v>
      </c>
      <c r="AN349" s="487">
        <v>0</v>
      </c>
      <c r="AO349" s="487">
        <v>0</v>
      </c>
    </row>
    <row r="350" spans="1:41" x14ac:dyDescent="0.2">
      <c r="A350">
        <v>349</v>
      </c>
      <c r="B350" s="471" t="s">
        <v>1351</v>
      </c>
      <c r="C350" s="163" t="s">
        <v>1372</v>
      </c>
      <c r="D350" s="163" t="s">
        <v>4259</v>
      </c>
      <c r="E350" s="163" t="s">
        <v>2124</v>
      </c>
      <c r="F350" s="163" t="s">
        <v>2018</v>
      </c>
      <c r="G350" s="163" t="s">
        <v>36</v>
      </c>
      <c r="H350" s="163" t="s">
        <v>2200</v>
      </c>
      <c r="I350" s="163" t="s">
        <v>5725</v>
      </c>
      <c r="J350" s="163" t="s">
        <v>2468</v>
      </c>
      <c r="K350" s="163" t="s">
        <v>1123</v>
      </c>
      <c r="L350" s="163" t="s">
        <v>3278</v>
      </c>
      <c r="M350" s="549">
        <v>18318</v>
      </c>
      <c r="N350" s="163" t="s">
        <v>1372</v>
      </c>
      <c r="O350" s="163" t="s">
        <v>906</v>
      </c>
      <c r="P350" s="163" t="s">
        <v>2605</v>
      </c>
      <c r="Q350" s="163" t="s">
        <v>4934</v>
      </c>
      <c r="R350" s="163" t="s">
        <v>2358</v>
      </c>
      <c r="S350" s="163" t="s">
        <v>3279</v>
      </c>
      <c r="T350" s="163">
        <v>1440</v>
      </c>
      <c r="U350" s="163" t="s">
        <v>2223</v>
      </c>
      <c r="V350" s="163" t="s">
        <v>3280</v>
      </c>
      <c r="W350" s="163" t="s">
        <v>3281</v>
      </c>
      <c r="X350" s="163" t="s">
        <v>4937</v>
      </c>
      <c r="Y350" s="163" t="s">
        <v>3282</v>
      </c>
      <c r="Z350" s="163" t="s">
        <v>3283</v>
      </c>
      <c r="AA350" s="163" t="s">
        <v>4937</v>
      </c>
      <c r="AB350" s="163" t="s">
        <v>36</v>
      </c>
      <c r="AC350" s="163" t="s">
        <v>2195</v>
      </c>
      <c r="AD350" s="163" t="s">
        <v>2196</v>
      </c>
      <c r="AE350" s="163" t="s">
        <v>1762</v>
      </c>
      <c r="AF350" s="163" t="s">
        <v>3419</v>
      </c>
      <c r="AG350" s="163" t="s">
        <v>36</v>
      </c>
      <c r="AH350" s="163" t="s">
        <v>36</v>
      </c>
      <c r="AI350" s="163" t="s">
        <v>36</v>
      </c>
      <c r="AJ350" s="163" t="s">
        <v>36</v>
      </c>
      <c r="AK350" s="163" t="s">
        <v>2197</v>
      </c>
      <c r="AL350" s="163" t="s">
        <v>36</v>
      </c>
      <c r="AM350" t="s">
        <v>4878</v>
      </c>
      <c r="AN350" s="487">
        <v>0</v>
      </c>
      <c r="AO350" s="487">
        <v>0</v>
      </c>
    </row>
    <row r="351" spans="1:41" x14ac:dyDescent="0.2">
      <c r="A351">
        <v>350</v>
      </c>
      <c r="B351" s="471" t="s">
        <v>1351</v>
      </c>
      <c r="C351" s="163" t="s">
        <v>2365</v>
      </c>
      <c r="D351" s="163" t="s">
        <v>5300</v>
      </c>
      <c r="E351" s="163" t="s">
        <v>2124</v>
      </c>
      <c r="F351" s="163" t="s">
        <v>2018</v>
      </c>
      <c r="G351" s="163" t="s">
        <v>36</v>
      </c>
      <c r="H351" s="163" t="s">
        <v>2200</v>
      </c>
      <c r="I351" s="163" t="s">
        <v>5725</v>
      </c>
      <c r="J351" s="163" t="s">
        <v>1768</v>
      </c>
      <c r="K351" s="163" t="s">
        <v>5301</v>
      </c>
      <c r="L351" s="163" t="s">
        <v>5302</v>
      </c>
      <c r="M351" s="549" t="s">
        <v>5303</v>
      </c>
      <c r="N351" s="163" t="s">
        <v>2365</v>
      </c>
      <c r="O351" s="163" t="s">
        <v>2471</v>
      </c>
      <c r="P351" s="163" t="s">
        <v>5304</v>
      </c>
      <c r="Q351" s="163" t="s">
        <v>4934</v>
      </c>
      <c r="R351" s="163" t="s">
        <v>2193</v>
      </c>
      <c r="S351" s="163" t="s">
        <v>5305</v>
      </c>
      <c r="T351" s="163">
        <v>154.04</v>
      </c>
      <c r="U351" s="163" t="s">
        <v>5253</v>
      </c>
      <c r="V351" s="163" t="s">
        <v>5306</v>
      </c>
      <c r="W351" s="163" t="s">
        <v>5307</v>
      </c>
      <c r="X351" s="163" t="s">
        <v>4937</v>
      </c>
      <c r="Y351" s="163" t="s">
        <v>111</v>
      </c>
      <c r="Z351" s="163" t="s">
        <v>111</v>
      </c>
      <c r="AA351" s="163" t="s">
        <v>111</v>
      </c>
      <c r="AB351" s="163" t="s">
        <v>36</v>
      </c>
      <c r="AC351" s="163" t="s">
        <v>2195</v>
      </c>
      <c r="AD351" s="163" t="s">
        <v>5308</v>
      </c>
      <c r="AE351" s="163" t="s">
        <v>1761</v>
      </c>
      <c r="AF351" s="163">
        <v>26.9</v>
      </c>
      <c r="AG351" s="163">
        <v>377</v>
      </c>
      <c r="AH351" s="163" t="s">
        <v>3936</v>
      </c>
      <c r="AI351" s="163" t="s">
        <v>5309</v>
      </c>
      <c r="AJ351" s="163" t="s">
        <v>5310</v>
      </c>
      <c r="AK351" s="163" t="s">
        <v>2197</v>
      </c>
      <c r="AL351" s="163" t="s">
        <v>36</v>
      </c>
      <c r="AM351" t="s">
        <v>4879</v>
      </c>
      <c r="AN351" s="487"/>
      <c r="AO351" s="487"/>
    </row>
    <row r="352" spans="1:41" x14ac:dyDescent="0.2">
      <c r="A352">
        <v>351</v>
      </c>
      <c r="B352" s="471" t="s">
        <v>1351</v>
      </c>
      <c r="C352" s="163" t="s">
        <v>825</v>
      </c>
      <c r="D352" s="163" t="s">
        <v>4260</v>
      </c>
      <c r="E352" s="163" t="s">
        <v>2124</v>
      </c>
      <c r="F352" s="163" t="s">
        <v>2018</v>
      </c>
      <c r="G352" s="163" t="s">
        <v>36</v>
      </c>
      <c r="H352" s="163" t="s">
        <v>2200</v>
      </c>
      <c r="I352" s="163" t="s">
        <v>5725</v>
      </c>
      <c r="J352" s="163" t="s">
        <v>1768</v>
      </c>
      <c r="K352" s="163" t="s">
        <v>1171</v>
      </c>
      <c r="L352" s="163" t="s">
        <v>3271</v>
      </c>
      <c r="M352" s="549">
        <v>380028</v>
      </c>
      <c r="N352" s="163" t="s">
        <v>825</v>
      </c>
      <c r="O352" s="163" t="s">
        <v>906</v>
      </c>
      <c r="P352" s="163" t="s">
        <v>5255</v>
      </c>
      <c r="Q352" s="163" t="s">
        <v>4934</v>
      </c>
      <c r="R352" s="163" t="s">
        <v>2257</v>
      </c>
      <c r="S352" s="163" t="s">
        <v>5256</v>
      </c>
      <c r="T352" s="163">
        <v>10</v>
      </c>
      <c r="U352" s="163" t="s">
        <v>2223</v>
      </c>
      <c r="V352" s="163" t="s">
        <v>2958</v>
      </c>
      <c r="W352" s="163" t="s">
        <v>3272</v>
      </c>
      <c r="X352" s="163" t="s">
        <v>4937</v>
      </c>
      <c r="Y352" s="163" t="s">
        <v>111</v>
      </c>
      <c r="Z352" s="163" t="s">
        <v>111</v>
      </c>
      <c r="AA352" s="163" t="s">
        <v>111</v>
      </c>
      <c r="AB352" s="163" t="s">
        <v>36</v>
      </c>
      <c r="AC352" s="163" t="s">
        <v>2195</v>
      </c>
      <c r="AD352" s="163" t="s">
        <v>2196</v>
      </c>
      <c r="AE352" s="163" t="s">
        <v>1762</v>
      </c>
      <c r="AF352" s="163">
        <v>2</v>
      </c>
      <c r="AG352" s="163">
        <v>0.05</v>
      </c>
      <c r="AH352" s="163">
        <v>0.05</v>
      </c>
      <c r="AI352" s="163" t="s">
        <v>4015</v>
      </c>
      <c r="AJ352" s="163" t="s">
        <v>4016</v>
      </c>
      <c r="AK352" s="163" t="s">
        <v>2197</v>
      </c>
      <c r="AL352" s="163" t="s">
        <v>36</v>
      </c>
      <c r="AM352" t="s">
        <v>4876</v>
      </c>
      <c r="AN352" s="487">
        <v>0</v>
      </c>
      <c r="AO352" s="487">
        <v>0</v>
      </c>
    </row>
    <row r="353" spans="1:41" x14ac:dyDescent="0.2">
      <c r="A353">
        <v>352</v>
      </c>
      <c r="B353" s="471" t="s">
        <v>1351</v>
      </c>
      <c r="C353" s="163" t="s">
        <v>1374</v>
      </c>
      <c r="D353" s="163" t="s">
        <v>4261</v>
      </c>
      <c r="E353" s="163" t="s">
        <v>2124</v>
      </c>
      <c r="F353" s="163" t="s">
        <v>2018</v>
      </c>
      <c r="G353" s="163" t="s">
        <v>36</v>
      </c>
      <c r="H353" s="163" t="s">
        <v>2200</v>
      </c>
      <c r="I353" s="163" t="s">
        <v>5725</v>
      </c>
      <c r="J353" s="163" t="s">
        <v>2468</v>
      </c>
      <c r="K353" s="163" t="s">
        <v>1123</v>
      </c>
      <c r="L353" s="163" t="s">
        <v>2315</v>
      </c>
      <c r="M353" s="549" t="s">
        <v>3273</v>
      </c>
      <c r="N353" s="163" t="s">
        <v>1374</v>
      </c>
      <c r="O353" s="163" t="s">
        <v>906</v>
      </c>
      <c r="P353" s="163" t="s">
        <v>2953</v>
      </c>
      <c r="Q353" s="163" t="s">
        <v>2198</v>
      </c>
      <c r="R353" s="163" t="s">
        <v>2199</v>
      </c>
      <c r="S353" s="163" t="s">
        <v>3274</v>
      </c>
      <c r="T353" s="163">
        <v>840</v>
      </c>
      <c r="U353" s="163" t="s">
        <v>2223</v>
      </c>
      <c r="V353" s="163" t="s">
        <v>3275</v>
      </c>
      <c r="W353" s="163" t="s">
        <v>3276</v>
      </c>
      <c r="X353" s="163" t="s">
        <v>2194</v>
      </c>
      <c r="Y353" s="163" t="s">
        <v>3277</v>
      </c>
      <c r="Z353" s="163">
        <v>4303967</v>
      </c>
      <c r="AA353" s="163" t="s">
        <v>2273</v>
      </c>
      <c r="AB353" s="163" t="s">
        <v>36</v>
      </c>
      <c r="AC353" s="163" t="s">
        <v>2195</v>
      </c>
      <c r="AD353" s="163" t="s">
        <v>2196</v>
      </c>
      <c r="AE353" s="163" t="s">
        <v>1762</v>
      </c>
      <c r="AF353" s="163" t="s">
        <v>3419</v>
      </c>
      <c r="AG353" s="163" t="s">
        <v>36</v>
      </c>
      <c r="AH353" s="163" t="s">
        <v>36</v>
      </c>
      <c r="AI353" s="163" t="s">
        <v>36</v>
      </c>
      <c r="AJ353" s="163" t="s">
        <v>36</v>
      </c>
      <c r="AK353" s="163" t="s">
        <v>2197</v>
      </c>
      <c r="AL353" s="163" t="s">
        <v>36</v>
      </c>
      <c r="AM353" t="s">
        <v>4878</v>
      </c>
      <c r="AN353" s="487">
        <v>0</v>
      </c>
      <c r="AO353" s="487">
        <v>0</v>
      </c>
    </row>
    <row r="354" spans="1:41" x14ac:dyDescent="0.2">
      <c r="A354">
        <v>353</v>
      </c>
      <c r="B354" s="471" t="s">
        <v>1351</v>
      </c>
      <c r="C354" s="163" t="s">
        <v>4602</v>
      </c>
      <c r="D354" s="163" t="s">
        <v>4603</v>
      </c>
      <c r="E354" s="163" t="s">
        <v>2124</v>
      </c>
      <c r="F354" s="163" t="s">
        <v>2018</v>
      </c>
      <c r="G354" s="163" t="s">
        <v>36</v>
      </c>
      <c r="H354" s="163" t="s">
        <v>2200</v>
      </c>
      <c r="I354" s="163" t="s">
        <v>5725</v>
      </c>
      <c r="J354" s="163" t="s">
        <v>1768</v>
      </c>
      <c r="K354" s="163" t="s">
        <v>1123</v>
      </c>
      <c r="L354" s="163" t="s">
        <v>4604</v>
      </c>
      <c r="M354" s="549" t="s">
        <v>4605</v>
      </c>
      <c r="N354" s="163" t="s">
        <v>4606</v>
      </c>
      <c r="O354" s="163" t="s">
        <v>906</v>
      </c>
      <c r="P354" s="163" t="s">
        <v>4607</v>
      </c>
      <c r="Q354" s="163" t="s">
        <v>2198</v>
      </c>
      <c r="R354" s="163" t="s">
        <v>2358</v>
      </c>
      <c r="S354" s="163" t="s">
        <v>4608</v>
      </c>
      <c r="T354" s="163">
        <v>1771</v>
      </c>
      <c r="U354" s="163" t="s">
        <v>2223</v>
      </c>
      <c r="V354" s="163" t="s">
        <v>2360</v>
      </c>
      <c r="W354" s="163" t="s">
        <v>4609</v>
      </c>
      <c r="X354" s="163" t="s">
        <v>2810</v>
      </c>
      <c r="Y354" s="163" t="s">
        <v>2866</v>
      </c>
      <c r="Z354" s="163" t="s">
        <v>4805</v>
      </c>
      <c r="AA354" s="163" t="s">
        <v>2194</v>
      </c>
      <c r="AB354" s="163" t="s">
        <v>4806</v>
      </c>
      <c r="AC354" s="163" t="s">
        <v>2195</v>
      </c>
      <c r="AD354" s="163" t="s">
        <v>2196</v>
      </c>
      <c r="AE354" s="163" t="s">
        <v>1762</v>
      </c>
      <c r="AF354" s="163" t="s">
        <v>3419</v>
      </c>
      <c r="AG354" s="163" t="s">
        <v>36</v>
      </c>
      <c r="AH354" s="163" t="s">
        <v>36</v>
      </c>
      <c r="AI354" s="163" t="s">
        <v>36</v>
      </c>
      <c r="AJ354" s="163" t="s">
        <v>36</v>
      </c>
      <c r="AK354" s="163" t="s">
        <v>2197</v>
      </c>
      <c r="AL354" s="163" t="s">
        <v>36</v>
      </c>
      <c r="AM354" t="s">
        <v>4878</v>
      </c>
      <c r="AN354" s="487">
        <v>0</v>
      </c>
      <c r="AO354" s="487">
        <v>0</v>
      </c>
    </row>
    <row r="355" spans="1:41" x14ac:dyDescent="0.2">
      <c r="A355">
        <v>354</v>
      </c>
      <c r="B355" s="471" t="s">
        <v>1351</v>
      </c>
      <c r="C355" s="163" t="s">
        <v>839</v>
      </c>
      <c r="D355" s="163" t="s">
        <v>5334</v>
      </c>
      <c r="E355" s="163" t="s">
        <v>2124</v>
      </c>
      <c r="F355" s="163" t="s">
        <v>2018</v>
      </c>
      <c r="G355" s="163" t="s">
        <v>36</v>
      </c>
      <c r="H355" s="163" t="s">
        <v>2200</v>
      </c>
      <c r="I355" s="163" t="s">
        <v>5725</v>
      </c>
      <c r="J355" s="163" t="s">
        <v>1768</v>
      </c>
      <c r="K355" s="163" t="s">
        <v>1171</v>
      </c>
      <c r="L355" s="163" t="s">
        <v>5335</v>
      </c>
      <c r="M355" s="549">
        <v>330453</v>
      </c>
      <c r="N355" s="163" t="s">
        <v>839</v>
      </c>
      <c r="O355" s="163" t="s">
        <v>906</v>
      </c>
      <c r="P355" s="163" t="s">
        <v>5336</v>
      </c>
      <c r="Q355" s="163" t="s">
        <v>4934</v>
      </c>
      <c r="R355" s="163" t="s">
        <v>2257</v>
      </c>
      <c r="S355" s="163" t="s">
        <v>2858</v>
      </c>
      <c r="T355" s="163">
        <v>10</v>
      </c>
      <c r="U355" s="163" t="s">
        <v>2223</v>
      </c>
      <c r="V355" s="163" t="s">
        <v>5337</v>
      </c>
      <c r="W355" s="163" t="s">
        <v>5338</v>
      </c>
      <c r="X355" s="163" t="s">
        <v>4937</v>
      </c>
      <c r="Y355" s="163" t="s">
        <v>111</v>
      </c>
      <c r="Z355" s="163" t="s">
        <v>111</v>
      </c>
      <c r="AA355" s="163" t="s">
        <v>111</v>
      </c>
      <c r="AB355" s="163" t="s">
        <v>36</v>
      </c>
      <c r="AC355" s="163" t="s">
        <v>2195</v>
      </c>
      <c r="AD355" s="163" t="s">
        <v>2196</v>
      </c>
      <c r="AE355" s="163" t="s">
        <v>1762</v>
      </c>
      <c r="AF355" s="163">
        <v>2</v>
      </c>
      <c r="AG355" s="163">
        <v>0.05</v>
      </c>
      <c r="AH355" s="163">
        <v>0.05</v>
      </c>
      <c r="AI355" s="163" t="s">
        <v>4015</v>
      </c>
      <c r="AJ355" s="163" t="s">
        <v>4016</v>
      </c>
      <c r="AK355" s="163" t="s">
        <v>2197</v>
      </c>
      <c r="AL355" s="163" t="s">
        <v>36</v>
      </c>
      <c r="AM355" t="s">
        <v>4876</v>
      </c>
      <c r="AN355" s="487"/>
      <c r="AO355" s="487"/>
    </row>
    <row r="356" spans="1:41" x14ac:dyDescent="0.2">
      <c r="A356">
        <v>355</v>
      </c>
      <c r="B356" s="471" t="s">
        <v>1387</v>
      </c>
      <c r="C356" s="163" t="s">
        <v>1389</v>
      </c>
      <c r="D356" s="163" t="s">
        <v>4262</v>
      </c>
      <c r="E356" s="163" t="s">
        <v>2126</v>
      </c>
      <c r="F356" s="163" t="s">
        <v>2027</v>
      </c>
      <c r="G356" s="163" t="s">
        <v>36</v>
      </c>
      <c r="H356" s="163" t="s">
        <v>2200</v>
      </c>
      <c r="I356" s="163" t="s">
        <v>5725</v>
      </c>
      <c r="J356" s="163" t="s">
        <v>1768</v>
      </c>
      <c r="K356" s="163" t="s">
        <v>2204</v>
      </c>
      <c r="L356" s="163" t="s">
        <v>3330</v>
      </c>
      <c r="M356" s="549">
        <v>112047</v>
      </c>
      <c r="N356" s="163" t="s">
        <v>1389</v>
      </c>
      <c r="O356" s="163" t="s">
        <v>906</v>
      </c>
      <c r="P356" s="163" t="s">
        <v>4519</v>
      </c>
      <c r="Q356" s="163" t="s">
        <v>2276</v>
      </c>
      <c r="R356" s="163" t="s">
        <v>2367</v>
      </c>
      <c r="S356" s="163" t="s">
        <v>4979</v>
      </c>
      <c r="T356" s="163">
        <v>143.75</v>
      </c>
      <c r="U356" s="163" t="s">
        <v>1952</v>
      </c>
      <c r="V356" s="163" t="s">
        <v>4520</v>
      </c>
      <c r="W356" s="163">
        <v>2009104701</v>
      </c>
      <c r="X356" s="163" t="s">
        <v>2194</v>
      </c>
      <c r="Y356" s="163" t="s">
        <v>4520</v>
      </c>
      <c r="Z356" s="163">
        <v>2009104701</v>
      </c>
      <c r="AA356" s="163" t="s">
        <v>2194</v>
      </c>
      <c r="AB356" s="163" t="s">
        <v>36</v>
      </c>
      <c r="AC356" s="163" t="s">
        <v>2195</v>
      </c>
      <c r="AD356" s="163" t="s">
        <v>2196</v>
      </c>
      <c r="AE356" s="163" t="s">
        <v>1762</v>
      </c>
      <c r="AF356" s="163">
        <v>10.5</v>
      </c>
      <c r="AG356" s="163">
        <v>400</v>
      </c>
      <c r="AH356" s="163">
        <v>8</v>
      </c>
      <c r="AI356" s="163" t="s">
        <v>36</v>
      </c>
      <c r="AJ356" s="163" t="s">
        <v>36</v>
      </c>
      <c r="AK356" s="163" t="s">
        <v>2197</v>
      </c>
      <c r="AL356" s="163" t="s">
        <v>36</v>
      </c>
      <c r="AM356" t="s">
        <v>4876</v>
      </c>
      <c r="AN356" s="487">
        <v>0</v>
      </c>
      <c r="AO356" s="487">
        <v>0</v>
      </c>
    </row>
    <row r="357" spans="1:41" x14ac:dyDescent="0.2">
      <c r="A357">
        <v>356</v>
      </c>
      <c r="B357" s="471" t="s">
        <v>1387</v>
      </c>
      <c r="C357" s="163" t="s">
        <v>4521</v>
      </c>
      <c r="D357" s="163" t="s">
        <v>4522</v>
      </c>
      <c r="E357" s="163" t="s">
        <v>2126</v>
      </c>
      <c r="F357" s="163" t="s">
        <v>2027</v>
      </c>
      <c r="G357" s="163" t="s">
        <v>36</v>
      </c>
      <c r="H357" s="163" t="s">
        <v>2200</v>
      </c>
      <c r="I357" s="163" t="s">
        <v>5734</v>
      </c>
      <c r="J357" s="163" t="s">
        <v>1768</v>
      </c>
      <c r="K357" s="163" t="s">
        <v>2204</v>
      </c>
      <c r="L357" s="163" t="s">
        <v>3330</v>
      </c>
      <c r="M357" s="549">
        <v>112047</v>
      </c>
      <c r="N357" s="163" t="s">
        <v>1389</v>
      </c>
      <c r="O357" s="163" t="s">
        <v>906</v>
      </c>
      <c r="P357" s="163" t="s">
        <v>4564</v>
      </c>
      <c r="Q357" s="163" t="s">
        <v>2276</v>
      </c>
      <c r="R357" s="163" t="s">
        <v>2367</v>
      </c>
      <c r="S357" s="163" t="s">
        <v>3547</v>
      </c>
      <c r="T357" s="163">
        <v>402.3</v>
      </c>
      <c r="U357" s="163" t="s">
        <v>1952</v>
      </c>
      <c r="V357" s="163" t="s">
        <v>4565</v>
      </c>
      <c r="W357" s="163">
        <v>2009104701</v>
      </c>
      <c r="X357" s="163" t="s">
        <v>2194</v>
      </c>
      <c r="Y357" s="163" t="s">
        <v>4565</v>
      </c>
      <c r="Z357" s="163">
        <v>2009104701</v>
      </c>
      <c r="AA357" s="163" t="s">
        <v>2194</v>
      </c>
      <c r="AB357" s="163" t="s">
        <v>36</v>
      </c>
      <c r="AC357" s="163" t="s">
        <v>2195</v>
      </c>
      <c r="AD357" s="163" t="s">
        <v>2196</v>
      </c>
      <c r="AE357" s="163" t="s">
        <v>1762</v>
      </c>
      <c r="AF357" s="163">
        <v>10.5</v>
      </c>
      <c r="AG357" s="163">
        <v>400</v>
      </c>
      <c r="AH357" s="163">
        <v>8</v>
      </c>
      <c r="AI357" s="163" t="s">
        <v>36</v>
      </c>
      <c r="AJ357" s="163" t="s">
        <v>36</v>
      </c>
      <c r="AK357" s="163" t="s">
        <v>2197</v>
      </c>
      <c r="AL357" s="163" t="s">
        <v>36</v>
      </c>
      <c r="AM357" t="s">
        <v>4894</v>
      </c>
      <c r="AN357" s="487">
        <v>0</v>
      </c>
      <c r="AO357" s="487">
        <v>0</v>
      </c>
    </row>
    <row r="358" spans="1:41" x14ac:dyDescent="0.2">
      <c r="A358">
        <v>357</v>
      </c>
      <c r="B358" s="471" t="s">
        <v>1387</v>
      </c>
      <c r="C358" s="163" t="s">
        <v>1916</v>
      </c>
      <c r="D358" s="163" t="s">
        <v>4263</v>
      </c>
      <c r="E358" s="163" t="s">
        <v>2126</v>
      </c>
      <c r="F358" s="163" t="s">
        <v>2027</v>
      </c>
      <c r="G358" s="163" t="s">
        <v>36</v>
      </c>
      <c r="H358" s="163" t="s">
        <v>2200</v>
      </c>
      <c r="I358" s="163" t="s">
        <v>5725</v>
      </c>
      <c r="J358" s="163" t="s">
        <v>1768</v>
      </c>
      <c r="K358" s="163" t="s">
        <v>3337</v>
      </c>
      <c r="L358" s="163" t="s">
        <v>3338</v>
      </c>
      <c r="M358" s="549" t="s">
        <v>1916</v>
      </c>
      <c r="N358" s="163" t="s">
        <v>1916</v>
      </c>
      <c r="O358" s="163" t="s">
        <v>2471</v>
      </c>
      <c r="P358" s="163" t="s">
        <v>3550</v>
      </c>
      <c r="Q358" s="163" t="s">
        <v>3550</v>
      </c>
      <c r="R358" s="163" t="s">
        <v>2352</v>
      </c>
      <c r="S358" s="163" t="s">
        <v>3551</v>
      </c>
      <c r="T358" s="163">
        <v>3168</v>
      </c>
      <c r="U358" s="163" t="s">
        <v>1952</v>
      </c>
      <c r="V358" s="163" t="s">
        <v>111</v>
      </c>
      <c r="W358" s="163" t="s">
        <v>111</v>
      </c>
      <c r="X358" s="163" t="s">
        <v>111</v>
      </c>
      <c r="Y358" s="163" t="s">
        <v>3339</v>
      </c>
      <c r="Z358" s="163" t="s">
        <v>3331</v>
      </c>
      <c r="AA358" s="163" t="s">
        <v>2194</v>
      </c>
      <c r="AB358" s="163" t="s">
        <v>36</v>
      </c>
      <c r="AC358" s="163" t="s">
        <v>2195</v>
      </c>
      <c r="AD358" s="163" t="s">
        <v>2196</v>
      </c>
      <c r="AE358" s="163" t="s">
        <v>1762</v>
      </c>
      <c r="AF358" s="163" t="s">
        <v>3419</v>
      </c>
      <c r="AG358" s="163" t="s">
        <v>36</v>
      </c>
      <c r="AH358" s="163" t="s">
        <v>36</v>
      </c>
      <c r="AI358" s="163" t="s">
        <v>36</v>
      </c>
      <c r="AJ358" s="163" t="s">
        <v>36</v>
      </c>
      <c r="AK358" s="163" t="s">
        <v>2197</v>
      </c>
      <c r="AL358" s="163" t="s">
        <v>36</v>
      </c>
      <c r="AM358" t="s">
        <v>4893</v>
      </c>
      <c r="AN358" s="487">
        <v>0</v>
      </c>
      <c r="AO358" s="487">
        <v>0</v>
      </c>
    </row>
    <row r="359" spans="1:41" x14ac:dyDescent="0.2">
      <c r="A359">
        <v>358</v>
      </c>
      <c r="B359" s="471" t="s">
        <v>1387</v>
      </c>
      <c r="C359" s="163" t="s">
        <v>1978</v>
      </c>
      <c r="D359" s="163" t="s">
        <v>4264</v>
      </c>
      <c r="E359" s="163" t="s">
        <v>2126</v>
      </c>
      <c r="F359" s="163" t="s">
        <v>2027</v>
      </c>
      <c r="G359" s="163" t="s">
        <v>36</v>
      </c>
      <c r="H359" s="163" t="s">
        <v>2200</v>
      </c>
      <c r="I359" s="163" t="s">
        <v>5725</v>
      </c>
      <c r="J359" s="163" t="s">
        <v>1768</v>
      </c>
      <c r="K359" s="163" t="s">
        <v>3332</v>
      </c>
      <c r="L359" s="163" t="s">
        <v>3333</v>
      </c>
      <c r="M359" s="549" t="s">
        <v>1978</v>
      </c>
      <c r="N359" s="163" t="s">
        <v>1978</v>
      </c>
      <c r="O359" s="163" t="s">
        <v>2471</v>
      </c>
      <c r="P359" s="163" t="s">
        <v>3548</v>
      </c>
      <c r="Q359" s="163" t="s">
        <v>2276</v>
      </c>
      <c r="R359" s="163" t="s">
        <v>2193</v>
      </c>
      <c r="S359" s="163" t="s">
        <v>3549</v>
      </c>
      <c r="T359" s="163">
        <v>96</v>
      </c>
      <c r="U359" s="163" t="s">
        <v>1952</v>
      </c>
      <c r="V359" s="163" t="s">
        <v>3334</v>
      </c>
      <c r="W359" s="163" t="s">
        <v>3335</v>
      </c>
      <c r="X359" s="163" t="s">
        <v>3336</v>
      </c>
      <c r="Y359" s="163" t="s">
        <v>111</v>
      </c>
      <c r="Z359" s="163" t="s">
        <v>111</v>
      </c>
      <c r="AA359" s="163" t="s">
        <v>111</v>
      </c>
      <c r="AB359" s="163" t="s">
        <v>36</v>
      </c>
      <c r="AC359" s="163" t="s">
        <v>2195</v>
      </c>
      <c r="AD359" s="163" t="s">
        <v>2196</v>
      </c>
      <c r="AE359" s="163" t="s">
        <v>1762</v>
      </c>
      <c r="AF359" s="163" t="s">
        <v>3419</v>
      </c>
      <c r="AG359" s="163" t="s">
        <v>36</v>
      </c>
      <c r="AH359" s="163" t="s">
        <v>36</v>
      </c>
      <c r="AI359" s="163" t="s">
        <v>36</v>
      </c>
      <c r="AJ359" s="163" t="s">
        <v>36</v>
      </c>
      <c r="AK359" s="163" t="s">
        <v>2197</v>
      </c>
      <c r="AL359" s="163" t="s">
        <v>36</v>
      </c>
      <c r="AM359" t="s">
        <v>4876</v>
      </c>
      <c r="AN359" s="487">
        <v>0</v>
      </c>
      <c r="AO359" s="487">
        <v>0</v>
      </c>
    </row>
    <row r="360" spans="1:41" x14ac:dyDescent="0.2">
      <c r="A360">
        <v>359</v>
      </c>
      <c r="B360" s="471" t="s">
        <v>1387</v>
      </c>
      <c r="C360" s="163" t="s">
        <v>5602</v>
      </c>
      <c r="D360" s="163" t="s">
        <v>5603</v>
      </c>
      <c r="E360" s="163" t="s">
        <v>5604</v>
      </c>
      <c r="F360" s="163" t="s">
        <v>2045</v>
      </c>
      <c r="G360" s="163"/>
      <c r="H360" s="163" t="s">
        <v>2200</v>
      </c>
      <c r="I360" s="163" t="s">
        <v>5786</v>
      </c>
      <c r="J360" s="163" t="s">
        <v>2188</v>
      </c>
      <c r="K360" s="163" t="s">
        <v>4626</v>
      </c>
      <c r="L360" s="163" t="s">
        <v>5605</v>
      </c>
      <c r="M360" s="549" t="s">
        <v>5606</v>
      </c>
      <c r="N360" s="163" t="s">
        <v>5602</v>
      </c>
      <c r="O360" s="163" t="s">
        <v>3123</v>
      </c>
      <c r="P360" s="163" t="s">
        <v>5607</v>
      </c>
      <c r="Q360" s="163" t="s">
        <v>2276</v>
      </c>
      <c r="R360" s="163" t="s">
        <v>4849</v>
      </c>
      <c r="S360" s="163" t="s">
        <v>5608</v>
      </c>
      <c r="T360" s="163">
        <v>1067.2</v>
      </c>
      <c r="U360" s="163" t="s">
        <v>1952</v>
      </c>
      <c r="V360" s="163" t="s">
        <v>2613</v>
      </c>
      <c r="W360" s="163" t="s">
        <v>5609</v>
      </c>
      <c r="X360" s="163" t="s">
        <v>2194</v>
      </c>
      <c r="Y360" s="163" t="s">
        <v>4659</v>
      </c>
      <c r="Z360" s="163" t="s">
        <v>5610</v>
      </c>
      <c r="AA360" s="163" t="s">
        <v>2194</v>
      </c>
      <c r="AB360" s="163"/>
      <c r="AC360" s="163" t="s">
        <v>2195</v>
      </c>
      <c r="AD360" s="163" t="s">
        <v>5611</v>
      </c>
      <c r="AE360" s="163" t="s">
        <v>1762</v>
      </c>
      <c r="AF360" s="163" t="s">
        <v>3419</v>
      </c>
      <c r="AG360" s="163"/>
      <c r="AH360" s="163"/>
      <c r="AI360" s="163"/>
      <c r="AJ360" s="163"/>
      <c r="AK360" s="163" t="s">
        <v>2197</v>
      </c>
      <c r="AL360" s="163"/>
      <c r="AM360" t="s">
        <v>5049</v>
      </c>
      <c r="AN360" s="487"/>
      <c r="AO360" s="487"/>
    </row>
    <row r="361" spans="1:41" x14ac:dyDescent="0.2">
      <c r="A361">
        <v>360</v>
      </c>
      <c r="B361" s="471" t="s">
        <v>1391</v>
      </c>
      <c r="C361" s="163" t="s">
        <v>880</v>
      </c>
      <c r="D361" s="163" t="s">
        <v>5765</v>
      </c>
      <c r="E361" s="163" t="s">
        <v>2127</v>
      </c>
      <c r="F361" s="163" t="s">
        <v>2025</v>
      </c>
      <c r="G361" s="163" t="s">
        <v>36</v>
      </c>
      <c r="H361" s="163" t="s">
        <v>2200</v>
      </c>
      <c r="I361" s="163" t="s">
        <v>5725</v>
      </c>
      <c r="J361" s="163" t="s">
        <v>1768</v>
      </c>
      <c r="K361" s="163" t="s">
        <v>2376</v>
      </c>
      <c r="L361" s="163" t="s">
        <v>3340</v>
      </c>
      <c r="M361" s="549">
        <v>9261</v>
      </c>
      <c r="N361" s="163" t="s">
        <v>880</v>
      </c>
      <c r="O361" s="163" t="s">
        <v>906</v>
      </c>
      <c r="P361" s="163" t="s">
        <v>2395</v>
      </c>
      <c r="Q361" s="163" t="s">
        <v>2276</v>
      </c>
      <c r="R361" s="163" t="s">
        <v>2193</v>
      </c>
      <c r="S361" s="163" t="s">
        <v>3552</v>
      </c>
      <c r="T361" s="163">
        <v>339.3</v>
      </c>
      <c r="U361" s="163" t="s">
        <v>1952</v>
      </c>
      <c r="V361" s="163" t="s">
        <v>3340</v>
      </c>
      <c r="W361" s="163" t="s">
        <v>2315</v>
      </c>
      <c r="X361" s="163" t="s">
        <v>2194</v>
      </c>
      <c r="Y361" s="163" t="s">
        <v>3340</v>
      </c>
      <c r="Z361" s="163" t="s">
        <v>2315</v>
      </c>
      <c r="AA361" s="163" t="s">
        <v>2194</v>
      </c>
      <c r="AB361" s="163" t="s">
        <v>36</v>
      </c>
      <c r="AC361" s="163" t="s">
        <v>2195</v>
      </c>
      <c r="AD361" s="163" t="s">
        <v>2196</v>
      </c>
      <c r="AE361" s="163" t="s">
        <v>1762</v>
      </c>
      <c r="AF361" s="163" t="s">
        <v>3419</v>
      </c>
      <c r="AG361" s="163" t="s">
        <v>36</v>
      </c>
      <c r="AH361" s="163" t="s">
        <v>36</v>
      </c>
      <c r="AI361" s="163" t="s">
        <v>36</v>
      </c>
      <c r="AJ361" s="163" t="s">
        <v>36</v>
      </c>
      <c r="AK361" s="163" t="s">
        <v>2197</v>
      </c>
      <c r="AL361" s="163" t="s">
        <v>36</v>
      </c>
      <c r="AM361" t="s">
        <v>4876</v>
      </c>
      <c r="AN361" s="487">
        <v>0</v>
      </c>
      <c r="AO361" s="487">
        <v>0</v>
      </c>
    </row>
    <row r="362" spans="1:41" x14ac:dyDescent="0.2">
      <c r="A362">
        <v>361</v>
      </c>
      <c r="B362" s="471" t="s">
        <v>1391</v>
      </c>
      <c r="C362" s="163" t="s">
        <v>1932</v>
      </c>
      <c r="D362" s="163" t="s">
        <v>4265</v>
      </c>
      <c r="E362" s="163" t="s">
        <v>2127</v>
      </c>
      <c r="F362" s="163" t="s">
        <v>2025</v>
      </c>
      <c r="G362" s="163" t="s">
        <v>36</v>
      </c>
      <c r="H362" s="163" t="s">
        <v>2200</v>
      </c>
      <c r="I362" s="163" t="s">
        <v>5725</v>
      </c>
      <c r="J362" s="163" t="s">
        <v>1768</v>
      </c>
      <c r="K362" s="163" t="s">
        <v>1932</v>
      </c>
      <c r="L362" s="163" t="s">
        <v>3340</v>
      </c>
      <c r="M362" s="549">
        <v>17160</v>
      </c>
      <c r="N362" s="163" t="s">
        <v>1932</v>
      </c>
      <c r="O362" s="163" t="s">
        <v>2471</v>
      </c>
      <c r="P362" s="163" t="s">
        <v>2395</v>
      </c>
      <c r="Q362" s="163" t="s">
        <v>2276</v>
      </c>
      <c r="R362" s="163" t="s">
        <v>2193</v>
      </c>
      <c r="S362" s="163" t="s">
        <v>3552</v>
      </c>
      <c r="T362" s="163">
        <v>339.3</v>
      </c>
      <c r="U362" s="163" t="s">
        <v>1952</v>
      </c>
      <c r="V362" s="163" t="s">
        <v>3340</v>
      </c>
      <c r="W362" s="163" t="s">
        <v>2327</v>
      </c>
      <c r="X362" s="163" t="s">
        <v>2194</v>
      </c>
      <c r="Y362" s="163" t="s">
        <v>3340</v>
      </c>
      <c r="Z362" s="163" t="s">
        <v>2327</v>
      </c>
      <c r="AA362" s="163" t="s">
        <v>2194</v>
      </c>
      <c r="AB362" s="163" t="s">
        <v>36</v>
      </c>
      <c r="AC362" s="163" t="s">
        <v>2195</v>
      </c>
      <c r="AD362" s="163" t="s">
        <v>2196</v>
      </c>
      <c r="AE362" s="163" t="s">
        <v>1762</v>
      </c>
      <c r="AF362" s="163" t="s">
        <v>3419</v>
      </c>
      <c r="AG362" s="163" t="s">
        <v>36</v>
      </c>
      <c r="AH362" s="163" t="s">
        <v>36</v>
      </c>
      <c r="AI362" s="163" t="s">
        <v>36</v>
      </c>
      <c r="AJ362" s="163" t="s">
        <v>36</v>
      </c>
      <c r="AK362" s="163" t="s">
        <v>2197</v>
      </c>
      <c r="AL362" s="163" t="s">
        <v>36</v>
      </c>
      <c r="AM362" t="s">
        <v>4876</v>
      </c>
      <c r="AN362" s="487">
        <v>0</v>
      </c>
      <c r="AO362" s="487">
        <v>0</v>
      </c>
    </row>
    <row r="363" spans="1:41" x14ac:dyDescent="0.2">
      <c r="A363">
        <v>362</v>
      </c>
      <c r="B363" s="471" t="s">
        <v>1391</v>
      </c>
      <c r="C363" s="163" t="s">
        <v>1403</v>
      </c>
      <c r="D363" s="163" t="s">
        <v>4266</v>
      </c>
      <c r="E363" s="163" t="s">
        <v>2127</v>
      </c>
      <c r="F363" s="163" t="s">
        <v>2025</v>
      </c>
      <c r="G363" s="163" t="s">
        <v>36</v>
      </c>
      <c r="H363" s="163" t="s">
        <v>2200</v>
      </c>
      <c r="I363" s="163" t="s">
        <v>5739</v>
      </c>
      <c r="J363" s="163" t="s">
        <v>2188</v>
      </c>
      <c r="K363" s="163" t="s">
        <v>2377</v>
      </c>
      <c r="L363" s="163" t="s">
        <v>3349</v>
      </c>
      <c r="M363" s="549" t="s">
        <v>1403</v>
      </c>
      <c r="N363" s="163" t="s">
        <v>1403</v>
      </c>
      <c r="O363" s="163" t="s">
        <v>3350</v>
      </c>
      <c r="P363" s="163" t="s">
        <v>2443</v>
      </c>
      <c r="Q363" s="163" t="s">
        <v>2276</v>
      </c>
      <c r="R363" s="163" t="s">
        <v>2352</v>
      </c>
      <c r="S363" s="163" t="s">
        <v>3553</v>
      </c>
      <c r="T363" s="163">
        <v>2744</v>
      </c>
      <c r="U363" s="163" t="s">
        <v>1952</v>
      </c>
      <c r="V363" s="163" t="s">
        <v>3351</v>
      </c>
      <c r="W363" s="163" t="s">
        <v>1403</v>
      </c>
      <c r="X363" s="163" t="s">
        <v>2302</v>
      </c>
      <c r="Y363" s="163" t="s">
        <v>3352</v>
      </c>
      <c r="Z363" s="163">
        <v>500445</v>
      </c>
      <c r="AA363" s="163" t="s">
        <v>2194</v>
      </c>
      <c r="AB363" s="163" t="s">
        <v>4916</v>
      </c>
      <c r="AC363" s="163" t="s">
        <v>2195</v>
      </c>
      <c r="AD363" s="163" t="s">
        <v>2196</v>
      </c>
      <c r="AE363" s="163" t="s">
        <v>1762</v>
      </c>
      <c r="AF363" s="163" t="s">
        <v>3419</v>
      </c>
      <c r="AG363" s="163" t="s">
        <v>36</v>
      </c>
      <c r="AH363" s="163" t="s">
        <v>36</v>
      </c>
      <c r="AI363" s="163" t="s">
        <v>36</v>
      </c>
      <c r="AJ363" s="163" t="s">
        <v>36</v>
      </c>
      <c r="AK363" s="163" t="s">
        <v>2197</v>
      </c>
      <c r="AL363" s="163" t="s">
        <v>36</v>
      </c>
      <c r="AM363" t="s">
        <v>4893</v>
      </c>
      <c r="AN363" s="487">
        <v>0</v>
      </c>
      <c r="AO363" s="487">
        <v>0</v>
      </c>
    </row>
    <row r="364" spans="1:41" x14ac:dyDescent="0.2">
      <c r="A364">
        <v>363</v>
      </c>
      <c r="B364" s="471" t="s">
        <v>1391</v>
      </c>
      <c r="C364" s="163" t="s">
        <v>1397</v>
      </c>
      <c r="D364" s="163" t="s">
        <v>4267</v>
      </c>
      <c r="E364" s="163" t="s">
        <v>2127</v>
      </c>
      <c r="F364" s="163" t="s">
        <v>2025</v>
      </c>
      <c r="G364" s="163" t="s">
        <v>36</v>
      </c>
      <c r="H364" s="163" t="s">
        <v>2200</v>
      </c>
      <c r="I364" s="163" t="s">
        <v>5725</v>
      </c>
      <c r="J364" s="163" t="s">
        <v>1768</v>
      </c>
      <c r="K364" s="163" t="s">
        <v>2204</v>
      </c>
      <c r="L364" s="163" t="s">
        <v>2875</v>
      </c>
      <c r="M364" s="549" t="s">
        <v>3343</v>
      </c>
      <c r="N364" s="163" t="s">
        <v>1397</v>
      </c>
      <c r="O364" s="163" t="s">
        <v>111</v>
      </c>
      <c r="P364" s="163" t="s">
        <v>2749</v>
      </c>
      <c r="Q364" s="163" t="s">
        <v>2276</v>
      </c>
      <c r="R364" s="163" t="s">
        <v>2193</v>
      </c>
      <c r="S364" s="163" t="s">
        <v>3557</v>
      </c>
      <c r="T364" s="163">
        <v>19.3</v>
      </c>
      <c r="U364" s="163" t="s">
        <v>1952</v>
      </c>
      <c r="V364" s="163" t="s">
        <v>2980</v>
      </c>
      <c r="W364" s="163" t="s">
        <v>3344</v>
      </c>
      <c r="X364" s="163" t="s">
        <v>2194</v>
      </c>
      <c r="Y364" s="163" t="s">
        <v>111</v>
      </c>
      <c r="Z364" s="163" t="s">
        <v>111</v>
      </c>
      <c r="AA364" s="163" t="s">
        <v>111</v>
      </c>
      <c r="AB364" s="163" t="s">
        <v>36</v>
      </c>
      <c r="AC364" s="163" t="s">
        <v>2195</v>
      </c>
      <c r="AD364" s="163" t="s">
        <v>2196</v>
      </c>
      <c r="AE364" s="163" t="s">
        <v>1762</v>
      </c>
      <c r="AF364" s="163">
        <v>10</v>
      </c>
      <c r="AG364" s="163">
        <v>0.1</v>
      </c>
      <c r="AH364" s="163">
        <v>0.15</v>
      </c>
      <c r="AI364" s="163" t="s">
        <v>36</v>
      </c>
      <c r="AJ364" s="163" t="s">
        <v>36</v>
      </c>
      <c r="AK364" s="163" t="s">
        <v>2197</v>
      </c>
      <c r="AL364" s="163" t="s">
        <v>36</v>
      </c>
      <c r="AM364" t="s">
        <v>4879</v>
      </c>
      <c r="AN364" s="487">
        <v>0</v>
      </c>
      <c r="AO364" s="487">
        <v>0</v>
      </c>
    </row>
    <row r="365" spans="1:41" x14ac:dyDescent="0.2">
      <c r="A365">
        <v>364</v>
      </c>
      <c r="B365" s="471" t="s">
        <v>1391</v>
      </c>
      <c r="C365" s="163" t="s">
        <v>1399</v>
      </c>
      <c r="D365" s="163" t="s">
        <v>4268</v>
      </c>
      <c r="E365" s="163" t="s">
        <v>2127</v>
      </c>
      <c r="F365" s="163" t="s">
        <v>2025</v>
      </c>
      <c r="G365" s="163" t="s">
        <v>36</v>
      </c>
      <c r="H365" s="163" t="s">
        <v>2200</v>
      </c>
      <c r="I365" s="163" t="s">
        <v>5725</v>
      </c>
      <c r="J365" s="163" t="s">
        <v>1768</v>
      </c>
      <c r="K365" s="163" t="s">
        <v>2204</v>
      </c>
      <c r="L365" s="163" t="s">
        <v>3345</v>
      </c>
      <c r="M365" s="549" t="s">
        <v>3346</v>
      </c>
      <c r="N365" s="163" t="s">
        <v>1399</v>
      </c>
      <c r="O365" s="163" t="s">
        <v>2471</v>
      </c>
      <c r="P365" s="163" t="s">
        <v>3558</v>
      </c>
      <c r="Q365" s="163" t="s">
        <v>2276</v>
      </c>
      <c r="R365" s="163" t="s">
        <v>2193</v>
      </c>
      <c r="S365" s="163" t="s">
        <v>3559</v>
      </c>
      <c r="T365" s="163">
        <v>169</v>
      </c>
      <c r="U365" s="163" t="s">
        <v>1952</v>
      </c>
      <c r="V365" s="163" t="s">
        <v>3347</v>
      </c>
      <c r="W365" s="163">
        <v>156602</v>
      </c>
      <c r="X365" s="163" t="s">
        <v>2194</v>
      </c>
      <c r="Y365" s="163" t="s">
        <v>3347</v>
      </c>
      <c r="Z365" s="163">
        <v>156602</v>
      </c>
      <c r="AA365" s="163" t="s">
        <v>2194</v>
      </c>
      <c r="AB365" s="163" t="s">
        <v>36</v>
      </c>
      <c r="AC365" s="163" t="s">
        <v>2195</v>
      </c>
      <c r="AD365" s="163" t="s">
        <v>2196</v>
      </c>
      <c r="AE365" s="163" t="s">
        <v>1762</v>
      </c>
      <c r="AF365" s="163" t="s">
        <v>3419</v>
      </c>
      <c r="AG365" s="163" t="s">
        <v>36</v>
      </c>
      <c r="AH365" s="163" t="s">
        <v>36</v>
      </c>
      <c r="AI365" s="163" t="s">
        <v>36</v>
      </c>
      <c r="AJ365" s="163" t="s">
        <v>36</v>
      </c>
      <c r="AK365" s="163" t="s">
        <v>2197</v>
      </c>
      <c r="AL365" s="163" t="s">
        <v>36</v>
      </c>
      <c r="AM365" t="s">
        <v>4879</v>
      </c>
      <c r="AN365" s="487">
        <v>0</v>
      </c>
      <c r="AO365" s="487">
        <v>0</v>
      </c>
    </row>
    <row r="366" spans="1:41" x14ac:dyDescent="0.2">
      <c r="A366">
        <v>365</v>
      </c>
      <c r="B366" s="471" t="s">
        <v>1391</v>
      </c>
      <c r="C366" s="163" t="s">
        <v>1401</v>
      </c>
      <c r="D366" s="163" t="s">
        <v>4269</v>
      </c>
      <c r="E366" s="163" t="s">
        <v>2127</v>
      </c>
      <c r="F366" s="163" t="s">
        <v>2025</v>
      </c>
      <c r="G366" s="163" t="s">
        <v>36</v>
      </c>
      <c r="H366" s="163" t="s">
        <v>2200</v>
      </c>
      <c r="I366" s="163" t="s">
        <v>5725</v>
      </c>
      <c r="J366" s="163" t="s">
        <v>1768</v>
      </c>
      <c r="K366" s="163" t="s">
        <v>2204</v>
      </c>
      <c r="L366" s="163" t="s">
        <v>3345</v>
      </c>
      <c r="M366" s="549" t="s">
        <v>3348</v>
      </c>
      <c r="N366" s="163" t="s">
        <v>1401</v>
      </c>
      <c r="O366" s="163" t="s">
        <v>2471</v>
      </c>
      <c r="P366" s="163" t="s">
        <v>3558</v>
      </c>
      <c r="Q366" s="163" t="s">
        <v>2276</v>
      </c>
      <c r="R366" s="163" t="s">
        <v>2193</v>
      </c>
      <c r="S366" s="163" t="s">
        <v>3559</v>
      </c>
      <c r="T366" s="163">
        <v>169</v>
      </c>
      <c r="U366" s="163" t="s">
        <v>1952</v>
      </c>
      <c r="V366" s="163" t="s">
        <v>3347</v>
      </c>
      <c r="W366" s="163">
        <v>156603002</v>
      </c>
      <c r="X366" s="163" t="s">
        <v>2194</v>
      </c>
      <c r="Y366" s="163" t="s">
        <v>3347</v>
      </c>
      <c r="Z366" s="163">
        <v>156603002</v>
      </c>
      <c r="AA366" s="163" t="s">
        <v>2194</v>
      </c>
      <c r="AB366" s="163" t="s">
        <v>36</v>
      </c>
      <c r="AC366" s="163" t="s">
        <v>2195</v>
      </c>
      <c r="AD366" s="163" t="s">
        <v>2196</v>
      </c>
      <c r="AE366" s="163" t="s">
        <v>1762</v>
      </c>
      <c r="AF366" s="163" t="s">
        <v>3419</v>
      </c>
      <c r="AG366" s="163" t="s">
        <v>36</v>
      </c>
      <c r="AH366" s="163" t="s">
        <v>36</v>
      </c>
      <c r="AI366" s="163" t="s">
        <v>36</v>
      </c>
      <c r="AJ366" s="163" t="s">
        <v>36</v>
      </c>
      <c r="AK366" s="163" t="s">
        <v>2197</v>
      </c>
      <c r="AL366" s="163" t="s">
        <v>36</v>
      </c>
      <c r="AM366" t="s">
        <v>4879</v>
      </c>
      <c r="AN366" s="487">
        <v>0</v>
      </c>
      <c r="AO366" s="487">
        <v>0</v>
      </c>
    </row>
    <row r="367" spans="1:41" x14ac:dyDescent="0.2">
      <c r="A367">
        <v>366</v>
      </c>
      <c r="B367" s="471" t="s">
        <v>1391</v>
      </c>
      <c r="C367" s="163" t="s">
        <v>4700</v>
      </c>
      <c r="D367" s="163" t="s">
        <v>4701</v>
      </c>
      <c r="E367" s="163" t="s">
        <v>2127</v>
      </c>
      <c r="F367" s="163" t="s">
        <v>2025</v>
      </c>
      <c r="G367" s="163" t="s">
        <v>36</v>
      </c>
      <c r="H367" s="163" t="s">
        <v>2200</v>
      </c>
      <c r="I367" s="163" t="s">
        <v>5725</v>
      </c>
      <c r="J367" s="163" t="s">
        <v>1768</v>
      </c>
      <c r="K367" s="163" t="s">
        <v>4700</v>
      </c>
      <c r="L367" s="163" t="s">
        <v>2327</v>
      </c>
      <c r="M367" s="549">
        <v>1234</v>
      </c>
      <c r="N367" s="163" t="s">
        <v>4700</v>
      </c>
      <c r="O367" s="163" t="s">
        <v>2471</v>
      </c>
      <c r="P367" s="163" t="s">
        <v>4702</v>
      </c>
      <c r="Q367" s="163" t="s">
        <v>4702</v>
      </c>
      <c r="R367" s="163" t="s">
        <v>2193</v>
      </c>
      <c r="S367" s="163" t="s">
        <v>4703</v>
      </c>
      <c r="T367" s="163">
        <v>800</v>
      </c>
      <c r="U367" s="163" t="s">
        <v>1952</v>
      </c>
      <c r="V367" s="163" t="s">
        <v>111</v>
      </c>
      <c r="W367" s="163" t="s">
        <v>111</v>
      </c>
      <c r="X367" s="163" t="s">
        <v>111</v>
      </c>
      <c r="Y367" s="163" t="s">
        <v>4704</v>
      </c>
      <c r="Z367" s="163">
        <v>50048</v>
      </c>
      <c r="AA367" s="163" t="s">
        <v>2273</v>
      </c>
      <c r="AB367" s="163" t="s">
        <v>36</v>
      </c>
      <c r="AC367" s="163" t="s">
        <v>2195</v>
      </c>
      <c r="AD367" s="163" t="s">
        <v>2196</v>
      </c>
      <c r="AE367" s="163" t="s">
        <v>1762</v>
      </c>
      <c r="AF367" s="163" t="s">
        <v>36</v>
      </c>
      <c r="AG367" s="163" t="s">
        <v>36</v>
      </c>
      <c r="AH367" s="163" t="s">
        <v>36</v>
      </c>
      <c r="AI367" s="163" t="s">
        <v>36</v>
      </c>
      <c r="AJ367" s="163" t="s">
        <v>36</v>
      </c>
      <c r="AK367" s="163" t="s">
        <v>2197</v>
      </c>
      <c r="AL367" s="163" t="s">
        <v>36</v>
      </c>
      <c r="AM367" t="s">
        <v>4893</v>
      </c>
      <c r="AN367" s="487">
        <v>0</v>
      </c>
      <c r="AO367" s="487">
        <v>0</v>
      </c>
    </row>
    <row r="368" spans="1:41" x14ac:dyDescent="0.2">
      <c r="A368">
        <v>367</v>
      </c>
      <c r="B368" s="471" t="s">
        <v>1391</v>
      </c>
      <c r="C368" s="163" t="s">
        <v>1394</v>
      </c>
      <c r="D368" s="163" t="s">
        <v>4270</v>
      </c>
      <c r="E368" s="163" t="s">
        <v>2127</v>
      </c>
      <c r="F368" s="163" t="s">
        <v>2025</v>
      </c>
      <c r="G368" s="163" t="s">
        <v>36</v>
      </c>
      <c r="H368" s="163" t="s">
        <v>2200</v>
      </c>
      <c r="I368" s="163" t="s">
        <v>5725</v>
      </c>
      <c r="J368" s="163" t="s">
        <v>1768</v>
      </c>
      <c r="K368" s="163" t="s">
        <v>2376</v>
      </c>
      <c r="L368" s="163" t="s">
        <v>3340</v>
      </c>
      <c r="M368" s="549">
        <v>9139</v>
      </c>
      <c r="N368" s="163" t="s">
        <v>1394</v>
      </c>
      <c r="O368" s="163" t="s">
        <v>2471</v>
      </c>
      <c r="P368" s="163" t="s">
        <v>2493</v>
      </c>
      <c r="Q368" s="163" t="s">
        <v>2276</v>
      </c>
      <c r="R368" s="163" t="s">
        <v>2193</v>
      </c>
      <c r="S368" s="163" t="s">
        <v>3554</v>
      </c>
      <c r="T368" s="163">
        <v>42.4</v>
      </c>
      <c r="U368" s="163" t="s">
        <v>1952</v>
      </c>
      <c r="V368" s="163" t="s">
        <v>3341</v>
      </c>
      <c r="W368" s="163" t="s">
        <v>2315</v>
      </c>
      <c r="X368" s="163" t="s">
        <v>2810</v>
      </c>
      <c r="Y368" s="163" t="s">
        <v>3341</v>
      </c>
      <c r="Z368" s="163" t="s">
        <v>2315</v>
      </c>
      <c r="AA368" s="163" t="s">
        <v>2810</v>
      </c>
      <c r="AB368" s="163" t="s">
        <v>4476</v>
      </c>
      <c r="AC368" s="163" t="s">
        <v>2195</v>
      </c>
      <c r="AD368" s="163" t="s">
        <v>2196</v>
      </c>
      <c r="AE368" s="163" t="s">
        <v>1762</v>
      </c>
      <c r="AF368" s="163" t="s">
        <v>3951</v>
      </c>
      <c r="AG368" s="163" t="s">
        <v>3952</v>
      </c>
      <c r="AH368" s="163" t="s">
        <v>36</v>
      </c>
      <c r="AI368" s="163" t="s">
        <v>36</v>
      </c>
      <c r="AJ368" s="163" t="s">
        <v>36</v>
      </c>
      <c r="AK368" s="163" t="s">
        <v>2197</v>
      </c>
      <c r="AL368" s="163" t="s">
        <v>36</v>
      </c>
      <c r="AM368" t="s">
        <v>4897</v>
      </c>
      <c r="AN368" s="487">
        <v>0</v>
      </c>
      <c r="AO368" s="487">
        <v>0</v>
      </c>
    </row>
    <row r="369" spans="1:85" x14ac:dyDescent="0.2">
      <c r="A369">
        <v>368</v>
      </c>
      <c r="B369" s="471" t="s">
        <v>5339</v>
      </c>
      <c r="C369" s="163" t="s">
        <v>5340</v>
      </c>
      <c r="D369" s="163" t="s">
        <v>5341</v>
      </c>
      <c r="E369" s="163" t="s">
        <v>5342</v>
      </c>
      <c r="F369" s="163" t="s">
        <v>5343</v>
      </c>
      <c r="G369" s="163" t="s">
        <v>36</v>
      </c>
      <c r="H369" s="163" t="s">
        <v>2200</v>
      </c>
      <c r="I369" s="163" t="s">
        <v>5725</v>
      </c>
      <c r="J369" s="163" t="s">
        <v>1768</v>
      </c>
      <c r="K369" s="163" t="s">
        <v>5340</v>
      </c>
      <c r="L369" s="163" t="s">
        <v>5344</v>
      </c>
      <c r="M369" s="549" t="s">
        <v>5345</v>
      </c>
      <c r="N369" s="163" t="s">
        <v>5340</v>
      </c>
      <c r="O369" s="163" t="s">
        <v>2471</v>
      </c>
      <c r="P369" s="163" t="s">
        <v>4702</v>
      </c>
      <c r="Q369" s="163" t="s">
        <v>4702</v>
      </c>
      <c r="R369" s="163" t="s">
        <v>2193</v>
      </c>
      <c r="S369" s="163" t="s">
        <v>5346</v>
      </c>
      <c r="T369" s="163">
        <v>4725.9526999999998</v>
      </c>
      <c r="U369" s="163" t="s">
        <v>1952</v>
      </c>
      <c r="V369" s="163" t="s">
        <v>111</v>
      </c>
      <c r="W369" s="163" t="s">
        <v>111</v>
      </c>
      <c r="X369" s="163" t="s">
        <v>111</v>
      </c>
      <c r="Y369" s="163" t="s">
        <v>5347</v>
      </c>
      <c r="Z369" s="163" t="s">
        <v>5348</v>
      </c>
      <c r="AA369" s="163" t="s">
        <v>2273</v>
      </c>
      <c r="AB369" s="163" t="s">
        <v>36</v>
      </c>
      <c r="AC369" s="163" t="s">
        <v>2195</v>
      </c>
      <c r="AD369" s="163" t="s">
        <v>2196</v>
      </c>
      <c r="AE369" s="163" t="s">
        <v>1762</v>
      </c>
      <c r="AF369" s="163" t="s">
        <v>111</v>
      </c>
      <c r="AG369" s="163" t="s">
        <v>36</v>
      </c>
      <c r="AH369" s="163" t="s">
        <v>36</v>
      </c>
      <c r="AI369" s="163" t="s">
        <v>36</v>
      </c>
      <c r="AJ369" s="163" t="s">
        <v>36</v>
      </c>
      <c r="AK369" s="163" t="s">
        <v>2197</v>
      </c>
      <c r="AL369" s="163" t="s">
        <v>36</v>
      </c>
      <c r="AM369" t="s">
        <v>4893</v>
      </c>
      <c r="AN369" s="487"/>
      <c r="AO369" s="487"/>
    </row>
    <row r="370" spans="1:85" x14ac:dyDescent="0.2">
      <c r="A370">
        <v>369</v>
      </c>
      <c r="B370" s="471" t="s">
        <v>1405</v>
      </c>
      <c r="C370" s="163" t="s">
        <v>1980</v>
      </c>
      <c r="D370" s="163" t="s">
        <v>4271</v>
      </c>
      <c r="E370" s="163" t="s">
        <v>2128</v>
      </c>
      <c r="F370" s="163" t="s">
        <v>2129</v>
      </c>
      <c r="G370" s="163" t="s">
        <v>36</v>
      </c>
      <c r="H370" s="163" t="s">
        <v>2200</v>
      </c>
      <c r="I370" s="163" t="s">
        <v>5725</v>
      </c>
      <c r="J370" s="163" t="s">
        <v>1768</v>
      </c>
      <c r="K370" s="163" t="s">
        <v>3353</v>
      </c>
      <c r="L370" s="163" t="s">
        <v>3354</v>
      </c>
      <c r="M370" s="549">
        <v>127568</v>
      </c>
      <c r="N370" s="163" t="s">
        <v>1980</v>
      </c>
      <c r="O370" s="163" t="s">
        <v>2471</v>
      </c>
      <c r="P370" s="163" t="s">
        <v>3560</v>
      </c>
      <c r="Q370" s="163" t="s">
        <v>2276</v>
      </c>
      <c r="R370" s="163" t="s">
        <v>2193</v>
      </c>
      <c r="S370" s="163" t="s">
        <v>3561</v>
      </c>
      <c r="T370" s="163">
        <v>35.299999999999997</v>
      </c>
      <c r="U370" s="163" t="s">
        <v>1952</v>
      </c>
      <c r="V370" s="163" t="s">
        <v>3355</v>
      </c>
      <c r="W370" s="163">
        <v>152326</v>
      </c>
      <c r="X370" s="163" t="s">
        <v>2194</v>
      </c>
      <c r="Y370" s="163" t="s">
        <v>3356</v>
      </c>
      <c r="Z370" s="163">
        <v>12758</v>
      </c>
      <c r="AA370" s="163" t="s">
        <v>2194</v>
      </c>
      <c r="AB370" s="163" t="s">
        <v>36</v>
      </c>
      <c r="AC370" s="163" t="s">
        <v>2195</v>
      </c>
      <c r="AD370" s="163" t="s">
        <v>2196</v>
      </c>
      <c r="AE370" s="163" t="s">
        <v>1762</v>
      </c>
      <c r="AF370" s="163" t="s">
        <v>3419</v>
      </c>
      <c r="AG370" s="163" t="s">
        <v>36</v>
      </c>
      <c r="AH370" s="163" t="s">
        <v>36</v>
      </c>
      <c r="AI370" s="163" t="s">
        <v>36</v>
      </c>
      <c r="AJ370" s="163" t="s">
        <v>36</v>
      </c>
      <c r="AK370" s="163" t="s">
        <v>2197</v>
      </c>
      <c r="AL370" s="163" t="s">
        <v>36</v>
      </c>
      <c r="AM370" t="s">
        <v>4876</v>
      </c>
      <c r="AN370" s="487">
        <v>0</v>
      </c>
      <c r="AO370" s="487">
        <v>0</v>
      </c>
    </row>
    <row r="371" spans="1:85" x14ac:dyDescent="0.2">
      <c r="A371">
        <v>370</v>
      </c>
      <c r="B371" s="471" t="s">
        <v>1405</v>
      </c>
      <c r="C371" s="163" t="s">
        <v>1409</v>
      </c>
      <c r="D371" s="163" t="s">
        <v>4272</v>
      </c>
      <c r="E371" s="163" t="s">
        <v>2128</v>
      </c>
      <c r="F371" s="163" t="s">
        <v>2129</v>
      </c>
      <c r="G371" s="163" t="s">
        <v>36</v>
      </c>
      <c r="H371" s="163" t="s">
        <v>2200</v>
      </c>
      <c r="I371" s="163" t="s">
        <v>5725</v>
      </c>
      <c r="J371" s="163" t="s">
        <v>1768</v>
      </c>
      <c r="K371" s="163" t="s">
        <v>3357</v>
      </c>
      <c r="L371" s="163" t="s">
        <v>3358</v>
      </c>
      <c r="M371" s="549" t="s">
        <v>1409</v>
      </c>
      <c r="N371" s="163" t="s">
        <v>1409</v>
      </c>
      <c r="O371" s="163" t="s">
        <v>2471</v>
      </c>
      <c r="P371" s="163" t="s">
        <v>3562</v>
      </c>
      <c r="Q371" s="163" t="s">
        <v>2198</v>
      </c>
      <c r="R371" s="163" t="s">
        <v>2193</v>
      </c>
      <c r="S371" s="163" t="s">
        <v>3563</v>
      </c>
      <c r="T371" s="163">
        <v>2.6</v>
      </c>
      <c r="U371" s="163" t="s">
        <v>1952</v>
      </c>
      <c r="V371" s="163" t="s">
        <v>3359</v>
      </c>
      <c r="W371" s="163" t="s">
        <v>1409</v>
      </c>
      <c r="X371" s="163" t="s">
        <v>2273</v>
      </c>
      <c r="Y371" s="163" t="s">
        <v>111</v>
      </c>
      <c r="Z371" s="163" t="s">
        <v>111</v>
      </c>
      <c r="AA371" s="163" t="s">
        <v>111</v>
      </c>
      <c r="AB371" s="163" t="s">
        <v>3066</v>
      </c>
      <c r="AC371" s="163" t="s">
        <v>2195</v>
      </c>
      <c r="AD371" s="163" t="s">
        <v>2196</v>
      </c>
      <c r="AE371" s="163" t="s">
        <v>1762</v>
      </c>
      <c r="AF371" s="163" t="s">
        <v>3419</v>
      </c>
      <c r="AG371" s="163" t="s">
        <v>36</v>
      </c>
      <c r="AH371" s="163" t="s">
        <v>36</v>
      </c>
      <c r="AI371" s="163" t="s">
        <v>36</v>
      </c>
      <c r="AJ371" s="163" t="s">
        <v>36</v>
      </c>
      <c r="AK371" s="163" t="s">
        <v>2197</v>
      </c>
      <c r="AL371" s="163" t="s">
        <v>36</v>
      </c>
      <c r="AM371" t="s">
        <v>4876</v>
      </c>
      <c r="AN371" s="487">
        <v>0</v>
      </c>
      <c r="AO371" s="487">
        <v>0</v>
      </c>
    </row>
    <row r="372" spans="1:85" x14ac:dyDescent="0.2">
      <c r="A372">
        <v>371</v>
      </c>
      <c r="B372" s="471" t="s">
        <v>1405</v>
      </c>
      <c r="C372" s="163">
        <v>411462</v>
      </c>
      <c r="D372" s="163" t="s">
        <v>4903</v>
      </c>
      <c r="E372" s="163" t="s">
        <v>2128</v>
      </c>
      <c r="F372" s="163" t="s">
        <v>2129</v>
      </c>
      <c r="G372" s="163" t="s">
        <v>36</v>
      </c>
      <c r="H372" s="163" t="s">
        <v>2200</v>
      </c>
      <c r="I372" s="163" t="s">
        <v>5725</v>
      </c>
      <c r="J372" s="163" t="s">
        <v>1768</v>
      </c>
      <c r="K372" s="163" t="s">
        <v>2204</v>
      </c>
      <c r="L372" s="163" t="s">
        <v>3342</v>
      </c>
      <c r="M372" s="549">
        <v>411462</v>
      </c>
      <c r="N372" s="163">
        <v>411462</v>
      </c>
      <c r="O372" s="163" t="s">
        <v>906</v>
      </c>
      <c r="P372" s="163" t="s">
        <v>3187</v>
      </c>
      <c r="Q372" s="163" t="s">
        <v>2276</v>
      </c>
      <c r="R372" s="163" t="s">
        <v>2257</v>
      </c>
      <c r="S372" s="163" t="s">
        <v>3556</v>
      </c>
      <c r="T372" s="163">
        <v>117.1</v>
      </c>
      <c r="U372" s="163" t="s">
        <v>1952</v>
      </c>
      <c r="V372" s="163" t="s">
        <v>3433</v>
      </c>
      <c r="W372" s="163">
        <v>411462</v>
      </c>
      <c r="X372" s="163" t="s">
        <v>2342</v>
      </c>
      <c r="Y372" s="163" t="s">
        <v>3433</v>
      </c>
      <c r="Z372" s="163">
        <v>411462</v>
      </c>
      <c r="AA372" s="163" t="s">
        <v>2342</v>
      </c>
      <c r="AB372" s="163" t="s">
        <v>4436</v>
      </c>
      <c r="AC372" s="163" t="s">
        <v>2195</v>
      </c>
      <c r="AD372" s="163" t="s">
        <v>2196</v>
      </c>
      <c r="AE372" s="163" t="s">
        <v>1762</v>
      </c>
      <c r="AF372" s="163" t="s">
        <v>3419</v>
      </c>
      <c r="AG372" s="163" t="s">
        <v>36</v>
      </c>
      <c r="AH372" s="163" t="s">
        <v>36</v>
      </c>
      <c r="AI372" s="163" t="s">
        <v>36</v>
      </c>
      <c r="AJ372" s="163" t="s">
        <v>36</v>
      </c>
      <c r="AK372" s="163" t="s">
        <v>2197</v>
      </c>
      <c r="AL372" s="163" t="s">
        <v>36</v>
      </c>
      <c r="AM372" t="s">
        <v>4879</v>
      </c>
      <c r="AN372" s="487">
        <v>0</v>
      </c>
      <c r="AO372" s="487">
        <v>0</v>
      </c>
    </row>
    <row r="373" spans="1:85" x14ac:dyDescent="0.2">
      <c r="A373">
        <v>372</v>
      </c>
      <c r="B373" s="471" t="s">
        <v>1405</v>
      </c>
      <c r="C373" s="163" t="s">
        <v>1407</v>
      </c>
      <c r="D373" s="163" t="s">
        <v>4273</v>
      </c>
      <c r="E373" s="163" t="s">
        <v>2128</v>
      </c>
      <c r="F373" s="163" t="s">
        <v>2129</v>
      </c>
      <c r="G373" s="163" t="s">
        <v>36</v>
      </c>
      <c r="H373" s="163" t="s">
        <v>2200</v>
      </c>
      <c r="I373" s="163" t="s">
        <v>5725</v>
      </c>
      <c r="J373" s="163" t="s">
        <v>1768</v>
      </c>
      <c r="K373" s="163" t="s">
        <v>1910</v>
      </c>
      <c r="L373" s="163" t="s">
        <v>3360</v>
      </c>
      <c r="M373" s="549" t="s">
        <v>1407</v>
      </c>
      <c r="N373" s="163" t="s">
        <v>1407</v>
      </c>
      <c r="O373" s="163" t="s">
        <v>906</v>
      </c>
      <c r="P373" s="163" t="s">
        <v>4854</v>
      </c>
      <c r="Q373" s="163" t="s">
        <v>2198</v>
      </c>
      <c r="R373" s="163" t="s">
        <v>2193</v>
      </c>
      <c r="S373" s="163" t="s">
        <v>3564</v>
      </c>
      <c r="T373" s="163">
        <v>5.6</v>
      </c>
      <c r="U373" s="163" t="s">
        <v>1952</v>
      </c>
      <c r="V373" s="163" t="s">
        <v>3361</v>
      </c>
      <c r="W373" s="163" t="s">
        <v>1407</v>
      </c>
      <c r="X373" s="163" t="s">
        <v>3083</v>
      </c>
      <c r="Y373" s="163" t="s">
        <v>111</v>
      </c>
      <c r="Z373" s="163" t="s">
        <v>111</v>
      </c>
      <c r="AA373" s="163" t="s">
        <v>111</v>
      </c>
      <c r="AB373" s="163" t="s">
        <v>3362</v>
      </c>
      <c r="AC373" s="163" t="s">
        <v>2195</v>
      </c>
      <c r="AD373" s="163" t="s">
        <v>2196</v>
      </c>
      <c r="AE373" s="163" t="s">
        <v>1762</v>
      </c>
      <c r="AF373" s="163" t="s">
        <v>3419</v>
      </c>
      <c r="AG373" s="163" t="s">
        <v>36</v>
      </c>
      <c r="AH373" s="163" t="s">
        <v>36</v>
      </c>
      <c r="AI373" s="163" t="s">
        <v>36</v>
      </c>
      <c r="AJ373" s="163" t="s">
        <v>36</v>
      </c>
      <c r="AK373" s="163" t="s">
        <v>2197</v>
      </c>
      <c r="AL373" s="163" t="s">
        <v>36</v>
      </c>
      <c r="AM373" t="s">
        <v>4879</v>
      </c>
      <c r="AN373" s="487">
        <v>0</v>
      </c>
      <c r="AO373" s="487">
        <v>0</v>
      </c>
    </row>
    <row r="374" spans="1:85" x14ac:dyDescent="0.2">
      <c r="A374">
        <v>373</v>
      </c>
      <c r="B374" s="471" t="s">
        <v>1983</v>
      </c>
      <c r="C374" s="163" t="s">
        <v>819</v>
      </c>
      <c r="D374" s="163" t="s">
        <v>4274</v>
      </c>
      <c r="E374" s="163" t="s">
        <v>3565</v>
      </c>
      <c r="F374" s="163" t="s">
        <v>3566</v>
      </c>
      <c r="G374" s="163" t="s">
        <v>36</v>
      </c>
      <c r="H374" s="163" t="s">
        <v>2200</v>
      </c>
      <c r="I374" s="163" t="s">
        <v>5766</v>
      </c>
      <c r="J374" s="163" t="s">
        <v>2188</v>
      </c>
      <c r="K374" s="163" t="s">
        <v>2817</v>
      </c>
      <c r="L374" s="163" t="s">
        <v>3363</v>
      </c>
      <c r="M374" s="549" t="s">
        <v>3364</v>
      </c>
      <c r="N374" s="163" t="s">
        <v>819</v>
      </c>
      <c r="O374" s="163" t="s">
        <v>5767</v>
      </c>
      <c r="P374" s="163" t="s">
        <v>3567</v>
      </c>
      <c r="Q374" s="163" t="s">
        <v>4949</v>
      </c>
      <c r="R374" s="163" t="s">
        <v>2193</v>
      </c>
      <c r="S374" s="163" t="s">
        <v>3568</v>
      </c>
      <c r="T374" s="163">
        <v>22.5</v>
      </c>
      <c r="U374" s="163" t="s">
        <v>2223</v>
      </c>
      <c r="V374" s="163" t="s">
        <v>3365</v>
      </c>
      <c r="W374" s="163" t="s">
        <v>3366</v>
      </c>
      <c r="X374" s="163" t="s">
        <v>4937</v>
      </c>
      <c r="Y374" s="163" t="s">
        <v>3367</v>
      </c>
      <c r="Z374" s="163">
        <v>17350177</v>
      </c>
      <c r="AA374" s="163" t="s">
        <v>4937</v>
      </c>
      <c r="AB374" s="163" t="s">
        <v>36</v>
      </c>
      <c r="AC374" s="163" t="s">
        <v>2195</v>
      </c>
      <c r="AD374" s="163" t="s">
        <v>2196</v>
      </c>
      <c r="AE374" s="163" t="s">
        <v>1762</v>
      </c>
      <c r="AF374" s="163">
        <v>8</v>
      </c>
      <c r="AG374" s="163">
        <v>2</v>
      </c>
      <c r="AH374" s="163" t="s">
        <v>36</v>
      </c>
      <c r="AI374" s="163" t="s">
        <v>36</v>
      </c>
      <c r="AJ374" s="163" t="s">
        <v>36</v>
      </c>
      <c r="AK374" s="163" t="s">
        <v>2197</v>
      </c>
      <c r="AL374" s="163" t="s">
        <v>36</v>
      </c>
      <c r="AM374" t="s">
        <v>4879</v>
      </c>
      <c r="AN374" s="487">
        <v>0</v>
      </c>
      <c r="AO374" s="487">
        <v>0</v>
      </c>
    </row>
    <row r="375" spans="1:85" s="502" customFormat="1" x14ac:dyDescent="0.2">
      <c r="A375" s="502">
        <v>374</v>
      </c>
      <c r="B375" s="471" t="s">
        <v>1983</v>
      </c>
      <c r="C375" s="163" t="s">
        <v>837</v>
      </c>
      <c r="D375" s="163" t="s">
        <v>4275</v>
      </c>
      <c r="E375" s="163" t="s">
        <v>3565</v>
      </c>
      <c r="F375" s="163" t="s">
        <v>3566</v>
      </c>
      <c r="G375" s="163" t="s">
        <v>36</v>
      </c>
      <c r="H375" s="163" t="s">
        <v>2200</v>
      </c>
      <c r="I375" s="163" t="s">
        <v>5766</v>
      </c>
      <c r="J375" s="163" t="s">
        <v>2188</v>
      </c>
      <c r="K375" s="163" t="s">
        <v>2817</v>
      </c>
      <c r="L375" s="163" t="s">
        <v>3368</v>
      </c>
      <c r="M375" s="549">
        <v>12989</v>
      </c>
      <c r="N375" s="163" t="s">
        <v>837</v>
      </c>
      <c r="O375" s="163" t="s">
        <v>5768</v>
      </c>
      <c r="P375" s="163" t="s">
        <v>3569</v>
      </c>
      <c r="Q375" s="163" t="s">
        <v>4949</v>
      </c>
      <c r="R375" s="163" t="s">
        <v>2193</v>
      </c>
      <c r="S375" s="163" t="s">
        <v>3568</v>
      </c>
      <c r="T375" s="163">
        <v>22.5</v>
      </c>
      <c r="U375" s="163" t="s">
        <v>2222</v>
      </c>
      <c r="V375" s="163" t="s">
        <v>3369</v>
      </c>
      <c r="W375" s="163" t="s">
        <v>3370</v>
      </c>
      <c r="X375" s="163" t="s">
        <v>4937</v>
      </c>
      <c r="Y375" s="163" t="s">
        <v>3371</v>
      </c>
      <c r="Z375" s="163">
        <v>18380123</v>
      </c>
      <c r="AA375" s="163" t="s">
        <v>4937</v>
      </c>
      <c r="AB375" s="163" t="s">
        <v>36</v>
      </c>
      <c r="AC375" s="163" t="s">
        <v>2195</v>
      </c>
      <c r="AD375" s="163" t="s">
        <v>2196</v>
      </c>
      <c r="AE375" s="163" t="s">
        <v>1762</v>
      </c>
      <c r="AF375" s="163">
        <v>8</v>
      </c>
      <c r="AG375" s="163">
        <v>2</v>
      </c>
      <c r="AH375" s="163" t="s">
        <v>36</v>
      </c>
      <c r="AI375" s="163" t="s">
        <v>36</v>
      </c>
      <c r="AJ375" s="163" t="s">
        <v>36</v>
      </c>
      <c r="AK375" s="163" t="s">
        <v>2197</v>
      </c>
      <c r="AL375" s="163" t="s">
        <v>36</v>
      </c>
      <c r="AM375" t="s">
        <v>4879</v>
      </c>
      <c r="AN375" s="487">
        <v>0</v>
      </c>
      <c r="AO375" s="487">
        <v>0</v>
      </c>
      <c r="CG375"/>
    </row>
    <row r="376" spans="1:85" x14ac:dyDescent="0.2">
      <c r="A376">
        <v>375</v>
      </c>
      <c r="B376" s="471" t="s">
        <v>5239</v>
      </c>
      <c r="C376" s="163" t="s">
        <v>5519</v>
      </c>
      <c r="D376" s="163" t="s">
        <v>5520</v>
      </c>
      <c r="E376" s="163" t="s">
        <v>3570</v>
      </c>
      <c r="F376" s="163" t="s">
        <v>2134</v>
      </c>
      <c r="G376" s="163" t="s">
        <v>36</v>
      </c>
      <c r="H376" s="163" t="s">
        <v>2200</v>
      </c>
      <c r="I376" s="163" t="s">
        <v>5725</v>
      </c>
      <c r="J376" s="163" t="s">
        <v>2188</v>
      </c>
      <c r="K376" s="163" t="s">
        <v>5519</v>
      </c>
      <c r="L376" s="163" t="s">
        <v>5222</v>
      </c>
      <c r="M376" s="549" t="s">
        <v>5223</v>
      </c>
      <c r="N376" s="163" t="s">
        <v>5519</v>
      </c>
      <c r="O376" s="163" t="s">
        <v>2471</v>
      </c>
      <c r="P376" s="163" t="s">
        <v>2517</v>
      </c>
      <c r="Q376" s="163" t="s">
        <v>2273</v>
      </c>
      <c r="R376" s="163" t="s">
        <v>2193</v>
      </c>
      <c r="S376" s="163" t="s">
        <v>5224</v>
      </c>
      <c r="T376" s="163">
        <v>5730.7</v>
      </c>
      <c r="U376" s="163" t="s">
        <v>2222</v>
      </c>
      <c r="V376" s="163" t="s">
        <v>5225</v>
      </c>
      <c r="W376" s="163" t="s">
        <v>5226</v>
      </c>
      <c r="X376" s="163" t="s">
        <v>2810</v>
      </c>
      <c r="Y376" s="163" t="s">
        <v>5227</v>
      </c>
      <c r="Z376" s="163" t="s">
        <v>5228</v>
      </c>
      <c r="AA376" s="163" t="s">
        <v>2194</v>
      </c>
      <c r="AB376" s="163" t="s">
        <v>3066</v>
      </c>
      <c r="AC376" s="163" t="s">
        <v>2195</v>
      </c>
      <c r="AD376" s="163" t="s">
        <v>2196</v>
      </c>
      <c r="AE376" s="163" t="s">
        <v>1762</v>
      </c>
      <c r="AF376" s="163" t="s">
        <v>5229</v>
      </c>
      <c r="AG376" s="163" t="s">
        <v>36</v>
      </c>
      <c r="AH376" s="163" t="s">
        <v>36</v>
      </c>
      <c r="AI376" s="163" t="s">
        <v>36</v>
      </c>
      <c r="AJ376" s="163" t="s">
        <v>36</v>
      </c>
      <c r="AK376" s="163" t="s">
        <v>2197</v>
      </c>
      <c r="AL376" s="163" t="s">
        <v>36</v>
      </c>
      <c r="AM376" t="s">
        <v>4876</v>
      </c>
      <c r="AN376" s="487">
        <v>0</v>
      </c>
      <c r="AO376" s="487">
        <v>0</v>
      </c>
    </row>
    <row r="377" spans="1:85" x14ac:dyDescent="0.2">
      <c r="A377">
        <v>376</v>
      </c>
      <c r="B377" s="471" t="s">
        <v>1747</v>
      </c>
      <c r="C377" s="163" t="s">
        <v>1831</v>
      </c>
      <c r="D377" s="163" t="s">
        <v>4276</v>
      </c>
      <c r="E377" s="163" t="s">
        <v>3570</v>
      </c>
      <c r="F377" s="163" t="s">
        <v>2134</v>
      </c>
      <c r="G377" s="163" t="s">
        <v>36</v>
      </c>
      <c r="H377" s="163" t="s">
        <v>2200</v>
      </c>
      <c r="I377" s="163" t="s">
        <v>5725</v>
      </c>
      <c r="J377" s="163" t="s">
        <v>1768</v>
      </c>
      <c r="K377" s="163" t="s">
        <v>3393</v>
      </c>
      <c r="L377" s="163" t="s">
        <v>2327</v>
      </c>
      <c r="M377" s="549" t="s">
        <v>1831</v>
      </c>
      <c r="N377" s="163" t="s">
        <v>1831</v>
      </c>
      <c r="O377" s="163" t="s">
        <v>2471</v>
      </c>
      <c r="P377" s="163" t="s">
        <v>3586</v>
      </c>
      <c r="Q377" s="163" t="s">
        <v>2273</v>
      </c>
      <c r="R377" s="163" t="s">
        <v>2257</v>
      </c>
      <c r="S377" s="163" t="s">
        <v>3587</v>
      </c>
      <c r="T377" s="163">
        <v>1220</v>
      </c>
      <c r="U377" s="163" t="s">
        <v>111</v>
      </c>
      <c r="V377" s="163" t="s">
        <v>3377</v>
      </c>
      <c r="W377" s="163" t="s">
        <v>3378</v>
      </c>
      <c r="X377" s="163" t="s">
        <v>2194</v>
      </c>
      <c r="Y377" s="163" t="s">
        <v>3377</v>
      </c>
      <c r="Z377" s="163" t="s">
        <v>3378</v>
      </c>
      <c r="AA377" s="163" t="s">
        <v>2194</v>
      </c>
      <c r="AB377" s="163" t="s">
        <v>36</v>
      </c>
      <c r="AC377" s="163" t="s">
        <v>2195</v>
      </c>
      <c r="AD377" s="163" t="s">
        <v>2196</v>
      </c>
      <c r="AE377" s="163" t="s">
        <v>1762</v>
      </c>
      <c r="AF377" s="163" t="s">
        <v>36</v>
      </c>
      <c r="AG377" s="163" t="s">
        <v>36</v>
      </c>
      <c r="AH377" s="163" t="s">
        <v>36</v>
      </c>
      <c r="AI377" s="163" t="s">
        <v>36</v>
      </c>
      <c r="AJ377" s="163" t="s">
        <v>36</v>
      </c>
      <c r="AK377" s="163" t="s">
        <v>2197</v>
      </c>
      <c r="AL377" s="163" t="s">
        <v>36</v>
      </c>
      <c r="AM377" t="s">
        <v>4876</v>
      </c>
      <c r="AN377" s="487">
        <v>0</v>
      </c>
      <c r="AO377" s="487">
        <v>0</v>
      </c>
    </row>
    <row r="378" spans="1:85" x14ac:dyDescent="0.2">
      <c r="A378">
        <v>377</v>
      </c>
      <c r="B378" s="471" t="s">
        <v>1747</v>
      </c>
      <c r="C378" s="163" t="s">
        <v>1822</v>
      </c>
      <c r="D378" s="163" t="s">
        <v>4277</v>
      </c>
      <c r="E378" s="163" t="s">
        <v>3570</v>
      </c>
      <c r="F378" s="163" t="s">
        <v>2134</v>
      </c>
      <c r="G378" s="163" t="s">
        <v>36</v>
      </c>
      <c r="H378" s="163" t="s">
        <v>2200</v>
      </c>
      <c r="I378" s="163" t="s">
        <v>5725</v>
      </c>
      <c r="J378" s="163" t="s">
        <v>1768</v>
      </c>
      <c r="K378" s="163" t="s">
        <v>3379</v>
      </c>
      <c r="L378" s="163" t="s">
        <v>3380</v>
      </c>
      <c r="M378" s="549">
        <v>42118153</v>
      </c>
      <c r="N378" s="163" t="s">
        <v>1822</v>
      </c>
      <c r="O378" s="163" t="s">
        <v>2471</v>
      </c>
      <c r="P378" s="163" t="s">
        <v>3573</v>
      </c>
      <c r="Q378" s="163" t="s">
        <v>3574</v>
      </c>
      <c r="R378" s="163" t="s">
        <v>2193</v>
      </c>
      <c r="S378" s="163" t="s">
        <v>3575</v>
      </c>
      <c r="T378" s="163">
        <v>0.98</v>
      </c>
      <c r="U378" s="163" t="s">
        <v>2222</v>
      </c>
      <c r="V378" s="163" t="s">
        <v>2268</v>
      </c>
      <c r="W378" s="163" t="s">
        <v>1822</v>
      </c>
      <c r="X378" s="163" t="s">
        <v>3381</v>
      </c>
      <c r="Y378" s="163" t="s">
        <v>111</v>
      </c>
      <c r="Z378" s="163" t="s">
        <v>111</v>
      </c>
      <c r="AA378" s="163" t="s">
        <v>111</v>
      </c>
      <c r="AB378" s="163" t="s">
        <v>3382</v>
      </c>
      <c r="AC378" s="163" t="s">
        <v>2195</v>
      </c>
      <c r="AD378" s="163" t="s">
        <v>2196</v>
      </c>
      <c r="AE378" s="163" t="s">
        <v>1762</v>
      </c>
      <c r="AF378" s="163" t="s">
        <v>36</v>
      </c>
      <c r="AG378" s="163" t="s">
        <v>36</v>
      </c>
      <c r="AH378" s="163" t="s">
        <v>36</v>
      </c>
      <c r="AI378" s="163" t="s">
        <v>36</v>
      </c>
      <c r="AJ378" s="163" t="s">
        <v>36</v>
      </c>
      <c r="AK378" s="163" t="s">
        <v>2197</v>
      </c>
      <c r="AL378" s="163" t="s">
        <v>36</v>
      </c>
      <c r="AM378" t="s">
        <v>4876</v>
      </c>
      <c r="AN378" s="487">
        <v>0</v>
      </c>
      <c r="AO378" s="487">
        <v>0</v>
      </c>
    </row>
    <row r="379" spans="1:85" x14ac:dyDescent="0.2">
      <c r="A379">
        <v>378</v>
      </c>
      <c r="B379" s="471" t="s">
        <v>1747</v>
      </c>
      <c r="C379" s="163" t="s">
        <v>1826</v>
      </c>
      <c r="D379" s="163" t="s">
        <v>4278</v>
      </c>
      <c r="E379" s="163" t="s">
        <v>3570</v>
      </c>
      <c r="F379" s="163" t="s">
        <v>2134</v>
      </c>
      <c r="G379" s="163" t="s">
        <v>36</v>
      </c>
      <c r="H379" s="163" t="s">
        <v>2200</v>
      </c>
      <c r="I379" s="163" t="s">
        <v>5725</v>
      </c>
      <c r="J379" s="163" t="s">
        <v>1768</v>
      </c>
      <c r="K379" s="163" t="s">
        <v>3576</v>
      </c>
      <c r="L379" s="163" t="s">
        <v>3577</v>
      </c>
      <c r="M379" s="549" t="s">
        <v>3578</v>
      </c>
      <c r="N379" s="163" t="s">
        <v>1826</v>
      </c>
      <c r="O379" s="163" t="s">
        <v>2471</v>
      </c>
      <c r="P379" s="163" t="s">
        <v>2517</v>
      </c>
      <c r="Q379" s="163" t="s">
        <v>2192</v>
      </c>
      <c r="R379" s="163" t="s">
        <v>2193</v>
      </c>
      <c r="S379" s="163" t="s">
        <v>3579</v>
      </c>
      <c r="T379" s="163">
        <v>1517</v>
      </c>
      <c r="U379" s="163" t="s">
        <v>2222</v>
      </c>
      <c r="V379" s="163" t="s">
        <v>3580</v>
      </c>
      <c r="W379" s="163" t="s">
        <v>3581</v>
      </c>
      <c r="X379" s="163" t="s">
        <v>2194</v>
      </c>
      <c r="Y379" s="163" t="s">
        <v>111</v>
      </c>
      <c r="Z379" s="163" t="s">
        <v>111</v>
      </c>
      <c r="AA379" s="163" t="s">
        <v>111</v>
      </c>
      <c r="AB379" s="163" t="s">
        <v>3582</v>
      </c>
      <c r="AC379" s="163" t="s">
        <v>2195</v>
      </c>
      <c r="AD379" s="163" t="s">
        <v>2196</v>
      </c>
      <c r="AE379" s="163" t="s">
        <v>1762</v>
      </c>
      <c r="AF379" s="163" t="s">
        <v>36</v>
      </c>
      <c r="AG379" s="163" t="s">
        <v>36</v>
      </c>
      <c r="AH379" s="163" t="s">
        <v>36</v>
      </c>
      <c r="AI379" s="163" t="s">
        <v>36</v>
      </c>
      <c r="AJ379" s="163" t="s">
        <v>36</v>
      </c>
      <c r="AK379" s="163" t="s">
        <v>2197</v>
      </c>
      <c r="AL379" s="163" t="s">
        <v>36</v>
      </c>
      <c r="AM379" t="s">
        <v>4879</v>
      </c>
      <c r="AN379" s="487">
        <v>0</v>
      </c>
      <c r="AO379" s="487">
        <v>0</v>
      </c>
    </row>
    <row r="380" spans="1:85" x14ac:dyDescent="0.2">
      <c r="A380">
        <v>379</v>
      </c>
      <c r="B380" s="471" t="s">
        <v>1747</v>
      </c>
      <c r="C380" s="163" t="s">
        <v>1824</v>
      </c>
      <c r="D380" s="163" t="s">
        <v>4279</v>
      </c>
      <c r="E380" s="163" t="s">
        <v>3570</v>
      </c>
      <c r="F380" s="163" t="s">
        <v>2134</v>
      </c>
      <c r="G380" s="163" t="s">
        <v>36</v>
      </c>
      <c r="H380" s="163" t="s">
        <v>2200</v>
      </c>
      <c r="I380" s="163" t="s">
        <v>5725</v>
      </c>
      <c r="J380" s="163" t="s">
        <v>1768</v>
      </c>
      <c r="K380" s="163" t="s">
        <v>3372</v>
      </c>
      <c r="L380" s="163" t="s">
        <v>3373</v>
      </c>
      <c r="M380" s="549" t="s">
        <v>1824</v>
      </c>
      <c r="N380" s="163" t="s">
        <v>1824</v>
      </c>
      <c r="O380" s="163" t="s">
        <v>2471</v>
      </c>
      <c r="P380" s="163" t="s">
        <v>2260</v>
      </c>
      <c r="Q380" s="163" t="s">
        <v>2198</v>
      </c>
      <c r="R380" s="163" t="s">
        <v>2257</v>
      </c>
      <c r="S380" s="163" t="s">
        <v>3571</v>
      </c>
      <c r="T380" s="163">
        <v>4719</v>
      </c>
      <c r="U380" s="163" t="s">
        <v>2222</v>
      </c>
      <c r="V380" s="163" t="s">
        <v>4437</v>
      </c>
      <c r="W380" s="163" t="s">
        <v>3383</v>
      </c>
      <c r="X380" s="163" t="s">
        <v>2194</v>
      </c>
      <c r="Y380" s="163" t="s">
        <v>4437</v>
      </c>
      <c r="Z380" s="163" t="s">
        <v>3383</v>
      </c>
      <c r="AA380" s="163" t="s">
        <v>2194</v>
      </c>
      <c r="AB380" s="163" t="s">
        <v>3384</v>
      </c>
      <c r="AC380" s="163" t="s">
        <v>2195</v>
      </c>
      <c r="AD380" s="163" t="s">
        <v>2196</v>
      </c>
      <c r="AE380" s="163" t="s">
        <v>1762</v>
      </c>
      <c r="AF380" s="163" t="s">
        <v>36</v>
      </c>
      <c r="AG380" s="163" t="s">
        <v>36</v>
      </c>
      <c r="AH380" s="163" t="s">
        <v>36</v>
      </c>
      <c r="AI380" s="163" t="s">
        <v>36</v>
      </c>
      <c r="AJ380" s="163" t="s">
        <v>36</v>
      </c>
      <c r="AK380" s="163" t="s">
        <v>2197</v>
      </c>
      <c r="AL380" s="163" t="s">
        <v>36</v>
      </c>
      <c r="AM380" t="s">
        <v>4878</v>
      </c>
      <c r="AN380" s="487">
        <v>0</v>
      </c>
      <c r="AO380" s="487">
        <v>0</v>
      </c>
    </row>
    <row r="381" spans="1:85" x14ac:dyDescent="0.2">
      <c r="A381">
        <v>380</v>
      </c>
      <c r="B381" s="471" t="s">
        <v>1747</v>
      </c>
      <c r="C381" s="163" t="s">
        <v>1818</v>
      </c>
      <c r="D381" s="163" t="s">
        <v>4280</v>
      </c>
      <c r="E381" s="163" t="s">
        <v>3570</v>
      </c>
      <c r="F381" s="163" t="s">
        <v>2134</v>
      </c>
      <c r="G381" s="163" t="s">
        <v>36</v>
      </c>
      <c r="H381" s="163" t="s">
        <v>2200</v>
      </c>
      <c r="I381" s="163" t="s">
        <v>5725</v>
      </c>
      <c r="J381" s="163" t="s">
        <v>1768</v>
      </c>
      <c r="K381" s="163" t="s">
        <v>3372</v>
      </c>
      <c r="L381" s="163" t="s">
        <v>3373</v>
      </c>
      <c r="M381" s="549" t="s">
        <v>1818</v>
      </c>
      <c r="N381" s="163" t="s">
        <v>1818</v>
      </c>
      <c r="O381" s="163" t="s">
        <v>2471</v>
      </c>
      <c r="P381" s="163" t="s">
        <v>2260</v>
      </c>
      <c r="Q381" s="163" t="s">
        <v>2198</v>
      </c>
      <c r="R381" s="163" t="s">
        <v>2257</v>
      </c>
      <c r="S381" s="163" t="s">
        <v>3571</v>
      </c>
      <c r="T381" s="163">
        <v>4719</v>
      </c>
      <c r="U381" s="163" t="s">
        <v>2222</v>
      </c>
      <c r="V381" s="163" t="s">
        <v>4437</v>
      </c>
      <c r="W381" s="163" t="s">
        <v>3374</v>
      </c>
      <c r="X381" s="163" t="s">
        <v>2194</v>
      </c>
      <c r="Y381" s="163" t="s">
        <v>4437</v>
      </c>
      <c r="Z381" s="163" t="s">
        <v>3374</v>
      </c>
      <c r="AA381" s="163" t="s">
        <v>2194</v>
      </c>
      <c r="AB381" s="163" t="s">
        <v>3375</v>
      </c>
      <c r="AC381" s="163" t="s">
        <v>2195</v>
      </c>
      <c r="AD381" s="163" t="s">
        <v>2196</v>
      </c>
      <c r="AE381" s="163" t="s">
        <v>1762</v>
      </c>
      <c r="AF381" s="163" t="s">
        <v>36</v>
      </c>
      <c r="AG381" s="163" t="s">
        <v>36</v>
      </c>
      <c r="AH381" s="163" t="s">
        <v>36</v>
      </c>
      <c r="AI381" s="163" t="s">
        <v>36</v>
      </c>
      <c r="AJ381" s="163" t="s">
        <v>36</v>
      </c>
      <c r="AK381" s="163" t="s">
        <v>2197</v>
      </c>
      <c r="AL381" s="163" t="s">
        <v>36</v>
      </c>
      <c r="AM381" t="s">
        <v>4878</v>
      </c>
      <c r="AN381" s="487">
        <v>0</v>
      </c>
      <c r="AO381" s="487">
        <v>0</v>
      </c>
    </row>
    <row r="382" spans="1:85" ht="15" customHeight="1" x14ac:dyDescent="0.2">
      <c r="A382">
        <v>381</v>
      </c>
      <c r="B382" s="471" t="s">
        <v>1747</v>
      </c>
      <c r="C382" s="163" t="s">
        <v>1829</v>
      </c>
      <c r="D382" s="163" t="s">
        <v>4281</v>
      </c>
      <c r="E382" s="163" t="s">
        <v>3570</v>
      </c>
      <c r="F382" s="163" t="s">
        <v>2134</v>
      </c>
      <c r="G382" s="163" t="s">
        <v>36</v>
      </c>
      <c r="H382" s="163" t="s">
        <v>2200</v>
      </c>
      <c r="I382" s="163" t="s">
        <v>5725</v>
      </c>
      <c r="J382" s="163" t="s">
        <v>1768</v>
      </c>
      <c r="K382" s="163" t="s">
        <v>3372</v>
      </c>
      <c r="L382" s="163" t="s">
        <v>3373</v>
      </c>
      <c r="M382" s="549" t="s">
        <v>1829</v>
      </c>
      <c r="N382" s="163" t="s">
        <v>1829</v>
      </c>
      <c r="O382" s="163" t="s">
        <v>2471</v>
      </c>
      <c r="P382" s="163" t="s">
        <v>2260</v>
      </c>
      <c r="Q382" s="163" t="s">
        <v>2198</v>
      </c>
      <c r="R382" s="163" t="s">
        <v>2257</v>
      </c>
      <c r="S382" s="163" t="s">
        <v>3583</v>
      </c>
      <c r="T382" s="163">
        <v>1917</v>
      </c>
      <c r="U382" s="163" t="s">
        <v>2222</v>
      </c>
      <c r="V382" s="163" t="s">
        <v>4437</v>
      </c>
      <c r="W382" s="163" t="s">
        <v>3385</v>
      </c>
      <c r="X382" s="163" t="s">
        <v>2194</v>
      </c>
      <c r="Y382" s="163" t="s">
        <v>4437</v>
      </c>
      <c r="Z382" s="163" t="s">
        <v>3385</v>
      </c>
      <c r="AA382" s="163" t="s">
        <v>2194</v>
      </c>
      <c r="AB382" s="163" t="s">
        <v>36</v>
      </c>
      <c r="AC382" s="163" t="s">
        <v>2195</v>
      </c>
      <c r="AD382" s="163" t="s">
        <v>2196</v>
      </c>
      <c r="AE382" s="163" t="s">
        <v>1762</v>
      </c>
      <c r="AF382" s="163" t="s">
        <v>36</v>
      </c>
      <c r="AG382" s="163" t="s">
        <v>36</v>
      </c>
      <c r="AH382" s="163" t="s">
        <v>36</v>
      </c>
      <c r="AI382" s="163" t="s">
        <v>36</v>
      </c>
      <c r="AJ382" s="163" t="s">
        <v>36</v>
      </c>
      <c r="AK382" s="163" t="s">
        <v>2197</v>
      </c>
      <c r="AL382" s="163" t="s">
        <v>36</v>
      </c>
      <c r="AM382" t="s">
        <v>4878</v>
      </c>
      <c r="AN382" s="487">
        <v>0</v>
      </c>
      <c r="AO382" s="487">
        <v>0</v>
      </c>
    </row>
    <row r="383" spans="1:85" ht="15" customHeight="1" x14ac:dyDescent="0.2">
      <c r="A383">
        <v>382</v>
      </c>
      <c r="B383" s="471" t="s">
        <v>1747</v>
      </c>
      <c r="C383" s="163" t="s">
        <v>1828</v>
      </c>
      <c r="D383" s="163" t="s">
        <v>4282</v>
      </c>
      <c r="E383" s="163" t="s">
        <v>3570</v>
      </c>
      <c r="F383" s="163" t="s">
        <v>2134</v>
      </c>
      <c r="G383" s="163" t="s">
        <v>36</v>
      </c>
      <c r="H383" s="163" t="s">
        <v>2200</v>
      </c>
      <c r="I383" s="163" t="s">
        <v>5725</v>
      </c>
      <c r="J383" s="163" t="s">
        <v>2188</v>
      </c>
      <c r="K383" s="163" t="s">
        <v>3386</v>
      </c>
      <c r="L383" s="163" t="s">
        <v>3387</v>
      </c>
      <c r="M383" s="549" t="s">
        <v>3388</v>
      </c>
      <c r="N383" s="163" t="s">
        <v>4477</v>
      </c>
      <c r="O383" s="163" t="s">
        <v>3389</v>
      </c>
      <c r="P383" s="163" t="s">
        <v>2517</v>
      </c>
      <c r="Q383" s="163" t="s">
        <v>2192</v>
      </c>
      <c r="R383" s="163" t="s">
        <v>2193</v>
      </c>
      <c r="S383" s="163" t="s">
        <v>3584</v>
      </c>
      <c r="T383" s="163">
        <v>61.6</v>
      </c>
      <c r="U383" s="163" t="s">
        <v>2222</v>
      </c>
      <c r="V383" s="163" t="s">
        <v>3390</v>
      </c>
      <c r="W383" s="163" t="s">
        <v>3391</v>
      </c>
      <c r="X383" s="163" t="s">
        <v>2194</v>
      </c>
      <c r="Y383" s="163" t="s">
        <v>111</v>
      </c>
      <c r="Z383" s="163" t="s">
        <v>111</v>
      </c>
      <c r="AA383" s="163" t="s">
        <v>111</v>
      </c>
      <c r="AB383" s="163" t="s">
        <v>36</v>
      </c>
      <c r="AC383" s="163" t="s">
        <v>2195</v>
      </c>
      <c r="AD383" s="163" t="s">
        <v>2196</v>
      </c>
      <c r="AE383" s="163" t="s">
        <v>1762</v>
      </c>
      <c r="AF383" s="163" t="s">
        <v>36</v>
      </c>
      <c r="AG383" s="163" t="s">
        <v>36</v>
      </c>
      <c r="AH383" s="163" t="s">
        <v>36</v>
      </c>
      <c r="AI383" s="163" t="s">
        <v>36</v>
      </c>
      <c r="AJ383" s="163" t="s">
        <v>36</v>
      </c>
      <c r="AK383" s="163" t="s">
        <v>2197</v>
      </c>
      <c r="AL383" s="163" t="s">
        <v>36</v>
      </c>
      <c r="AM383" t="s">
        <v>4876</v>
      </c>
      <c r="AN383" s="487">
        <v>0</v>
      </c>
      <c r="AO383" s="487">
        <v>0</v>
      </c>
    </row>
    <row r="384" spans="1:85" ht="15" customHeight="1" x14ac:dyDescent="0.2">
      <c r="A384">
        <v>383</v>
      </c>
      <c r="B384" s="471" t="s">
        <v>1747</v>
      </c>
      <c r="C384" s="163" t="s">
        <v>3866</v>
      </c>
      <c r="D384" s="163" t="s">
        <v>4429</v>
      </c>
      <c r="E384" s="163" t="s">
        <v>4430</v>
      </c>
      <c r="F384" s="163" t="s">
        <v>2134</v>
      </c>
      <c r="G384" s="163" t="s">
        <v>36</v>
      </c>
      <c r="H384" s="163" t="s">
        <v>2200</v>
      </c>
      <c r="I384" s="163" t="s">
        <v>5725</v>
      </c>
      <c r="J384" s="163" t="s">
        <v>1768</v>
      </c>
      <c r="K384" s="163" t="s">
        <v>3372</v>
      </c>
      <c r="L384" s="163" t="s">
        <v>3373</v>
      </c>
      <c r="M384" s="549" t="s">
        <v>3866</v>
      </c>
      <c r="N384" s="163" t="s">
        <v>3866</v>
      </c>
      <c r="O384" s="163" t="s">
        <v>2471</v>
      </c>
      <c r="P384" s="163" t="s">
        <v>2260</v>
      </c>
      <c r="Q384" s="163" t="s">
        <v>4431</v>
      </c>
      <c r="R384" s="163" t="s">
        <v>2257</v>
      </c>
      <c r="S384" s="163" t="s">
        <v>2610</v>
      </c>
      <c r="T384" s="163">
        <v>4900</v>
      </c>
      <c r="U384" s="163" t="s">
        <v>2222</v>
      </c>
      <c r="V384" s="163" t="s">
        <v>4437</v>
      </c>
      <c r="W384" s="163" t="s">
        <v>4432</v>
      </c>
      <c r="X384" s="163" t="s">
        <v>2194</v>
      </c>
      <c r="Y384" s="163" t="s">
        <v>4437</v>
      </c>
      <c r="Z384" s="163" t="s">
        <v>4432</v>
      </c>
      <c r="AA384" s="163" t="s">
        <v>2194</v>
      </c>
      <c r="AB384" s="163" t="s">
        <v>36</v>
      </c>
      <c r="AC384" s="163" t="s">
        <v>2195</v>
      </c>
      <c r="AD384" s="163" t="s">
        <v>4433</v>
      </c>
      <c r="AE384" s="163" t="s">
        <v>1762</v>
      </c>
      <c r="AF384" s="163" t="s">
        <v>36</v>
      </c>
      <c r="AG384" s="163" t="s">
        <v>36</v>
      </c>
      <c r="AH384" s="163" t="s">
        <v>36</v>
      </c>
      <c r="AI384" s="163" t="s">
        <v>36</v>
      </c>
      <c r="AJ384" s="163" t="s">
        <v>36</v>
      </c>
      <c r="AK384" s="163">
        <v>0</v>
      </c>
      <c r="AL384" s="163" t="s">
        <v>36</v>
      </c>
      <c r="AM384" t="s">
        <v>4878</v>
      </c>
      <c r="AN384" s="487">
        <v>0</v>
      </c>
      <c r="AO384" s="487">
        <v>0</v>
      </c>
    </row>
    <row r="385" spans="1:41" ht="15" customHeight="1" x14ac:dyDescent="0.2">
      <c r="A385">
        <v>384</v>
      </c>
      <c r="B385" t="s">
        <v>1747</v>
      </c>
      <c r="C385" t="s">
        <v>1918</v>
      </c>
      <c r="D385" t="s">
        <v>4283</v>
      </c>
      <c r="E385" t="s">
        <v>3570</v>
      </c>
      <c r="F385" t="s">
        <v>2134</v>
      </c>
      <c r="G385" t="s">
        <v>36</v>
      </c>
      <c r="H385" t="s">
        <v>2200</v>
      </c>
      <c r="I385" t="s">
        <v>5725</v>
      </c>
      <c r="J385" t="s">
        <v>1768</v>
      </c>
      <c r="K385" t="s">
        <v>3392</v>
      </c>
      <c r="L385" t="s">
        <v>2327</v>
      </c>
      <c r="M385" t="s">
        <v>3392</v>
      </c>
      <c r="N385" t="s">
        <v>1918</v>
      </c>
      <c r="O385" t="s">
        <v>2471</v>
      </c>
      <c r="P385" t="s">
        <v>2843</v>
      </c>
      <c r="Q385" t="s">
        <v>2273</v>
      </c>
      <c r="R385" t="s">
        <v>2199</v>
      </c>
      <c r="S385" t="s">
        <v>3585</v>
      </c>
      <c r="T385">
        <v>1200</v>
      </c>
      <c r="U385" t="s">
        <v>1952</v>
      </c>
      <c r="V385" t="s">
        <v>3377</v>
      </c>
      <c r="W385" t="s">
        <v>111</v>
      </c>
      <c r="X385" t="s">
        <v>2333</v>
      </c>
      <c r="Y385" t="s">
        <v>3377</v>
      </c>
      <c r="Z385" t="s">
        <v>111</v>
      </c>
      <c r="AA385" t="s">
        <v>2333</v>
      </c>
      <c r="AB385" t="s">
        <v>3155</v>
      </c>
      <c r="AC385" t="s">
        <v>2195</v>
      </c>
      <c r="AD385" t="s">
        <v>2196</v>
      </c>
      <c r="AE385" t="s">
        <v>1762</v>
      </c>
      <c r="AF385" t="s">
        <v>36</v>
      </c>
      <c r="AG385" t="s">
        <v>36</v>
      </c>
      <c r="AH385" t="s">
        <v>36</v>
      </c>
      <c r="AI385" t="s">
        <v>36</v>
      </c>
      <c r="AJ385" t="s">
        <v>36</v>
      </c>
      <c r="AK385" t="s">
        <v>2197</v>
      </c>
      <c r="AL385" t="s">
        <v>36</v>
      </c>
      <c r="AM385" t="s">
        <v>4876</v>
      </c>
      <c r="AN385" s="487">
        <v>0</v>
      </c>
      <c r="AO385" s="487">
        <v>0</v>
      </c>
    </row>
    <row r="386" spans="1:41" ht="15" customHeight="1" x14ac:dyDescent="0.2">
      <c r="A386">
        <v>385</v>
      </c>
      <c r="B386" t="s">
        <v>1747</v>
      </c>
      <c r="C386" t="s">
        <v>1820</v>
      </c>
      <c r="D386" t="s">
        <v>4284</v>
      </c>
      <c r="E386" t="s">
        <v>3570</v>
      </c>
      <c r="F386" t="s">
        <v>2134</v>
      </c>
      <c r="G386" t="s">
        <v>36</v>
      </c>
      <c r="H386" t="s">
        <v>2200</v>
      </c>
      <c r="I386" t="s">
        <v>5725</v>
      </c>
      <c r="J386" t="s">
        <v>1768</v>
      </c>
      <c r="K386" t="s">
        <v>3376</v>
      </c>
      <c r="L386" t="s">
        <v>2327</v>
      </c>
      <c r="M386" t="s">
        <v>1820</v>
      </c>
      <c r="N386" t="s">
        <v>1820</v>
      </c>
      <c r="O386" t="s">
        <v>2471</v>
      </c>
      <c r="P386" t="s">
        <v>2830</v>
      </c>
      <c r="Q386" t="s">
        <v>2198</v>
      </c>
      <c r="R386" t="s">
        <v>2193</v>
      </c>
      <c r="S386" t="s">
        <v>3572</v>
      </c>
      <c r="T386">
        <v>262.5</v>
      </c>
      <c r="U386" t="s">
        <v>111</v>
      </c>
      <c r="V386" t="s">
        <v>3377</v>
      </c>
      <c r="W386" t="s">
        <v>3378</v>
      </c>
      <c r="X386" t="s">
        <v>111</v>
      </c>
      <c r="Y386" t="s">
        <v>3377</v>
      </c>
      <c r="Z386" t="s">
        <v>3378</v>
      </c>
      <c r="AA386" t="s">
        <v>111</v>
      </c>
      <c r="AB386" t="s">
        <v>36</v>
      </c>
      <c r="AC386" t="s">
        <v>2195</v>
      </c>
      <c r="AD386" t="s">
        <v>2196</v>
      </c>
      <c r="AE386" t="s">
        <v>1762</v>
      </c>
      <c r="AF386" t="s">
        <v>36</v>
      </c>
      <c r="AG386" t="s">
        <v>36</v>
      </c>
      <c r="AH386" t="s">
        <v>36</v>
      </c>
      <c r="AI386" t="s">
        <v>36</v>
      </c>
      <c r="AJ386" t="s">
        <v>36</v>
      </c>
      <c r="AK386" t="s">
        <v>2197</v>
      </c>
      <c r="AL386" t="s">
        <v>36</v>
      </c>
      <c r="AM386" t="s">
        <v>4876</v>
      </c>
      <c r="AN386" s="487">
        <v>0</v>
      </c>
      <c r="AO386" s="487">
        <v>0</v>
      </c>
    </row>
    <row r="387" spans="1:41" ht="15" customHeight="1" x14ac:dyDescent="0.2">
      <c r="A387">
        <v>386</v>
      </c>
      <c r="B387" t="s">
        <v>1418</v>
      </c>
      <c r="C387" t="s">
        <v>1422</v>
      </c>
      <c r="D387" t="s">
        <v>4285</v>
      </c>
      <c r="E387" t="s">
        <v>2135</v>
      </c>
      <c r="F387" t="s">
        <v>2072</v>
      </c>
      <c r="G387" t="s">
        <v>36</v>
      </c>
      <c r="H387" t="s">
        <v>2200</v>
      </c>
      <c r="I387" t="s">
        <v>5725</v>
      </c>
      <c r="J387" t="s">
        <v>2188</v>
      </c>
      <c r="K387" t="s">
        <v>2692</v>
      </c>
      <c r="L387" t="s">
        <v>2616</v>
      </c>
      <c r="M387">
        <v>41745</v>
      </c>
      <c r="N387" t="s">
        <v>1422</v>
      </c>
      <c r="O387" t="s">
        <v>5726</v>
      </c>
      <c r="P387" t="s">
        <v>3589</v>
      </c>
      <c r="Q387" t="s">
        <v>4936</v>
      </c>
      <c r="R387" t="s">
        <v>2367</v>
      </c>
      <c r="S387" t="s">
        <v>3590</v>
      </c>
      <c r="T387">
        <v>147</v>
      </c>
      <c r="U387" t="s">
        <v>2220</v>
      </c>
      <c r="V387" t="s">
        <v>2539</v>
      </c>
      <c r="W387" t="s">
        <v>3396</v>
      </c>
      <c r="X387" t="s">
        <v>4937</v>
      </c>
      <c r="Y387" t="s">
        <v>2539</v>
      </c>
      <c r="Z387" t="s">
        <v>3396</v>
      </c>
      <c r="AA387" t="s">
        <v>4937</v>
      </c>
      <c r="AB387" t="s">
        <v>36</v>
      </c>
      <c r="AC387" t="s">
        <v>2195</v>
      </c>
      <c r="AD387" t="s">
        <v>2196</v>
      </c>
      <c r="AE387" t="s">
        <v>1762</v>
      </c>
      <c r="AF387" t="s">
        <v>3953</v>
      </c>
      <c r="AG387">
        <v>10</v>
      </c>
      <c r="AH387">
        <v>0.8</v>
      </c>
      <c r="AI387" t="s">
        <v>36</v>
      </c>
      <c r="AJ387" t="s">
        <v>36</v>
      </c>
      <c r="AK387" t="s">
        <v>2197</v>
      </c>
      <c r="AL387" t="s">
        <v>36</v>
      </c>
      <c r="AM387" t="s">
        <v>4879</v>
      </c>
      <c r="AN387" s="487">
        <v>0.21</v>
      </c>
      <c r="AO387" s="487">
        <v>0</v>
      </c>
    </row>
    <row r="388" spans="1:41" ht="15" customHeight="1" x14ac:dyDescent="0.2">
      <c r="A388">
        <v>387</v>
      </c>
      <c r="B388" t="s">
        <v>1418</v>
      </c>
      <c r="C388" t="s">
        <v>1420</v>
      </c>
      <c r="D388" t="s">
        <v>4286</v>
      </c>
      <c r="E388" t="s">
        <v>2135</v>
      </c>
      <c r="F388" t="s">
        <v>2072</v>
      </c>
      <c r="G388" t="s">
        <v>36</v>
      </c>
      <c r="H388" t="s">
        <v>2200</v>
      </c>
      <c r="I388" t="s">
        <v>5725</v>
      </c>
      <c r="J388" t="s">
        <v>2188</v>
      </c>
      <c r="K388" t="s">
        <v>2398</v>
      </c>
      <c r="L388" t="s">
        <v>2191</v>
      </c>
      <c r="M388" t="s">
        <v>1420</v>
      </c>
      <c r="N388" t="s">
        <v>1420</v>
      </c>
      <c r="O388" t="s">
        <v>5726</v>
      </c>
      <c r="P388" t="s">
        <v>2399</v>
      </c>
      <c r="Q388" t="s">
        <v>4936</v>
      </c>
      <c r="R388" t="s">
        <v>2358</v>
      </c>
      <c r="S388" t="s">
        <v>3588</v>
      </c>
      <c r="T388">
        <v>112</v>
      </c>
      <c r="U388" t="s">
        <v>2220</v>
      </c>
      <c r="V388" t="s">
        <v>3394</v>
      </c>
      <c r="W388" t="s">
        <v>3395</v>
      </c>
      <c r="X388" t="s">
        <v>4937</v>
      </c>
      <c r="Y388" t="s">
        <v>3394</v>
      </c>
      <c r="Z388" t="s">
        <v>3395</v>
      </c>
      <c r="AA388" t="s">
        <v>4937</v>
      </c>
      <c r="AB388" t="s">
        <v>36</v>
      </c>
      <c r="AC388" t="s">
        <v>2195</v>
      </c>
      <c r="AD388" t="s">
        <v>2196</v>
      </c>
      <c r="AE388" t="s">
        <v>1762</v>
      </c>
      <c r="AF388">
        <v>1</v>
      </c>
      <c r="AG388">
        <v>6</v>
      </c>
      <c r="AH388">
        <v>1</v>
      </c>
      <c r="AI388" t="s">
        <v>36</v>
      </c>
      <c r="AJ388" t="s">
        <v>36</v>
      </c>
      <c r="AK388" t="s">
        <v>2197</v>
      </c>
      <c r="AL388" t="s">
        <v>36</v>
      </c>
      <c r="AM388" t="s">
        <v>4876</v>
      </c>
      <c r="AN388" s="487">
        <v>1.4583333333333332E-2</v>
      </c>
      <c r="AO388" s="487">
        <v>0</v>
      </c>
    </row>
    <row r="389" spans="1:41" ht="15" customHeight="1" x14ac:dyDescent="0.2">
      <c r="A389">
        <v>388</v>
      </c>
      <c r="B389" t="s">
        <v>1787</v>
      </c>
      <c r="C389" t="s">
        <v>5397</v>
      </c>
      <c r="D389" t="s">
        <v>5398</v>
      </c>
      <c r="E389" t="s">
        <v>2137</v>
      </c>
      <c r="F389" t="s">
        <v>2018</v>
      </c>
      <c r="G389" t="s">
        <v>36</v>
      </c>
      <c r="H389" t="s">
        <v>2200</v>
      </c>
      <c r="I389" t="s">
        <v>5725</v>
      </c>
      <c r="J389" t="s">
        <v>1768</v>
      </c>
      <c r="K389" t="s">
        <v>3397</v>
      </c>
      <c r="L389" t="s">
        <v>2327</v>
      </c>
      <c r="M389" t="s">
        <v>5397</v>
      </c>
      <c r="N389" t="s">
        <v>5397</v>
      </c>
      <c r="O389" t="s">
        <v>2471</v>
      </c>
      <c r="P389" t="s">
        <v>2258</v>
      </c>
      <c r="Q389" t="s">
        <v>2192</v>
      </c>
      <c r="R389" t="s">
        <v>2257</v>
      </c>
      <c r="S389" t="s">
        <v>5399</v>
      </c>
      <c r="T389">
        <v>382.4</v>
      </c>
      <c r="U389" t="s">
        <v>2222</v>
      </c>
      <c r="V389" t="s">
        <v>5400</v>
      </c>
      <c r="W389" t="s">
        <v>4976</v>
      </c>
      <c r="X389" t="s">
        <v>2330</v>
      </c>
      <c r="Y389" t="s">
        <v>3400</v>
      </c>
      <c r="Z389" t="s">
        <v>3401</v>
      </c>
      <c r="AA389" t="s">
        <v>2330</v>
      </c>
      <c r="AB389" t="s">
        <v>4465</v>
      </c>
      <c r="AC389" t="s">
        <v>2195</v>
      </c>
      <c r="AD389" t="s">
        <v>2196</v>
      </c>
      <c r="AE389" t="s">
        <v>1762</v>
      </c>
      <c r="AF389" t="s">
        <v>3419</v>
      </c>
      <c r="AG389" t="s">
        <v>36</v>
      </c>
      <c r="AH389" t="s">
        <v>36</v>
      </c>
      <c r="AI389" t="s">
        <v>36</v>
      </c>
      <c r="AJ389" t="s">
        <v>36</v>
      </c>
      <c r="AK389" t="s">
        <v>2197</v>
      </c>
      <c r="AL389" t="s">
        <v>36</v>
      </c>
      <c r="AM389" t="s">
        <v>4879</v>
      </c>
      <c r="AN389" s="487"/>
      <c r="AO389" s="487"/>
    </row>
    <row r="390" spans="1:41" ht="15" customHeight="1" x14ac:dyDescent="0.2">
      <c r="A390">
        <v>389</v>
      </c>
      <c r="B390" t="s">
        <v>1787</v>
      </c>
      <c r="C390" t="s">
        <v>1789</v>
      </c>
      <c r="D390" t="s">
        <v>4287</v>
      </c>
      <c r="E390" t="s">
        <v>2137</v>
      </c>
      <c r="F390" t="s">
        <v>2018</v>
      </c>
      <c r="G390" t="s">
        <v>36</v>
      </c>
      <c r="H390" t="s">
        <v>2200</v>
      </c>
      <c r="I390" t="s">
        <v>5725</v>
      </c>
      <c r="J390" t="s">
        <v>1768</v>
      </c>
      <c r="K390" t="s">
        <v>3397</v>
      </c>
      <c r="L390" t="s">
        <v>3398</v>
      </c>
      <c r="M390" t="s">
        <v>1789</v>
      </c>
      <c r="N390" t="s">
        <v>1789</v>
      </c>
      <c r="O390" t="s">
        <v>2471</v>
      </c>
      <c r="P390" t="s">
        <v>2258</v>
      </c>
      <c r="Q390" t="s">
        <v>2192</v>
      </c>
      <c r="R390" t="s">
        <v>2257</v>
      </c>
      <c r="S390" t="s">
        <v>3591</v>
      </c>
      <c r="T390">
        <v>78</v>
      </c>
      <c r="U390" t="s">
        <v>2222</v>
      </c>
      <c r="V390" t="s">
        <v>3398</v>
      </c>
      <c r="W390" t="s">
        <v>3399</v>
      </c>
      <c r="X390" t="s">
        <v>2330</v>
      </c>
      <c r="Y390" t="s">
        <v>3400</v>
      </c>
      <c r="Z390" t="s">
        <v>3401</v>
      </c>
      <c r="AA390" t="s">
        <v>2330</v>
      </c>
      <c r="AB390" t="s">
        <v>4465</v>
      </c>
      <c r="AC390" t="s">
        <v>2195</v>
      </c>
      <c r="AD390" t="s">
        <v>2196</v>
      </c>
      <c r="AE390" t="s">
        <v>1762</v>
      </c>
      <c r="AF390">
        <v>0.15</v>
      </c>
      <c r="AG390" t="s">
        <v>3954</v>
      </c>
      <c r="AH390">
        <v>1.5</v>
      </c>
      <c r="AI390" t="s">
        <v>4021</v>
      </c>
      <c r="AJ390" t="s">
        <v>36</v>
      </c>
      <c r="AK390" t="s">
        <v>2197</v>
      </c>
      <c r="AL390" t="s">
        <v>36</v>
      </c>
      <c r="AM390" t="s">
        <v>4879</v>
      </c>
      <c r="AN390" s="487">
        <v>0</v>
      </c>
      <c r="AO390" s="487">
        <v>2.1527777777777781E-2</v>
      </c>
    </row>
    <row r="391" spans="1:41" ht="15" customHeight="1" x14ac:dyDescent="0.2">
      <c r="A391">
        <v>390</v>
      </c>
      <c r="B391" t="s">
        <v>1424</v>
      </c>
      <c r="C391" t="s">
        <v>1432</v>
      </c>
      <c r="D391" t="s">
        <v>4288</v>
      </c>
      <c r="E391" t="s">
        <v>3592</v>
      </c>
      <c r="F391" t="s">
        <v>2018</v>
      </c>
      <c r="G391" t="s">
        <v>36</v>
      </c>
      <c r="H391" t="s">
        <v>2200</v>
      </c>
      <c r="I391" t="s">
        <v>2794</v>
      </c>
      <c r="J391" t="s">
        <v>1768</v>
      </c>
      <c r="K391" t="s">
        <v>2364</v>
      </c>
      <c r="L391" t="s">
        <v>2327</v>
      </c>
      <c r="M391">
        <v>1</v>
      </c>
      <c r="N391" t="s">
        <v>5651</v>
      </c>
      <c r="O391" t="s">
        <v>2471</v>
      </c>
      <c r="P391" t="s">
        <v>2517</v>
      </c>
      <c r="Q391" t="s">
        <v>2276</v>
      </c>
      <c r="R391" t="s">
        <v>4849</v>
      </c>
      <c r="S391" t="s">
        <v>3594</v>
      </c>
      <c r="T391">
        <v>2730</v>
      </c>
      <c r="U391" t="s">
        <v>2223</v>
      </c>
      <c r="V391" t="s">
        <v>4794</v>
      </c>
      <c r="W391" t="s">
        <v>5652</v>
      </c>
      <c r="X391" t="s">
        <v>2333</v>
      </c>
      <c r="Y391" t="s">
        <v>5653</v>
      </c>
      <c r="Z391" t="s">
        <v>5654</v>
      </c>
      <c r="AA391" t="s">
        <v>2333</v>
      </c>
      <c r="AB391" t="s">
        <v>5655</v>
      </c>
      <c r="AC391" t="s">
        <v>2195</v>
      </c>
      <c r="AD391" t="s">
        <v>4433</v>
      </c>
      <c r="AE391" t="s">
        <v>1762</v>
      </c>
      <c r="AF391" t="s">
        <v>3419</v>
      </c>
      <c r="AG391" t="s">
        <v>36</v>
      </c>
      <c r="AH391" t="s">
        <v>36</v>
      </c>
      <c r="AI391" t="s">
        <v>36</v>
      </c>
      <c r="AJ391" t="s">
        <v>36</v>
      </c>
      <c r="AK391" t="s">
        <v>2197</v>
      </c>
      <c r="AL391" t="s">
        <v>36</v>
      </c>
      <c r="AM391" t="s">
        <v>4876</v>
      </c>
      <c r="AN391" s="487">
        <v>0</v>
      </c>
      <c r="AO391" s="487">
        <v>0</v>
      </c>
    </row>
    <row r="392" spans="1:41" ht="15" customHeight="1" x14ac:dyDescent="0.2">
      <c r="A392">
        <v>391</v>
      </c>
      <c r="B392" t="s">
        <v>1424</v>
      </c>
      <c r="C392" t="s">
        <v>992</v>
      </c>
      <c r="D392" t="s">
        <v>4289</v>
      </c>
      <c r="E392" t="s">
        <v>3592</v>
      </c>
      <c r="F392" t="s">
        <v>2018</v>
      </c>
      <c r="G392" t="s">
        <v>36</v>
      </c>
      <c r="H392" t="s">
        <v>2200</v>
      </c>
      <c r="I392" t="s">
        <v>2794</v>
      </c>
      <c r="J392" t="s">
        <v>1768</v>
      </c>
      <c r="K392" t="s">
        <v>2364</v>
      </c>
      <c r="L392" t="s">
        <v>2327</v>
      </c>
      <c r="M392">
        <v>2</v>
      </c>
      <c r="N392" t="s">
        <v>5656</v>
      </c>
      <c r="O392" t="s">
        <v>2471</v>
      </c>
      <c r="P392" t="s">
        <v>2517</v>
      </c>
      <c r="Q392" t="s">
        <v>2276</v>
      </c>
      <c r="R392" t="s">
        <v>4849</v>
      </c>
      <c r="S392" t="s">
        <v>5657</v>
      </c>
      <c r="T392">
        <v>3290</v>
      </c>
      <c r="U392" t="s">
        <v>2223</v>
      </c>
      <c r="V392" t="s">
        <v>5658</v>
      </c>
      <c r="W392" t="s">
        <v>5659</v>
      </c>
      <c r="X392" t="s">
        <v>2333</v>
      </c>
      <c r="Y392" t="s">
        <v>5653</v>
      </c>
      <c r="Z392" t="s">
        <v>5654</v>
      </c>
      <c r="AA392" t="s">
        <v>2333</v>
      </c>
      <c r="AB392" t="s">
        <v>5660</v>
      </c>
      <c r="AC392" t="s">
        <v>2195</v>
      </c>
      <c r="AD392" t="s">
        <v>4433</v>
      </c>
      <c r="AE392" t="s">
        <v>1762</v>
      </c>
      <c r="AF392" t="s">
        <v>3419</v>
      </c>
      <c r="AG392" t="s">
        <v>36</v>
      </c>
      <c r="AH392" t="s">
        <v>36</v>
      </c>
      <c r="AI392" t="s">
        <v>36</v>
      </c>
      <c r="AJ392" t="s">
        <v>36</v>
      </c>
      <c r="AK392" t="s">
        <v>2197</v>
      </c>
      <c r="AL392" t="s">
        <v>36</v>
      </c>
      <c r="AM392" t="s">
        <v>4876</v>
      </c>
      <c r="AN392" s="487">
        <v>0</v>
      </c>
      <c r="AO392" s="487">
        <v>0</v>
      </c>
    </row>
    <row r="393" spans="1:41" x14ac:dyDescent="0.2">
      <c r="A393">
        <v>392</v>
      </c>
      <c r="B393" t="s">
        <v>1424</v>
      </c>
      <c r="C393" t="s">
        <v>1426</v>
      </c>
      <c r="D393" t="s">
        <v>4290</v>
      </c>
      <c r="E393" t="s">
        <v>3592</v>
      </c>
      <c r="F393" t="s">
        <v>2018</v>
      </c>
      <c r="G393" t="s">
        <v>36</v>
      </c>
      <c r="H393" t="s">
        <v>2200</v>
      </c>
      <c r="I393" t="s">
        <v>2794</v>
      </c>
      <c r="J393" t="s">
        <v>1768</v>
      </c>
      <c r="K393" t="s">
        <v>2364</v>
      </c>
      <c r="L393" t="s">
        <v>2541</v>
      </c>
      <c r="M393">
        <v>3</v>
      </c>
      <c r="N393" t="s">
        <v>1426</v>
      </c>
      <c r="O393" t="s">
        <v>2471</v>
      </c>
      <c r="P393" t="s">
        <v>2258</v>
      </c>
      <c r="Q393" t="s">
        <v>2192</v>
      </c>
      <c r="R393" t="s">
        <v>2257</v>
      </c>
      <c r="S393" t="s">
        <v>3593</v>
      </c>
      <c r="T393">
        <v>294</v>
      </c>
      <c r="U393">
        <v>0</v>
      </c>
      <c r="V393">
        <v>0</v>
      </c>
      <c r="W393">
        <v>0</v>
      </c>
      <c r="X393">
        <v>0</v>
      </c>
      <c r="Y393">
        <v>0</v>
      </c>
      <c r="Z393">
        <v>0</v>
      </c>
      <c r="AA393">
        <v>0</v>
      </c>
      <c r="AB393" t="s">
        <v>36</v>
      </c>
      <c r="AC393" t="s">
        <v>2195</v>
      </c>
      <c r="AD393" t="s">
        <v>2196</v>
      </c>
      <c r="AE393" t="s">
        <v>1762</v>
      </c>
      <c r="AF393" t="s">
        <v>36</v>
      </c>
      <c r="AG393" t="s">
        <v>36</v>
      </c>
      <c r="AH393" t="s">
        <v>36</v>
      </c>
      <c r="AI393" t="s">
        <v>36</v>
      </c>
      <c r="AJ393" t="s">
        <v>36</v>
      </c>
      <c r="AK393" t="s">
        <v>2197</v>
      </c>
      <c r="AL393" t="s">
        <v>36</v>
      </c>
      <c r="AM393" t="s">
        <v>4876</v>
      </c>
      <c r="AN393" s="487">
        <v>0</v>
      </c>
      <c r="AO393" s="487">
        <v>0</v>
      </c>
    </row>
    <row r="394" spans="1:41" ht="15" customHeight="1" x14ac:dyDescent="0.2">
      <c r="A394">
        <v>393</v>
      </c>
      <c r="B394" t="s">
        <v>1424</v>
      </c>
      <c r="C394" t="s">
        <v>5250</v>
      </c>
      <c r="D394" t="s">
        <v>5251</v>
      </c>
      <c r="E394" t="s">
        <v>3592</v>
      </c>
      <c r="F394" t="s">
        <v>2018</v>
      </c>
      <c r="G394" t="s">
        <v>36</v>
      </c>
      <c r="H394" t="s">
        <v>2200</v>
      </c>
      <c r="I394" t="s">
        <v>2794</v>
      </c>
      <c r="J394" t="s">
        <v>1768</v>
      </c>
      <c r="K394" t="s">
        <v>2364</v>
      </c>
      <c r="L394" t="s">
        <v>2541</v>
      </c>
      <c r="M394">
        <v>4</v>
      </c>
      <c r="N394" t="s">
        <v>5250</v>
      </c>
      <c r="O394" t="s">
        <v>2471</v>
      </c>
      <c r="P394" t="s">
        <v>2517</v>
      </c>
      <c r="Q394" t="s">
        <v>2276</v>
      </c>
      <c r="R394" t="s">
        <v>2257</v>
      </c>
      <c r="S394" t="s">
        <v>5252</v>
      </c>
      <c r="T394">
        <v>3872</v>
      </c>
      <c r="U394" t="s">
        <v>5253</v>
      </c>
      <c r="V394">
        <v>0</v>
      </c>
      <c r="W394">
        <v>0</v>
      </c>
      <c r="X394">
        <v>0</v>
      </c>
      <c r="Y394">
        <v>0</v>
      </c>
      <c r="Z394">
        <v>0</v>
      </c>
      <c r="AA394">
        <v>0</v>
      </c>
      <c r="AB394" t="s">
        <v>36</v>
      </c>
      <c r="AC394" t="s">
        <v>2195</v>
      </c>
      <c r="AD394" t="s">
        <v>2196</v>
      </c>
      <c r="AE394" t="s">
        <v>1762</v>
      </c>
      <c r="AF394" t="s">
        <v>36</v>
      </c>
      <c r="AG394" t="s">
        <v>36</v>
      </c>
      <c r="AH394" t="s">
        <v>36</v>
      </c>
      <c r="AI394" t="s">
        <v>36</v>
      </c>
      <c r="AJ394" t="s">
        <v>36</v>
      </c>
      <c r="AK394" t="s">
        <v>2197</v>
      </c>
      <c r="AL394" t="s">
        <v>36</v>
      </c>
      <c r="AM394" t="s">
        <v>4876</v>
      </c>
      <c r="AN394" s="487"/>
      <c r="AO394" s="487"/>
    </row>
    <row r="395" spans="1:41" ht="15" customHeight="1" x14ac:dyDescent="0.2">
      <c r="A395">
        <v>394</v>
      </c>
      <c r="B395" t="s">
        <v>1424</v>
      </c>
      <c r="C395" t="s">
        <v>1430</v>
      </c>
      <c r="D395" t="s">
        <v>4291</v>
      </c>
      <c r="E395" t="s">
        <v>3592</v>
      </c>
      <c r="F395" t="s">
        <v>2018</v>
      </c>
      <c r="G395" t="s">
        <v>36</v>
      </c>
      <c r="H395" t="s">
        <v>2200</v>
      </c>
      <c r="I395" t="s">
        <v>2794</v>
      </c>
      <c r="J395">
        <v>0</v>
      </c>
      <c r="K395">
        <v>0</v>
      </c>
      <c r="L395">
        <v>0</v>
      </c>
      <c r="M395">
        <v>0</v>
      </c>
      <c r="N395">
        <v>0</v>
      </c>
      <c r="O395">
        <v>0</v>
      </c>
      <c r="P395">
        <v>0</v>
      </c>
      <c r="Q395">
        <v>0</v>
      </c>
      <c r="R395">
        <v>0</v>
      </c>
      <c r="S395">
        <v>0</v>
      </c>
      <c r="T395">
        <v>0</v>
      </c>
      <c r="U395">
        <v>0</v>
      </c>
      <c r="V395">
        <v>0</v>
      </c>
      <c r="W395">
        <v>0</v>
      </c>
      <c r="X395">
        <v>0</v>
      </c>
      <c r="Y395">
        <v>0</v>
      </c>
      <c r="Z395">
        <v>0</v>
      </c>
      <c r="AA395">
        <v>0</v>
      </c>
      <c r="AB395" t="s">
        <v>36</v>
      </c>
      <c r="AC395" t="s">
        <v>2195</v>
      </c>
      <c r="AD395" t="s">
        <v>2196</v>
      </c>
      <c r="AE395" t="s">
        <v>1762</v>
      </c>
      <c r="AF395" t="s">
        <v>36</v>
      </c>
      <c r="AG395" t="s">
        <v>36</v>
      </c>
      <c r="AH395" t="s">
        <v>36</v>
      </c>
      <c r="AI395" t="s">
        <v>36</v>
      </c>
      <c r="AJ395" t="s">
        <v>36</v>
      </c>
      <c r="AK395" t="s">
        <v>2197</v>
      </c>
      <c r="AL395" t="s">
        <v>36</v>
      </c>
      <c r="AM395" t="s">
        <v>4876</v>
      </c>
      <c r="AN395" s="487">
        <v>0</v>
      </c>
      <c r="AO395" s="487">
        <v>0</v>
      </c>
    </row>
    <row r="396" spans="1:41" x14ac:dyDescent="0.2">
      <c r="A396">
        <v>395</v>
      </c>
      <c r="B396" t="s">
        <v>1424</v>
      </c>
      <c r="C396" t="s">
        <v>1241</v>
      </c>
      <c r="D396" t="s">
        <v>4292</v>
      </c>
      <c r="E396" t="s">
        <v>3592</v>
      </c>
      <c r="F396" t="s">
        <v>2018</v>
      </c>
      <c r="G396" t="s">
        <v>36</v>
      </c>
      <c r="H396" t="s">
        <v>2200</v>
      </c>
      <c r="I396" t="s">
        <v>2794</v>
      </c>
      <c r="J396" t="s">
        <v>1768</v>
      </c>
      <c r="K396" t="s">
        <v>3397</v>
      </c>
      <c r="L396" t="s">
        <v>2327</v>
      </c>
      <c r="M396" t="s">
        <v>5691</v>
      </c>
      <c r="N396" t="s">
        <v>5661</v>
      </c>
      <c r="O396" t="s">
        <v>2471</v>
      </c>
      <c r="P396" t="s">
        <v>2258</v>
      </c>
      <c r="Q396" t="s">
        <v>2192</v>
      </c>
      <c r="R396" t="s">
        <v>4849</v>
      </c>
      <c r="S396" t="s">
        <v>3595</v>
      </c>
      <c r="T396">
        <v>1470</v>
      </c>
      <c r="U396" t="s">
        <v>2223</v>
      </c>
      <c r="V396" t="s">
        <v>5662</v>
      </c>
      <c r="W396" t="s">
        <v>5663</v>
      </c>
      <c r="X396" t="s">
        <v>2333</v>
      </c>
      <c r="Y396" t="s">
        <v>4659</v>
      </c>
      <c r="Z396" t="s">
        <v>5664</v>
      </c>
      <c r="AA396" t="s">
        <v>2333</v>
      </c>
      <c r="AB396" t="s">
        <v>5660</v>
      </c>
      <c r="AC396" t="s">
        <v>2195</v>
      </c>
      <c r="AD396" t="s">
        <v>4433</v>
      </c>
      <c r="AE396" t="s">
        <v>1762</v>
      </c>
      <c r="AF396" t="s">
        <v>3419</v>
      </c>
      <c r="AG396" t="s">
        <v>36</v>
      </c>
      <c r="AH396" t="s">
        <v>36</v>
      </c>
      <c r="AI396" t="s">
        <v>36</v>
      </c>
      <c r="AJ396" t="s">
        <v>36</v>
      </c>
      <c r="AK396" t="s">
        <v>2197</v>
      </c>
      <c r="AL396" t="s">
        <v>36</v>
      </c>
      <c r="AM396" t="s">
        <v>4876</v>
      </c>
      <c r="AN396" s="487">
        <v>0</v>
      </c>
      <c r="AO396" s="487">
        <v>0</v>
      </c>
    </row>
    <row r="397" spans="1:41" x14ac:dyDescent="0.2">
      <c r="A397">
        <v>396</v>
      </c>
      <c r="B397" t="s">
        <v>1424</v>
      </c>
      <c r="C397" t="s">
        <v>5665</v>
      </c>
      <c r="D397" t="s">
        <v>5666</v>
      </c>
      <c r="E397" t="s">
        <v>3592</v>
      </c>
      <c r="F397" t="s">
        <v>2018</v>
      </c>
      <c r="G397" t="s">
        <v>36</v>
      </c>
      <c r="H397" t="s">
        <v>2200</v>
      </c>
      <c r="I397" t="s">
        <v>2794</v>
      </c>
      <c r="J397" t="s">
        <v>1768</v>
      </c>
      <c r="K397" t="s">
        <v>5667</v>
      </c>
      <c r="L397" t="s">
        <v>5668</v>
      </c>
      <c r="M397" t="s">
        <v>5692</v>
      </c>
      <c r="N397" t="s">
        <v>5669</v>
      </c>
      <c r="O397" t="s">
        <v>2471</v>
      </c>
      <c r="P397" t="s">
        <v>5670</v>
      </c>
      <c r="Q397" t="s">
        <v>2192</v>
      </c>
      <c r="R397" t="s">
        <v>4849</v>
      </c>
      <c r="S397" t="s">
        <v>5671</v>
      </c>
      <c r="T397">
        <v>390</v>
      </c>
      <c r="U397" t="s">
        <v>2223</v>
      </c>
      <c r="V397" t="s">
        <v>4794</v>
      </c>
      <c r="W397" t="s">
        <v>3419</v>
      </c>
      <c r="X397" t="s">
        <v>2333</v>
      </c>
      <c r="Y397" t="s">
        <v>4659</v>
      </c>
      <c r="Z397" t="s">
        <v>5664</v>
      </c>
      <c r="AA397" t="s">
        <v>2342</v>
      </c>
      <c r="AB397" t="s">
        <v>5672</v>
      </c>
      <c r="AC397" t="s">
        <v>2195</v>
      </c>
      <c r="AD397" t="s">
        <v>4433</v>
      </c>
      <c r="AE397" t="s">
        <v>1762</v>
      </c>
      <c r="AF397" t="s">
        <v>3419</v>
      </c>
      <c r="AG397" t="s">
        <v>36</v>
      </c>
      <c r="AH397" t="s">
        <v>36</v>
      </c>
      <c r="AI397" t="s">
        <v>36</v>
      </c>
      <c r="AJ397" t="s">
        <v>36</v>
      </c>
      <c r="AK397" t="s">
        <v>2197</v>
      </c>
      <c r="AL397" t="s">
        <v>36</v>
      </c>
      <c r="AM397" t="s">
        <v>4876</v>
      </c>
      <c r="AN397" s="487">
        <v>0</v>
      </c>
      <c r="AO397" s="487">
        <v>0</v>
      </c>
    </row>
    <row r="398" spans="1:41" x14ac:dyDescent="0.2">
      <c r="A398">
        <v>397</v>
      </c>
      <c r="B398" t="s">
        <v>1424</v>
      </c>
      <c r="C398" t="s">
        <v>5673</v>
      </c>
      <c r="D398" t="s">
        <v>5674</v>
      </c>
      <c r="E398" t="s">
        <v>3592</v>
      </c>
      <c r="F398" t="s">
        <v>2018</v>
      </c>
      <c r="G398" t="s">
        <v>36</v>
      </c>
      <c r="H398" t="s">
        <v>2200</v>
      </c>
      <c r="I398" t="s">
        <v>2794</v>
      </c>
      <c r="J398" t="s">
        <v>1768</v>
      </c>
      <c r="K398" t="s">
        <v>5675</v>
      </c>
      <c r="L398" t="s">
        <v>5668</v>
      </c>
      <c r="M398" t="s">
        <v>5693</v>
      </c>
      <c r="N398" t="s">
        <v>5673</v>
      </c>
      <c r="O398" t="s">
        <v>2471</v>
      </c>
      <c r="P398" t="s">
        <v>5676</v>
      </c>
      <c r="Q398" t="s">
        <v>2192</v>
      </c>
      <c r="R398" t="s">
        <v>4849</v>
      </c>
      <c r="S398" t="s">
        <v>5671</v>
      </c>
      <c r="T398">
        <v>390</v>
      </c>
      <c r="U398" t="s">
        <v>2223</v>
      </c>
      <c r="V398" t="s">
        <v>4794</v>
      </c>
      <c r="W398" t="s">
        <v>3419</v>
      </c>
      <c r="X398" t="s">
        <v>2333</v>
      </c>
      <c r="Y398" t="s">
        <v>4659</v>
      </c>
      <c r="Z398" t="s">
        <v>5664</v>
      </c>
      <c r="AA398" t="s">
        <v>2342</v>
      </c>
      <c r="AB398" t="s">
        <v>5677</v>
      </c>
      <c r="AC398" t="s">
        <v>2195</v>
      </c>
      <c r="AD398" t="s">
        <v>4433</v>
      </c>
      <c r="AE398" t="s">
        <v>1762</v>
      </c>
      <c r="AF398" t="s">
        <v>3419</v>
      </c>
      <c r="AG398" t="s">
        <v>36</v>
      </c>
      <c r="AH398" t="s">
        <v>36</v>
      </c>
      <c r="AI398" t="s">
        <v>36</v>
      </c>
      <c r="AJ398" t="s">
        <v>36</v>
      </c>
      <c r="AK398" t="s">
        <v>2197</v>
      </c>
      <c r="AL398" t="s">
        <v>36</v>
      </c>
      <c r="AM398" t="s">
        <v>4876</v>
      </c>
      <c r="AN398" s="487">
        <v>0</v>
      </c>
      <c r="AO398" s="487">
        <v>0</v>
      </c>
    </row>
    <row r="399" spans="1:41" x14ac:dyDescent="0.2">
      <c r="A399">
        <v>398</v>
      </c>
      <c r="B399" t="s">
        <v>1424</v>
      </c>
      <c r="C399" t="s">
        <v>5678</v>
      </c>
      <c r="D399" t="s">
        <v>5679</v>
      </c>
      <c r="E399" t="s">
        <v>3592</v>
      </c>
      <c r="F399" t="s">
        <v>2018</v>
      </c>
      <c r="G399" t="s">
        <v>36</v>
      </c>
      <c r="H399" t="s">
        <v>2200</v>
      </c>
      <c r="I399" t="s">
        <v>2794</v>
      </c>
      <c r="J399" t="s">
        <v>1768</v>
      </c>
      <c r="K399" t="s">
        <v>5680</v>
      </c>
      <c r="L399" t="s">
        <v>5668</v>
      </c>
      <c r="M399" t="s">
        <v>1430</v>
      </c>
      <c r="N399" t="s">
        <v>5678</v>
      </c>
      <c r="O399" t="s">
        <v>2471</v>
      </c>
      <c r="P399" t="s">
        <v>5681</v>
      </c>
      <c r="Q399" t="s">
        <v>2192</v>
      </c>
      <c r="R399" t="s">
        <v>4849</v>
      </c>
      <c r="S399" t="s">
        <v>5671</v>
      </c>
      <c r="T399">
        <v>390</v>
      </c>
      <c r="U399" t="s">
        <v>2223</v>
      </c>
      <c r="V399" t="s">
        <v>4794</v>
      </c>
      <c r="W399" t="s">
        <v>3419</v>
      </c>
      <c r="X399" t="s">
        <v>2333</v>
      </c>
      <c r="Y399" t="s">
        <v>4659</v>
      </c>
      <c r="Z399" t="s">
        <v>5664</v>
      </c>
      <c r="AA399" t="s">
        <v>2342</v>
      </c>
      <c r="AB399" t="s">
        <v>5677</v>
      </c>
      <c r="AC399" t="s">
        <v>2195</v>
      </c>
      <c r="AD399" t="s">
        <v>4433</v>
      </c>
      <c r="AE399" t="s">
        <v>1762</v>
      </c>
      <c r="AF399" t="s">
        <v>3419</v>
      </c>
      <c r="AG399" t="s">
        <v>36</v>
      </c>
      <c r="AH399" t="s">
        <v>36</v>
      </c>
      <c r="AI399" t="s">
        <v>36</v>
      </c>
      <c r="AJ399" t="s">
        <v>36</v>
      </c>
      <c r="AK399" t="s">
        <v>2197</v>
      </c>
      <c r="AL399" t="s">
        <v>36</v>
      </c>
      <c r="AM399" t="s">
        <v>4876</v>
      </c>
      <c r="AN399" s="487">
        <v>0</v>
      </c>
      <c r="AO399" s="487">
        <v>0</v>
      </c>
    </row>
    <row r="400" spans="1:41" x14ac:dyDescent="0.2">
      <c r="A400">
        <v>399</v>
      </c>
      <c r="B400" t="s">
        <v>1424</v>
      </c>
      <c r="C400" t="s">
        <v>5682</v>
      </c>
      <c r="D400" t="s">
        <v>5683</v>
      </c>
      <c r="E400" t="s">
        <v>3592</v>
      </c>
      <c r="F400" t="s">
        <v>2018</v>
      </c>
      <c r="G400" t="s">
        <v>36</v>
      </c>
      <c r="H400" t="s">
        <v>2200</v>
      </c>
      <c r="I400" t="s">
        <v>2794</v>
      </c>
      <c r="J400" t="s">
        <v>1768</v>
      </c>
      <c r="K400" t="s">
        <v>5684</v>
      </c>
      <c r="L400" t="s">
        <v>5668</v>
      </c>
      <c r="M400" t="s">
        <v>5682</v>
      </c>
      <c r="N400" t="s">
        <v>5682</v>
      </c>
      <c r="O400" t="s">
        <v>2471</v>
      </c>
      <c r="P400" t="s">
        <v>5685</v>
      </c>
      <c r="Q400" t="s">
        <v>2192</v>
      </c>
      <c r="R400" t="s">
        <v>4849</v>
      </c>
      <c r="S400" t="s">
        <v>5671</v>
      </c>
      <c r="T400">
        <v>390</v>
      </c>
      <c r="U400" t="s">
        <v>2223</v>
      </c>
      <c r="V400" t="s">
        <v>4794</v>
      </c>
      <c r="W400" t="s">
        <v>3419</v>
      </c>
      <c r="X400" t="s">
        <v>2333</v>
      </c>
      <c r="Y400" t="s">
        <v>4659</v>
      </c>
      <c r="Z400" t="s">
        <v>5664</v>
      </c>
      <c r="AA400" t="s">
        <v>2342</v>
      </c>
      <c r="AB400" t="s">
        <v>5686</v>
      </c>
      <c r="AC400" t="s">
        <v>2195</v>
      </c>
      <c r="AD400" t="s">
        <v>4433</v>
      </c>
      <c r="AE400" t="s">
        <v>1762</v>
      </c>
      <c r="AF400" t="s">
        <v>3419</v>
      </c>
      <c r="AG400" t="s">
        <v>36</v>
      </c>
      <c r="AH400" t="s">
        <v>36</v>
      </c>
      <c r="AI400" t="s">
        <v>36</v>
      </c>
      <c r="AJ400" t="s">
        <v>36</v>
      </c>
      <c r="AK400" t="s">
        <v>2197</v>
      </c>
      <c r="AL400" t="s">
        <v>36</v>
      </c>
      <c r="AM400" t="s">
        <v>4876</v>
      </c>
      <c r="AN400" s="487">
        <v>0</v>
      </c>
      <c r="AO400" s="487">
        <v>0</v>
      </c>
    </row>
    <row r="401" spans="1:41" ht="15" customHeight="1" x14ac:dyDescent="0.2">
      <c r="A401">
        <v>400</v>
      </c>
      <c r="B401" t="s">
        <v>1424</v>
      </c>
      <c r="C401" t="s">
        <v>5687</v>
      </c>
      <c r="D401" t="s">
        <v>5688</v>
      </c>
      <c r="E401" t="s">
        <v>3592</v>
      </c>
      <c r="F401" t="s">
        <v>2018</v>
      </c>
      <c r="G401" t="s">
        <v>36</v>
      </c>
      <c r="H401" t="s">
        <v>2200</v>
      </c>
      <c r="I401" t="s">
        <v>2794</v>
      </c>
      <c r="J401" t="s">
        <v>1768</v>
      </c>
      <c r="K401" t="s">
        <v>5689</v>
      </c>
      <c r="L401" t="s">
        <v>5668</v>
      </c>
      <c r="M401" t="s">
        <v>5694</v>
      </c>
      <c r="N401" t="s">
        <v>5687</v>
      </c>
      <c r="O401" t="s">
        <v>2471</v>
      </c>
      <c r="P401" t="s">
        <v>5676</v>
      </c>
      <c r="Q401" t="s">
        <v>2192</v>
      </c>
      <c r="R401" t="s">
        <v>4849</v>
      </c>
      <c r="S401" t="s">
        <v>5690</v>
      </c>
      <c r="T401">
        <v>78</v>
      </c>
      <c r="U401" t="s">
        <v>2223</v>
      </c>
      <c r="V401" t="s">
        <v>4794</v>
      </c>
      <c r="W401" t="s">
        <v>3419</v>
      </c>
      <c r="X401" t="s">
        <v>2333</v>
      </c>
      <c r="Y401" t="s">
        <v>4659</v>
      </c>
      <c r="Z401" t="s">
        <v>5664</v>
      </c>
      <c r="AA401" t="s">
        <v>2342</v>
      </c>
      <c r="AB401" t="s">
        <v>5677</v>
      </c>
      <c r="AC401" t="s">
        <v>2195</v>
      </c>
      <c r="AD401" t="s">
        <v>4433</v>
      </c>
      <c r="AE401" t="s">
        <v>1762</v>
      </c>
      <c r="AF401" t="s">
        <v>3419</v>
      </c>
      <c r="AG401" t="s">
        <v>36</v>
      </c>
      <c r="AH401" t="s">
        <v>36</v>
      </c>
      <c r="AI401" t="s">
        <v>36</v>
      </c>
      <c r="AJ401" t="s">
        <v>36</v>
      </c>
      <c r="AK401" t="s">
        <v>2197</v>
      </c>
      <c r="AL401" t="s">
        <v>36</v>
      </c>
      <c r="AM401" t="s">
        <v>4876</v>
      </c>
      <c r="AN401" s="487">
        <v>0</v>
      </c>
      <c r="AO401" s="487">
        <v>0</v>
      </c>
    </row>
    <row r="402" spans="1:41" ht="15" customHeight="1" x14ac:dyDescent="0.2">
      <c r="A402">
        <v>401</v>
      </c>
      <c r="B402" t="s">
        <v>5521</v>
      </c>
      <c r="C402" t="s">
        <v>5522</v>
      </c>
      <c r="D402" t="s">
        <v>5523</v>
      </c>
      <c r="E402" t="s">
        <v>5524</v>
      </c>
      <c r="F402" t="s">
        <v>2060</v>
      </c>
      <c r="G402" t="s">
        <v>36</v>
      </c>
      <c r="H402" t="s">
        <v>2200</v>
      </c>
      <c r="I402" t="s">
        <v>2794</v>
      </c>
      <c r="J402" t="s">
        <v>1768</v>
      </c>
      <c r="K402" t="s">
        <v>5525</v>
      </c>
      <c r="L402" t="s">
        <v>2541</v>
      </c>
      <c r="M402" t="s">
        <v>5526</v>
      </c>
      <c r="N402" t="s">
        <v>5525</v>
      </c>
      <c r="O402" t="s">
        <v>2471</v>
      </c>
      <c r="P402" t="s">
        <v>5527</v>
      </c>
      <c r="Q402" t="s">
        <v>2192</v>
      </c>
      <c r="R402">
        <v>0</v>
      </c>
      <c r="S402">
        <v>0</v>
      </c>
      <c r="T402">
        <v>0</v>
      </c>
      <c r="U402">
        <v>0</v>
      </c>
      <c r="V402">
        <v>0</v>
      </c>
      <c r="W402">
        <v>0</v>
      </c>
      <c r="X402">
        <v>0</v>
      </c>
      <c r="Y402">
        <v>0</v>
      </c>
      <c r="Z402">
        <v>0</v>
      </c>
      <c r="AA402">
        <v>0</v>
      </c>
      <c r="AB402" t="s">
        <v>36</v>
      </c>
      <c r="AC402" t="s">
        <v>2195</v>
      </c>
      <c r="AD402" t="s">
        <v>2196</v>
      </c>
      <c r="AE402" t="s">
        <v>1762</v>
      </c>
      <c r="AF402" t="s">
        <v>36</v>
      </c>
      <c r="AG402" t="s">
        <v>36</v>
      </c>
      <c r="AH402" t="s">
        <v>36</v>
      </c>
      <c r="AI402" t="s">
        <v>36</v>
      </c>
      <c r="AJ402" t="s">
        <v>36</v>
      </c>
      <c r="AK402" t="s">
        <v>2197</v>
      </c>
      <c r="AL402" t="s">
        <v>36</v>
      </c>
      <c r="AM402" t="s">
        <v>4876</v>
      </c>
      <c r="AN402" s="487"/>
      <c r="AO402" s="487"/>
    </row>
    <row r="403" spans="1:41" ht="15" customHeight="1" x14ac:dyDescent="0.2">
      <c r="A403">
        <v>402</v>
      </c>
      <c r="B403" t="s">
        <v>5521</v>
      </c>
      <c r="C403" t="s">
        <v>5528</v>
      </c>
      <c r="D403" t="s">
        <v>5529</v>
      </c>
      <c r="E403" t="s">
        <v>5524</v>
      </c>
      <c r="F403" t="s">
        <v>2060</v>
      </c>
      <c r="G403" t="s">
        <v>36</v>
      </c>
      <c r="H403" t="s">
        <v>2200</v>
      </c>
      <c r="I403" t="s">
        <v>2794</v>
      </c>
      <c r="J403" t="s">
        <v>1768</v>
      </c>
      <c r="K403" t="s">
        <v>5530</v>
      </c>
      <c r="L403" t="s">
        <v>2541</v>
      </c>
      <c r="M403" t="s">
        <v>5531</v>
      </c>
      <c r="N403" t="s">
        <v>5530</v>
      </c>
      <c r="O403" t="s">
        <v>2471</v>
      </c>
      <c r="P403" t="s">
        <v>5532</v>
      </c>
      <c r="Q403" t="s">
        <v>2192</v>
      </c>
      <c r="R403">
        <v>0</v>
      </c>
      <c r="S403">
        <v>0</v>
      </c>
      <c r="T403">
        <v>0</v>
      </c>
      <c r="U403">
        <v>0</v>
      </c>
      <c r="V403">
        <v>0</v>
      </c>
      <c r="W403">
        <v>0</v>
      </c>
      <c r="X403">
        <v>0</v>
      </c>
      <c r="Y403">
        <v>0</v>
      </c>
      <c r="Z403">
        <v>0</v>
      </c>
      <c r="AA403">
        <v>0</v>
      </c>
      <c r="AB403" t="s">
        <v>36</v>
      </c>
      <c r="AC403" t="s">
        <v>2195</v>
      </c>
      <c r="AD403" t="s">
        <v>2196</v>
      </c>
      <c r="AE403" t="s">
        <v>1762</v>
      </c>
      <c r="AF403" t="s">
        <v>36</v>
      </c>
      <c r="AG403" t="s">
        <v>36</v>
      </c>
      <c r="AH403" t="s">
        <v>36</v>
      </c>
      <c r="AI403" t="s">
        <v>36</v>
      </c>
      <c r="AJ403" t="s">
        <v>36</v>
      </c>
      <c r="AK403" t="s">
        <v>2197</v>
      </c>
      <c r="AL403" t="s">
        <v>36</v>
      </c>
      <c r="AM403" t="s">
        <v>4876</v>
      </c>
      <c r="AN403" s="487"/>
      <c r="AO403" s="487"/>
    </row>
    <row r="404" spans="1:41" ht="15" customHeight="1" x14ac:dyDescent="0.2">
      <c r="A404">
        <v>403</v>
      </c>
      <c r="B404" t="s">
        <v>1434</v>
      </c>
      <c r="C404" t="s">
        <v>5059</v>
      </c>
      <c r="D404" t="s">
        <v>5060</v>
      </c>
      <c r="E404" t="s">
        <v>3596</v>
      </c>
      <c r="F404" t="s">
        <v>2140</v>
      </c>
      <c r="G404" t="s">
        <v>36</v>
      </c>
      <c r="H404" t="s">
        <v>2200</v>
      </c>
      <c r="I404" t="s">
        <v>5725</v>
      </c>
      <c r="J404" t="s">
        <v>1768</v>
      </c>
      <c r="K404" t="s">
        <v>2376</v>
      </c>
      <c r="L404" t="s">
        <v>3435</v>
      </c>
      <c r="M404">
        <v>10229</v>
      </c>
      <c r="N404" t="s">
        <v>1001</v>
      </c>
      <c r="O404" t="s">
        <v>2471</v>
      </c>
      <c r="P404" t="s">
        <v>3608</v>
      </c>
      <c r="Q404" t="s">
        <v>2276</v>
      </c>
      <c r="R404" t="s">
        <v>2193</v>
      </c>
      <c r="S404" t="s">
        <v>3610</v>
      </c>
      <c r="T404">
        <v>476.3</v>
      </c>
      <c r="U404" t="s">
        <v>2223</v>
      </c>
      <c r="V404" t="s">
        <v>3436</v>
      </c>
      <c r="W404" t="s">
        <v>3437</v>
      </c>
      <c r="X404" t="s">
        <v>2194</v>
      </c>
      <c r="Y404" t="s">
        <v>3436</v>
      </c>
      <c r="Z404" t="s">
        <v>3438</v>
      </c>
      <c r="AA404" t="s">
        <v>2194</v>
      </c>
      <c r="AB404" t="s">
        <v>36</v>
      </c>
      <c r="AC404" t="s">
        <v>2195</v>
      </c>
      <c r="AD404" t="s">
        <v>2196</v>
      </c>
      <c r="AE404" t="s">
        <v>1762</v>
      </c>
      <c r="AF404" t="s">
        <v>3419</v>
      </c>
      <c r="AG404" t="s">
        <v>36</v>
      </c>
      <c r="AH404" t="s">
        <v>36</v>
      </c>
      <c r="AI404" t="s">
        <v>36</v>
      </c>
      <c r="AJ404" t="s">
        <v>36</v>
      </c>
      <c r="AK404" t="s">
        <v>2197</v>
      </c>
      <c r="AL404" t="s">
        <v>36</v>
      </c>
      <c r="AM404" t="s">
        <v>4876</v>
      </c>
      <c r="AN404" s="487"/>
      <c r="AO404" s="487"/>
    </row>
    <row r="405" spans="1:41" ht="15" customHeight="1" x14ac:dyDescent="0.2">
      <c r="A405">
        <v>404</v>
      </c>
      <c r="B405" t="s">
        <v>1434</v>
      </c>
      <c r="C405" t="s">
        <v>878</v>
      </c>
      <c r="D405" t="s">
        <v>4293</v>
      </c>
      <c r="E405" t="s">
        <v>3596</v>
      </c>
      <c r="F405" t="s">
        <v>2140</v>
      </c>
      <c r="G405" t="s">
        <v>36</v>
      </c>
      <c r="H405" t="s">
        <v>2200</v>
      </c>
      <c r="I405" t="s">
        <v>5725</v>
      </c>
      <c r="J405" t="s">
        <v>1768</v>
      </c>
      <c r="K405" t="s">
        <v>2376</v>
      </c>
      <c r="L405" t="s">
        <v>3431</v>
      </c>
      <c r="M405" t="s">
        <v>3432</v>
      </c>
      <c r="N405" t="s">
        <v>878</v>
      </c>
      <c r="O405" t="s">
        <v>906</v>
      </c>
      <c r="P405" t="s">
        <v>3555</v>
      </c>
      <c r="Q405" t="s">
        <v>4936</v>
      </c>
      <c r="R405" t="s">
        <v>2193</v>
      </c>
      <c r="S405" t="s">
        <v>3609</v>
      </c>
      <c r="T405">
        <v>115.4</v>
      </c>
      <c r="U405" t="s">
        <v>2223</v>
      </c>
      <c r="V405" t="s">
        <v>3433</v>
      </c>
      <c r="W405" t="s">
        <v>3434</v>
      </c>
      <c r="X405" t="s">
        <v>4937</v>
      </c>
      <c r="Y405" t="s">
        <v>3433</v>
      </c>
      <c r="Z405" t="s">
        <v>3434</v>
      </c>
      <c r="AA405" t="s">
        <v>4937</v>
      </c>
      <c r="AB405" t="s">
        <v>36</v>
      </c>
      <c r="AC405" t="s">
        <v>2195</v>
      </c>
      <c r="AD405" t="s">
        <v>2196</v>
      </c>
      <c r="AE405" t="s">
        <v>1762</v>
      </c>
      <c r="AF405" t="s">
        <v>3419</v>
      </c>
      <c r="AG405" t="s">
        <v>36</v>
      </c>
      <c r="AH405" t="s">
        <v>36</v>
      </c>
      <c r="AI405" t="s">
        <v>36</v>
      </c>
      <c r="AJ405" t="s">
        <v>36</v>
      </c>
      <c r="AK405" t="s">
        <v>2197</v>
      </c>
      <c r="AL405" t="s">
        <v>36</v>
      </c>
      <c r="AM405" t="s">
        <v>4876</v>
      </c>
      <c r="AN405" s="487">
        <v>0</v>
      </c>
      <c r="AO405" s="487">
        <v>0</v>
      </c>
    </row>
    <row r="406" spans="1:41" ht="15" customHeight="1" x14ac:dyDescent="0.2">
      <c r="A406">
        <v>405</v>
      </c>
      <c r="B406" t="s">
        <v>1434</v>
      </c>
      <c r="C406" t="s">
        <v>5061</v>
      </c>
      <c r="D406" t="s">
        <v>5062</v>
      </c>
      <c r="E406" t="s">
        <v>3596</v>
      </c>
      <c r="F406" t="s">
        <v>2140</v>
      </c>
      <c r="G406" t="s">
        <v>36</v>
      </c>
      <c r="H406" t="s">
        <v>2200</v>
      </c>
      <c r="I406" t="s">
        <v>5769</v>
      </c>
      <c r="J406" t="s">
        <v>2188</v>
      </c>
      <c r="K406" t="s">
        <v>2376</v>
      </c>
      <c r="L406" t="s">
        <v>3431</v>
      </c>
      <c r="M406" t="s">
        <v>3432</v>
      </c>
      <c r="N406" t="s">
        <v>878</v>
      </c>
      <c r="O406" t="s">
        <v>5770</v>
      </c>
      <c r="P406" t="s">
        <v>3608</v>
      </c>
      <c r="Q406" t="s">
        <v>4936</v>
      </c>
      <c r="R406" t="s">
        <v>2193</v>
      </c>
      <c r="S406" t="s">
        <v>3609</v>
      </c>
      <c r="T406">
        <v>115.4</v>
      </c>
      <c r="U406" t="s">
        <v>2223</v>
      </c>
      <c r="V406" t="s">
        <v>3433</v>
      </c>
      <c r="W406" t="s">
        <v>3434</v>
      </c>
      <c r="X406" t="s">
        <v>4937</v>
      </c>
      <c r="Y406" t="s">
        <v>3433</v>
      </c>
      <c r="Z406" t="s">
        <v>3434</v>
      </c>
      <c r="AA406" t="s">
        <v>4937</v>
      </c>
      <c r="AB406" t="s">
        <v>36</v>
      </c>
      <c r="AC406" t="s">
        <v>2195</v>
      </c>
      <c r="AD406" t="s">
        <v>2196</v>
      </c>
      <c r="AE406" t="s">
        <v>1762</v>
      </c>
      <c r="AF406" t="s">
        <v>3419</v>
      </c>
      <c r="AG406" t="s">
        <v>36</v>
      </c>
      <c r="AH406" t="s">
        <v>36</v>
      </c>
      <c r="AI406" t="s">
        <v>36</v>
      </c>
      <c r="AJ406" t="s">
        <v>36</v>
      </c>
      <c r="AK406" t="s">
        <v>2197</v>
      </c>
      <c r="AL406" t="s">
        <v>36</v>
      </c>
      <c r="AM406" t="s">
        <v>4876</v>
      </c>
      <c r="AN406" s="487"/>
      <c r="AO406" s="487"/>
    </row>
    <row r="407" spans="1:41" ht="15" customHeight="1" x14ac:dyDescent="0.2">
      <c r="A407">
        <v>406</v>
      </c>
      <c r="B407" t="s">
        <v>1434</v>
      </c>
      <c r="C407" t="s">
        <v>1985</v>
      </c>
      <c r="D407" t="s">
        <v>4294</v>
      </c>
      <c r="E407" t="s">
        <v>3596</v>
      </c>
      <c r="F407" t="s">
        <v>2140</v>
      </c>
      <c r="G407" t="s">
        <v>36</v>
      </c>
      <c r="H407" t="s">
        <v>2200</v>
      </c>
      <c r="I407" t="s">
        <v>5725</v>
      </c>
      <c r="J407" t="s">
        <v>1768</v>
      </c>
      <c r="K407" t="s">
        <v>1985</v>
      </c>
      <c r="L407" t="s">
        <v>3402</v>
      </c>
      <c r="M407">
        <v>639997</v>
      </c>
      <c r="N407" t="s">
        <v>1985</v>
      </c>
      <c r="O407" t="s">
        <v>2471</v>
      </c>
      <c r="P407" t="s">
        <v>4663</v>
      </c>
      <c r="Q407" t="s">
        <v>3535</v>
      </c>
      <c r="R407" t="s">
        <v>2257</v>
      </c>
      <c r="S407" t="s">
        <v>3597</v>
      </c>
      <c r="T407">
        <v>3.8</v>
      </c>
      <c r="U407" t="s">
        <v>1952</v>
      </c>
      <c r="V407" t="s">
        <v>3403</v>
      </c>
      <c r="W407">
        <v>639997</v>
      </c>
      <c r="X407" t="s">
        <v>3404</v>
      </c>
      <c r="Y407" t="s">
        <v>111</v>
      </c>
      <c r="Z407" t="s">
        <v>111</v>
      </c>
      <c r="AA407" t="s">
        <v>111</v>
      </c>
      <c r="AB407" t="s">
        <v>3405</v>
      </c>
      <c r="AC407" t="s">
        <v>2195</v>
      </c>
      <c r="AD407" t="s">
        <v>2196</v>
      </c>
      <c r="AE407" t="s">
        <v>1762</v>
      </c>
      <c r="AF407" t="s">
        <v>36</v>
      </c>
      <c r="AG407" t="s">
        <v>36</v>
      </c>
      <c r="AH407" t="s">
        <v>36</v>
      </c>
      <c r="AI407" t="s">
        <v>36</v>
      </c>
      <c r="AJ407" t="s">
        <v>36</v>
      </c>
      <c r="AK407" t="s">
        <v>2197</v>
      </c>
      <c r="AL407" t="s">
        <v>36</v>
      </c>
      <c r="AM407" t="s">
        <v>4876</v>
      </c>
      <c r="AN407" s="487">
        <v>0</v>
      </c>
      <c r="AO407" s="487">
        <v>0</v>
      </c>
    </row>
    <row r="408" spans="1:41" ht="15" customHeight="1" x14ac:dyDescent="0.2">
      <c r="A408">
        <v>407</v>
      </c>
      <c r="B408" t="s">
        <v>1434</v>
      </c>
      <c r="C408" t="s">
        <v>1934</v>
      </c>
      <c r="D408" t="s">
        <v>4295</v>
      </c>
      <c r="E408" t="s">
        <v>3596</v>
      </c>
      <c r="F408" t="s">
        <v>2140</v>
      </c>
      <c r="G408" t="s">
        <v>36</v>
      </c>
      <c r="H408" t="s">
        <v>2200</v>
      </c>
      <c r="I408" t="s">
        <v>5725</v>
      </c>
      <c r="J408" t="s">
        <v>1768</v>
      </c>
      <c r="K408" t="s">
        <v>2286</v>
      </c>
      <c r="L408" t="s">
        <v>3416</v>
      </c>
      <c r="M408">
        <v>89786</v>
      </c>
      <c r="N408" t="s">
        <v>1934</v>
      </c>
      <c r="O408" t="s">
        <v>2471</v>
      </c>
      <c r="P408" t="s">
        <v>3600</v>
      </c>
      <c r="Q408" t="s">
        <v>3602</v>
      </c>
      <c r="R408" t="s">
        <v>2193</v>
      </c>
      <c r="S408" t="s">
        <v>3601</v>
      </c>
      <c r="T408">
        <v>0.37</v>
      </c>
      <c r="U408" t="s">
        <v>1952</v>
      </c>
      <c r="V408" t="s">
        <v>2495</v>
      </c>
      <c r="W408" t="s">
        <v>3417</v>
      </c>
      <c r="X408" t="s">
        <v>2194</v>
      </c>
      <c r="Y408" t="s">
        <v>111</v>
      </c>
      <c r="Z408" t="s">
        <v>111</v>
      </c>
      <c r="AA408" t="s">
        <v>111</v>
      </c>
      <c r="AB408" t="s">
        <v>3418</v>
      </c>
      <c r="AC408" t="s">
        <v>2195</v>
      </c>
      <c r="AD408" t="s">
        <v>2196</v>
      </c>
      <c r="AE408" t="s">
        <v>1762</v>
      </c>
      <c r="AF408">
        <v>5</v>
      </c>
      <c r="AG408">
        <v>87</v>
      </c>
      <c r="AH408">
        <v>14</v>
      </c>
      <c r="AI408" t="s">
        <v>36</v>
      </c>
      <c r="AJ408" t="s">
        <v>36</v>
      </c>
      <c r="AK408" t="s">
        <v>2197</v>
      </c>
      <c r="AL408" t="s">
        <v>36</v>
      </c>
      <c r="AM408" t="s">
        <v>4876</v>
      </c>
      <c r="AN408" s="487">
        <v>0</v>
      </c>
      <c r="AO408" s="487">
        <v>0</v>
      </c>
    </row>
    <row r="409" spans="1:41" ht="15" customHeight="1" x14ac:dyDescent="0.2">
      <c r="A409">
        <v>408</v>
      </c>
      <c r="B409" t="s">
        <v>1434</v>
      </c>
      <c r="C409" t="s">
        <v>1936</v>
      </c>
      <c r="D409" t="s">
        <v>4296</v>
      </c>
      <c r="E409" t="s">
        <v>3596</v>
      </c>
      <c r="F409" t="s">
        <v>2140</v>
      </c>
      <c r="G409" t="s">
        <v>36</v>
      </c>
      <c r="H409" t="s">
        <v>2200</v>
      </c>
      <c r="I409" t="s">
        <v>5725</v>
      </c>
      <c r="J409" t="s">
        <v>1768</v>
      </c>
      <c r="K409" t="s">
        <v>2286</v>
      </c>
      <c r="L409" t="s">
        <v>3416</v>
      </c>
      <c r="M409">
        <v>1111556</v>
      </c>
      <c r="N409" t="s">
        <v>1936</v>
      </c>
      <c r="O409" t="s">
        <v>2471</v>
      </c>
      <c r="P409" t="s">
        <v>3600</v>
      </c>
      <c r="Q409" t="s">
        <v>3602</v>
      </c>
      <c r="R409" t="s">
        <v>2193</v>
      </c>
      <c r="S409" t="s">
        <v>3601</v>
      </c>
      <c r="T409">
        <v>0.37</v>
      </c>
      <c r="U409" t="s">
        <v>1952</v>
      </c>
      <c r="V409" t="s">
        <v>2495</v>
      </c>
      <c r="W409" t="s">
        <v>3419</v>
      </c>
      <c r="X409" t="s">
        <v>2194</v>
      </c>
      <c r="Y409" t="s">
        <v>111</v>
      </c>
      <c r="Z409" t="s">
        <v>111</v>
      </c>
      <c r="AA409" t="s">
        <v>111</v>
      </c>
      <c r="AB409" t="s">
        <v>3418</v>
      </c>
      <c r="AC409" t="s">
        <v>2195</v>
      </c>
      <c r="AD409" t="s">
        <v>2196</v>
      </c>
      <c r="AE409" t="s">
        <v>1762</v>
      </c>
      <c r="AF409" t="s">
        <v>5349</v>
      </c>
      <c r="AG409" t="s">
        <v>36</v>
      </c>
      <c r="AH409" t="s">
        <v>36</v>
      </c>
      <c r="AI409" t="s">
        <v>36</v>
      </c>
      <c r="AJ409" t="s">
        <v>36</v>
      </c>
      <c r="AK409" t="s">
        <v>2197</v>
      </c>
      <c r="AL409" t="s">
        <v>36</v>
      </c>
      <c r="AM409" t="s">
        <v>4876</v>
      </c>
      <c r="AN409" s="487">
        <v>0</v>
      </c>
      <c r="AO409" s="487">
        <v>0</v>
      </c>
    </row>
    <row r="410" spans="1:41" ht="15" customHeight="1" x14ac:dyDescent="0.2">
      <c r="A410">
        <v>409</v>
      </c>
      <c r="B410" t="s">
        <v>1434</v>
      </c>
      <c r="C410" t="s">
        <v>1445</v>
      </c>
      <c r="D410" t="s">
        <v>4297</v>
      </c>
      <c r="E410" t="s">
        <v>3596</v>
      </c>
      <c r="F410" t="s">
        <v>2140</v>
      </c>
      <c r="G410" t="s">
        <v>36</v>
      </c>
      <c r="H410" t="s">
        <v>2200</v>
      </c>
      <c r="I410" t="s">
        <v>5725</v>
      </c>
      <c r="J410" t="s">
        <v>2188</v>
      </c>
      <c r="K410" t="s">
        <v>2204</v>
      </c>
      <c r="L410" t="s">
        <v>3428</v>
      </c>
      <c r="M410" t="s">
        <v>1445</v>
      </c>
      <c r="N410" t="s">
        <v>1445</v>
      </c>
      <c r="O410" t="s">
        <v>906</v>
      </c>
      <c r="P410" t="s">
        <v>3013</v>
      </c>
      <c r="Q410" t="s">
        <v>2276</v>
      </c>
      <c r="R410" t="s">
        <v>2193</v>
      </c>
      <c r="S410" t="s">
        <v>3607</v>
      </c>
      <c r="T410">
        <v>264.39999999999998</v>
      </c>
      <c r="U410" t="s">
        <v>1952</v>
      </c>
      <c r="V410" t="s">
        <v>2475</v>
      </c>
      <c r="W410">
        <v>6233</v>
      </c>
      <c r="X410" t="s">
        <v>2194</v>
      </c>
      <c r="Y410" t="s">
        <v>2539</v>
      </c>
      <c r="Z410" t="s">
        <v>3429</v>
      </c>
      <c r="AA410" t="s">
        <v>2194</v>
      </c>
      <c r="AB410" t="s">
        <v>3430</v>
      </c>
      <c r="AC410" t="s">
        <v>2195</v>
      </c>
      <c r="AD410" t="s">
        <v>2196</v>
      </c>
      <c r="AE410" t="s">
        <v>1762</v>
      </c>
      <c r="AF410" t="s">
        <v>36</v>
      </c>
      <c r="AG410" t="s">
        <v>36</v>
      </c>
      <c r="AH410" t="s">
        <v>36</v>
      </c>
      <c r="AI410" t="s">
        <v>36</v>
      </c>
      <c r="AJ410" t="s">
        <v>36</v>
      </c>
      <c r="AK410" t="s">
        <v>2197</v>
      </c>
      <c r="AL410" t="s">
        <v>36</v>
      </c>
      <c r="AM410" t="s">
        <v>4876</v>
      </c>
      <c r="AN410" s="487">
        <v>0</v>
      </c>
      <c r="AO410" s="487">
        <v>0</v>
      </c>
    </row>
    <row r="411" spans="1:41" ht="15" customHeight="1" x14ac:dyDescent="0.2">
      <c r="A411">
        <v>410</v>
      </c>
      <c r="B411" t="s">
        <v>1434</v>
      </c>
      <c r="C411" t="s">
        <v>1443</v>
      </c>
      <c r="D411" t="s">
        <v>4298</v>
      </c>
      <c r="E411" t="s">
        <v>3596</v>
      </c>
      <c r="F411" t="s">
        <v>2140</v>
      </c>
      <c r="G411" t="s">
        <v>36</v>
      </c>
      <c r="H411" t="s">
        <v>2200</v>
      </c>
      <c r="I411" t="s">
        <v>5725</v>
      </c>
      <c r="J411" t="s">
        <v>2188</v>
      </c>
      <c r="K411" t="s">
        <v>3420</v>
      </c>
      <c r="L411" t="s">
        <v>3421</v>
      </c>
      <c r="M411">
        <v>64583</v>
      </c>
      <c r="N411" t="s">
        <v>1443</v>
      </c>
      <c r="O411" t="s">
        <v>906</v>
      </c>
      <c r="P411" t="s">
        <v>3603</v>
      </c>
      <c r="Q411" t="s">
        <v>2276</v>
      </c>
      <c r="R411" t="s">
        <v>2358</v>
      </c>
      <c r="S411" t="s">
        <v>3604</v>
      </c>
      <c r="T411">
        <v>318.7</v>
      </c>
      <c r="U411" t="s">
        <v>1952</v>
      </c>
      <c r="V411" t="s">
        <v>3422</v>
      </c>
      <c r="W411" t="s">
        <v>4869</v>
      </c>
      <c r="X411" t="s">
        <v>2194</v>
      </c>
      <c r="Y411" t="s">
        <v>2629</v>
      </c>
      <c r="Z411" t="s">
        <v>5166</v>
      </c>
      <c r="AA411" t="s">
        <v>2194</v>
      </c>
      <c r="AB411" t="s">
        <v>36</v>
      </c>
      <c r="AC411" t="s">
        <v>2195</v>
      </c>
      <c r="AD411" t="s">
        <v>2196</v>
      </c>
      <c r="AE411" t="s">
        <v>1762</v>
      </c>
      <c r="AF411" t="s">
        <v>3955</v>
      </c>
      <c r="AG411">
        <v>0.66</v>
      </c>
      <c r="AH411">
        <v>0.5</v>
      </c>
      <c r="AI411" t="s">
        <v>4022</v>
      </c>
      <c r="AJ411" t="s">
        <v>36</v>
      </c>
      <c r="AK411" t="s">
        <v>2197</v>
      </c>
      <c r="AL411" t="s">
        <v>36</v>
      </c>
      <c r="AM411" t="s">
        <v>4876</v>
      </c>
      <c r="AN411" s="487">
        <v>0</v>
      </c>
      <c r="AO411" s="487">
        <v>0</v>
      </c>
    </row>
    <row r="412" spans="1:41" ht="15" customHeight="1" x14ac:dyDescent="0.2">
      <c r="A412">
        <v>411</v>
      </c>
      <c r="B412" t="s">
        <v>1434</v>
      </c>
      <c r="C412" t="s">
        <v>1986</v>
      </c>
      <c r="D412" t="s">
        <v>4299</v>
      </c>
      <c r="E412" t="s">
        <v>3596</v>
      </c>
      <c r="F412" t="s">
        <v>2140</v>
      </c>
      <c r="G412" t="s">
        <v>36</v>
      </c>
      <c r="H412" t="s">
        <v>2200</v>
      </c>
      <c r="I412" t="s">
        <v>5725</v>
      </c>
      <c r="J412" t="s">
        <v>2188</v>
      </c>
      <c r="K412" t="s">
        <v>1910</v>
      </c>
      <c r="L412" t="s">
        <v>3406</v>
      </c>
      <c r="M412">
        <v>27265</v>
      </c>
      <c r="N412" t="s">
        <v>1986</v>
      </c>
      <c r="O412" t="s">
        <v>2471</v>
      </c>
      <c r="P412" t="s">
        <v>4688</v>
      </c>
      <c r="Q412" t="s">
        <v>4541</v>
      </c>
      <c r="R412" t="s">
        <v>2367</v>
      </c>
      <c r="S412" t="s">
        <v>3598</v>
      </c>
      <c r="T412">
        <v>67.400000000000006</v>
      </c>
      <c r="U412" t="s">
        <v>1952</v>
      </c>
      <c r="V412" t="s">
        <v>3407</v>
      </c>
      <c r="W412" t="s">
        <v>3408</v>
      </c>
      <c r="X412" t="s">
        <v>2194</v>
      </c>
      <c r="Y412" t="s">
        <v>3409</v>
      </c>
      <c r="Z412" t="s">
        <v>3410</v>
      </c>
      <c r="AA412" t="s">
        <v>2194</v>
      </c>
      <c r="AB412" t="s">
        <v>36</v>
      </c>
      <c r="AC412" t="s">
        <v>2195</v>
      </c>
      <c r="AD412" t="s">
        <v>2196</v>
      </c>
      <c r="AE412" t="s">
        <v>1762</v>
      </c>
      <c r="AF412">
        <v>20</v>
      </c>
      <c r="AG412">
        <v>0.98</v>
      </c>
      <c r="AH412">
        <v>0</v>
      </c>
      <c r="AI412" t="s">
        <v>36</v>
      </c>
      <c r="AJ412" t="s">
        <v>36</v>
      </c>
      <c r="AK412" t="s">
        <v>2197</v>
      </c>
      <c r="AL412" t="s">
        <v>36</v>
      </c>
      <c r="AM412" t="s">
        <v>4876</v>
      </c>
      <c r="AN412" s="487">
        <v>0</v>
      </c>
      <c r="AO412" s="487">
        <v>0</v>
      </c>
    </row>
    <row r="413" spans="1:41" ht="15" customHeight="1" x14ac:dyDescent="0.2">
      <c r="A413">
        <v>412</v>
      </c>
      <c r="B413" t="s">
        <v>1434</v>
      </c>
      <c r="C413" t="s">
        <v>5135</v>
      </c>
      <c r="D413" t="s">
        <v>5136</v>
      </c>
      <c r="E413" t="s">
        <v>3596</v>
      </c>
      <c r="F413" t="s">
        <v>2140</v>
      </c>
      <c r="G413" t="s">
        <v>36</v>
      </c>
      <c r="H413" t="s">
        <v>2200</v>
      </c>
      <c r="I413" t="s">
        <v>5725</v>
      </c>
      <c r="J413" t="s">
        <v>1768</v>
      </c>
      <c r="K413" t="s">
        <v>5135</v>
      </c>
      <c r="L413" t="s">
        <v>5137</v>
      </c>
      <c r="M413">
        <v>19008</v>
      </c>
      <c r="N413" t="s">
        <v>5135</v>
      </c>
      <c r="O413" t="s">
        <v>2471</v>
      </c>
      <c r="P413" t="s">
        <v>5138</v>
      </c>
      <c r="Q413" t="s">
        <v>2276</v>
      </c>
      <c r="R413" t="s">
        <v>2193</v>
      </c>
      <c r="S413" t="s">
        <v>5139</v>
      </c>
      <c r="T413">
        <v>22.2</v>
      </c>
      <c r="U413" t="s">
        <v>1952</v>
      </c>
      <c r="V413" t="s">
        <v>2980</v>
      </c>
      <c r="W413" t="s">
        <v>5140</v>
      </c>
      <c r="X413" t="s">
        <v>2194</v>
      </c>
      <c r="Y413" t="s">
        <v>4659</v>
      </c>
      <c r="Z413" t="s">
        <v>5141</v>
      </c>
      <c r="AA413" t="s">
        <v>2194</v>
      </c>
      <c r="AB413" t="s">
        <v>4959</v>
      </c>
      <c r="AC413" t="s">
        <v>2195</v>
      </c>
      <c r="AD413" t="s">
        <v>2196</v>
      </c>
      <c r="AE413" t="s">
        <v>1762</v>
      </c>
      <c r="AF413">
        <v>1</v>
      </c>
      <c r="AG413" t="s">
        <v>5142</v>
      </c>
      <c r="AH413" t="s">
        <v>5142</v>
      </c>
      <c r="AI413" t="s">
        <v>36</v>
      </c>
      <c r="AJ413" t="s">
        <v>36</v>
      </c>
      <c r="AK413" t="s">
        <v>2197</v>
      </c>
      <c r="AL413" t="s">
        <v>36</v>
      </c>
      <c r="AM413" t="s">
        <v>4877</v>
      </c>
      <c r="AN413" s="487"/>
      <c r="AO413" s="487"/>
    </row>
    <row r="414" spans="1:41" ht="15" customHeight="1" x14ac:dyDescent="0.2">
      <c r="A414">
        <v>413</v>
      </c>
      <c r="B414" t="s">
        <v>1434</v>
      </c>
      <c r="C414" t="s">
        <v>5195</v>
      </c>
      <c r="D414" t="s">
        <v>5196</v>
      </c>
      <c r="E414" t="s">
        <v>3596</v>
      </c>
      <c r="F414" t="s">
        <v>2140</v>
      </c>
      <c r="G414" t="s">
        <v>36</v>
      </c>
      <c r="H414" t="s">
        <v>2200</v>
      </c>
      <c r="I414" t="s">
        <v>5725</v>
      </c>
      <c r="J414" t="s">
        <v>1768</v>
      </c>
      <c r="K414" t="s">
        <v>5195</v>
      </c>
      <c r="L414" t="s">
        <v>4952</v>
      </c>
      <c r="M414" t="s">
        <v>4953</v>
      </c>
      <c r="N414" t="s">
        <v>5195</v>
      </c>
      <c r="O414" t="s">
        <v>2471</v>
      </c>
      <c r="P414" t="s">
        <v>4954</v>
      </c>
      <c r="Q414" t="s">
        <v>2276</v>
      </c>
      <c r="R414" t="s">
        <v>4955</v>
      </c>
      <c r="S414" t="s">
        <v>4956</v>
      </c>
      <c r="T414">
        <v>306.94</v>
      </c>
      <c r="U414" t="s">
        <v>1952</v>
      </c>
      <c r="V414" t="s">
        <v>4957</v>
      </c>
      <c r="W414" t="s">
        <v>4958</v>
      </c>
      <c r="X414" t="s">
        <v>2194</v>
      </c>
      <c r="Y414" t="s">
        <v>111</v>
      </c>
      <c r="Z414" t="s">
        <v>111</v>
      </c>
      <c r="AA414" t="s">
        <v>111</v>
      </c>
      <c r="AB414" t="s">
        <v>4959</v>
      </c>
      <c r="AC414" t="s">
        <v>2195</v>
      </c>
      <c r="AD414" t="s">
        <v>2196</v>
      </c>
      <c r="AE414" t="s">
        <v>1762</v>
      </c>
      <c r="AF414" t="s">
        <v>111</v>
      </c>
      <c r="AG414" t="s">
        <v>36</v>
      </c>
      <c r="AH414" t="s">
        <v>36</v>
      </c>
      <c r="AI414" t="s">
        <v>36</v>
      </c>
      <c r="AJ414" t="s">
        <v>36</v>
      </c>
      <c r="AK414" t="s">
        <v>2197</v>
      </c>
      <c r="AL414" t="s">
        <v>36</v>
      </c>
      <c r="AM414" t="s">
        <v>4876</v>
      </c>
      <c r="AN414" s="487"/>
      <c r="AO414" s="487"/>
    </row>
    <row r="415" spans="1:41" x14ac:dyDescent="0.2">
      <c r="A415">
        <v>414</v>
      </c>
      <c r="B415" t="s">
        <v>1434</v>
      </c>
      <c r="C415" t="s">
        <v>4950</v>
      </c>
      <c r="D415" t="s">
        <v>4951</v>
      </c>
      <c r="E415" t="s">
        <v>3596</v>
      </c>
      <c r="F415" t="s">
        <v>2140</v>
      </c>
      <c r="G415" t="s">
        <v>36</v>
      </c>
      <c r="H415" t="s">
        <v>2200</v>
      </c>
      <c r="I415" t="s">
        <v>5725</v>
      </c>
      <c r="J415" t="s">
        <v>1768</v>
      </c>
      <c r="K415" t="s">
        <v>4950</v>
      </c>
      <c r="L415" t="s">
        <v>4952</v>
      </c>
      <c r="M415" t="s">
        <v>4953</v>
      </c>
      <c r="N415" t="s">
        <v>4950</v>
      </c>
      <c r="O415" t="s">
        <v>2471</v>
      </c>
      <c r="P415" t="s">
        <v>4954</v>
      </c>
      <c r="Q415" t="s">
        <v>2276</v>
      </c>
      <c r="R415" t="s">
        <v>4955</v>
      </c>
      <c r="S415" t="s">
        <v>4956</v>
      </c>
      <c r="T415">
        <v>306.94</v>
      </c>
      <c r="U415" t="s">
        <v>1952</v>
      </c>
      <c r="V415" t="s">
        <v>4957</v>
      </c>
      <c r="W415" t="s">
        <v>4958</v>
      </c>
      <c r="X415" t="s">
        <v>2194</v>
      </c>
      <c r="Y415" t="s">
        <v>111</v>
      </c>
      <c r="Z415" t="s">
        <v>111</v>
      </c>
      <c r="AA415" t="s">
        <v>111</v>
      </c>
      <c r="AB415" t="s">
        <v>4959</v>
      </c>
      <c r="AC415" t="s">
        <v>2195</v>
      </c>
      <c r="AD415" t="s">
        <v>2196</v>
      </c>
      <c r="AE415" t="s">
        <v>1762</v>
      </c>
      <c r="AF415" t="s">
        <v>111</v>
      </c>
      <c r="AG415" t="s">
        <v>36</v>
      </c>
      <c r="AH415" t="s">
        <v>36</v>
      </c>
      <c r="AI415" t="s">
        <v>36</v>
      </c>
      <c r="AJ415" t="s">
        <v>36</v>
      </c>
      <c r="AK415" t="s">
        <v>2197</v>
      </c>
      <c r="AL415" t="s">
        <v>36</v>
      </c>
      <c r="AM415" t="s">
        <v>4876</v>
      </c>
      <c r="AN415" s="487">
        <v>0</v>
      </c>
      <c r="AO415" s="487">
        <v>0</v>
      </c>
    </row>
    <row r="416" spans="1:41" x14ac:dyDescent="0.2">
      <c r="A416">
        <v>415</v>
      </c>
      <c r="B416" t="s">
        <v>1434</v>
      </c>
      <c r="C416" t="s">
        <v>4438</v>
      </c>
      <c r="D416" t="s">
        <v>4439</v>
      </c>
      <c r="E416" t="s">
        <v>3596</v>
      </c>
      <c r="F416" t="s">
        <v>2140</v>
      </c>
      <c r="G416" t="s">
        <v>36</v>
      </c>
      <c r="H416" t="s">
        <v>2200</v>
      </c>
      <c r="I416" t="s">
        <v>5725</v>
      </c>
      <c r="J416" t="s">
        <v>1768</v>
      </c>
      <c r="K416" t="s">
        <v>2981</v>
      </c>
      <c r="L416" t="s">
        <v>4440</v>
      </c>
      <c r="M416">
        <v>113240809</v>
      </c>
      <c r="N416" t="s">
        <v>4438</v>
      </c>
      <c r="O416" t="s">
        <v>906</v>
      </c>
      <c r="P416" t="s">
        <v>4441</v>
      </c>
      <c r="Q416" t="s">
        <v>2276</v>
      </c>
      <c r="R416" t="s">
        <v>2193</v>
      </c>
      <c r="S416" t="s">
        <v>2610</v>
      </c>
      <c r="T416">
        <v>18</v>
      </c>
      <c r="U416" t="s">
        <v>1952</v>
      </c>
      <c r="V416" t="s">
        <v>4442</v>
      </c>
      <c r="W416">
        <v>113240809</v>
      </c>
      <c r="X416" t="s">
        <v>2302</v>
      </c>
      <c r="Y416" t="s">
        <v>111</v>
      </c>
      <c r="Z416" t="s">
        <v>111</v>
      </c>
      <c r="AA416" t="s">
        <v>111</v>
      </c>
      <c r="AB416" t="s">
        <v>2264</v>
      </c>
      <c r="AC416" t="s">
        <v>2195</v>
      </c>
      <c r="AD416" t="s">
        <v>4443</v>
      </c>
      <c r="AE416" t="s">
        <v>1762</v>
      </c>
      <c r="AF416">
        <v>10</v>
      </c>
      <c r="AG416">
        <v>5</v>
      </c>
      <c r="AH416">
        <v>1.1499999999999999</v>
      </c>
      <c r="AI416" t="s">
        <v>36</v>
      </c>
      <c r="AJ416" t="s">
        <v>36</v>
      </c>
      <c r="AK416" t="s">
        <v>2197</v>
      </c>
      <c r="AL416" t="s">
        <v>36</v>
      </c>
      <c r="AM416" t="s">
        <v>4876</v>
      </c>
      <c r="AN416" s="487">
        <v>0</v>
      </c>
      <c r="AO416" s="487">
        <v>0</v>
      </c>
    </row>
    <row r="417" spans="1:88" x14ac:dyDescent="0.2">
      <c r="A417">
        <v>416</v>
      </c>
      <c r="B417" t="s">
        <v>1434</v>
      </c>
      <c r="C417" t="s">
        <v>1869</v>
      </c>
      <c r="D417" t="s">
        <v>4300</v>
      </c>
      <c r="E417" t="s">
        <v>3596</v>
      </c>
      <c r="F417" t="s">
        <v>2140</v>
      </c>
      <c r="G417" t="s">
        <v>36</v>
      </c>
      <c r="H417" t="s">
        <v>2200</v>
      </c>
      <c r="I417" t="s">
        <v>5725</v>
      </c>
      <c r="J417" t="s">
        <v>1768</v>
      </c>
      <c r="K417" t="s">
        <v>2204</v>
      </c>
      <c r="L417" t="s">
        <v>2981</v>
      </c>
      <c r="M417" t="s">
        <v>3411</v>
      </c>
      <c r="N417" t="s">
        <v>1869</v>
      </c>
      <c r="O417" t="s">
        <v>2471</v>
      </c>
      <c r="P417" t="s">
        <v>5070</v>
      </c>
      <c r="Q417" t="s">
        <v>2683</v>
      </c>
      <c r="R417" t="s">
        <v>2358</v>
      </c>
      <c r="S417" t="s">
        <v>3599</v>
      </c>
      <c r="T417">
        <v>2893</v>
      </c>
      <c r="U417" t="s">
        <v>1952</v>
      </c>
      <c r="V417" t="s">
        <v>3412</v>
      </c>
      <c r="W417" t="s">
        <v>3413</v>
      </c>
      <c r="X417" t="s">
        <v>2194</v>
      </c>
      <c r="Y417" t="s">
        <v>3414</v>
      </c>
      <c r="Z417" t="s">
        <v>2327</v>
      </c>
      <c r="AA417" t="s">
        <v>2194</v>
      </c>
      <c r="AB417" t="s">
        <v>3415</v>
      </c>
      <c r="AC417" t="s">
        <v>2195</v>
      </c>
      <c r="AD417" t="s">
        <v>2196</v>
      </c>
      <c r="AE417" t="s">
        <v>1762</v>
      </c>
      <c r="AF417" t="s">
        <v>36</v>
      </c>
      <c r="AG417" t="s">
        <v>36</v>
      </c>
      <c r="AH417" t="s">
        <v>36</v>
      </c>
      <c r="AI417" t="s">
        <v>36</v>
      </c>
      <c r="AJ417" t="s">
        <v>36</v>
      </c>
      <c r="AK417" t="s">
        <v>2197</v>
      </c>
      <c r="AL417" t="s">
        <v>36</v>
      </c>
      <c r="AM417" t="s">
        <v>4876</v>
      </c>
      <c r="AN417" s="487">
        <v>0</v>
      </c>
      <c r="AO417" s="487">
        <v>0</v>
      </c>
    </row>
    <row r="418" spans="1:88" s="557" customFormat="1" x14ac:dyDescent="0.2">
      <c r="A418" s="557">
        <v>417</v>
      </c>
      <c r="B418" t="s">
        <v>1434</v>
      </c>
      <c r="C418" t="s">
        <v>1439</v>
      </c>
      <c r="D418" t="s">
        <v>4301</v>
      </c>
      <c r="E418" t="s">
        <v>3596</v>
      </c>
      <c r="F418" t="s">
        <v>2140</v>
      </c>
      <c r="G418" t="s">
        <v>36</v>
      </c>
      <c r="H418" t="s">
        <v>2200</v>
      </c>
      <c r="I418" t="s">
        <v>5725</v>
      </c>
      <c r="J418" t="s">
        <v>1768</v>
      </c>
      <c r="K418" t="s">
        <v>2204</v>
      </c>
      <c r="L418" t="s">
        <v>2981</v>
      </c>
      <c r="M418" t="s">
        <v>3426</v>
      </c>
      <c r="N418" t="s">
        <v>1439</v>
      </c>
      <c r="O418" t="s">
        <v>2471</v>
      </c>
      <c r="P418" t="s">
        <v>5350</v>
      </c>
      <c r="Q418" t="s">
        <v>2276</v>
      </c>
      <c r="R418" t="s">
        <v>2358</v>
      </c>
      <c r="S418" t="s">
        <v>3606</v>
      </c>
      <c r="T418">
        <v>1584</v>
      </c>
      <c r="U418" t="s">
        <v>1952</v>
      </c>
      <c r="V418" t="s">
        <v>2413</v>
      </c>
      <c r="W418" t="s">
        <v>3427</v>
      </c>
      <c r="X418" t="s">
        <v>2194</v>
      </c>
      <c r="Y418" t="s">
        <v>3424</v>
      </c>
      <c r="Z418" t="s">
        <v>2315</v>
      </c>
      <c r="AA418" t="s">
        <v>2194</v>
      </c>
      <c r="AB418" t="s">
        <v>3425</v>
      </c>
      <c r="AC418" t="s">
        <v>2195</v>
      </c>
      <c r="AD418" t="s">
        <v>2196</v>
      </c>
      <c r="AE418" t="s">
        <v>1762</v>
      </c>
      <c r="AF418" t="s">
        <v>3419</v>
      </c>
      <c r="AG418" t="s">
        <v>36</v>
      </c>
      <c r="AH418" t="s">
        <v>36</v>
      </c>
      <c r="AI418" t="s">
        <v>36</v>
      </c>
      <c r="AJ418" t="s">
        <v>36</v>
      </c>
      <c r="AK418" t="s">
        <v>2197</v>
      </c>
      <c r="AL418" t="s">
        <v>36</v>
      </c>
      <c r="AM418" t="s">
        <v>4876</v>
      </c>
      <c r="AN418" s="487">
        <v>0</v>
      </c>
      <c r="AO418" s="487">
        <v>0</v>
      </c>
      <c r="CG418"/>
    </row>
    <row r="419" spans="1:88" x14ac:dyDescent="0.2">
      <c r="A419">
        <v>418</v>
      </c>
      <c r="B419" t="s">
        <v>1434</v>
      </c>
      <c r="C419" t="s">
        <v>1441</v>
      </c>
      <c r="D419" t="s">
        <v>4302</v>
      </c>
      <c r="E419" t="s">
        <v>3596</v>
      </c>
      <c r="F419" t="s">
        <v>2140</v>
      </c>
      <c r="G419" t="s">
        <v>36</v>
      </c>
      <c r="H419" t="s">
        <v>2200</v>
      </c>
      <c r="I419" t="s">
        <v>5725</v>
      </c>
      <c r="J419" t="s">
        <v>1768</v>
      </c>
      <c r="K419" t="s">
        <v>2204</v>
      </c>
      <c r="L419" t="s">
        <v>2981</v>
      </c>
      <c r="M419" t="s">
        <v>3411</v>
      </c>
      <c r="N419" t="s">
        <v>1441</v>
      </c>
      <c r="O419" t="s">
        <v>2471</v>
      </c>
      <c r="P419" t="s">
        <v>5351</v>
      </c>
      <c r="Q419" t="s">
        <v>2683</v>
      </c>
      <c r="R419" t="s">
        <v>2358</v>
      </c>
      <c r="S419" t="s">
        <v>3605</v>
      </c>
      <c r="T419">
        <v>1254</v>
      </c>
      <c r="U419" t="s">
        <v>1952</v>
      </c>
      <c r="V419" t="s">
        <v>3423</v>
      </c>
      <c r="W419" t="s">
        <v>5352</v>
      </c>
      <c r="X419" t="s">
        <v>2194</v>
      </c>
      <c r="Y419" t="s">
        <v>3424</v>
      </c>
      <c r="Z419" t="s">
        <v>2315</v>
      </c>
      <c r="AA419" t="s">
        <v>2194</v>
      </c>
      <c r="AB419" t="s">
        <v>3425</v>
      </c>
      <c r="AC419" t="s">
        <v>2195</v>
      </c>
      <c r="AD419" t="s">
        <v>2196</v>
      </c>
      <c r="AE419" t="s">
        <v>1762</v>
      </c>
      <c r="AF419" t="s">
        <v>3419</v>
      </c>
      <c r="AG419" t="s">
        <v>36</v>
      </c>
      <c r="AH419" t="s">
        <v>36</v>
      </c>
      <c r="AI419" t="s">
        <v>36</v>
      </c>
      <c r="AJ419" t="s">
        <v>36</v>
      </c>
      <c r="AK419" t="s">
        <v>2197</v>
      </c>
      <c r="AL419" t="s">
        <v>36</v>
      </c>
      <c r="AM419" t="s">
        <v>4876</v>
      </c>
      <c r="AN419" s="487">
        <v>0</v>
      </c>
      <c r="AO419" s="487">
        <v>0</v>
      </c>
    </row>
    <row r="420" spans="1:88" ht="15" customHeight="1" x14ac:dyDescent="0.2">
      <c r="A420">
        <v>419</v>
      </c>
      <c r="B420" t="s">
        <v>1447</v>
      </c>
      <c r="C420" t="s">
        <v>1449</v>
      </c>
      <c r="D420" t="s">
        <v>4303</v>
      </c>
      <c r="E420" t="s">
        <v>2141</v>
      </c>
      <c r="F420" t="s">
        <v>2038</v>
      </c>
      <c r="G420" t="s">
        <v>36</v>
      </c>
      <c r="H420" t="s">
        <v>2200</v>
      </c>
      <c r="I420" t="s">
        <v>5725</v>
      </c>
      <c r="J420" t="s">
        <v>2188</v>
      </c>
      <c r="K420" t="s">
        <v>3439</v>
      </c>
      <c r="L420" t="s">
        <v>3440</v>
      </c>
      <c r="M420" t="s">
        <v>3441</v>
      </c>
      <c r="N420" t="s">
        <v>1449</v>
      </c>
      <c r="O420" t="s">
        <v>5743</v>
      </c>
      <c r="P420" t="s">
        <v>3611</v>
      </c>
      <c r="Q420" t="s">
        <v>4934</v>
      </c>
      <c r="R420" t="s">
        <v>2257</v>
      </c>
      <c r="S420" t="s">
        <v>3612</v>
      </c>
      <c r="T420">
        <v>0.44</v>
      </c>
      <c r="U420" t="s">
        <v>2223</v>
      </c>
      <c r="V420" t="s">
        <v>3442</v>
      </c>
      <c r="W420">
        <v>4179702002</v>
      </c>
      <c r="X420" t="s">
        <v>4963</v>
      </c>
      <c r="Y420" t="s">
        <v>2280</v>
      </c>
      <c r="Z420" t="s">
        <v>3443</v>
      </c>
      <c r="AA420" t="s">
        <v>4963</v>
      </c>
      <c r="AB420" t="s">
        <v>36</v>
      </c>
      <c r="AC420" t="s">
        <v>2195</v>
      </c>
      <c r="AD420" t="s">
        <v>2196</v>
      </c>
      <c r="AE420" t="s">
        <v>1762</v>
      </c>
      <c r="AF420">
        <v>2.5</v>
      </c>
      <c r="AG420" t="s">
        <v>3956</v>
      </c>
      <c r="AH420" t="s">
        <v>36</v>
      </c>
      <c r="AI420" t="s">
        <v>36</v>
      </c>
      <c r="AJ420" t="s">
        <v>36</v>
      </c>
      <c r="AK420" t="s">
        <v>2197</v>
      </c>
      <c r="AL420" t="s">
        <v>36</v>
      </c>
      <c r="AM420" t="s">
        <v>4876</v>
      </c>
      <c r="AN420" s="487">
        <v>0</v>
      </c>
      <c r="AO420" s="487">
        <v>0</v>
      </c>
    </row>
    <row r="421" spans="1:88" ht="15" customHeight="1" x14ac:dyDescent="0.2">
      <c r="A421">
        <v>420</v>
      </c>
      <c r="B421" t="s">
        <v>1451</v>
      </c>
      <c r="C421" t="s">
        <v>1453</v>
      </c>
      <c r="D421" t="s">
        <v>4304</v>
      </c>
      <c r="E421" t="s">
        <v>3613</v>
      </c>
      <c r="F421" t="s">
        <v>2143</v>
      </c>
      <c r="G421" t="s">
        <v>36</v>
      </c>
      <c r="H421" t="s">
        <v>2200</v>
      </c>
      <c r="I421" t="s">
        <v>5725</v>
      </c>
      <c r="J421" t="s">
        <v>1768</v>
      </c>
      <c r="K421" t="s">
        <v>1453</v>
      </c>
      <c r="L421" t="s">
        <v>3448</v>
      </c>
      <c r="M421" t="s">
        <v>3449</v>
      </c>
      <c r="N421" t="s">
        <v>1453</v>
      </c>
      <c r="O421" t="s">
        <v>906</v>
      </c>
      <c r="P421" t="s">
        <v>2849</v>
      </c>
      <c r="Q421" t="s">
        <v>2276</v>
      </c>
      <c r="R421" t="s">
        <v>2193</v>
      </c>
      <c r="S421" t="s">
        <v>3615</v>
      </c>
      <c r="T421">
        <v>1290</v>
      </c>
      <c r="U421" t="s">
        <v>2223</v>
      </c>
      <c r="V421" t="s">
        <v>3321</v>
      </c>
      <c r="W421" t="s">
        <v>3450</v>
      </c>
      <c r="X421" t="s">
        <v>2194</v>
      </c>
      <c r="Y421" t="s">
        <v>2280</v>
      </c>
      <c r="Z421" t="s">
        <v>3451</v>
      </c>
      <c r="AA421" t="s">
        <v>2194</v>
      </c>
      <c r="AB421" t="s">
        <v>36</v>
      </c>
      <c r="AC421" t="s">
        <v>2195</v>
      </c>
      <c r="AD421" t="s">
        <v>2196</v>
      </c>
      <c r="AE421" t="s">
        <v>1762</v>
      </c>
      <c r="AF421">
        <v>10.199999999999999</v>
      </c>
      <c r="AG421" t="s">
        <v>3957</v>
      </c>
      <c r="AH421">
        <v>1.36</v>
      </c>
      <c r="AI421" t="s">
        <v>4023</v>
      </c>
      <c r="AJ421" t="s">
        <v>36</v>
      </c>
      <c r="AK421" t="s">
        <v>2197</v>
      </c>
      <c r="AL421" t="s">
        <v>36</v>
      </c>
      <c r="AM421" t="s">
        <v>4878</v>
      </c>
      <c r="AN421" s="487">
        <v>0</v>
      </c>
      <c r="AO421" s="487">
        <v>0</v>
      </c>
    </row>
    <row r="422" spans="1:88" s="430" customFormat="1" ht="15" customHeight="1" x14ac:dyDescent="0.2">
      <c r="A422">
        <v>421</v>
      </c>
      <c r="B422" t="s">
        <v>1451</v>
      </c>
      <c r="C422" t="s">
        <v>5795</v>
      </c>
      <c r="D422" t="s">
        <v>5796</v>
      </c>
      <c r="E422" t="s">
        <v>3613</v>
      </c>
      <c r="F422" t="s">
        <v>2143</v>
      </c>
      <c r="G422"/>
      <c r="H422" t="s">
        <v>2200</v>
      </c>
      <c r="I422" t="s">
        <v>5725</v>
      </c>
      <c r="J422" t="s">
        <v>1768</v>
      </c>
      <c r="K422" t="s">
        <v>3372</v>
      </c>
      <c r="L422" t="s">
        <v>5797</v>
      </c>
      <c r="M422" t="s">
        <v>5798</v>
      </c>
      <c r="N422" t="s">
        <v>5799</v>
      </c>
      <c r="O422" t="s">
        <v>906</v>
      </c>
      <c r="P422" t="s">
        <v>5800</v>
      </c>
      <c r="Q422" t="s">
        <v>2276</v>
      </c>
      <c r="R422" t="s">
        <v>2367</v>
      </c>
      <c r="S422" t="s">
        <v>5801</v>
      </c>
      <c r="T422">
        <v>1959</v>
      </c>
      <c r="U422" t="s">
        <v>2223</v>
      </c>
      <c r="V422" t="s">
        <v>3546</v>
      </c>
      <c r="W422" t="s">
        <v>2268</v>
      </c>
      <c r="X422" t="s">
        <v>3477</v>
      </c>
      <c r="Y422" t="s">
        <v>111</v>
      </c>
      <c r="Z422" t="s">
        <v>111</v>
      </c>
      <c r="AA422" t="s">
        <v>111</v>
      </c>
      <c r="AB422" t="s">
        <v>5802</v>
      </c>
      <c r="AC422" t="s">
        <v>2195</v>
      </c>
      <c r="AD422" t="s">
        <v>2196</v>
      </c>
      <c r="AE422" t="s">
        <v>1762</v>
      </c>
      <c r="AF422" t="s">
        <v>5803</v>
      </c>
      <c r="AG422"/>
      <c r="AH422"/>
      <c r="AI422"/>
      <c r="AJ422"/>
      <c r="AK422" t="s">
        <v>2197</v>
      </c>
      <c r="AL422"/>
      <c r="AM422" t="s">
        <v>4876</v>
      </c>
      <c r="AN422" s="487">
        <v>0</v>
      </c>
      <c r="AO422" s="487">
        <v>0</v>
      </c>
      <c r="AP422"/>
      <c r="AQ422"/>
      <c r="AR422"/>
      <c r="CE422"/>
      <c r="CG422"/>
      <c r="CI422"/>
      <c r="CJ422"/>
    </row>
    <row r="423" spans="1:88" s="429" customFormat="1" ht="15" customHeight="1" x14ac:dyDescent="0.2">
      <c r="A423">
        <v>422</v>
      </c>
      <c r="B423" t="s">
        <v>1451</v>
      </c>
      <c r="C423" t="s">
        <v>1455</v>
      </c>
      <c r="D423" t="s">
        <v>4305</v>
      </c>
      <c r="E423" t="s">
        <v>3613</v>
      </c>
      <c r="F423" t="s">
        <v>2143</v>
      </c>
      <c r="G423" t="s">
        <v>36</v>
      </c>
      <c r="H423" t="s">
        <v>2200</v>
      </c>
      <c r="I423" t="s">
        <v>5725</v>
      </c>
      <c r="J423" t="s">
        <v>1768</v>
      </c>
      <c r="K423" t="s">
        <v>3454</v>
      </c>
      <c r="L423" t="s">
        <v>3455</v>
      </c>
      <c r="M423" t="s">
        <v>1455</v>
      </c>
      <c r="N423" t="s">
        <v>1455</v>
      </c>
      <c r="O423" t="s">
        <v>906</v>
      </c>
      <c r="P423" t="s">
        <v>3617</v>
      </c>
      <c r="Q423" t="s">
        <v>2276</v>
      </c>
      <c r="R423" t="s">
        <v>2367</v>
      </c>
      <c r="S423" t="s">
        <v>3618</v>
      </c>
      <c r="T423">
        <v>702</v>
      </c>
      <c r="U423" t="s">
        <v>2222</v>
      </c>
      <c r="V423" t="s">
        <v>3456</v>
      </c>
      <c r="W423" t="s">
        <v>1455</v>
      </c>
      <c r="X423" t="s">
        <v>2353</v>
      </c>
      <c r="Y423" t="s">
        <v>111</v>
      </c>
      <c r="Z423" t="s">
        <v>111</v>
      </c>
      <c r="AA423" t="s">
        <v>111</v>
      </c>
      <c r="AB423" t="s">
        <v>3457</v>
      </c>
      <c r="AC423" t="s">
        <v>2195</v>
      </c>
      <c r="AD423" t="s">
        <v>2196</v>
      </c>
      <c r="AE423" t="s">
        <v>1762</v>
      </c>
      <c r="AF423" t="s">
        <v>36</v>
      </c>
      <c r="AG423" t="s">
        <v>36</v>
      </c>
      <c r="AH423" t="s">
        <v>36</v>
      </c>
      <c r="AI423" t="s">
        <v>36</v>
      </c>
      <c r="AJ423" t="s">
        <v>36</v>
      </c>
      <c r="AK423" t="s">
        <v>2197</v>
      </c>
      <c r="AL423" t="s">
        <v>36</v>
      </c>
      <c r="AM423" t="s">
        <v>4876</v>
      </c>
      <c r="AN423" s="487">
        <v>0</v>
      </c>
      <c r="AO423" s="487">
        <v>0</v>
      </c>
      <c r="AP423"/>
      <c r="AQ423"/>
      <c r="AR423"/>
      <c r="CE423"/>
      <c r="CG423"/>
      <c r="CI423"/>
      <c r="CJ423"/>
    </row>
    <row r="424" spans="1:88" s="430" customFormat="1" ht="15" customHeight="1" x14ac:dyDescent="0.2">
      <c r="A424">
        <v>423</v>
      </c>
      <c r="B424" t="s">
        <v>1451</v>
      </c>
      <c r="C424" t="s">
        <v>1457</v>
      </c>
      <c r="D424" t="s">
        <v>4306</v>
      </c>
      <c r="E424" t="s">
        <v>3613</v>
      </c>
      <c r="F424" t="s">
        <v>2143</v>
      </c>
      <c r="G424" t="s">
        <v>36</v>
      </c>
      <c r="H424" t="s">
        <v>2200</v>
      </c>
      <c r="I424" t="s">
        <v>5725</v>
      </c>
      <c r="J424" t="s">
        <v>1768</v>
      </c>
      <c r="K424" t="s">
        <v>1214</v>
      </c>
      <c r="L424" t="s">
        <v>2315</v>
      </c>
      <c r="M424" t="s">
        <v>3452</v>
      </c>
      <c r="N424" t="s">
        <v>1457</v>
      </c>
      <c r="O424" t="s">
        <v>2471</v>
      </c>
      <c r="P424" t="s">
        <v>2830</v>
      </c>
      <c r="Q424" t="s">
        <v>2192</v>
      </c>
      <c r="R424" t="s">
        <v>2193</v>
      </c>
      <c r="S424" t="s">
        <v>3616</v>
      </c>
      <c r="T424">
        <v>25.1</v>
      </c>
      <c r="U424" t="s">
        <v>2222</v>
      </c>
      <c r="V424" t="s">
        <v>3445</v>
      </c>
      <c r="W424" t="s">
        <v>3453</v>
      </c>
      <c r="X424" t="s">
        <v>2194</v>
      </c>
      <c r="Y424" t="s">
        <v>111</v>
      </c>
      <c r="Z424" t="s">
        <v>111</v>
      </c>
      <c r="AA424" t="s">
        <v>111</v>
      </c>
      <c r="AB424" t="s">
        <v>36</v>
      </c>
      <c r="AC424" t="s">
        <v>2195</v>
      </c>
      <c r="AD424" t="s">
        <v>2196</v>
      </c>
      <c r="AE424" t="s">
        <v>1762</v>
      </c>
      <c r="AF424">
        <v>25</v>
      </c>
      <c r="AG424" t="s">
        <v>3958</v>
      </c>
      <c r="AH424" t="s">
        <v>4024</v>
      </c>
      <c r="AI424" t="s">
        <v>4025</v>
      </c>
      <c r="AJ424" t="s">
        <v>36</v>
      </c>
      <c r="AK424" t="s">
        <v>2197</v>
      </c>
      <c r="AL424" t="s">
        <v>36</v>
      </c>
      <c r="AM424" t="s">
        <v>4876</v>
      </c>
      <c r="AN424" s="487">
        <v>0</v>
      </c>
      <c r="AO424" s="487">
        <v>0</v>
      </c>
      <c r="AP424"/>
      <c r="AQ424"/>
      <c r="AR424"/>
      <c r="CE424"/>
      <c r="CG424"/>
      <c r="CI424"/>
      <c r="CJ424"/>
    </row>
    <row r="425" spans="1:88" s="429" customFormat="1" ht="15" customHeight="1" x14ac:dyDescent="0.2">
      <c r="A425">
        <v>424</v>
      </c>
      <c r="B425" t="s">
        <v>1451</v>
      </c>
      <c r="C425" t="s">
        <v>1988</v>
      </c>
      <c r="D425" t="s">
        <v>4307</v>
      </c>
      <c r="E425" t="s">
        <v>3613</v>
      </c>
      <c r="F425" t="s">
        <v>2143</v>
      </c>
      <c r="G425" t="s">
        <v>36</v>
      </c>
      <c r="H425" t="s">
        <v>2200</v>
      </c>
      <c r="I425" t="s">
        <v>5754</v>
      </c>
      <c r="J425" t="s">
        <v>2188</v>
      </c>
      <c r="K425" t="s">
        <v>3444</v>
      </c>
      <c r="L425" t="s">
        <v>2327</v>
      </c>
      <c r="M425" t="s">
        <v>1988</v>
      </c>
      <c r="N425" t="s">
        <v>1988</v>
      </c>
      <c r="O425" t="s">
        <v>4989</v>
      </c>
      <c r="P425" t="s">
        <v>2517</v>
      </c>
      <c r="Q425" t="s">
        <v>2192</v>
      </c>
      <c r="R425" t="s">
        <v>2257</v>
      </c>
      <c r="S425" t="s">
        <v>3614</v>
      </c>
      <c r="T425">
        <v>177.6</v>
      </c>
      <c r="U425" t="s">
        <v>2222</v>
      </c>
      <c r="V425" t="s">
        <v>3445</v>
      </c>
      <c r="W425" t="s">
        <v>3446</v>
      </c>
      <c r="X425" t="s">
        <v>2276</v>
      </c>
      <c r="Y425" t="s">
        <v>111</v>
      </c>
      <c r="Z425" t="s">
        <v>111</v>
      </c>
      <c r="AA425" t="s">
        <v>111</v>
      </c>
      <c r="AB425" t="s">
        <v>3447</v>
      </c>
      <c r="AC425" t="s">
        <v>2195</v>
      </c>
      <c r="AD425" t="s">
        <v>2196</v>
      </c>
      <c r="AE425" t="s">
        <v>1762</v>
      </c>
      <c r="AF425" t="s">
        <v>3419</v>
      </c>
      <c r="AG425" t="s">
        <v>36</v>
      </c>
      <c r="AH425" t="s">
        <v>36</v>
      </c>
      <c r="AI425" t="s">
        <v>36</v>
      </c>
      <c r="AJ425" t="s">
        <v>36</v>
      </c>
      <c r="AK425" t="s">
        <v>2197</v>
      </c>
      <c r="AL425" t="s">
        <v>36</v>
      </c>
      <c r="AM425" t="s">
        <v>4876</v>
      </c>
      <c r="AN425" s="487"/>
      <c r="AO425" s="487"/>
      <c r="AP425"/>
      <c r="AQ425"/>
      <c r="AR425"/>
      <c r="CE425"/>
      <c r="CG425"/>
      <c r="CI425"/>
      <c r="CJ425"/>
    </row>
    <row r="426" spans="1:88" s="430" customFormat="1" ht="15" customHeight="1" x14ac:dyDescent="0.2">
      <c r="A426">
        <v>425</v>
      </c>
      <c r="B426" t="s">
        <v>1451</v>
      </c>
      <c r="C426" t="s">
        <v>5074</v>
      </c>
      <c r="D426" t="s">
        <v>5075</v>
      </c>
      <c r="E426" t="s">
        <v>3613</v>
      </c>
      <c r="F426" t="s">
        <v>2143</v>
      </c>
      <c r="G426" t="s">
        <v>36</v>
      </c>
      <c r="H426" t="s">
        <v>2200</v>
      </c>
      <c r="I426" t="s">
        <v>5725</v>
      </c>
      <c r="J426" t="s">
        <v>1768</v>
      </c>
      <c r="K426" t="s">
        <v>5076</v>
      </c>
      <c r="L426" t="s">
        <v>5077</v>
      </c>
      <c r="M426" t="s">
        <v>5078</v>
      </c>
      <c r="N426" t="s">
        <v>5079</v>
      </c>
      <c r="O426" t="s">
        <v>5080</v>
      </c>
      <c r="P426" t="s">
        <v>2260</v>
      </c>
      <c r="Q426" t="s">
        <v>2276</v>
      </c>
      <c r="R426" t="s">
        <v>2193</v>
      </c>
      <c r="S426" t="s">
        <v>5081</v>
      </c>
      <c r="T426">
        <v>2340.4</v>
      </c>
      <c r="U426" t="s">
        <v>2223</v>
      </c>
      <c r="V426" t="s">
        <v>2613</v>
      </c>
      <c r="W426" t="s">
        <v>5082</v>
      </c>
      <c r="X426" t="s">
        <v>2194</v>
      </c>
      <c r="Y426" t="s">
        <v>4659</v>
      </c>
      <c r="Z426" t="s">
        <v>5083</v>
      </c>
      <c r="AA426" t="s">
        <v>2194</v>
      </c>
      <c r="AB426" t="s">
        <v>36</v>
      </c>
      <c r="AC426" t="s">
        <v>2195</v>
      </c>
      <c r="AD426" t="s">
        <v>2196</v>
      </c>
      <c r="AE426" t="s">
        <v>1762</v>
      </c>
      <c r="AF426" t="s">
        <v>3419</v>
      </c>
      <c r="AG426" t="s">
        <v>36</v>
      </c>
      <c r="AH426" t="s">
        <v>36</v>
      </c>
      <c r="AI426" t="s">
        <v>36</v>
      </c>
      <c r="AJ426" t="s">
        <v>36</v>
      </c>
      <c r="AK426" t="s">
        <v>2197</v>
      </c>
      <c r="AL426" t="s">
        <v>36</v>
      </c>
      <c r="AM426" t="s">
        <v>4876</v>
      </c>
      <c r="AN426" s="487">
        <v>0</v>
      </c>
      <c r="AO426" s="487">
        <v>0</v>
      </c>
      <c r="AP426"/>
      <c r="AQ426"/>
      <c r="AR426"/>
      <c r="CE426"/>
      <c r="CG426"/>
      <c r="CI426"/>
      <c r="CJ426"/>
    </row>
    <row r="427" spans="1:88" s="429" customFormat="1" ht="15" customHeight="1" x14ac:dyDescent="0.2">
      <c r="A427">
        <v>426</v>
      </c>
      <c r="B427" t="s">
        <v>1451</v>
      </c>
      <c r="C427" t="s">
        <v>5844</v>
      </c>
      <c r="D427" t="s">
        <v>5845</v>
      </c>
      <c r="E427" t="s">
        <v>3613</v>
      </c>
      <c r="F427" t="s">
        <v>2143</v>
      </c>
      <c r="G427"/>
      <c r="H427" t="s">
        <v>2200</v>
      </c>
      <c r="I427" t="s">
        <v>5725</v>
      </c>
      <c r="J427" t="s">
        <v>1768</v>
      </c>
      <c r="K427" t="s">
        <v>5846</v>
      </c>
      <c r="L427" t="s">
        <v>5847</v>
      </c>
      <c r="M427" t="s">
        <v>5848</v>
      </c>
      <c r="N427" t="s">
        <v>5844</v>
      </c>
      <c r="O427" t="s">
        <v>2471</v>
      </c>
      <c r="P427" t="s">
        <v>5849</v>
      </c>
      <c r="Q427" t="s">
        <v>2276</v>
      </c>
      <c r="R427" t="s">
        <v>4849</v>
      </c>
      <c r="S427" t="s">
        <v>5850</v>
      </c>
      <c r="T427">
        <v>190.3</v>
      </c>
      <c r="U427"/>
      <c r="V427" t="s">
        <v>2327</v>
      </c>
      <c r="W427" t="s">
        <v>5851</v>
      </c>
      <c r="X427" t="s">
        <v>2194</v>
      </c>
      <c r="Y427" t="s">
        <v>2327</v>
      </c>
      <c r="Z427" t="s">
        <v>5851</v>
      </c>
      <c r="AA427" t="s">
        <v>2194</v>
      </c>
      <c r="AB427"/>
      <c r="AC427" t="s">
        <v>2195</v>
      </c>
      <c r="AD427" t="s">
        <v>2196</v>
      </c>
      <c r="AE427" t="s">
        <v>1762</v>
      </c>
      <c r="AF427" t="s">
        <v>3419</v>
      </c>
      <c r="AG427"/>
      <c r="AH427"/>
      <c r="AI427"/>
      <c r="AJ427"/>
      <c r="AK427" t="s">
        <v>2197</v>
      </c>
      <c r="AL427"/>
      <c r="AM427" t="s">
        <v>4876</v>
      </c>
      <c r="AN427" s="487"/>
      <c r="AO427" s="487"/>
      <c r="AP427"/>
      <c r="AQ427"/>
      <c r="AR427"/>
      <c r="CE427"/>
      <c r="CG427"/>
      <c r="CI427"/>
      <c r="CJ427"/>
    </row>
    <row r="428" spans="1:88" s="430" customFormat="1" ht="15" customHeight="1" x14ac:dyDescent="0.2">
      <c r="A428">
        <v>427</v>
      </c>
      <c r="B428" t="s">
        <v>1451</v>
      </c>
      <c r="C428" t="s">
        <v>5852</v>
      </c>
      <c r="D428" t="s">
        <v>5853</v>
      </c>
      <c r="E428" t="s">
        <v>3613</v>
      </c>
      <c r="F428" t="s">
        <v>2143</v>
      </c>
      <c r="G428"/>
      <c r="H428" t="s">
        <v>2200</v>
      </c>
      <c r="I428" t="s">
        <v>5725</v>
      </c>
      <c r="J428" t="s">
        <v>1768</v>
      </c>
      <c r="K428" t="s">
        <v>5854</v>
      </c>
      <c r="L428" t="s">
        <v>5847</v>
      </c>
      <c r="M428" t="s">
        <v>5855</v>
      </c>
      <c r="N428" t="s">
        <v>5852</v>
      </c>
      <c r="O428" t="s">
        <v>2471</v>
      </c>
      <c r="P428" t="s">
        <v>5849</v>
      </c>
      <c r="Q428" t="s">
        <v>2276</v>
      </c>
      <c r="R428" t="s">
        <v>4849</v>
      </c>
      <c r="S428" t="s">
        <v>5850</v>
      </c>
      <c r="T428">
        <v>190.3</v>
      </c>
      <c r="U428"/>
      <c r="V428" t="s">
        <v>2327</v>
      </c>
      <c r="W428" t="s">
        <v>5851</v>
      </c>
      <c r="X428" t="s">
        <v>2194</v>
      </c>
      <c r="Y428" t="s">
        <v>2327</v>
      </c>
      <c r="Z428" t="s">
        <v>5851</v>
      </c>
      <c r="AA428" t="s">
        <v>2194</v>
      </c>
      <c r="AB428"/>
      <c r="AC428" t="s">
        <v>2195</v>
      </c>
      <c r="AD428" t="s">
        <v>2196</v>
      </c>
      <c r="AE428" t="s">
        <v>1762</v>
      </c>
      <c r="AF428" t="s">
        <v>3419</v>
      </c>
      <c r="AG428"/>
      <c r="AH428"/>
      <c r="AI428"/>
      <c r="AJ428"/>
      <c r="AK428" t="s">
        <v>2197</v>
      </c>
      <c r="AL428"/>
      <c r="AM428" t="s">
        <v>4876</v>
      </c>
      <c r="AN428" s="487"/>
      <c r="AO428" s="487"/>
      <c r="AP428"/>
      <c r="AQ428"/>
      <c r="AR428"/>
      <c r="CE428"/>
      <c r="CG428"/>
      <c r="CI428"/>
      <c r="CJ428"/>
    </row>
    <row r="429" spans="1:88" s="429" customFormat="1" ht="15" customHeight="1" x14ac:dyDescent="0.2">
      <c r="A429">
        <v>428</v>
      </c>
      <c r="B429" t="s">
        <v>1451</v>
      </c>
      <c r="C429" t="s">
        <v>5856</v>
      </c>
      <c r="D429" t="s">
        <v>5857</v>
      </c>
      <c r="E429" t="s">
        <v>3613</v>
      </c>
      <c r="F429" t="s">
        <v>2143</v>
      </c>
      <c r="G429"/>
      <c r="H429" t="s">
        <v>2200</v>
      </c>
      <c r="I429" t="s">
        <v>5725</v>
      </c>
      <c r="J429" t="s">
        <v>1768</v>
      </c>
      <c r="K429" t="s">
        <v>5858</v>
      </c>
      <c r="L429" t="s">
        <v>5847</v>
      </c>
      <c r="M429" t="s">
        <v>5859</v>
      </c>
      <c r="N429" t="s">
        <v>5856</v>
      </c>
      <c r="O429" t="s">
        <v>2471</v>
      </c>
      <c r="P429" t="s">
        <v>5860</v>
      </c>
      <c r="Q429" t="s">
        <v>2276</v>
      </c>
      <c r="R429" t="s">
        <v>4849</v>
      </c>
      <c r="S429" t="s">
        <v>5850</v>
      </c>
      <c r="T429">
        <v>190.3</v>
      </c>
      <c r="U429"/>
      <c r="V429" t="s">
        <v>2327</v>
      </c>
      <c r="W429" t="s">
        <v>5851</v>
      </c>
      <c r="X429" t="s">
        <v>2194</v>
      </c>
      <c r="Y429" t="s">
        <v>2327</v>
      </c>
      <c r="Z429" t="s">
        <v>5851</v>
      </c>
      <c r="AA429" t="s">
        <v>2194</v>
      </c>
      <c r="AB429"/>
      <c r="AC429" t="s">
        <v>2195</v>
      </c>
      <c r="AD429" t="s">
        <v>2196</v>
      </c>
      <c r="AE429" t="s">
        <v>1762</v>
      </c>
      <c r="AF429" t="s">
        <v>3419</v>
      </c>
      <c r="AG429"/>
      <c r="AH429"/>
      <c r="AI429"/>
      <c r="AJ429"/>
      <c r="AK429" t="s">
        <v>2197</v>
      </c>
      <c r="AL429"/>
      <c r="AM429" t="s">
        <v>4876</v>
      </c>
      <c r="AN429" s="487"/>
      <c r="AO429" s="487"/>
      <c r="AP429"/>
      <c r="AQ429"/>
      <c r="AR429"/>
      <c r="CE429"/>
      <c r="CG429"/>
      <c r="CI429"/>
      <c r="CJ429"/>
    </row>
    <row r="430" spans="1:88" s="430" customFormat="1" ht="12.75" customHeight="1" x14ac:dyDescent="0.2">
      <c r="A430">
        <v>429</v>
      </c>
      <c r="B430" t="s">
        <v>1451</v>
      </c>
      <c r="C430" t="s">
        <v>5861</v>
      </c>
      <c r="D430" t="s">
        <v>5862</v>
      </c>
      <c r="E430" t="s">
        <v>3613</v>
      </c>
      <c r="F430" t="s">
        <v>2143</v>
      </c>
      <c r="G430"/>
      <c r="H430" t="s">
        <v>2200</v>
      </c>
      <c r="I430" t="s">
        <v>5725</v>
      </c>
      <c r="J430" t="s">
        <v>1768</v>
      </c>
      <c r="K430" t="s">
        <v>5863</v>
      </c>
      <c r="L430" t="s">
        <v>5847</v>
      </c>
      <c r="M430" t="s">
        <v>5864</v>
      </c>
      <c r="N430" t="s">
        <v>5861</v>
      </c>
      <c r="O430" t="s">
        <v>2471</v>
      </c>
      <c r="P430" t="s">
        <v>5860</v>
      </c>
      <c r="Q430" t="s">
        <v>2276</v>
      </c>
      <c r="R430" t="s">
        <v>4849</v>
      </c>
      <c r="S430" t="s">
        <v>5850</v>
      </c>
      <c r="T430">
        <v>190.3</v>
      </c>
      <c r="U430"/>
      <c r="V430" t="s">
        <v>2327</v>
      </c>
      <c r="W430" t="s">
        <v>5851</v>
      </c>
      <c r="X430" t="s">
        <v>2194</v>
      </c>
      <c r="Y430" t="s">
        <v>2327</v>
      </c>
      <c r="Z430" t="s">
        <v>5851</v>
      </c>
      <c r="AA430" t="s">
        <v>2194</v>
      </c>
      <c r="AB430"/>
      <c r="AC430" t="s">
        <v>2195</v>
      </c>
      <c r="AD430" t="s">
        <v>2196</v>
      </c>
      <c r="AE430" t="s">
        <v>1762</v>
      </c>
      <c r="AF430" t="s">
        <v>3419</v>
      </c>
      <c r="AG430"/>
      <c r="AH430"/>
      <c r="AI430"/>
      <c r="AJ430"/>
      <c r="AK430" t="s">
        <v>2197</v>
      </c>
      <c r="AL430"/>
      <c r="AM430" t="s">
        <v>4876</v>
      </c>
      <c r="AN430" s="487"/>
      <c r="AO430" s="487"/>
      <c r="AP430"/>
      <c r="AQ430"/>
      <c r="AR430"/>
      <c r="CE430"/>
      <c r="CG430"/>
      <c r="CI430"/>
      <c r="CJ430"/>
    </row>
    <row r="431" spans="1:88" s="429" customFormat="1" ht="15" customHeight="1" x14ac:dyDescent="0.2">
      <c r="A431">
        <v>430</v>
      </c>
      <c r="B431" t="s">
        <v>1451</v>
      </c>
      <c r="C431" t="s">
        <v>5865</v>
      </c>
      <c r="D431" t="s">
        <v>5866</v>
      </c>
      <c r="E431" t="s">
        <v>3613</v>
      </c>
      <c r="F431" t="s">
        <v>2143</v>
      </c>
      <c r="G431"/>
      <c r="H431" t="s">
        <v>2200</v>
      </c>
      <c r="I431" t="s">
        <v>5725</v>
      </c>
      <c r="J431" t="s">
        <v>1768</v>
      </c>
      <c r="K431" t="s">
        <v>5867</v>
      </c>
      <c r="L431" t="s">
        <v>5847</v>
      </c>
      <c r="M431" t="s">
        <v>5868</v>
      </c>
      <c r="N431" t="s">
        <v>5865</v>
      </c>
      <c r="O431" t="s">
        <v>2471</v>
      </c>
      <c r="P431" t="s">
        <v>5869</v>
      </c>
      <c r="Q431" t="s">
        <v>2276</v>
      </c>
      <c r="R431" t="s">
        <v>4849</v>
      </c>
      <c r="S431" t="s">
        <v>5850</v>
      </c>
      <c r="T431">
        <v>190.3</v>
      </c>
      <c r="U431"/>
      <c r="V431" t="s">
        <v>2327</v>
      </c>
      <c r="W431" t="s">
        <v>5851</v>
      </c>
      <c r="X431" t="s">
        <v>2194</v>
      </c>
      <c r="Y431" t="s">
        <v>2327</v>
      </c>
      <c r="Z431" t="s">
        <v>5851</v>
      </c>
      <c r="AA431" t="s">
        <v>2194</v>
      </c>
      <c r="AB431"/>
      <c r="AC431" t="s">
        <v>2195</v>
      </c>
      <c r="AD431" t="s">
        <v>2196</v>
      </c>
      <c r="AE431" t="s">
        <v>1762</v>
      </c>
      <c r="AF431" t="s">
        <v>3419</v>
      </c>
      <c r="AG431"/>
      <c r="AH431"/>
      <c r="AI431"/>
      <c r="AJ431"/>
      <c r="AK431" t="s">
        <v>2197</v>
      </c>
      <c r="AL431"/>
      <c r="AM431" t="s">
        <v>4876</v>
      </c>
      <c r="AN431" s="487"/>
      <c r="AO431" s="487"/>
      <c r="AP431"/>
      <c r="AQ431"/>
      <c r="AR431"/>
      <c r="CE431"/>
      <c r="CG431"/>
      <c r="CI431"/>
      <c r="CJ431"/>
    </row>
    <row r="432" spans="1:88" s="430" customFormat="1" ht="15" customHeight="1" x14ac:dyDescent="0.2">
      <c r="A432">
        <v>431</v>
      </c>
      <c r="B432" t="s">
        <v>1451</v>
      </c>
      <c r="C432" t="s">
        <v>5870</v>
      </c>
      <c r="D432" t="s">
        <v>5871</v>
      </c>
      <c r="E432" t="s">
        <v>3613</v>
      </c>
      <c r="F432" t="s">
        <v>2143</v>
      </c>
      <c r="G432"/>
      <c r="H432" t="s">
        <v>2200</v>
      </c>
      <c r="I432" t="s">
        <v>5725</v>
      </c>
      <c r="J432" t="s">
        <v>1768</v>
      </c>
      <c r="K432" t="s">
        <v>5872</v>
      </c>
      <c r="L432" t="s">
        <v>5847</v>
      </c>
      <c r="M432" t="s">
        <v>5873</v>
      </c>
      <c r="N432" t="s">
        <v>5870</v>
      </c>
      <c r="O432" t="s">
        <v>2471</v>
      </c>
      <c r="P432" t="s">
        <v>5874</v>
      </c>
      <c r="Q432" t="s">
        <v>2276</v>
      </c>
      <c r="R432" t="s">
        <v>4849</v>
      </c>
      <c r="S432" t="s">
        <v>5850</v>
      </c>
      <c r="T432">
        <v>190.3</v>
      </c>
      <c r="U432"/>
      <c r="V432" t="s">
        <v>2327</v>
      </c>
      <c r="W432" t="s">
        <v>5851</v>
      </c>
      <c r="X432" t="s">
        <v>2194</v>
      </c>
      <c r="Y432" t="s">
        <v>2327</v>
      </c>
      <c r="Z432" t="s">
        <v>5851</v>
      </c>
      <c r="AA432" t="s">
        <v>2194</v>
      </c>
      <c r="AB432"/>
      <c r="AC432" t="s">
        <v>2195</v>
      </c>
      <c r="AD432" t="s">
        <v>2196</v>
      </c>
      <c r="AE432" t="s">
        <v>1762</v>
      </c>
      <c r="AF432" t="s">
        <v>3419</v>
      </c>
      <c r="AG432"/>
      <c r="AH432"/>
      <c r="AI432"/>
      <c r="AJ432"/>
      <c r="AK432" t="s">
        <v>2197</v>
      </c>
      <c r="AL432"/>
      <c r="AM432" t="s">
        <v>4876</v>
      </c>
      <c r="AN432" s="487"/>
      <c r="AO432" s="487"/>
      <c r="AP432"/>
      <c r="AQ432"/>
      <c r="AR432"/>
      <c r="CE432"/>
      <c r="CG432"/>
      <c r="CI432"/>
      <c r="CJ432"/>
    </row>
    <row r="433" spans="1:88" s="429" customFormat="1" ht="15" customHeight="1" x14ac:dyDescent="0.2">
      <c r="A433">
        <v>432</v>
      </c>
      <c r="B433" t="s">
        <v>1451</v>
      </c>
      <c r="C433" t="s">
        <v>5875</v>
      </c>
      <c r="D433" t="s">
        <v>5876</v>
      </c>
      <c r="E433" t="s">
        <v>3613</v>
      </c>
      <c r="F433" t="s">
        <v>2143</v>
      </c>
      <c r="G433"/>
      <c r="H433" t="s">
        <v>2200</v>
      </c>
      <c r="I433" t="s">
        <v>5725</v>
      </c>
      <c r="J433" t="s">
        <v>1768</v>
      </c>
      <c r="K433" t="s">
        <v>5877</v>
      </c>
      <c r="L433" t="s">
        <v>5847</v>
      </c>
      <c r="M433" t="s">
        <v>5878</v>
      </c>
      <c r="N433" t="s">
        <v>5875</v>
      </c>
      <c r="O433" t="s">
        <v>2471</v>
      </c>
      <c r="P433" t="s">
        <v>5869</v>
      </c>
      <c r="Q433" t="s">
        <v>2276</v>
      </c>
      <c r="R433" t="s">
        <v>4849</v>
      </c>
      <c r="S433" t="s">
        <v>5850</v>
      </c>
      <c r="T433">
        <v>190.3</v>
      </c>
      <c r="U433"/>
      <c r="V433" t="s">
        <v>2327</v>
      </c>
      <c r="W433" t="s">
        <v>5851</v>
      </c>
      <c r="X433" t="s">
        <v>2194</v>
      </c>
      <c r="Y433" t="s">
        <v>2327</v>
      </c>
      <c r="Z433" t="s">
        <v>5851</v>
      </c>
      <c r="AA433" t="s">
        <v>2194</v>
      </c>
      <c r="AB433"/>
      <c r="AC433" t="s">
        <v>2195</v>
      </c>
      <c r="AD433" t="s">
        <v>2196</v>
      </c>
      <c r="AE433" t="s">
        <v>1762</v>
      </c>
      <c r="AF433" t="s">
        <v>3419</v>
      </c>
      <c r="AG433"/>
      <c r="AH433"/>
      <c r="AI433"/>
      <c r="AJ433"/>
      <c r="AK433" t="s">
        <v>2197</v>
      </c>
      <c r="AL433"/>
      <c r="AM433" t="s">
        <v>4876</v>
      </c>
      <c r="AN433" s="487"/>
      <c r="AO433" s="487"/>
      <c r="AP433"/>
      <c r="AQ433"/>
      <c r="AR433"/>
      <c r="CE433"/>
      <c r="CG433"/>
      <c r="CI433"/>
      <c r="CJ433"/>
    </row>
    <row r="434" spans="1:88" s="430" customFormat="1" ht="15" customHeight="1" x14ac:dyDescent="0.2">
      <c r="A434">
        <v>433</v>
      </c>
      <c r="B434" t="s">
        <v>1451</v>
      </c>
      <c r="C434" t="s">
        <v>5879</v>
      </c>
      <c r="D434" t="s">
        <v>5880</v>
      </c>
      <c r="E434" t="s">
        <v>3613</v>
      </c>
      <c r="F434" t="s">
        <v>2143</v>
      </c>
      <c r="G434"/>
      <c r="H434" t="s">
        <v>2200</v>
      </c>
      <c r="I434" t="s">
        <v>5725</v>
      </c>
      <c r="J434" t="s">
        <v>1768</v>
      </c>
      <c r="K434" t="s">
        <v>5881</v>
      </c>
      <c r="L434" t="s">
        <v>5847</v>
      </c>
      <c r="M434" t="s">
        <v>5882</v>
      </c>
      <c r="N434" t="s">
        <v>5879</v>
      </c>
      <c r="O434" t="s">
        <v>2471</v>
      </c>
      <c r="P434" t="s">
        <v>5849</v>
      </c>
      <c r="Q434" t="s">
        <v>2276</v>
      </c>
      <c r="R434" t="s">
        <v>4849</v>
      </c>
      <c r="S434" t="s">
        <v>5850</v>
      </c>
      <c r="T434">
        <v>190.3</v>
      </c>
      <c r="U434"/>
      <c r="V434" t="s">
        <v>2327</v>
      </c>
      <c r="W434" t="s">
        <v>5851</v>
      </c>
      <c r="X434" t="s">
        <v>2194</v>
      </c>
      <c r="Y434" t="s">
        <v>2327</v>
      </c>
      <c r="Z434" t="s">
        <v>5851</v>
      </c>
      <c r="AA434" t="s">
        <v>2194</v>
      </c>
      <c r="AB434"/>
      <c r="AC434" t="s">
        <v>2195</v>
      </c>
      <c r="AD434" t="s">
        <v>2196</v>
      </c>
      <c r="AE434" t="s">
        <v>1762</v>
      </c>
      <c r="AF434" t="s">
        <v>3419</v>
      </c>
      <c r="AG434"/>
      <c r="AH434"/>
      <c r="AI434"/>
      <c r="AJ434"/>
      <c r="AK434" t="s">
        <v>2197</v>
      </c>
      <c r="AL434"/>
      <c r="AM434" t="s">
        <v>4876</v>
      </c>
      <c r="AN434" s="487"/>
      <c r="AO434" s="487"/>
      <c r="AP434"/>
      <c r="AQ434"/>
      <c r="AR434"/>
      <c r="CE434"/>
      <c r="CG434"/>
      <c r="CI434"/>
      <c r="CJ434"/>
    </row>
    <row r="435" spans="1:88" s="429" customFormat="1" ht="15" customHeight="1" x14ac:dyDescent="0.2">
      <c r="A435">
        <v>434</v>
      </c>
      <c r="B435" t="s">
        <v>1451</v>
      </c>
      <c r="C435" t="s">
        <v>5883</v>
      </c>
      <c r="D435" t="s">
        <v>5884</v>
      </c>
      <c r="E435" t="s">
        <v>3613</v>
      </c>
      <c r="F435" t="s">
        <v>2143</v>
      </c>
      <c r="G435"/>
      <c r="H435" t="s">
        <v>2200</v>
      </c>
      <c r="I435" t="s">
        <v>5725</v>
      </c>
      <c r="J435" t="s">
        <v>1768</v>
      </c>
      <c r="K435" t="s">
        <v>5885</v>
      </c>
      <c r="L435" t="s">
        <v>5847</v>
      </c>
      <c r="M435" t="s">
        <v>5886</v>
      </c>
      <c r="N435" t="s">
        <v>5883</v>
      </c>
      <c r="O435" t="s">
        <v>2471</v>
      </c>
      <c r="P435" t="s">
        <v>5849</v>
      </c>
      <c r="Q435" t="s">
        <v>2276</v>
      </c>
      <c r="R435" t="s">
        <v>4849</v>
      </c>
      <c r="S435" t="s">
        <v>5850</v>
      </c>
      <c r="T435">
        <v>190.3</v>
      </c>
      <c r="U435"/>
      <c r="V435" t="s">
        <v>2327</v>
      </c>
      <c r="W435" t="s">
        <v>5851</v>
      </c>
      <c r="X435" t="s">
        <v>2194</v>
      </c>
      <c r="Y435" t="s">
        <v>2327</v>
      </c>
      <c r="Z435" t="s">
        <v>5851</v>
      </c>
      <c r="AA435" t="s">
        <v>2194</v>
      </c>
      <c r="AB435"/>
      <c r="AC435" t="s">
        <v>2195</v>
      </c>
      <c r="AD435" t="s">
        <v>2196</v>
      </c>
      <c r="AE435" t="s">
        <v>1762</v>
      </c>
      <c r="AF435" t="s">
        <v>3419</v>
      </c>
      <c r="AG435"/>
      <c r="AH435"/>
      <c r="AI435"/>
      <c r="AJ435"/>
      <c r="AK435" t="s">
        <v>2197</v>
      </c>
      <c r="AL435"/>
      <c r="AM435" t="s">
        <v>4876</v>
      </c>
      <c r="AN435" s="487"/>
      <c r="AO435" s="487"/>
      <c r="AP435"/>
      <c r="AQ435"/>
      <c r="AR435"/>
      <c r="CE435"/>
      <c r="CG435"/>
      <c r="CI435"/>
      <c r="CJ435"/>
    </row>
    <row r="436" spans="1:88" s="430" customFormat="1" ht="15" customHeight="1" x14ac:dyDescent="0.2">
      <c r="A436">
        <v>435</v>
      </c>
      <c r="B436" t="s">
        <v>1451</v>
      </c>
      <c r="C436" t="s">
        <v>5887</v>
      </c>
      <c r="D436" t="s">
        <v>5888</v>
      </c>
      <c r="E436" t="s">
        <v>3613</v>
      </c>
      <c r="F436" t="s">
        <v>2143</v>
      </c>
      <c r="G436"/>
      <c r="H436" t="s">
        <v>2200</v>
      </c>
      <c r="I436" t="s">
        <v>5725</v>
      </c>
      <c r="J436" t="s">
        <v>1768</v>
      </c>
      <c r="K436" t="s">
        <v>5889</v>
      </c>
      <c r="L436" t="s">
        <v>5847</v>
      </c>
      <c r="M436" t="s">
        <v>5890</v>
      </c>
      <c r="N436" t="s">
        <v>5887</v>
      </c>
      <c r="O436" t="s">
        <v>2471</v>
      </c>
      <c r="P436" t="s">
        <v>5891</v>
      </c>
      <c r="Q436" t="s">
        <v>2276</v>
      </c>
      <c r="R436" t="s">
        <v>4849</v>
      </c>
      <c r="S436" t="s">
        <v>5850</v>
      </c>
      <c r="T436">
        <v>190.3</v>
      </c>
      <c r="U436"/>
      <c r="V436" t="s">
        <v>2327</v>
      </c>
      <c r="W436" t="s">
        <v>5851</v>
      </c>
      <c r="X436" t="s">
        <v>2194</v>
      </c>
      <c r="Y436" t="s">
        <v>2327</v>
      </c>
      <c r="Z436" t="s">
        <v>5851</v>
      </c>
      <c r="AA436" t="s">
        <v>2194</v>
      </c>
      <c r="AB436"/>
      <c r="AC436" t="s">
        <v>2195</v>
      </c>
      <c r="AD436" t="s">
        <v>2196</v>
      </c>
      <c r="AE436" t="s">
        <v>1762</v>
      </c>
      <c r="AF436" t="s">
        <v>3419</v>
      </c>
      <c r="AG436"/>
      <c r="AH436"/>
      <c r="AI436"/>
      <c r="AJ436"/>
      <c r="AK436" t="s">
        <v>2197</v>
      </c>
      <c r="AL436"/>
      <c r="AM436" t="s">
        <v>4876</v>
      </c>
      <c r="AN436" s="487"/>
      <c r="AO436" s="487"/>
      <c r="AP436"/>
      <c r="AQ436"/>
      <c r="AR436"/>
      <c r="CE436"/>
      <c r="CG436"/>
      <c r="CI436"/>
      <c r="CJ436"/>
    </row>
    <row r="437" spans="1:88" s="429" customFormat="1" ht="15" customHeight="1" x14ac:dyDescent="0.2">
      <c r="A437">
        <v>436</v>
      </c>
      <c r="B437" t="s">
        <v>1451</v>
      </c>
      <c r="C437" t="s">
        <v>5892</v>
      </c>
      <c r="D437" t="s">
        <v>5893</v>
      </c>
      <c r="E437" t="s">
        <v>3613</v>
      </c>
      <c r="F437" t="s">
        <v>2143</v>
      </c>
      <c r="G437"/>
      <c r="H437" t="s">
        <v>2200</v>
      </c>
      <c r="I437" t="s">
        <v>5725</v>
      </c>
      <c r="J437" t="s">
        <v>1768</v>
      </c>
      <c r="K437" t="s">
        <v>5894</v>
      </c>
      <c r="L437" t="s">
        <v>5847</v>
      </c>
      <c r="M437" t="s">
        <v>5895</v>
      </c>
      <c r="N437" t="s">
        <v>5892</v>
      </c>
      <c r="O437" t="s">
        <v>2471</v>
      </c>
      <c r="P437" t="s">
        <v>5896</v>
      </c>
      <c r="Q437" t="s">
        <v>2276</v>
      </c>
      <c r="R437" t="s">
        <v>4849</v>
      </c>
      <c r="S437" t="s">
        <v>5850</v>
      </c>
      <c r="T437">
        <v>190.3</v>
      </c>
      <c r="U437"/>
      <c r="V437" t="s">
        <v>2327</v>
      </c>
      <c r="W437" t="s">
        <v>5851</v>
      </c>
      <c r="X437" t="s">
        <v>2194</v>
      </c>
      <c r="Y437" t="s">
        <v>2327</v>
      </c>
      <c r="Z437" t="s">
        <v>5851</v>
      </c>
      <c r="AA437" t="s">
        <v>2194</v>
      </c>
      <c r="AB437"/>
      <c r="AC437" t="s">
        <v>2195</v>
      </c>
      <c r="AD437" t="s">
        <v>2196</v>
      </c>
      <c r="AE437" t="s">
        <v>1762</v>
      </c>
      <c r="AF437" t="s">
        <v>3419</v>
      </c>
      <c r="AG437"/>
      <c r="AH437"/>
      <c r="AI437"/>
      <c r="AJ437"/>
      <c r="AK437" t="s">
        <v>2197</v>
      </c>
      <c r="AL437"/>
      <c r="AM437" t="s">
        <v>4876</v>
      </c>
      <c r="AN437" s="487"/>
      <c r="AO437" s="487"/>
      <c r="AP437"/>
      <c r="AQ437"/>
      <c r="AR437"/>
      <c r="CE437"/>
      <c r="CG437"/>
      <c r="CI437"/>
      <c r="CJ437"/>
    </row>
    <row r="438" spans="1:88" s="430" customFormat="1" ht="15" customHeight="1" x14ac:dyDescent="0.2">
      <c r="A438">
        <v>437</v>
      </c>
      <c r="B438" t="s">
        <v>1451</v>
      </c>
      <c r="C438" t="s">
        <v>5897</v>
      </c>
      <c r="D438" t="s">
        <v>5898</v>
      </c>
      <c r="E438" t="s">
        <v>3613</v>
      </c>
      <c r="F438" t="s">
        <v>2143</v>
      </c>
      <c r="G438"/>
      <c r="H438" t="s">
        <v>2200</v>
      </c>
      <c r="I438" t="s">
        <v>5725</v>
      </c>
      <c r="J438" t="s">
        <v>1768</v>
      </c>
      <c r="K438" t="s">
        <v>5899</v>
      </c>
      <c r="L438" t="s">
        <v>5847</v>
      </c>
      <c r="M438" t="s">
        <v>5900</v>
      </c>
      <c r="N438" t="s">
        <v>5897</v>
      </c>
      <c r="O438" t="s">
        <v>2471</v>
      </c>
      <c r="P438" t="s">
        <v>5896</v>
      </c>
      <c r="Q438" t="s">
        <v>2276</v>
      </c>
      <c r="R438" t="s">
        <v>4849</v>
      </c>
      <c r="S438" t="s">
        <v>5850</v>
      </c>
      <c r="T438">
        <v>190.3</v>
      </c>
      <c r="U438"/>
      <c r="V438" t="s">
        <v>2327</v>
      </c>
      <c r="W438" t="s">
        <v>5851</v>
      </c>
      <c r="X438" t="s">
        <v>2194</v>
      </c>
      <c r="Y438" t="s">
        <v>2327</v>
      </c>
      <c r="Z438" t="s">
        <v>5851</v>
      </c>
      <c r="AA438" t="s">
        <v>2194</v>
      </c>
      <c r="AB438"/>
      <c r="AC438" t="s">
        <v>2195</v>
      </c>
      <c r="AD438" t="s">
        <v>2196</v>
      </c>
      <c r="AE438" t="s">
        <v>1762</v>
      </c>
      <c r="AF438" t="s">
        <v>3419</v>
      </c>
      <c r="AG438"/>
      <c r="AH438"/>
      <c r="AI438"/>
      <c r="AJ438"/>
      <c r="AK438" t="s">
        <v>2197</v>
      </c>
      <c r="AL438"/>
      <c r="AM438" t="s">
        <v>4876</v>
      </c>
      <c r="AN438" s="487"/>
      <c r="AO438" s="487"/>
      <c r="AP438"/>
      <c r="AQ438"/>
      <c r="AR438"/>
      <c r="CE438"/>
      <c r="CG438"/>
      <c r="CI438"/>
      <c r="CJ438"/>
    </row>
    <row r="439" spans="1:88" ht="15" customHeight="1" x14ac:dyDescent="0.2">
      <c r="A439">
        <v>438</v>
      </c>
      <c r="B439" t="s">
        <v>1451</v>
      </c>
      <c r="C439" t="s">
        <v>5901</v>
      </c>
      <c r="D439" t="s">
        <v>5902</v>
      </c>
      <c r="E439" t="s">
        <v>3613</v>
      </c>
      <c r="F439" t="s">
        <v>2143</v>
      </c>
      <c r="H439" t="s">
        <v>2200</v>
      </c>
      <c r="I439" t="s">
        <v>5725</v>
      </c>
      <c r="J439" t="s">
        <v>1768</v>
      </c>
      <c r="K439" t="s">
        <v>5903</v>
      </c>
      <c r="L439" t="s">
        <v>5847</v>
      </c>
      <c r="M439" t="s">
        <v>5904</v>
      </c>
      <c r="N439" t="s">
        <v>5901</v>
      </c>
      <c r="O439" t="s">
        <v>2471</v>
      </c>
      <c r="P439" t="s">
        <v>5905</v>
      </c>
      <c r="Q439" t="s">
        <v>2276</v>
      </c>
      <c r="R439" t="s">
        <v>4849</v>
      </c>
      <c r="S439" t="s">
        <v>5850</v>
      </c>
      <c r="T439">
        <v>190.3</v>
      </c>
      <c r="V439" t="s">
        <v>2327</v>
      </c>
      <c r="W439" t="s">
        <v>5851</v>
      </c>
      <c r="X439" t="s">
        <v>2194</v>
      </c>
      <c r="Y439" t="s">
        <v>2327</v>
      </c>
      <c r="Z439" t="s">
        <v>5851</v>
      </c>
      <c r="AA439" t="s">
        <v>2194</v>
      </c>
      <c r="AC439" t="s">
        <v>2195</v>
      </c>
      <c r="AD439" t="s">
        <v>2196</v>
      </c>
      <c r="AE439" t="s">
        <v>1762</v>
      </c>
      <c r="AF439" t="s">
        <v>3419</v>
      </c>
      <c r="AK439" t="s">
        <v>2197</v>
      </c>
      <c r="AM439" t="s">
        <v>4876</v>
      </c>
      <c r="AN439" s="487"/>
      <c r="AO439" s="487"/>
    </row>
    <row r="440" spans="1:88" s="430" customFormat="1" ht="15" customHeight="1" x14ac:dyDescent="0.2">
      <c r="A440">
        <v>439</v>
      </c>
      <c r="B440" t="s">
        <v>1451</v>
      </c>
      <c r="C440" t="s">
        <v>5906</v>
      </c>
      <c r="D440" t="s">
        <v>5907</v>
      </c>
      <c r="E440" t="s">
        <v>3613</v>
      </c>
      <c r="F440" t="s">
        <v>2143</v>
      </c>
      <c r="G440"/>
      <c r="H440" t="s">
        <v>2200</v>
      </c>
      <c r="I440" t="s">
        <v>5725</v>
      </c>
      <c r="J440" t="s">
        <v>1768</v>
      </c>
      <c r="K440" t="s">
        <v>5908</v>
      </c>
      <c r="L440" t="s">
        <v>5847</v>
      </c>
      <c r="M440" t="s">
        <v>5909</v>
      </c>
      <c r="N440" t="s">
        <v>5906</v>
      </c>
      <c r="O440" t="s">
        <v>2471</v>
      </c>
      <c r="P440" t="s">
        <v>5910</v>
      </c>
      <c r="Q440" t="s">
        <v>2276</v>
      </c>
      <c r="R440" t="s">
        <v>4849</v>
      </c>
      <c r="S440" t="s">
        <v>5850</v>
      </c>
      <c r="T440">
        <v>190.3</v>
      </c>
      <c r="U440"/>
      <c r="V440" t="s">
        <v>2327</v>
      </c>
      <c r="W440" t="s">
        <v>5851</v>
      </c>
      <c r="X440" t="s">
        <v>2194</v>
      </c>
      <c r="Y440" t="s">
        <v>2327</v>
      </c>
      <c r="Z440" t="s">
        <v>5851</v>
      </c>
      <c r="AA440" t="s">
        <v>2194</v>
      </c>
      <c r="AB440"/>
      <c r="AC440" t="s">
        <v>2195</v>
      </c>
      <c r="AD440" t="s">
        <v>2196</v>
      </c>
      <c r="AE440" t="s">
        <v>1762</v>
      </c>
      <c r="AF440" t="s">
        <v>3419</v>
      </c>
      <c r="AG440"/>
      <c r="AH440"/>
      <c r="AI440"/>
      <c r="AJ440"/>
      <c r="AK440" t="s">
        <v>2197</v>
      </c>
      <c r="AL440"/>
      <c r="AM440" t="s">
        <v>4876</v>
      </c>
      <c r="AN440" s="487"/>
      <c r="AO440" s="487"/>
      <c r="AP440"/>
      <c r="AQ440"/>
      <c r="AR440"/>
      <c r="CE440"/>
      <c r="CG440"/>
      <c r="CI440"/>
      <c r="CJ440"/>
    </row>
    <row r="441" spans="1:88" s="429" customFormat="1" ht="15" customHeight="1" x14ac:dyDescent="0.2">
      <c r="A441">
        <v>440</v>
      </c>
      <c r="B441" t="s">
        <v>1459</v>
      </c>
      <c r="C441">
        <v>330735</v>
      </c>
      <c r="D441" t="s">
        <v>4870</v>
      </c>
      <c r="E441" t="s">
        <v>4871</v>
      </c>
      <c r="F441" t="s">
        <v>2081</v>
      </c>
      <c r="G441" t="s">
        <v>36</v>
      </c>
      <c r="H441" t="s">
        <v>2200</v>
      </c>
      <c r="I441" t="s">
        <v>5725</v>
      </c>
      <c r="J441" t="s">
        <v>2812</v>
      </c>
      <c r="K441" t="s">
        <v>1063</v>
      </c>
      <c r="L441" t="s">
        <v>2857</v>
      </c>
      <c r="M441">
        <v>330735</v>
      </c>
      <c r="N441">
        <v>330735</v>
      </c>
      <c r="O441" t="s">
        <v>906</v>
      </c>
      <c r="P441" t="s">
        <v>2266</v>
      </c>
      <c r="Q441" t="s">
        <v>2273</v>
      </c>
      <c r="R441" t="s">
        <v>2257</v>
      </c>
      <c r="S441" t="s">
        <v>2858</v>
      </c>
      <c r="T441">
        <v>8</v>
      </c>
      <c r="U441" t="s">
        <v>1952</v>
      </c>
      <c r="V441" t="s">
        <v>5533</v>
      </c>
      <c r="W441" t="s">
        <v>5534</v>
      </c>
      <c r="X441" t="s">
        <v>2194</v>
      </c>
      <c r="Y441" t="s">
        <v>5535</v>
      </c>
      <c r="Z441" t="s">
        <v>4449</v>
      </c>
      <c r="AA441" t="s">
        <v>2194</v>
      </c>
      <c r="AB441" t="s">
        <v>36</v>
      </c>
      <c r="AC441" t="s">
        <v>2195</v>
      </c>
      <c r="AD441" t="s">
        <v>2196</v>
      </c>
      <c r="AE441" t="s">
        <v>1762</v>
      </c>
      <c r="AF441">
        <v>0.5</v>
      </c>
      <c r="AG441">
        <v>15</v>
      </c>
      <c r="AH441" t="s">
        <v>36</v>
      </c>
      <c r="AI441" t="s">
        <v>36</v>
      </c>
      <c r="AJ441" t="s">
        <v>36</v>
      </c>
      <c r="AK441" t="s">
        <v>2197</v>
      </c>
      <c r="AL441" t="s">
        <v>36</v>
      </c>
      <c r="AM441" t="s">
        <v>4876</v>
      </c>
      <c r="AN441" s="487"/>
      <c r="AO441" s="487"/>
      <c r="AP441"/>
      <c r="AQ441"/>
      <c r="AR441"/>
      <c r="CE441"/>
      <c r="CG441"/>
      <c r="CI441"/>
      <c r="CJ441"/>
    </row>
    <row r="442" spans="1:88" s="430" customFormat="1" ht="15" customHeight="1" x14ac:dyDescent="0.2">
      <c r="A442">
        <v>441</v>
      </c>
      <c r="B442" t="s">
        <v>1459</v>
      </c>
      <c r="C442" t="s">
        <v>1848</v>
      </c>
      <c r="D442" t="s">
        <v>5109</v>
      </c>
      <c r="E442" t="s">
        <v>2144</v>
      </c>
      <c r="F442" t="s">
        <v>2027</v>
      </c>
      <c r="G442" t="s">
        <v>36</v>
      </c>
      <c r="H442" t="s">
        <v>2200</v>
      </c>
      <c r="I442" t="s">
        <v>5725</v>
      </c>
      <c r="J442" t="s">
        <v>1768</v>
      </c>
      <c r="K442" t="s">
        <v>1848</v>
      </c>
      <c r="L442" t="s">
        <v>5110</v>
      </c>
      <c r="M442" t="s">
        <v>2854</v>
      </c>
      <c r="N442" t="s">
        <v>1848</v>
      </c>
      <c r="O442" t="s">
        <v>2471</v>
      </c>
      <c r="P442" t="s">
        <v>5111</v>
      </c>
      <c r="Q442" t="s">
        <v>2276</v>
      </c>
      <c r="R442" t="s">
        <v>4570</v>
      </c>
      <c r="S442" t="s">
        <v>3557</v>
      </c>
      <c r="T442">
        <v>19.28</v>
      </c>
      <c r="U442" t="s">
        <v>1952</v>
      </c>
      <c r="V442" t="s">
        <v>2268</v>
      </c>
      <c r="W442" t="s">
        <v>5112</v>
      </c>
      <c r="X442" t="s">
        <v>2194</v>
      </c>
      <c r="Y442" t="s">
        <v>2268</v>
      </c>
      <c r="Z442" t="s">
        <v>5112</v>
      </c>
      <c r="AA442" t="s">
        <v>2194</v>
      </c>
      <c r="AB442" t="s">
        <v>36</v>
      </c>
      <c r="AC442" t="s">
        <v>2195</v>
      </c>
      <c r="AD442" t="s">
        <v>4574</v>
      </c>
      <c r="AE442" t="s">
        <v>1762</v>
      </c>
      <c r="AF442" t="s">
        <v>3419</v>
      </c>
      <c r="AG442" t="s">
        <v>36</v>
      </c>
      <c r="AH442" t="s">
        <v>36</v>
      </c>
      <c r="AI442" t="s">
        <v>36</v>
      </c>
      <c r="AJ442" t="s">
        <v>36</v>
      </c>
      <c r="AK442" t="s">
        <v>2197</v>
      </c>
      <c r="AL442" t="s">
        <v>36</v>
      </c>
      <c r="AM442" t="s">
        <v>4877</v>
      </c>
      <c r="AN442" s="487">
        <v>0</v>
      </c>
      <c r="AO442" s="487">
        <v>0</v>
      </c>
      <c r="AP442"/>
      <c r="AQ442"/>
      <c r="AR442"/>
      <c r="CE442"/>
      <c r="CG442"/>
      <c r="CI442"/>
      <c r="CJ442"/>
    </row>
    <row r="443" spans="1:88" s="429" customFormat="1" ht="15" customHeight="1" x14ac:dyDescent="0.2">
      <c r="A443">
        <v>442</v>
      </c>
      <c r="B443" t="s">
        <v>1459</v>
      </c>
      <c r="C443" t="s">
        <v>1467</v>
      </c>
      <c r="D443" t="s">
        <v>4308</v>
      </c>
      <c r="E443" t="s">
        <v>2144</v>
      </c>
      <c r="F443" t="s">
        <v>2027</v>
      </c>
      <c r="G443" t="s">
        <v>36</v>
      </c>
      <c r="H443" t="s">
        <v>2200</v>
      </c>
      <c r="I443" t="s">
        <v>5725</v>
      </c>
      <c r="J443" t="s">
        <v>1768</v>
      </c>
      <c r="K443" t="s">
        <v>3487</v>
      </c>
      <c r="L443" t="s">
        <v>3488</v>
      </c>
      <c r="M443" t="s">
        <v>3489</v>
      </c>
      <c r="N443" t="s">
        <v>1871</v>
      </c>
      <c r="O443" t="s">
        <v>111</v>
      </c>
      <c r="P443" t="s">
        <v>3631</v>
      </c>
      <c r="Q443" t="s">
        <v>3631</v>
      </c>
      <c r="R443" t="s">
        <v>2257</v>
      </c>
      <c r="S443" t="s">
        <v>3632</v>
      </c>
      <c r="T443">
        <v>13.6</v>
      </c>
      <c r="U443" t="s">
        <v>1952</v>
      </c>
      <c r="V443" t="s">
        <v>2460</v>
      </c>
      <c r="W443" t="s">
        <v>3489</v>
      </c>
      <c r="X443">
        <v>0</v>
      </c>
      <c r="Y443">
        <v>0</v>
      </c>
      <c r="Z443">
        <v>0</v>
      </c>
      <c r="AA443">
        <v>0</v>
      </c>
      <c r="AB443" t="s">
        <v>36</v>
      </c>
      <c r="AC443" t="s">
        <v>111</v>
      </c>
      <c r="AD443">
        <v>0</v>
      </c>
      <c r="AE443" t="s">
        <v>1762</v>
      </c>
      <c r="AF443" t="s">
        <v>36</v>
      </c>
      <c r="AG443" t="s">
        <v>36</v>
      </c>
      <c r="AH443" t="s">
        <v>36</v>
      </c>
      <c r="AI443" t="s">
        <v>36</v>
      </c>
      <c r="AJ443" t="s">
        <v>36</v>
      </c>
      <c r="AK443" t="s">
        <v>2197</v>
      </c>
      <c r="AL443" t="s">
        <v>36</v>
      </c>
      <c r="AM443" t="s">
        <v>4893</v>
      </c>
      <c r="AN443" s="487">
        <v>0</v>
      </c>
      <c r="AO443" s="487">
        <v>0</v>
      </c>
      <c r="AP443"/>
      <c r="AQ443"/>
      <c r="AR443"/>
      <c r="CE443"/>
      <c r="CG443"/>
      <c r="CI443"/>
      <c r="CJ443"/>
    </row>
    <row r="444" spans="1:88" s="430" customFormat="1" ht="15" customHeight="1" x14ac:dyDescent="0.2">
      <c r="A444">
        <v>443</v>
      </c>
      <c r="B444" t="s">
        <v>1459</v>
      </c>
      <c r="C444" t="s">
        <v>4960</v>
      </c>
      <c r="D444" t="s">
        <v>4961</v>
      </c>
      <c r="E444" t="s">
        <v>2144</v>
      </c>
      <c r="F444" t="s">
        <v>2027</v>
      </c>
      <c r="G444" t="s">
        <v>36</v>
      </c>
      <c r="H444" t="s">
        <v>2200</v>
      </c>
      <c r="I444" t="s">
        <v>5725</v>
      </c>
      <c r="J444" t="s">
        <v>1768</v>
      </c>
      <c r="K444" t="s">
        <v>2377</v>
      </c>
      <c r="L444" t="s">
        <v>3479</v>
      </c>
      <c r="M444" t="s">
        <v>3480</v>
      </c>
      <c r="N444" t="s">
        <v>4960</v>
      </c>
      <c r="O444" t="s">
        <v>111</v>
      </c>
      <c r="P444" t="s">
        <v>5536</v>
      </c>
      <c r="Q444" t="s">
        <v>5536</v>
      </c>
      <c r="R444" t="s">
        <v>2257</v>
      </c>
      <c r="S444" t="s">
        <v>3628</v>
      </c>
      <c r="T444">
        <v>136</v>
      </c>
      <c r="U444" t="s">
        <v>1952</v>
      </c>
      <c r="V444" t="s">
        <v>2460</v>
      </c>
      <c r="W444" t="s">
        <v>3480</v>
      </c>
      <c r="X444" t="s">
        <v>3083</v>
      </c>
      <c r="Y444" t="s">
        <v>4917</v>
      </c>
      <c r="Z444" t="s">
        <v>4918</v>
      </c>
      <c r="AA444" t="s">
        <v>5537</v>
      </c>
      <c r="AB444" t="s">
        <v>4919</v>
      </c>
      <c r="AC444" t="s">
        <v>2195</v>
      </c>
      <c r="AD444" t="s">
        <v>2196</v>
      </c>
      <c r="AE444" t="s">
        <v>1762</v>
      </c>
      <c r="AF444" t="s">
        <v>36</v>
      </c>
      <c r="AG444" t="s">
        <v>36</v>
      </c>
      <c r="AH444" t="s">
        <v>36</v>
      </c>
      <c r="AI444" t="s">
        <v>36</v>
      </c>
      <c r="AJ444" t="s">
        <v>36</v>
      </c>
      <c r="AK444" t="s">
        <v>2197</v>
      </c>
      <c r="AL444" t="s">
        <v>36</v>
      </c>
      <c r="AM444" t="s">
        <v>4893</v>
      </c>
      <c r="AN444" s="487"/>
      <c r="AO444" s="487"/>
      <c r="AP444"/>
      <c r="AQ444"/>
      <c r="AR444"/>
      <c r="CE444"/>
      <c r="CG444"/>
      <c r="CI444"/>
      <c r="CJ444"/>
    </row>
    <row r="445" spans="1:88" s="429" customFormat="1" ht="15" customHeight="1" x14ac:dyDescent="0.2">
      <c r="A445">
        <v>444</v>
      </c>
      <c r="B445" t="s">
        <v>1459</v>
      </c>
      <c r="C445" t="s">
        <v>5538</v>
      </c>
      <c r="D445" t="s">
        <v>5539</v>
      </c>
      <c r="E445" t="s">
        <v>2144</v>
      </c>
      <c r="F445" t="s">
        <v>2027</v>
      </c>
      <c r="G445" t="s">
        <v>36</v>
      </c>
      <c r="H445" t="s">
        <v>2200</v>
      </c>
      <c r="I445" t="s">
        <v>5725</v>
      </c>
      <c r="J445" t="s">
        <v>1768</v>
      </c>
      <c r="K445" t="s">
        <v>1467</v>
      </c>
      <c r="L445" t="s">
        <v>5540</v>
      </c>
      <c r="M445" t="s">
        <v>5541</v>
      </c>
      <c r="N445" t="s">
        <v>5538</v>
      </c>
      <c r="O445" t="s">
        <v>111</v>
      </c>
      <c r="P445" t="s">
        <v>3631</v>
      </c>
      <c r="Q445" t="s">
        <v>3631</v>
      </c>
      <c r="R445" t="s">
        <v>2257</v>
      </c>
      <c r="S445" t="s">
        <v>5542</v>
      </c>
      <c r="T445">
        <v>56.25</v>
      </c>
      <c r="U445" t="s">
        <v>1952</v>
      </c>
      <c r="V445" t="s">
        <v>5543</v>
      </c>
      <c r="W445" t="s">
        <v>5544</v>
      </c>
      <c r="X445" t="s">
        <v>2810</v>
      </c>
      <c r="Y445" t="s">
        <v>5178</v>
      </c>
      <c r="Z445" t="s">
        <v>4976</v>
      </c>
      <c r="AA445" t="s">
        <v>5179</v>
      </c>
      <c r="AB445" t="s">
        <v>3478</v>
      </c>
      <c r="AC445" t="s">
        <v>2195</v>
      </c>
      <c r="AD445" t="s">
        <v>5545</v>
      </c>
      <c r="AE445" t="s">
        <v>1762</v>
      </c>
      <c r="AF445" t="s">
        <v>4455</v>
      </c>
      <c r="AG445" t="s">
        <v>36</v>
      </c>
      <c r="AH445" t="s">
        <v>36</v>
      </c>
      <c r="AI445" t="s">
        <v>36</v>
      </c>
      <c r="AJ445" t="s">
        <v>36</v>
      </c>
      <c r="AK445" t="s">
        <v>2197</v>
      </c>
      <c r="AL445" t="s">
        <v>36</v>
      </c>
      <c r="AM445" t="s">
        <v>4893</v>
      </c>
      <c r="AN445" s="487">
        <v>0</v>
      </c>
      <c r="AO445" s="487">
        <v>0</v>
      </c>
      <c r="AP445"/>
      <c r="AQ445"/>
      <c r="AR445"/>
      <c r="CE445"/>
      <c r="CG445"/>
      <c r="CI445"/>
      <c r="CJ445"/>
    </row>
    <row r="446" spans="1:88" s="430" customFormat="1" ht="15" customHeight="1" x14ac:dyDescent="0.2">
      <c r="A446">
        <v>445</v>
      </c>
      <c r="B446" t="s">
        <v>1459</v>
      </c>
      <c r="C446" t="s">
        <v>1279</v>
      </c>
      <c r="D446" t="s">
        <v>5180</v>
      </c>
      <c r="E446" t="s">
        <v>2144</v>
      </c>
      <c r="F446" t="s">
        <v>2027</v>
      </c>
      <c r="G446" t="s">
        <v>36</v>
      </c>
      <c r="H446" t="s">
        <v>2200</v>
      </c>
      <c r="I446" t="s">
        <v>5725</v>
      </c>
      <c r="J446" t="s">
        <v>1768</v>
      </c>
      <c r="K446" t="s">
        <v>2377</v>
      </c>
      <c r="L446" t="s">
        <v>3482</v>
      </c>
      <c r="M446" t="s">
        <v>3483</v>
      </c>
      <c r="N446" t="s">
        <v>1279</v>
      </c>
      <c r="O446" t="s">
        <v>111</v>
      </c>
      <c r="P446" t="s">
        <v>3625</v>
      </c>
      <c r="Q446" t="s">
        <v>3625</v>
      </c>
      <c r="R446" t="s">
        <v>2257</v>
      </c>
      <c r="S446" t="s">
        <v>3629</v>
      </c>
      <c r="T446">
        <v>19.600000000000001</v>
      </c>
      <c r="U446" t="s">
        <v>1952</v>
      </c>
      <c r="V446" t="s">
        <v>2460</v>
      </c>
      <c r="W446" t="s">
        <v>3483</v>
      </c>
      <c r="X446" t="s">
        <v>2810</v>
      </c>
      <c r="Y446" t="s">
        <v>5178</v>
      </c>
      <c r="Z446" t="s">
        <v>4449</v>
      </c>
      <c r="AA446" t="s">
        <v>5179</v>
      </c>
      <c r="AB446" t="s">
        <v>3478</v>
      </c>
      <c r="AC446" t="s">
        <v>2195</v>
      </c>
      <c r="AD446" t="s">
        <v>2196</v>
      </c>
      <c r="AE446" t="s">
        <v>1762</v>
      </c>
      <c r="AF446" t="s">
        <v>36</v>
      </c>
      <c r="AG446" t="s">
        <v>36</v>
      </c>
      <c r="AH446" t="s">
        <v>36</v>
      </c>
      <c r="AI446" t="s">
        <v>36</v>
      </c>
      <c r="AJ446" t="s">
        <v>36</v>
      </c>
      <c r="AK446" t="s">
        <v>2197</v>
      </c>
      <c r="AL446" t="s">
        <v>36</v>
      </c>
      <c r="AM446" t="s">
        <v>4893</v>
      </c>
      <c r="AN446" s="487">
        <v>0</v>
      </c>
      <c r="AO446" s="487">
        <v>0</v>
      </c>
      <c r="AP446"/>
      <c r="AQ446"/>
      <c r="AR446"/>
      <c r="CE446"/>
      <c r="CG446"/>
      <c r="CI446"/>
      <c r="CJ446"/>
    </row>
    <row r="447" spans="1:88" s="429" customFormat="1" ht="15" customHeight="1" x14ac:dyDescent="0.2">
      <c r="A447">
        <v>446</v>
      </c>
      <c r="B447" t="s">
        <v>1459</v>
      </c>
      <c r="C447" t="s">
        <v>1469</v>
      </c>
      <c r="D447" t="s">
        <v>4309</v>
      </c>
      <c r="E447" t="s">
        <v>2144</v>
      </c>
      <c r="F447" t="s">
        <v>2027</v>
      </c>
      <c r="G447" t="s">
        <v>36</v>
      </c>
      <c r="H447" t="s">
        <v>2200</v>
      </c>
      <c r="I447" t="s">
        <v>5725</v>
      </c>
      <c r="J447" t="s">
        <v>1768</v>
      </c>
      <c r="K447" t="s">
        <v>2377</v>
      </c>
      <c r="L447" t="s">
        <v>3484</v>
      </c>
      <c r="M447" t="s">
        <v>3485</v>
      </c>
      <c r="N447" t="s">
        <v>1469</v>
      </c>
      <c r="O447" t="s">
        <v>111</v>
      </c>
      <c r="P447" t="s">
        <v>3625</v>
      </c>
      <c r="Q447" t="s">
        <v>3625</v>
      </c>
      <c r="R447" t="s">
        <v>2257</v>
      </c>
      <c r="S447" t="s">
        <v>3630</v>
      </c>
      <c r="T447">
        <v>19.899999999999999</v>
      </c>
      <c r="U447" t="s">
        <v>1952</v>
      </c>
      <c r="V447" t="s">
        <v>2460</v>
      </c>
      <c r="W447" t="s">
        <v>3486</v>
      </c>
      <c r="X447" t="s">
        <v>2810</v>
      </c>
      <c r="Y447" t="s">
        <v>4466</v>
      </c>
      <c r="Z447" t="s">
        <v>4449</v>
      </c>
      <c r="AA447" t="s">
        <v>3477</v>
      </c>
      <c r="AB447" t="s">
        <v>3481</v>
      </c>
      <c r="AC447" t="s">
        <v>2195</v>
      </c>
      <c r="AD447" t="s">
        <v>2196</v>
      </c>
      <c r="AE447" t="s">
        <v>1762</v>
      </c>
      <c r="AF447" t="s">
        <v>36</v>
      </c>
      <c r="AG447" t="s">
        <v>36</v>
      </c>
      <c r="AH447" t="s">
        <v>36</v>
      </c>
      <c r="AI447" t="s">
        <v>36</v>
      </c>
      <c r="AJ447" t="s">
        <v>36</v>
      </c>
      <c r="AK447" t="s">
        <v>2197</v>
      </c>
      <c r="AL447" t="s">
        <v>36</v>
      </c>
      <c r="AM447" t="s">
        <v>4893</v>
      </c>
      <c r="AN447" s="487">
        <v>0</v>
      </c>
      <c r="AO447" s="487">
        <v>0</v>
      </c>
      <c r="AP447"/>
      <c r="AQ447"/>
      <c r="AR447"/>
      <c r="CE447"/>
      <c r="CG447"/>
      <c r="CI447"/>
      <c r="CJ447"/>
    </row>
    <row r="448" spans="1:88" s="430" customFormat="1" ht="15" customHeight="1" x14ac:dyDescent="0.2">
      <c r="A448">
        <v>447</v>
      </c>
      <c r="B448" t="s">
        <v>1459</v>
      </c>
      <c r="C448" t="s">
        <v>1475</v>
      </c>
      <c r="D448" t="s">
        <v>4310</v>
      </c>
      <c r="E448" t="s">
        <v>2144</v>
      </c>
      <c r="F448" t="s">
        <v>2027</v>
      </c>
      <c r="G448" t="s">
        <v>36</v>
      </c>
      <c r="H448" t="s">
        <v>2200</v>
      </c>
      <c r="I448" t="s">
        <v>5725</v>
      </c>
      <c r="J448" t="s">
        <v>1768</v>
      </c>
      <c r="K448" t="s">
        <v>1467</v>
      </c>
      <c r="L448" t="s">
        <v>3470</v>
      </c>
      <c r="M448" t="s">
        <v>3471</v>
      </c>
      <c r="N448" t="s">
        <v>1475</v>
      </c>
      <c r="O448" t="s">
        <v>2471</v>
      </c>
      <c r="P448" t="s">
        <v>3625</v>
      </c>
      <c r="Q448" t="s">
        <v>3625</v>
      </c>
      <c r="R448" t="s">
        <v>2257</v>
      </c>
      <c r="S448" t="s">
        <v>3626</v>
      </c>
      <c r="T448">
        <v>34.9</v>
      </c>
      <c r="U448" t="s">
        <v>1952</v>
      </c>
      <c r="V448" t="s">
        <v>3472</v>
      </c>
      <c r="W448" t="s">
        <v>3473</v>
      </c>
      <c r="X448" t="s">
        <v>3083</v>
      </c>
      <c r="Y448" t="s">
        <v>3469</v>
      </c>
      <c r="Z448" t="s">
        <v>3474</v>
      </c>
      <c r="AA448" t="s">
        <v>2273</v>
      </c>
      <c r="AB448" t="s">
        <v>3475</v>
      </c>
      <c r="AC448" t="s">
        <v>2195</v>
      </c>
      <c r="AD448" t="s">
        <v>2196</v>
      </c>
      <c r="AE448" t="s">
        <v>1762</v>
      </c>
      <c r="AF448" t="s">
        <v>36</v>
      </c>
      <c r="AG448" t="s">
        <v>36</v>
      </c>
      <c r="AH448" t="s">
        <v>36</v>
      </c>
      <c r="AI448" t="s">
        <v>36</v>
      </c>
      <c r="AJ448" t="s">
        <v>36</v>
      </c>
      <c r="AK448" t="s">
        <v>2197</v>
      </c>
      <c r="AL448" t="s">
        <v>36</v>
      </c>
      <c r="AM448" t="s">
        <v>4893</v>
      </c>
      <c r="AN448" s="487">
        <v>0</v>
      </c>
      <c r="AO448" s="487">
        <v>0</v>
      </c>
      <c r="AP448"/>
      <c r="AQ448"/>
      <c r="AR448"/>
      <c r="CE448"/>
      <c r="CG448"/>
      <c r="CI448"/>
      <c r="CJ448"/>
    </row>
    <row r="449" spans="1:88" ht="15" customHeight="1" x14ac:dyDescent="0.2">
      <c r="A449">
        <v>448</v>
      </c>
      <c r="B449" t="s">
        <v>1459</v>
      </c>
      <c r="C449" t="s">
        <v>4920</v>
      </c>
      <c r="D449" t="s">
        <v>4921</v>
      </c>
      <c r="E449" t="s">
        <v>2144</v>
      </c>
      <c r="F449" t="s">
        <v>2027</v>
      </c>
      <c r="G449" t="s">
        <v>36</v>
      </c>
      <c r="H449" t="s">
        <v>2200</v>
      </c>
      <c r="I449" t="s">
        <v>5725</v>
      </c>
      <c r="J449" t="s">
        <v>1768</v>
      </c>
      <c r="K449" t="s">
        <v>4922</v>
      </c>
      <c r="L449" t="s">
        <v>5624</v>
      </c>
      <c r="M449" t="s">
        <v>3489</v>
      </c>
      <c r="N449" t="s">
        <v>4923</v>
      </c>
      <c r="O449" t="s">
        <v>111</v>
      </c>
      <c r="P449" t="s">
        <v>2443</v>
      </c>
      <c r="Q449" t="s">
        <v>2443</v>
      </c>
      <c r="R449" t="s">
        <v>2257</v>
      </c>
      <c r="S449" t="s">
        <v>3632</v>
      </c>
      <c r="T449">
        <v>13.6</v>
      </c>
      <c r="U449" t="s">
        <v>1952</v>
      </c>
      <c r="V449" t="s">
        <v>2460</v>
      </c>
      <c r="W449" t="s">
        <v>111</v>
      </c>
      <c r="X449" t="s">
        <v>2810</v>
      </c>
      <c r="Y449" t="s">
        <v>4917</v>
      </c>
      <c r="Z449" t="s">
        <v>4918</v>
      </c>
      <c r="AA449" t="s">
        <v>2273</v>
      </c>
      <c r="AB449" t="s">
        <v>4924</v>
      </c>
      <c r="AC449" t="s">
        <v>4510</v>
      </c>
      <c r="AD449" t="s">
        <v>4433</v>
      </c>
      <c r="AE449" t="s">
        <v>1762</v>
      </c>
      <c r="AF449" t="s">
        <v>4868</v>
      </c>
      <c r="AG449" t="s">
        <v>36</v>
      </c>
      <c r="AH449" t="s">
        <v>36</v>
      </c>
      <c r="AI449" t="s">
        <v>36</v>
      </c>
      <c r="AJ449" t="s">
        <v>36</v>
      </c>
      <c r="AK449" t="s">
        <v>2197</v>
      </c>
      <c r="AL449" t="s">
        <v>36</v>
      </c>
      <c r="AM449" t="s">
        <v>4893</v>
      </c>
      <c r="AN449" s="487">
        <v>0</v>
      </c>
      <c r="AO449" s="487">
        <v>0</v>
      </c>
    </row>
    <row r="450" spans="1:88" s="430" customFormat="1" ht="15" customHeight="1" x14ac:dyDescent="0.2">
      <c r="A450">
        <v>449</v>
      </c>
      <c r="B450" t="s">
        <v>1459</v>
      </c>
      <c r="C450" t="s">
        <v>1473</v>
      </c>
      <c r="D450" t="s">
        <v>4311</v>
      </c>
      <c r="E450" t="s">
        <v>2144</v>
      </c>
      <c r="F450" t="s">
        <v>2027</v>
      </c>
      <c r="G450" t="s">
        <v>36</v>
      </c>
      <c r="H450" t="s">
        <v>2200</v>
      </c>
      <c r="I450" t="s">
        <v>5725</v>
      </c>
      <c r="J450" t="s">
        <v>1768</v>
      </c>
      <c r="K450" t="s">
        <v>1467</v>
      </c>
      <c r="L450" t="s">
        <v>3465</v>
      </c>
      <c r="M450">
        <v>8091238</v>
      </c>
      <c r="N450" t="s">
        <v>1473</v>
      </c>
      <c r="O450" t="s">
        <v>111</v>
      </c>
      <c r="P450" t="s">
        <v>3627</v>
      </c>
      <c r="Q450" t="s">
        <v>3627</v>
      </c>
      <c r="R450" t="s">
        <v>2193</v>
      </c>
      <c r="S450" t="s">
        <v>3624</v>
      </c>
      <c r="T450">
        <v>4.3</v>
      </c>
      <c r="U450" t="s">
        <v>1952</v>
      </c>
      <c r="V450" t="s">
        <v>3467</v>
      </c>
      <c r="W450" t="s">
        <v>3476</v>
      </c>
      <c r="X450" t="s">
        <v>2810</v>
      </c>
      <c r="Y450" t="s">
        <v>4466</v>
      </c>
      <c r="Z450" t="s">
        <v>4449</v>
      </c>
      <c r="AA450" t="s">
        <v>3477</v>
      </c>
      <c r="AB450" t="s">
        <v>3478</v>
      </c>
      <c r="AC450" t="s">
        <v>2195</v>
      </c>
      <c r="AD450" t="s">
        <v>2196</v>
      </c>
      <c r="AE450" t="s">
        <v>1762</v>
      </c>
      <c r="AF450" t="s">
        <v>3944</v>
      </c>
      <c r="AG450" t="s">
        <v>36</v>
      </c>
      <c r="AH450" t="s">
        <v>36</v>
      </c>
      <c r="AI450" t="s">
        <v>36</v>
      </c>
      <c r="AJ450" t="s">
        <v>36</v>
      </c>
      <c r="AK450" t="s">
        <v>2197</v>
      </c>
      <c r="AL450" t="s">
        <v>36</v>
      </c>
      <c r="AM450" t="s">
        <v>4893</v>
      </c>
      <c r="AN450" s="487">
        <v>0</v>
      </c>
      <c r="AO450" s="487">
        <v>0</v>
      </c>
      <c r="AP450"/>
      <c r="AQ450"/>
      <c r="AR450"/>
      <c r="CE450"/>
      <c r="CG450"/>
      <c r="CI450"/>
      <c r="CJ450"/>
    </row>
    <row r="451" spans="1:88" s="429" customFormat="1" ht="15" customHeight="1" x14ac:dyDescent="0.2">
      <c r="A451">
        <v>450</v>
      </c>
      <c r="B451" t="s">
        <v>1459</v>
      </c>
      <c r="C451" t="s">
        <v>1479</v>
      </c>
      <c r="D451" t="s">
        <v>4312</v>
      </c>
      <c r="E451" t="s">
        <v>2144</v>
      </c>
      <c r="F451" t="s">
        <v>2027</v>
      </c>
      <c r="G451" t="s">
        <v>36</v>
      </c>
      <c r="H451" t="s">
        <v>2200</v>
      </c>
      <c r="I451" t="s">
        <v>5725</v>
      </c>
      <c r="J451" t="s">
        <v>1768</v>
      </c>
      <c r="K451" t="s">
        <v>1467</v>
      </c>
      <c r="L451" t="s">
        <v>3465</v>
      </c>
      <c r="M451">
        <v>910619</v>
      </c>
      <c r="N451" t="s">
        <v>1479</v>
      </c>
      <c r="O451" t="s">
        <v>2471</v>
      </c>
      <c r="P451" t="s">
        <v>3627</v>
      </c>
      <c r="Q451" t="s">
        <v>3627</v>
      </c>
      <c r="R451" t="s">
        <v>2257</v>
      </c>
      <c r="S451" t="s">
        <v>3623</v>
      </c>
      <c r="T451">
        <v>7.5</v>
      </c>
      <c r="U451" t="s">
        <v>1952</v>
      </c>
      <c r="V451" t="s">
        <v>3466</v>
      </c>
      <c r="W451">
        <v>910619</v>
      </c>
      <c r="X451" t="s">
        <v>3083</v>
      </c>
      <c r="Y451" t="s">
        <v>4466</v>
      </c>
      <c r="Z451" t="s">
        <v>4449</v>
      </c>
      <c r="AA451" t="s">
        <v>5257</v>
      </c>
      <c r="AB451" t="s">
        <v>5258</v>
      </c>
      <c r="AC451" t="s">
        <v>2195</v>
      </c>
      <c r="AD451" t="s">
        <v>2196</v>
      </c>
      <c r="AE451" t="s">
        <v>1762</v>
      </c>
      <c r="AF451" t="s">
        <v>111</v>
      </c>
      <c r="AG451" t="s">
        <v>36</v>
      </c>
      <c r="AH451" t="s">
        <v>36</v>
      </c>
      <c r="AI451" t="s">
        <v>36</v>
      </c>
      <c r="AJ451" t="s">
        <v>36</v>
      </c>
      <c r="AK451" t="s">
        <v>2197</v>
      </c>
      <c r="AL451" t="s">
        <v>36</v>
      </c>
      <c r="AM451" t="s">
        <v>4893</v>
      </c>
      <c r="AN451" s="487">
        <v>0</v>
      </c>
      <c r="AO451" s="487">
        <v>0</v>
      </c>
      <c r="AP451"/>
      <c r="AQ451"/>
      <c r="AR451"/>
      <c r="CE451"/>
      <c r="CG451"/>
      <c r="CI451"/>
      <c r="CJ451"/>
    </row>
    <row r="452" spans="1:88" s="430" customFormat="1" ht="15" customHeight="1" x14ac:dyDescent="0.2">
      <c r="A452">
        <v>451</v>
      </c>
      <c r="B452" t="s">
        <v>1459</v>
      </c>
      <c r="C452" t="s">
        <v>1477</v>
      </c>
      <c r="D452" t="s">
        <v>4313</v>
      </c>
      <c r="E452" t="s">
        <v>2144</v>
      </c>
      <c r="F452" t="s">
        <v>2027</v>
      </c>
      <c r="G452" t="s">
        <v>36</v>
      </c>
      <c r="H452" t="s">
        <v>2200</v>
      </c>
      <c r="I452" t="s">
        <v>5725</v>
      </c>
      <c r="J452" t="s">
        <v>1768</v>
      </c>
      <c r="K452" t="s">
        <v>1467</v>
      </c>
      <c r="L452" t="s">
        <v>3465</v>
      </c>
      <c r="M452">
        <v>910620</v>
      </c>
      <c r="N452" t="s">
        <v>1477</v>
      </c>
      <c r="O452" t="s">
        <v>111</v>
      </c>
      <c r="P452" t="s">
        <v>3622</v>
      </c>
      <c r="Q452" t="s">
        <v>3622</v>
      </c>
      <c r="R452" t="s">
        <v>2193</v>
      </c>
      <c r="S452" t="s">
        <v>3624</v>
      </c>
      <c r="T452">
        <v>4.3</v>
      </c>
      <c r="U452" t="s">
        <v>1952</v>
      </c>
      <c r="V452" t="s">
        <v>5447</v>
      </c>
      <c r="W452" t="s">
        <v>3468</v>
      </c>
      <c r="X452" t="s">
        <v>2810</v>
      </c>
      <c r="Y452" t="s">
        <v>4466</v>
      </c>
      <c r="Z452" t="s">
        <v>4449</v>
      </c>
      <c r="AA452" t="s">
        <v>5448</v>
      </c>
      <c r="AB452" t="s">
        <v>5449</v>
      </c>
      <c r="AC452" t="s">
        <v>2195</v>
      </c>
      <c r="AD452" t="s">
        <v>2196</v>
      </c>
      <c r="AE452" t="s">
        <v>1762</v>
      </c>
      <c r="AF452" t="s">
        <v>36</v>
      </c>
      <c r="AG452" t="s">
        <v>36</v>
      </c>
      <c r="AH452" t="s">
        <v>36</v>
      </c>
      <c r="AI452" t="s">
        <v>36</v>
      </c>
      <c r="AJ452" t="s">
        <v>36</v>
      </c>
      <c r="AK452" t="s">
        <v>2197</v>
      </c>
      <c r="AL452" t="s">
        <v>36</v>
      </c>
      <c r="AM452" t="s">
        <v>4893</v>
      </c>
      <c r="AN452" s="487"/>
      <c r="AO452" s="487"/>
      <c r="AP452"/>
      <c r="AQ452"/>
      <c r="AR452"/>
      <c r="CE452"/>
      <c r="CG452"/>
      <c r="CI452"/>
      <c r="CJ452"/>
    </row>
    <row r="453" spans="1:88" s="429" customFormat="1" ht="15" customHeight="1" x14ac:dyDescent="0.2">
      <c r="A453">
        <v>452</v>
      </c>
      <c r="B453" t="s">
        <v>1459</v>
      </c>
      <c r="C453" t="s">
        <v>5546</v>
      </c>
      <c r="D453" t="s">
        <v>5547</v>
      </c>
      <c r="E453" t="s">
        <v>2144</v>
      </c>
      <c r="F453" t="s">
        <v>2027</v>
      </c>
      <c r="G453" t="s">
        <v>36</v>
      </c>
      <c r="H453" t="s">
        <v>2200</v>
      </c>
      <c r="I453" t="s">
        <v>5725</v>
      </c>
      <c r="J453" t="s">
        <v>1768</v>
      </c>
      <c r="K453" t="s">
        <v>1467</v>
      </c>
      <c r="L453" t="s">
        <v>5548</v>
      </c>
      <c r="M453">
        <v>506311</v>
      </c>
      <c r="N453" t="s">
        <v>5546</v>
      </c>
      <c r="O453" t="s">
        <v>111</v>
      </c>
      <c r="P453" t="s">
        <v>3627</v>
      </c>
      <c r="Q453" t="s">
        <v>5549</v>
      </c>
      <c r="R453" t="s">
        <v>2257</v>
      </c>
      <c r="S453" t="s">
        <v>5550</v>
      </c>
      <c r="T453">
        <v>14.35</v>
      </c>
      <c r="U453" t="s">
        <v>1952</v>
      </c>
      <c r="V453" t="s">
        <v>5447</v>
      </c>
      <c r="W453" t="s">
        <v>5551</v>
      </c>
      <c r="X453" t="s">
        <v>2810</v>
      </c>
      <c r="Y453" t="s">
        <v>5178</v>
      </c>
      <c r="Z453" t="s">
        <v>4976</v>
      </c>
      <c r="AA453" t="s">
        <v>5552</v>
      </c>
      <c r="AB453" t="s">
        <v>3478</v>
      </c>
      <c r="AC453" t="s">
        <v>2195</v>
      </c>
      <c r="AD453" t="s">
        <v>5553</v>
      </c>
      <c r="AE453" t="s">
        <v>1762</v>
      </c>
      <c r="AF453" t="s">
        <v>4455</v>
      </c>
      <c r="AG453" t="s">
        <v>36</v>
      </c>
      <c r="AH453" t="s">
        <v>36</v>
      </c>
      <c r="AI453" t="s">
        <v>36</v>
      </c>
      <c r="AJ453" t="s">
        <v>36</v>
      </c>
      <c r="AK453" t="s">
        <v>2197</v>
      </c>
      <c r="AL453" t="s">
        <v>36</v>
      </c>
      <c r="AM453" t="s">
        <v>4893</v>
      </c>
      <c r="AN453" s="487">
        <v>0</v>
      </c>
      <c r="AO453" s="487">
        <v>0</v>
      </c>
      <c r="AP453"/>
      <c r="AQ453"/>
      <c r="AR453"/>
      <c r="CE453"/>
      <c r="CG453"/>
      <c r="CI453"/>
      <c r="CJ453"/>
    </row>
    <row r="454" spans="1:88" s="430" customFormat="1" x14ac:dyDescent="0.2">
      <c r="A454">
        <v>453</v>
      </c>
      <c r="B454" t="s">
        <v>1459</v>
      </c>
      <c r="C454" t="s">
        <v>1483</v>
      </c>
      <c r="D454" t="s">
        <v>4314</v>
      </c>
      <c r="E454" t="s">
        <v>2144</v>
      </c>
      <c r="F454" t="s">
        <v>2027</v>
      </c>
      <c r="G454" t="s">
        <v>36</v>
      </c>
      <c r="H454" t="s">
        <v>2200</v>
      </c>
      <c r="I454" t="s">
        <v>5725</v>
      </c>
      <c r="J454" t="s">
        <v>1768</v>
      </c>
      <c r="K454" t="s">
        <v>1063</v>
      </c>
      <c r="L454" t="s">
        <v>3508</v>
      </c>
      <c r="M454">
        <v>157157</v>
      </c>
      <c r="N454" t="s">
        <v>1483</v>
      </c>
      <c r="O454" t="s">
        <v>2471</v>
      </c>
      <c r="P454" t="s">
        <v>3638</v>
      </c>
      <c r="Q454" t="s">
        <v>2198</v>
      </c>
      <c r="R454" t="s">
        <v>2257</v>
      </c>
      <c r="S454" t="s">
        <v>3639</v>
      </c>
      <c r="T454">
        <v>12</v>
      </c>
      <c r="U454" t="s">
        <v>1952</v>
      </c>
      <c r="V454" t="s">
        <v>3509</v>
      </c>
      <c r="W454" t="s">
        <v>2541</v>
      </c>
      <c r="X454" t="s">
        <v>2273</v>
      </c>
      <c r="Y454" t="s">
        <v>3510</v>
      </c>
      <c r="Z454" t="s">
        <v>3511</v>
      </c>
      <c r="AA454" t="s">
        <v>2273</v>
      </c>
      <c r="AB454" t="s">
        <v>36</v>
      </c>
      <c r="AC454" t="s">
        <v>2195</v>
      </c>
      <c r="AD454" t="s">
        <v>2196</v>
      </c>
      <c r="AE454" t="s">
        <v>1762</v>
      </c>
      <c r="AF454" t="s">
        <v>36</v>
      </c>
      <c r="AG454" t="s">
        <v>36</v>
      </c>
      <c r="AH454" t="s">
        <v>36</v>
      </c>
      <c r="AI454" t="s">
        <v>36</v>
      </c>
      <c r="AJ454" t="s">
        <v>36</v>
      </c>
      <c r="AK454" t="s">
        <v>2197</v>
      </c>
      <c r="AL454" t="s">
        <v>36</v>
      </c>
      <c r="AM454" t="s">
        <v>4876</v>
      </c>
      <c r="AN454" s="487">
        <v>0</v>
      </c>
      <c r="AO454" s="487">
        <v>0</v>
      </c>
      <c r="AP454"/>
      <c r="AQ454"/>
      <c r="AR454"/>
      <c r="CE454"/>
      <c r="CG454"/>
      <c r="CI454"/>
      <c r="CJ454"/>
    </row>
    <row r="455" spans="1:88" s="429" customFormat="1" ht="15" customHeight="1" x14ac:dyDescent="0.2">
      <c r="A455">
        <v>454</v>
      </c>
      <c r="B455" t="s">
        <v>1459</v>
      </c>
      <c r="C455" t="s">
        <v>1461</v>
      </c>
      <c r="D455" t="s">
        <v>4315</v>
      </c>
      <c r="E455" t="s">
        <v>2144</v>
      </c>
      <c r="F455" t="s">
        <v>2027</v>
      </c>
      <c r="G455" t="s">
        <v>36</v>
      </c>
      <c r="H455" t="s">
        <v>2200</v>
      </c>
      <c r="I455" t="s">
        <v>5725</v>
      </c>
      <c r="J455" t="s">
        <v>2188</v>
      </c>
      <c r="K455" t="s">
        <v>3490</v>
      </c>
      <c r="L455" t="s">
        <v>3491</v>
      </c>
      <c r="M455" t="s">
        <v>4379</v>
      </c>
      <c r="N455" t="s">
        <v>1461</v>
      </c>
      <c r="O455" t="s">
        <v>2471</v>
      </c>
      <c r="P455" t="s">
        <v>3633</v>
      </c>
      <c r="Q455" t="s">
        <v>3574</v>
      </c>
      <c r="R455" t="s">
        <v>2193</v>
      </c>
      <c r="S455" t="s">
        <v>3634</v>
      </c>
      <c r="T455">
        <v>15.3</v>
      </c>
      <c r="U455" t="s">
        <v>1952</v>
      </c>
      <c r="V455" t="s">
        <v>3492</v>
      </c>
      <c r="W455" t="s">
        <v>2541</v>
      </c>
      <c r="X455" t="s">
        <v>3493</v>
      </c>
      <c r="Y455" t="s">
        <v>4380</v>
      </c>
      <c r="Z455" t="s">
        <v>4381</v>
      </c>
      <c r="AA455" t="s">
        <v>3493</v>
      </c>
      <c r="AB455" t="s">
        <v>3494</v>
      </c>
      <c r="AC455" t="s">
        <v>2195</v>
      </c>
      <c r="AD455" t="s">
        <v>2196</v>
      </c>
      <c r="AE455" t="s">
        <v>1762</v>
      </c>
      <c r="AF455" t="s">
        <v>36</v>
      </c>
      <c r="AG455" t="s">
        <v>36</v>
      </c>
      <c r="AH455" t="s">
        <v>36</v>
      </c>
      <c r="AI455" t="s">
        <v>36</v>
      </c>
      <c r="AJ455" t="s">
        <v>36</v>
      </c>
      <c r="AK455" t="s">
        <v>2197</v>
      </c>
      <c r="AL455" t="s">
        <v>36</v>
      </c>
      <c r="AM455" t="s">
        <v>4877</v>
      </c>
      <c r="AN455" s="487">
        <v>0</v>
      </c>
      <c r="AO455" s="487">
        <v>0</v>
      </c>
      <c r="AP455"/>
      <c r="AQ455"/>
      <c r="AR455"/>
      <c r="CE455"/>
      <c r="CG455"/>
      <c r="CI455"/>
      <c r="CJ455"/>
    </row>
    <row r="456" spans="1:88" s="430" customFormat="1" ht="15" customHeight="1" x14ac:dyDescent="0.2">
      <c r="A456">
        <v>455</v>
      </c>
      <c r="B456" t="s">
        <v>1459</v>
      </c>
      <c r="C456" t="s">
        <v>1463</v>
      </c>
      <c r="D456" t="s">
        <v>4316</v>
      </c>
      <c r="E456" t="s">
        <v>2144</v>
      </c>
      <c r="F456" t="s">
        <v>2027</v>
      </c>
      <c r="G456" t="s">
        <v>36</v>
      </c>
      <c r="H456" t="s">
        <v>2200</v>
      </c>
      <c r="I456">
        <v>0</v>
      </c>
      <c r="J456">
        <v>0</v>
      </c>
      <c r="K456">
        <v>0</v>
      </c>
      <c r="L456">
        <v>0</v>
      </c>
      <c r="M456">
        <v>0</v>
      </c>
      <c r="N456">
        <v>0</v>
      </c>
      <c r="O456">
        <v>0</v>
      </c>
      <c r="P456">
        <v>0</v>
      </c>
      <c r="Q456">
        <v>0</v>
      </c>
      <c r="R456">
        <v>0</v>
      </c>
      <c r="S456">
        <v>0</v>
      </c>
      <c r="T456">
        <v>0</v>
      </c>
      <c r="U456">
        <v>0</v>
      </c>
      <c r="V456">
        <v>0</v>
      </c>
      <c r="W456">
        <v>0</v>
      </c>
      <c r="X456">
        <v>0</v>
      </c>
      <c r="Y456">
        <v>0</v>
      </c>
      <c r="Z456">
        <v>0</v>
      </c>
      <c r="AA456">
        <v>0</v>
      </c>
      <c r="AB456" t="s">
        <v>36</v>
      </c>
      <c r="AC456" t="s">
        <v>2195</v>
      </c>
      <c r="AD456" t="s">
        <v>2196</v>
      </c>
      <c r="AE456" t="s">
        <v>1762</v>
      </c>
      <c r="AF456" t="s">
        <v>36</v>
      </c>
      <c r="AG456" t="s">
        <v>36</v>
      </c>
      <c r="AH456" t="s">
        <v>36</v>
      </c>
      <c r="AI456" t="s">
        <v>36</v>
      </c>
      <c r="AJ456" t="s">
        <v>36</v>
      </c>
      <c r="AK456" t="s">
        <v>2197</v>
      </c>
      <c r="AL456" t="s">
        <v>36</v>
      </c>
      <c r="AM456" t="s">
        <v>4876</v>
      </c>
      <c r="AN456" s="487">
        <v>0</v>
      </c>
      <c r="AO456" s="487">
        <v>0</v>
      </c>
      <c r="AP456"/>
      <c r="AQ456"/>
      <c r="AR456"/>
      <c r="CE456"/>
      <c r="CG456"/>
      <c r="CI456"/>
      <c r="CJ456"/>
    </row>
    <row r="457" spans="1:88" s="429" customFormat="1" ht="15" customHeight="1" x14ac:dyDescent="0.2">
      <c r="A457">
        <v>456</v>
      </c>
      <c r="B457" t="s">
        <v>1459</v>
      </c>
      <c r="C457" t="s">
        <v>4566</v>
      </c>
      <c r="D457" t="s">
        <v>4567</v>
      </c>
      <c r="E457" t="s">
        <v>2144</v>
      </c>
      <c r="F457" t="s">
        <v>2027</v>
      </c>
      <c r="G457" t="s">
        <v>36</v>
      </c>
      <c r="H457" t="s">
        <v>2200</v>
      </c>
      <c r="I457" t="s">
        <v>5725</v>
      </c>
      <c r="J457" t="s">
        <v>1768</v>
      </c>
      <c r="K457" t="s">
        <v>1063</v>
      </c>
      <c r="L457" t="s">
        <v>4568</v>
      </c>
      <c r="M457">
        <v>142142</v>
      </c>
      <c r="N457" t="s">
        <v>4566</v>
      </c>
      <c r="O457" t="s">
        <v>2471</v>
      </c>
      <c r="P457" t="s">
        <v>4569</v>
      </c>
      <c r="Q457" t="s">
        <v>3381</v>
      </c>
      <c r="R457" t="s">
        <v>4570</v>
      </c>
      <c r="S457" t="s">
        <v>4571</v>
      </c>
      <c r="T457">
        <v>25</v>
      </c>
      <c r="U457" t="s">
        <v>1952</v>
      </c>
      <c r="V457" t="s">
        <v>4568</v>
      </c>
      <c r="W457">
        <v>142142</v>
      </c>
      <c r="X457" t="s">
        <v>4447</v>
      </c>
      <c r="Y457" t="s">
        <v>4572</v>
      </c>
      <c r="Z457" t="s">
        <v>4573</v>
      </c>
      <c r="AA457" t="s">
        <v>4447</v>
      </c>
      <c r="AB457" t="s">
        <v>2264</v>
      </c>
      <c r="AC457" t="s">
        <v>2195</v>
      </c>
      <c r="AD457" t="s">
        <v>4574</v>
      </c>
      <c r="AE457" t="s">
        <v>1762</v>
      </c>
      <c r="AF457" t="s">
        <v>3419</v>
      </c>
      <c r="AG457" t="s">
        <v>36</v>
      </c>
      <c r="AH457" t="s">
        <v>36</v>
      </c>
      <c r="AI457" t="s">
        <v>36</v>
      </c>
      <c r="AJ457" t="s">
        <v>36</v>
      </c>
      <c r="AK457" t="s">
        <v>2197</v>
      </c>
      <c r="AL457" t="s">
        <v>36</v>
      </c>
      <c r="AM457" t="s">
        <v>4876</v>
      </c>
      <c r="AN457" s="487">
        <v>0</v>
      </c>
      <c r="AO457" s="487">
        <v>0</v>
      </c>
      <c r="AP457"/>
      <c r="AQ457"/>
      <c r="AR457"/>
      <c r="CE457"/>
      <c r="CG457"/>
      <c r="CI457"/>
      <c r="CJ457"/>
    </row>
    <row r="458" spans="1:88" x14ac:dyDescent="0.2">
      <c r="A458">
        <v>457</v>
      </c>
      <c r="B458" t="s">
        <v>1459</v>
      </c>
      <c r="C458" t="s">
        <v>1492</v>
      </c>
      <c r="D458" t="s">
        <v>4317</v>
      </c>
      <c r="E458" t="s">
        <v>2144</v>
      </c>
      <c r="F458" t="s">
        <v>2027</v>
      </c>
      <c r="G458" t="s">
        <v>36</v>
      </c>
      <c r="H458" t="s">
        <v>2200</v>
      </c>
      <c r="I458" t="s">
        <v>5725</v>
      </c>
      <c r="J458" t="s">
        <v>1768</v>
      </c>
      <c r="K458" t="s">
        <v>3458</v>
      </c>
      <c r="L458" t="s">
        <v>3459</v>
      </c>
      <c r="M458" t="s">
        <v>3460</v>
      </c>
      <c r="N458" t="s">
        <v>1492</v>
      </c>
      <c r="O458" t="s">
        <v>111</v>
      </c>
      <c r="P458" t="s">
        <v>3619</v>
      </c>
      <c r="Q458" t="s">
        <v>3620</v>
      </c>
      <c r="R458" t="s">
        <v>2352</v>
      </c>
      <c r="S458" t="s">
        <v>3621</v>
      </c>
      <c r="T458">
        <v>236</v>
      </c>
      <c r="U458" t="s">
        <v>1952</v>
      </c>
      <c r="V458" t="s">
        <v>3459</v>
      </c>
      <c r="W458" t="s">
        <v>3460</v>
      </c>
      <c r="X458" t="s">
        <v>2799</v>
      </c>
      <c r="Y458" t="s">
        <v>3461</v>
      </c>
      <c r="Z458" t="s">
        <v>3462</v>
      </c>
      <c r="AA458" t="s">
        <v>3463</v>
      </c>
      <c r="AB458" t="s">
        <v>3464</v>
      </c>
      <c r="AC458" t="s">
        <v>2195</v>
      </c>
      <c r="AD458" t="s">
        <v>2196</v>
      </c>
      <c r="AE458" t="s">
        <v>1762</v>
      </c>
      <c r="AF458" t="s">
        <v>36</v>
      </c>
      <c r="AG458" t="s">
        <v>36</v>
      </c>
      <c r="AH458" t="s">
        <v>36</v>
      </c>
      <c r="AI458" t="s">
        <v>36</v>
      </c>
      <c r="AJ458" t="s">
        <v>36</v>
      </c>
      <c r="AK458" t="s">
        <v>2197</v>
      </c>
      <c r="AL458" t="s">
        <v>36</v>
      </c>
      <c r="AM458" t="s">
        <v>4893</v>
      </c>
      <c r="AN458" s="487">
        <v>0</v>
      </c>
      <c r="AO458" s="487">
        <v>0</v>
      </c>
    </row>
    <row r="459" spans="1:88" s="429" customFormat="1" ht="15" customHeight="1" x14ac:dyDescent="0.2">
      <c r="A459">
        <v>458</v>
      </c>
      <c r="B459" t="s">
        <v>1459</v>
      </c>
      <c r="C459" t="s">
        <v>1465</v>
      </c>
      <c r="D459" t="s">
        <v>4318</v>
      </c>
      <c r="E459" t="s">
        <v>2144</v>
      </c>
      <c r="F459" t="s">
        <v>2027</v>
      </c>
      <c r="G459" t="s">
        <v>36</v>
      </c>
      <c r="H459" t="s">
        <v>2200</v>
      </c>
      <c r="I459" t="s">
        <v>5725</v>
      </c>
      <c r="J459" t="s">
        <v>1768</v>
      </c>
      <c r="K459" t="s">
        <v>3458</v>
      </c>
      <c r="L459" t="s">
        <v>3459</v>
      </c>
      <c r="M459" t="s">
        <v>3495</v>
      </c>
      <c r="N459" t="s">
        <v>1465</v>
      </c>
      <c r="O459" t="s">
        <v>111</v>
      </c>
      <c r="P459" t="s">
        <v>3635</v>
      </c>
      <c r="Q459" t="s">
        <v>3620</v>
      </c>
      <c r="R459" t="s">
        <v>2352</v>
      </c>
      <c r="S459" t="s">
        <v>3621</v>
      </c>
      <c r="T459">
        <v>23.6</v>
      </c>
      <c r="U459" t="s">
        <v>1952</v>
      </c>
      <c r="V459" t="s">
        <v>3496</v>
      </c>
      <c r="W459" t="s">
        <v>3495</v>
      </c>
      <c r="X459" t="s">
        <v>2323</v>
      </c>
      <c r="Y459" t="s">
        <v>3497</v>
      </c>
      <c r="Z459" t="s">
        <v>3497</v>
      </c>
      <c r="AA459" t="s">
        <v>2323</v>
      </c>
      <c r="AB459" t="s">
        <v>3498</v>
      </c>
      <c r="AC459" t="s">
        <v>2195</v>
      </c>
      <c r="AD459" t="s">
        <v>2196</v>
      </c>
      <c r="AE459" t="s">
        <v>1762</v>
      </c>
      <c r="AF459" t="s">
        <v>36</v>
      </c>
      <c r="AG459" t="s">
        <v>36</v>
      </c>
      <c r="AH459" t="s">
        <v>36</v>
      </c>
      <c r="AI459" t="s">
        <v>36</v>
      </c>
      <c r="AJ459" t="s">
        <v>36</v>
      </c>
      <c r="AK459" t="s">
        <v>2197</v>
      </c>
      <c r="AL459" t="s">
        <v>36</v>
      </c>
      <c r="AM459" t="s">
        <v>4893</v>
      </c>
      <c r="AN459" s="487">
        <v>0</v>
      </c>
      <c r="AO459" s="487">
        <v>0</v>
      </c>
      <c r="AP459"/>
      <c r="AQ459"/>
      <c r="AR459"/>
      <c r="CE459"/>
      <c r="CG459"/>
      <c r="CI459"/>
      <c r="CJ459"/>
    </row>
    <row r="460" spans="1:88" s="430" customFormat="1" ht="15" customHeight="1" x14ac:dyDescent="0.2">
      <c r="A460">
        <v>459</v>
      </c>
      <c r="B460" t="s">
        <v>1459</v>
      </c>
      <c r="C460" t="s">
        <v>1490</v>
      </c>
      <c r="D460" t="s">
        <v>4319</v>
      </c>
      <c r="E460" t="s">
        <v>2144</v>
      </c>
      <c r="F460" t="s">
        <v>2027</v>
      </c>
      <c r="G460" t="s">
        <v>36</v>
      </c>
      <c r="H460" t="s">
        <v>2200</v>
      </c>
      <c r="I460" t="s">
        <v>5725</v>
      </c>
      <c r="J460" t="s">
        <v>1768</v>
      </c>
      <c r="K460" t="s">
        <v>3458</v>
      </c>
      <c r="L460" t="s">
        <v>3499</v>
      </c>
      <c r="M460" t="s">
        <v>3500</v>
      </c>
      <c r="N460" t="s">
        <v>1490</v>
      </c>
      <c r="O460" t="s">
        <v>111</v>
      </c>
      <c r="P460" t="s">
        <v>3635</v>
      </c>
      <c r="Q460" t="s">
        <v>3620</v>
      </c>
      <c r="R460" t="s">
        <v>2352</v>
      </c>
      <c r="S460" t="s">
        <v>3621</v>
      </c>
      <c r="T460">
        <v>23.6</v>
      </c>
      <c r="U460" t="s">
        <v>1952</v>
      </c>
      <c r="V460" t="s">
        <v>3499</v>
      </c>
      <c r="W460" t="s">
        <v>3500</v>
      </c>
      <c r="X460" t="s">
        <v>2799</v>
      </c>
      <c r="Y460" t="s">
        <v>5450</v>
      </c>
      <c r="Z460" t="s">
        <v>4381</v>
      </c>
      <c r="AA460" t="s">
        <v>3463</v>
      </c>
      <c r="AB460" t="s">
        <v>3501</v>
      </c>
      <c r="AC460" t="s">
        <v>2195</v>
      </c>
      <c r="AD460" t="s">
        <v>2196</v>
      </c>
      <c r="AE460" t="s">
        <v>1762</v>
      </c>
      <c r="AF460" t="s">
        <v>36</v>
      </c>
      <c r="AG460" t="s">
        <v>36</v>
      </c>
      <c r="AH460" t="s">
        <v>36</v>
      </c>
      <c r="AI460" t="s">
        <v>36</v>
      </c>
      <c r="AJ460" t="s">
        <v>36</v>
      </c>
      <c r="AK460" t="s">
        <v>2197</v>
      </c>
      <c r="AL460" t="s">
        <v>36</v>
      </c>
      <c r="AM460" t="s">
        <v>4893</v>
      </c>
      <c r="AN460" s="487">
        <v>0</v>
      </c>
      <c r="AO460" s="487">
        <v>0</v>
      </c>
      <c r="AP460"/>
      <c r="AQ460"/>
      <c r="AR460"/>
      <c r="CE460"/>
      <c r="CG460"/>
      <c r="CI460"/>
      <c r="CJ460"/>
    </row>
    <row r="461" spans="1:88" x14ac:dyDescent="0.2">
      <c r="A461">
        <v>460</v>
      </c>
      <c r="B461" t="s">
        <v>1459</v>
      </c>
      <c r="C461" t="s">
        <v>1494</v>
      </c>
      <c r="D461" t="s">
        <v>4320</v>
      </c>
      <c r="E461" t="s">
        <v>2144</v>
      </c>
      <c r="F461" t="s">
        <v>2027</v>
      </c>
      <c r="G461" t="s">
        <v>36</v>
      </c>
      <c r="H461" t="s">
        <v>2200</v>
      </c>
      <c r="I461" t="s">
        <v>5725</v>
      </c>
      <c r="J461" t="s">
        <v>1768</v>
      </c>
      <c r="K461" t="s">
        <v>3458</v>
      </c>
      <c r="L461" t="s">
        <v>3502</v>
      </c>
      <c r="M461">
        <v>300085972</v>
      </c>
      <c r="N461" t="s">
        <v>1494</v>
      </c>
      <c r="O461" t="s">
        <v>111</v>
      </c>
      <c r="P461" t="s">
        <v>3620</v>
      </c>
      <c r="Q461" t="s">
        <v>3620</v>
      </c>
      <c r="R461" t="s">
        <v>2352</v>
      </c>
      <c r="S461" t="s">
        <v>3621</v>
      </c>
      <c r="T461">
        <v>23.6</v>
      </c>
      <c r="U461" t="s">
        <v>1952</v>
      </c>
      <c r="V461" t="s">
        <v>3459</v>
      </c>
      <c r="W461" t="s">
        <v>3460</v>
      </c>
      <c r="X461" t="s">
        <v>2799</v>
      </c>
      <c r="Y461" t="s">
        <v>3461</v>
      </c>
      <c r="Z461" t="s">
        <v>3462</v>
      </c>
      <c r="AA461" t="s">
        <v>3463</v>
      </c>
      <c r="AB461" t="s">
        <v>3501</v>
      </c>
      <c r="AC461" t="s">
        <v>2195</v>
      </c>
      <c r="AD461" t="s">
        <v>2196</v>
      </c>
      <c r="AE461" t="s">
        <v>1762</v>
      </c>
      <c r="AF461" t="s">
        <v>36</v>
      </c>
      <c r="AG461" t="s">
        <v>36</v>
      </c>
      <c r="AH461" t="s">
        <v>36</v>
      </c>
      <c r="AI461" t="s">
        <v>36</v>
      </c>
      <c r="AJ461" t="s">
        <v>36</v>
      </c>
      <c r="AK461" t="s">
        <v>2197</v>
      </c>
      <c r="AL461" t="s">
        <v>36</v>
      </c>
      <c r="AM461" t="s">
        <v>4893</v>
      </c>
      <c r="AN461" s="487">
        <v>0</v>
      </c>
      <c r="AO461" s="487">
        <v>0</v>
      </c>
    </row>
    <row r="462" spans="1:88" s="430" customFormat="1" x14ac:dyDescent="0.2">
      <c r="A462">
        <v>461</v>
      </c>
      <c r="B462" t="s">
        <v>1459</v>
      </c>
      <c r="C462" t="s">
        <v>4925</v>
      </c>
      <c r="D462" t="s">
        <v>4926</v>
      </c>
      <c r="E462" t="s">
        <v>2144</v>
      </c>
      <c r="F462" t="s">
        <v>2027</v>
      </c>
      <c r="G462" t="s">
        <v>36</v>
      </c>
      <c r="H462" t="s">
        <v>2200</v>
      </c>
      <c r="I462" t="s">
        <v>5725</v>
      </c>
      <c r="J462" t="s">
        <v>1768</v>
      </c>
      <c r="K462" t="s">
        <v>3458</v>
      </c>
      <c r="L462" t="s">
        <v>3507</v>
      </c>
      <c r="M462">
        <v>300072009</v>
      </c>
      <c r="N462" t="s">
        <v>4925</v>
      </c>
      <c r="O462" t="s">
        <v>111</v>
      </c>
      <c r="P462" t="s">
        <v>4927</v>
      </c>
      <c r="Q462" t="s">
        <v>4928</v>
      </c>
      <c r="R462" t="s">
        <v>2352</v>
      </c>
      <c r="S462" t="s">
        <v>2610</v>
      </c>
      <c r="T462">
        <v>23.6</v>
      </c>
      <c r="U462" t="s">
        <v>1952</v>
      </c>
      <c r="V462" t="s">
        <v>4929</v>
      </c>
      <c r="W462">
        <v>300072009</v>
      </c>
      <c r="X462" t="s">
        <v>2323</v>
      </c>
      <c r="Y462" t="s">
        <v>4930</v>
      </c>
      <c r="Z462" t="s">
        <v>3497</v>
      </c>
      <c r="AA462" t="s">
        <v>2323</v>
      </c>
      <c r="AB462" t="s">
        <v>3498</v>
      </c>
      <c r="AC462" t="s">
        <v>2195</v>
      </c>
      <c r="AD462" t="s">
        <v>2196</v>
      </c>
      <c r="AE462" t="s">
        <v>1762</v>
      </c>
      <c r="AF462" t="s">
        <v>111</v>
      </c>
      <c r="AG462" t="s">
        <v>111</v>
      </c>
      <c r="AH462" t="s">
        <v>111</v>
      </c>
      <c r="AI462" t="s">
        <v>111</v>
      </c>
      <c r="AJ462" t="s">
        <v>111</v>
      </c>
      <c r="AK462" t="s">
        <v>2197</v>
      </c>
      <c r="AL462" t="s">
        <v>36</v>
      </c>
      <c r="AM462" t="s">
        <v>4893</v>
      </c>
      <c r="AN462" s="487">
        <v>0</v>
      </c>
      <c r="AO462" s="487">
        <v>0</v>
      </c>
      <c r="AP462"/>
      <c r="AQ462"/>
      <c r="AR462"/>
      <c r="CE462"/>
      <c r="CG462"/>
      <c r="CI462"/>
      <c r="CJ462"/>
    </row>
    <row r="463" spans="1:88" x14ac:dyDescent="0.2">
      <c r="A463">
        <v>462</v>
      </c>
      <c r="B463" t="s">
        <v>1459</v>
      </c>
      <c r="C463" t="s">
        <v>1487</v>
      </c>
      <c r="D463" t="s">
        <v>4321</v>
      </c>
      <c r="E463" t="s">
        <v>2144</v>
      </c>
      <c r="F463" t="s">
        <v>2027</v>
      </c>
      <c r="G463" t="s">
        <v>36</v>
      </c>
      <c r="H463" t="s">
        <v>2200</v>
      </c>
      <c r="I463" t="s">
        <v>5725</v>
      </c>
      <c r="J463" t="s">
        <v>1768</v>
      </c>
      <c r="K463" t="s">
        <v>3512</v>
      </c>
      <c r="L463" t="s">
        <v>3513</v>
      </c>
      <c r="M463">
        <v>300135477</v>
      </c>
      <c r="N463" t="s">
        <v>1487</v>
      </c>
      <c r="O463" t="s">
        <v>111</v>
      </c>
      <c r="P463" t="s">
        <v>5554</v>
      </c>
      <c r="Q463" t="s">
        <v>5554</v>
      </c>
      <c r="R463" t="s">
        <v>2352</v>
      </c>
      <c r="S463" t="s">
        <v>3640</v>
      </c>
      <c r="T463">
        <v>23.6</v>
      </c>
      <c r="U463" t="s">
        <v>1952</v>
      </c>
      <c r="V463" t="s">
        <v>3507</v>
      </c>
      <c r="W463">
        <v>300135477</v>
      </c>
      <c r="X463" t="s">
        <v>4447</v>
      </c>
      <c r="Y463" t="s">
        <v>4448</v>
      </c>
      <c r="Z463" t="s">
        <v>4449</v>
      </c>
      <c r="AA463" t="s">
        <v>3463</v>
      </c>
      <c r="AB463" t="s">
        <v>4931</v>
      </c>
      <c r="AC463" t="s">
        <v>2195</v>
      </c>
      <c r="AD463" t="s">
        <v>2196</v>
      </c>
      <c r="AE463" t="s">
        <v>1762</v>
      </c>
      <c r="AF463" t="s">
        <v>36</v>
      </c>
      <c r="AG463" t="s">
        <v>36</v>
      </c>
      <c r="AH463" t="s">
        <v>36</v>
      </c>
      <c r="AI463" t="s">
        <v>36</v>
      </c>
      <c r="AJ463" t="s">
        <v>36</v>
      </c>
      <c r="AK463" t="s">
        <v>2197</v>
      </c>
      <c r="AL463" t="s">
        <v>36</v>
      </c>
      <c r="AM463" t="s">
        <v>4893</v>
      </c>
      <c r="AN463" s="487">
        <v>0</v>
      </c>
      <c r="AO463" s="487">
        <v>0</v>
      </c>
    </row>
    <row r="464" spans="1:88" x14ac:dyDescent="0.2">
      <c r="A464">
        <v>463</v>
      </c>
      <c r="B464" t="s">
        <v>1459</v>
      </c>
      <c r="C464" t="s">
        <v>1939</v>
      </c>
      <c r="D464" t="s">
        <v>4322</v>
      </c>
      <c r="E464" t="s">
        <v>2144</v>
      </c>
      <c r="F464" t="s">
        <v>2027</v>
      </c>
      <c r="G464" t="s">
        <v>36</v>
      </c>
      <c r="H464" t="s">
        <v>2200</v>
      </c>
      <c r="I464" t="s">
        <v>5725</v>
      </c>
      <c r="J464" t="s">
        <v>1768</v>
      </c>
      <c r="K464" t="s">
        <v>3458</v>
      </c>
      <c r="L464" t="s">
        <v>3502</v>
      </c>
      <c r="M464">
        <v>300152049</v>
      </c>
      <c r="N464" t="s">
        <v>1939</v>
      </c>
      <c r="O464" t="s">
        <v>2471</v>
      </c>
      <c r="P464" t="s">
        <v>3620</v>
      </c>
      <c r="Q464" t="s">
        <v>3620</v>
      </c>
      <c r="R464" t="s">
        <v>2352</v>
      </c>
      <c r="S464" t="s">
        <v>3621</v>
      </c>
      <c r="T464">
        <v>23.6</v>
      </c>
      <c r="U464" t="s">
        <v>1952</v>
      </c>
      <c r="V464" t="s">
        <v>3503</v>
      </c>
      <c r="W464" t="s">
        <v>3460</v>
      </c>
      <c r="X464" t="s">
        <v>2810</v>
      </c>
      <c r="Y464" t="s">
        <v>5178</v>
      </c>
      <c r="Z464" t="s">
        <v>4449</v>
      </c>
      <c r="AA464" t="s">
        <v>3463</v>
      </c>
      <c r="AB464" t="s">
        <v>3504</v>
      </c>
      <c r="AC464" t="s">
        <v>2195</v>
      </c>
      <c r="AD464" t="s">
        <v>2196</v>
      </c>
      <c r="AE464" t="s">
        <v>1762</v>
      </c>
      <c r="AF464" t="s">
        <v>36</v>
      </c>
      <c r="AG464" t="s">
        <v>36</v>
      </c>
      <c r="AH464" t="s">
        <v>36</v>
      </c>
      <c r="AI464" t="s">
        <v>36</v>
      </c>
      <c r="AJ464" t="s">
        <v>36</v>
      </c>
      <c r="AK464" t="s">
        <v>2197</v>
      </c>
      <c r="AL464" t="s">
        <v>36</v>
      </c>
      <c r="AM464" t="s">
        <v>4893</v>
      </c>
      <c r="AN464" s="487">
        <v>0</v>
      </c>
      <c r="AO464" s="487">
        <v>0</v>
      </c>
    </row>
    <row r="465" spans="1:88" s="429" customFormat="1" ht="15" customHeight="1" x14ac:dyDescent="0.2">
      <c r="A465">
        <v>464</v>
      </c>
      <c r="B465" t="s">
        <v>1459</v>
      </c>
      <c r="C465" t="s">
        <v>4478</v>
      </c>
      <c r="D465" t="s">
        <v>4479</v>
      </c>
      <c r="E465" t="s">
        <v>2144</v>
      </c>
      <c r="F465" t="s">
        <v>2027</v>
      </c>
      <c r="G465" t="s">
        <v>36</v>
      </c>
      <c r="H465" t="s">
        <v>2200</v>
      </c>
      <c r="I465" t="s">
        <v>5725</v>
      </c>
      <c r="J465" t="s">
        <v>1768</v>
      </c>
      <c r="K465" t="s">
        <v>4478</v>
      </c>
      <c r="L465" t="s">
        <v>4480</v>
      </c>
      <c r="M465" t="s">
        <v>4481</v>
      </c>
      <c r="N465" t="s">
        <v>4481</v>
      </c>
      <c r="O465" t="s">
        <v>2471</v>
      </c>
      <c r="P465" t="s">
        <v>3631</v>
      </c>
      <c r="Q465" t="s">
        <v>3631</v>
      </c>
      <c r="R465" t="s">
        <v>2352</v>
      </c>
      <c r="S465" t="s">
        <v>4482</v>
      </c>
      <c r="T465">
        <v>539</v>
      </c>
      <c r="U465" t="s">
        <v>1952</v>
      </c>
      <c r="V465" t="s">
        <v>4483</v>
      </c>
      <c r="W465" t="s">
        <v>4484</v>
      </c>
      <c r="X465" t="s">
        <v>2810</v>
      </c>
      <c r="Y465" t="s">
        <v>4917</v>
      </c>
      <c r="Z465" t="s">
        <v>4918</v>
      </c>
      <c r="AA465" t="s">
        <v>4932</v>
      </c>
      <c r="AB465" t="s">
        <v>4933</v>
      </c>
      <c r="AC465" t="s">
        <v>2195</v>
      </c>
      <c r="AD465" t="s">
        <v>2196</v>
      </c>
      <c r="AE465" t="s">
        <v>1762</v>
      </c>
      <c r="AF465" t="s">
        <v>36</v>
      </c>
      <c r="AG465" t="s">
        <v>36</v>
      </c>
      <c r="AH465" t="s">
        <v>36</v>
      </c>
      <c r="AI465" t="s">
        <v>36</v>
      </c>
      <c r="AJ465" t="s">
        <v>36</v>
      </c>
      <c r="AK465" t="s">
        <v>2197</v>
      </c>
      <c r="AL465" t="s">
        <v>36</v>
      </c>
      <c r="AM465" t="s">
        <v>4893</v>
      </c>
      <c r="AN465" s="487">
        <v>0</v>
      </c>
      <c r="AO465" s="487">
        <v>0</v>
      </c>
      <c r="AP465"/>
      <c r="AQ465"/>
      <c r="AR465"/>
      <c r="CE465"/>
      <c r="CG465"/>
      <c r="CI465"/>
      <c r="CJ465"/>
    </row>
    <row r="466" spans="1:88" s="430" customFormat="1" ht="15" customHeight="1" x14ac:dyDescent="0.2">
      <c r="A466">
        <v>465</v>
      </c>
      <c r="B466" t="s">
        <v>1459</v>
      </c>
      <c r="C466" t="s">
        <v>4610</v>
      </c>
      <c r="D466" t="s">
        <v>4611</v>
      </c>
      <c r="E466" t="s">
        <v>2144</v>
      </c>
      <c r="F466" t="s">
        <v>2027</v>
      </c>
      <c r="G466" t="s">
        <v>36</v>
      </c>
      <c r="H466" t="s">
        <v>2200</v>
      </c>
      <c r="I466" t="s">
        <v>5725</v>
      </c>
      <c r="J466" t="s">
        <v>1768</v>
      </c>
      <c r="K466" t="s">
        <v>4612</v>
      </c>
      <c r="L466" t="s">
        <v>4613</v>
      </c>
      <c r="M466" t="s">
        <v>4618</v>
      </c>
      <c r="N466" t="s">
        <v>4614</v>
      </c>
      <c r="O466" t="s">
        <v>111</v>
      </c>
      <c r="P466" t="s">
        <v>4615</v>
      </c>
      <c r="Q466" t="s">
        <v>4616</v>
      </c>
      <c r="R466" t="s">
        <v>2352</v>
      </c>
      <c r="S466" t="s">
        <v>2610</v>
      </c>
      <c r="T466">
        <v>23.6</v>
      </c>
      <c r="U466" t="s">
        <v>1952</v>
      </c>
      <c r="V466" t="s">
        <v>4617</v>
      </c>
      <c r="W466" t="s">
        <v>4618</v>
      </c>
      <c r="X466" t="s">
        <v>3493</v>
      </c>
      <c r="Y466" t="s">
        <v>4619</v>
      </c>
      <c r="Z466" t="s">
        <v>4620</v>
      </c>
      <c r="AA466" t="s">
        <v>3493</v>
      </c>
      <c r="AB466" t="s">
        <v>4621</v>
      </c>
      <c r="AC466" t="s">
        <v>2195</v>
      </c>
      <c r="AD466" t="s">
        <v>4622</v>
      </c>
      <c r="AE466" t="s">
        <v>1762</v>
      </c>
      <c r="AF466" t="s">
        <v>111</v>
      </c>
      <c r="AG466" t="s">
        <v>111</v>
      </c>
      <c r="AH466" t="s">
        <v>111</v>
      </c>
      <c r="AI466" t="s">
        <v>111</v>
      </c>
      <c r="AJ466" t="s">
        <v>111</v>
      </c>
      <c r="AK466" t="s">
        <v>2197</v>
      </c>
      <c r="AL466" t="s">
        <v>36</v>
      </c>
      <c r="AM466" t="s">
        <v>4893</v>
      </c>
      <c r="AN466" s="487">
        <v>0</v>
      </c>
      <c r="AO466" s="487">
        <v>0</v>
      </c>
      <c r="AP466"/>
      <c r="AQ466"/>
      <c r="AR466"/>
      <c r="CE466"/>
      <c r="CG466"/>
      <c r="CI466"/>
      <c r="CJ466"/>
    </row>
    <row r="467" spans="1:88" s="429" customFormat="1" ht="15" customHeight="1" x14ac:dyDescent="0.2">
      <c r="A467">
        <v>466</v>
      </c>
      <c r="B467" t="s">
        <v>1496</v>
      </c>
      <c r="C467" t="s">
        <v>4589</v>
      </c>
      <c r="D467" t="s">
        <v>4590</v>
      </c>
      <c r="E467" t="s">
        <v>2145</v>
      </c>
      <c r="F467" t="s">
        <v>2027</v>
      </c>
      <c r="G467" t="s">
        <v>36</v>
      </c>
      <c r="H467" t="s">
        <v>2200</v>
      </c>
      <c r="I467" t="s">
        <v>5725</v>
      </c>
      <c r="J467" t="s">
        <v>3517</v>
      </c>
      <c r="K467" t="s">
        <v>2454</v>
      </c>
      <c r="L467" t="s">
        <v>4591</v>
      </c>
      <c r="M467" t="s">
        <v>4589</v>
      </c>
      <c r="N467" t="s">
        <v>4589</v>
      </c>
      <c r="O467" t="s">
        <v>111</v>
      </c>
      <c r="P467" t="s">
        <v>4592</v>
      </c>
      <c r="Q467" t="s">
        <v>4593</v>
      </c>
      <c r="R467" t="s">
        <v>2193</v>
      </c>
      <c r="S467" t="s">
        <v>4594</v>
      </c>
      <c r="T467">
        <v>0</v>
      </c>
      <c r="U467" t="s">
        <v>2223</v>
      </c>
      <c r="V467" t="s">
        <v>2324</v>
      </c>
      <c r="W467" t="s">
        <v>4589</v>
      </c>
      <c r="X467" t="s">
        <v>3523</v>
      </c>
      <c r="Y467" t="s">
        <v>111</v>
      </c>
      <c r="Z467" t="s">
        <v>111</v>
      </c>
      <c r="AA467" t="s">
        <v>111</v>
      </c>
      <c r="AB467" t="s">
        <v>4595</v>
      </c>
      <c r="AC467" t="s">
        <v>2195</v>
      </c>
      <c r="AD467" t="s">
        <v>2196</v>
      </c>
      <c r="AE467" t="s">
        <v>1762</v>
      </c>
      <c r="AF467" t="s">
        <v>3419</v>
      </c>
      <c r="AG467" t="s">
        <v>36</v>
      </c>
      <c r="AH467" t="s">
        <v>36</v>
      </c>
      <c r="AI467" t="s">
        <v>36</v>
      </c>
      <c r="AJ467" t="s">
        <v>36</v>
      </c>
      <c r="AK467" t="s">
        <v>2197</v>
      </c>
      <c r="AL467" t="s">
        <v>36</v>
      </c>
      <c r="AM467" t="s">
        <v>4881</v>
      </c>
      <c r="AN467" s="487">
        <v>0</v>
      </c>
      <c r="AO467" s="487">
        <v>0</v>
      </c>
      <c r="AP467"/>
      <c r="AQ467"/>
      <c r="AR467"/>
      <c r="CE467"/>
      <c r="CG467"/>
      <c r="CI467"/>
      <c r="CJ467"/>
    </row>
    <row r="468" spans="1:88" s="430" customFormat="1" ht="15" customHeight="1" x14ac:dyDescent="0.2">
      <c r="A468">
        <v>467</v>
      </c>
      <c r="B468" t="s">
        <v>1496</v>
      </c>
      <c r="C468" t="s">
        <v>4776</v>
      </c>
      <c r="D468" t="s">
        <v>4777</v>
      </c>
      <c r="E468" t="s">
        <v>2145</v>
      </c>
      <c r="F468" t="s">
        <v>2027</v>
      </c>
      <c r="G468" t="s">
        <v>36</v>
      </c>
      <c r="H468" t="s">
        <v>2200</v>
      </c>
      <c r="I468" t="s">
        <v>5725</v>
      </c>
      <c r="J468" t="s">
        <v>4778</v>
      </c>
      <c r="K468" t="s">
        <v>2454</v>
      </c>
      <c r="L468" t="s">
        <v>3534</v>
      </c>
      <c r="M468" t="s">
        <v>4776</v>
      </c>
      <c r="N468" t="s">
        <v>4776</v>
      </c>
      <c r="O468" t="s">
        <v>111</v>
      </c>
      <c r="P468" t="s">
        <v>2457</v>
      </c>
      <c r="Q468" t="s">
        <v>3647</v>
      </c>
      <c r="R468" t="s">
        <v>2193</v>
      </c>
      <c r="S468" t="s">
        <v>3648</v>
      </c>
      <c r="T468">
        <v>6</v>
      </c>
      <c r="U468" t="s">
        <v>2223</v>
      </c>
      <c r="V468" t="s">
        <v>2324</v>
      </c>
      <c r="W468" t="s">
        <v>1501</v>
      </c>
      <c r="X468" t="s">
        <v>3535</v>
      </c>
      <c r="Y468" t="s">
        <v>111</v>
      </c>
      <c r="Z468" t="s">
        <v>111</v>
      </c>
      <c r="AA468" t="s">
        <v>111</v>
      </c>
      <c r="AB468" t="s">
        <v>5587</v>
      </c>
      <c r="AC468" t="s">
        <v>2195</v>
      </c>
      <c r="AD468" t="s">
        <v>2196</v>
      </c>
      <c r="AE468" t="s">
        <v>1762</v>
      </c>
      <c r="AF468" t="s">
        <v>36</v>
      </c>
      <c r="AG468" t="s">
        <v>36</v>
      </c>
      <c r="AH468" t="s">
        <v>36</v>
      </c>
      <c r="AI468" t="s">
        <v>36</v>
      </c>
      <c r="AJ468" t="s">
        <v>36</v>
      </c>
      <c r="AK468" t="s">
        <v>2197</v>
      </c>
      <c r="AL468" t="s">
        <v>36</v>
      </c>
      <c r="AM468" t="s">
        <v>4881</v>
      </c>
      <c r="AN468" s="487">
        <v>0</v>
      </c>
      <c r="AO468" s="487">
        <v>0</v>
      </c>
      <c r="AP468"/>
      <c r="AQ468"/>
      <c r="AR468"/>
      <c r="CE468"/>
      <c r="CG468"/>
      <c r="CI468"/>
      <c r="CJ468"/>
    </row>
    <row r="469" spans="1:88" s="429" customFormat="1" ht="15" customHeight="1" x14ac:dyDescent="0.2">
      <c r="A469">
        <v>468</v>
      </c>
      <c r="B469" t="s">
        <v>1496</v>
      </c>
      <c r="C469" t="s">
        <v>1503</v>
      </c>
      <c r="D469" t="s">
        <v>4323</v>
      </c>
      <c r="E469" t="s">
        <v>2145</v>
      </c>
      <c r="F469" t="s">
        <v>2027</v>
      </c>
      <c r="G469" t="s">
        <v>36</v>
      </c>
      <c r="H469" t="s">
        <v>2200</v>
      </c>
      <c r="I469" t="s">
        <v>5725</v>
      </c>
      <c r="J469" t="s">
        <v>4778</v>
      </c>
      <c r="K469" t="s">
        <v>2454</v>
      </c>
      <c r="L469" t="s">
        <v>3534</v>
      </c>
      <c r="M469" t="s">
        <v>1503</v>
      </c>
      <c r="N469" t="s">
        <v>1503</v>
      </c>
      <c r="O469" t="s">
        <v>111</v>
      </c>
      <c r="P469" t="s">
        <v>2457</v>
      </c>
      <c r="Q469" t="s">
        <v>3647</v>
      </c>
      <c r="R469" t="s">
        <v>2193</v>
      </c>
      <c r="S469" t="s">
        <v>3648</v>
      </c>
      <c r="T469">
        <v>6</v>
      </c>
      <c r="U469" t="s">
        <v>2223</v>
      </c>
      <c r="V469" t="s">
        <v>2324</v>
      </c>
      <c r="W469" t="s">
        <v>1503</v>
      </c>
      <c r="X469" t="s">
        <v>3537</v>
      </c>
      <c r="Y469" t="s">
        <v>111</v>
      </c>
      <c r="Z469" t="s">
        <v>111</v>
      </c>
      <c r="AA469" t="s">
        <v>111</v>
      </c>
      <c r="AB469" t="s">
        <v>3528</v>
      </c>
      <c r="AC469" t="s">
        <v>2195</v>
      </c>
      <c r="AD469" t="s">
        <v>2196</v>
      </c>
      <c r="AE469" t="s">
        <v>1762</v>
      </c>
      <c r="AF469" t="s">
        <v>36</v>
      </c>
      <c r="AG469" t="s">
        <v>36</v>
      </c>
      <c r="AH469" t="s">
        <v>36</v>
      </c>
      <c r="AI469" t="s">
        <v>36</v>
      </c>
      <c r="AJ469" t="s">
        <v>36</v>
      </c>
      <c r="AK469" t="s">
        <v>2197</v>
      </c>
      <c r="AL469" t="s">
        <v>36</v>
      </c>
      <c r="AM469" t="s">
        <v>4881</v>
      </c>
      <c r="AN469" s="487">
        <v>0</v>
      </c>
      <c r="AO469" s="487">
        <v>0</v>
      </c>
      <c r="AP469"/>
      <c r="AQ469"/>
      <c r="AR469"/>
      <c r="CE469"/>
      <c r="CG469"/>
      <c r="CI469"/>
      <c r="CJ469"/>
    </row>
    <row r="470" spans="1:88" s="430" customFormat="1" ht="15" customHeight="1" x14ac:dyDescent="0.2">
      <c r="A470">
        <v>469</v>
      </c>
      <c r="B470" t="s">
        <v>1496</v>
      </c>
      <c r="C470" t="s">
        <v>1505</v>
      </c>
      <c r="D470" t="s">
        <v>4324</v>
      </c>
      <c r="E470" t="s">
        <v>2145</v>
      </c>
      <c r="F470" t="s">
        <v>2027</v>
      </c>
      <c r="G470" t="s">
        <v>36</v>
      </c>
      <c r="H470" t="s">
        <v>2200</v>
      </c>
      <c r="I470" t="s">
        <v>5771</v>
      </c>
      <c r="J470" t="s">
        <v>4778</v>
      </c>
      <c r="K470" t="s">
        <v>2454</v>
      </c>
      <c r="L470" t="s">
        <v>3534</v>
      </c>
      <c r="M470" t="s">
        <v>1505</v>
      </c>
      <c r="N470" t="s">
        <v>1505</v>
      </c>
      <c r="O470" t="s">
        <v>2471</v>
      </c>
      <c r="P470" t="s">
        <v>2457</v>
      </c>
      <c r="Q470" t="s">
        <v>3647</v>
      </c>
      <c r="R470" t="s">
        <v>2193</v>
      </c>
      <c r="S470" t="s">
        <v>3648</v>
      </c>
      <c r="T470">
        <v>6</v>
      </c>
      <c r="U470" t="s">
        <v>2223</v>
      </c>
      <c r="V470" t="s">
        <v>2324</v>
      </c>
      <c r="W470" t="s">
        <v>1505</v>
      </c>
      <c r="X470" t="s">
        <v>3537</v>
      </c>
      <c r="Y470" t="s">
        <v>111</v>
      </c>
      <c r="Z470" t="s">
        <v>111</v>
      </c>
      <c r="AA470" t="s">
        <v>111</v>
      </c>
      <c r="AB470" t="s">
        <v>3538</v>
      </c>
      <c r="AC470" t="s">
        <v>2195</v>
      </c>
      <c r="AD470" t="s">
        <v>2196</v>
      </c>
      <c r="AE470" t="s">
        <v>1762</v>
      </c>
      <c r="AF470" t="s">
        <v>36</v>
      </c>
      <c r="AG470" t="s">
        <v>36</v>
      </c>
      <c r="AH470" t="s">
        <v>36</v>
      </c>
      <c r="AI470" t="s">
        <v>36</v>
      </c>
      <c r="AJ470" t="s">
        <v>36</v>
      </c>
      <c r="AK470" t="s">
        <v>2197</v>
      </c>
      <c r="AL470" t="s">
        <v>36</v>
      </c>
      <c r="AM470" t="s">
        <v>4881</v>
      </c>
      <c r="AN470" s="487">
        <v>0</v>
      </c>
      <c r="AO470" s="487">
        <v>0</v>
      </c>
      <c r="AP470"/>
      <c r="AQ470"/>
      <c r="AR470"/>
      <c r="CE470"/>
      <c r="CG470"/>
      <c r="CI470"/>
      <c r="CJ470"/>
    </row>
    <row r="471" spans="1:88" s="429" customFormat="1" ht="15" customHeight="1" x14ac:dyDescent="0.2">
      <c r="A471">
        <v>470</v>
      </c>
      <c r="B471" t="s">
        <v>1496</v>
      </c>
      <c r="C471" t="s">
        <v>1507</v>
      </c>
      <c r="D471" t="s">
        <v>4325</v>
      </c>
      <c r="E471" t="s">
        <v>2145</v>
      </c>
      <c r="F471" t="s">
        <v>2027</v>
      </c>
      <c r="G471" t="s">
        <v>36</v>
      </c>
      <c r="H471" t="s">
        <v>2200</v>
      </c>
      <c r="I471" t="s">
        <v>5725</v>
      </c>
      <c r="J471" t="s">
        <v>4778</v>
      </c>
      <c r="K471" t="s">
        <v>2454</v>
      </c>
      <c r="L471" t="s">
        <v>3534</v>
      </c>
      <c r="M471" t="s">
        <v>1507</v>
      </c>
      <c r="N471" t="s">
        <v>1507</v>
      </c>
      <c r="O471" t="s">
        <v>111</v>
      </c>
      <c r="P471" t="s">
        <v>2457</v>
      </c>
      <c r="Q471" t="s">
        <v>3647</v>
      </c>
      <c r="R471" t="s">
        <v>2193</v>
      </c>
      <c r="S471" t="s">
        <v>3648</v>
      </c>
      <c r="T471">
        <v>6</v>
      </c>
      <c r="U471" t="s">
        <v>2223</v>
      </c>
      <c r="V471" t="s">
        <v>2324</v>
      </c>
      <c r="W471" t="s">
        <v>1507</v>
      </c>
      <c r="X471" t="s">
        <v>3535</v>
      </c>
      <c r="Y471" t="s">
        <v>111</v>
      </c>
      <c r="Z471" t="s">
        <v>111</v>
      </c>
      <c r="AA471" t="s">
        <v>111</v>
      </c>
      <c r="AB471" t="s">
        <v>3540</v>
      </c>
      <c r="AC471" t="s">
        <v>2195</v>
      </c>
      <c r="AD471" t="s">
        <v>2196</v>
      </c>
      <c r="AE471" t="s">
        <v>1762</v>
      </c>
      <c r="AF471" t="s">
        <v>36</v>
      </c>
      <c r="AG471" t="s">
        <v>36</v>
      </c>
      <c r="AH471" t="s">
        <v>36</v>
      </c>
      <c r="AI471" t="s">
        <v>36</v>
      </c>
      <c r="AJ471" t="s">
        <v>36</v>
      </c>
      <c r="AK471" t="s">
        <v>2197</v>
      </c>
      <c r="AL471" t="s">
        <v>36</v>
      </c>
      <c r="AM471" t="s">
        <v>4881</v>
      </c>
      <c r="AN471" s="487">
        <v>0</v>
      </c>
      <c r="AO471" s="487">
        <v>0</v>
      </c>
      <c r="AP471"/>
      <c r="AQ471"/>
      <c r="AR471"/>
      <c r="CE471"/>
      <c r="CG471"/>
      <c r="CI471"/>
      <c r="CJ471"/>
    </row>
    <row r="472" spans="1:88" s="430" customFormat="1" ht="15" customHeight="1" x14ac:dyDescent="0.2">
      <c r="A472">
        <v>471</v>
      </c>
      <c r="B472" t="s">
        <v>1496</v>
      </c>
      <c r="C472" t="s">
        <v>1509</v>
      </c>
      <c r="D472" t="s">
        <v>4326</v>
      </c>
      <c r="E472" t="s">
        <v>2145</v>
      </c>
      <c r="F472" t="s">
        <v>2027</v>
      </c>
      <c r="G472" t="s">
        <v>36</v>
      </c>
      <c r="H472" t="s">
        <v>2200</v>
      </c>
      <c r="I472" t="s">
        <v>5725</v>
      </c>
      <c r="J472" t="s">
        <v>4778</v>
      </c>
      <c r="K472" t="s">
        <v>2454</v>
      </c>
      <c r="L472" t="s">
        <v>3534</v>
      </c>
      <c r="M472" t="s">
        <v>1509</v>
      </c>
      <c r="N472" t="s">
        <v>1509</v>
      </c>
      <c r="O472" t="s">
        <v>111</v>
      </c>
      <c r="P472" t="s">
        <v>2457</v>
      </c>
      <c r="Q472" t="s">
        <v>3647</v>
      </c>
      <c r="R472" t="s">
        <v>2193</v>
      </c>
      <c r="S472" t="s">
        <v>3648</v>
      </c>
      <c r="T472">
        <v>6</v>
      </c>
      <c r="U472" t="s">
        <v>2223</v>
      </c>
      <c r="V472" t="s">
        <v>2268</v>
      </c>
      <c r="W472" t="s">
        <v>1509</v>
      </c>
      <c r="X472" t="s">
        <v>3535</v>
      </c>
      <c r="Y472" t="s">
        <v>111</v>
      </c>
      <c r="Z472" t="s">
        <v>111</v>
      </c>
      <c r="AA472" t="s">
        <v>111</v>
      </c>
      <c r="AB472" t="s">
        <v>3539</v>
      </c>
      <c r="AC472" t="s">
        <v>2195</v>
      </c>
      <c r="AD472" t="s">
        <v>2196</v>
      </c>
      <c r="AE472" t="s">
        <v>1762</v>
      </c>
      <c r="AF472" t="s">
        <v>36</v>
      </c>
      <c r="AG472" t="s">
        <v>36</v>
      </c>
      <c r="AH472" t="s">
        <v>36</v>
      </c>
      <c r="AI472" t="s">
        <v>36</v>
      </c>
      <c r="AJ472" t="s">
        <v>36</v>
      </c>
      <c r="AK472" t="s">
        <v>2197</v>
      </c>
      <c r="AL472" t="s">
        <v>36</v>
      </c>
      <c r="AM472" t="s">
        <v>4881</v>
      </c>
      <c r="AN472" s="487">
        <v>0</v>
      </c>
      <c r="AO472" s="487">
        <v>0</v>
      </c>
      <c r="AP472"/>
      <c r="AQ472"/>
      <c r="AR472"/>
      <c r="CE472"/>
      <c r="CG472"/>
      <c r="CI472"/>
      <c r="CJ472"/>
    </row>
    <row r="473" spans="1:88" s="429" customFormat="1" ht="15" customHeight="1" x14ac:dyDescent="0.2">
      <c r="A473">
        <v>472</v>
      </c>
      <c r="B473" t="s">
        <v>1496</v>
      </c>
      <c r="C473" t="s">
        <v>1511</v>
      </c>
      <c r="D473" t="s">
        <v>4327</v>
      </c>
      <c r="E473" t="s">
        <v>2145</v>
      </c>
      <c r="F473" t="s">
        <v>2027</v>
      </c>
      <c r="G473" t="s">
        <v>36</v>
      </c>
      <c r="H473" t="s">
        <v>2200</v>
      </c>
      <c r="I473" t="s">
        <v>5771</v>
      </c>
      <c r="J473" t="s">
        <v>4778</v>
      </c>
      <c r="K473" t="s">
        <v>2454</v>
      </c>
      <c r="L473" t="s">
        <v>2455</v>
      </c>
      <c r="M473" t="s">
        <v>1511</v>
      </c>
      <c r="N473" t="s">
        <v>1511</v>
      </c>
      <c r="O473" t="s">
        <v>2471</v>
      </c>
      <c r="P473" t="s">
        <v>2457</v>
      </c>
      <c r="Q473" t="s">
        <v>3647</v>
      </c>
      <c r="R473" t="s">
        <v>2193</v>
      </c>
      <c r="S473" t="s">
        <v>3648</v>
      </c>
      <c r="T473">
        <v>6</v>
      </c>
      <c r="U473" t="s">
        <v>2223</v>
      </c>
      <c r="V473" t="s">
        <v>2324</v>
      </c>
      <c r="W473" t="s">
        <v>1511</v>
      </c>
      <c r="X473" t="s">
        <v>3537</v>
      </c>
      <c r="Y473" t="s">
        <v>111</v>
      </c>
      <c r="Z473" t="s">
        <v>111</v>
      </c>
      <c r="AA473" t="s">
        <v>111</v>
      </c>
      <c r="AB473" t="s">
        <v>3538</v>
      </c>
      <c r="AC473" t="s">
        <v>2195</v>
      </c>
      <c r="AD473" t="s">
        <v>2196</v>
      </c>
      <c r="AE473" t="s">
        <v>1762</v>
      </c>
      <c r="AF473" t="s">
        <v>36</v>
      </c>
      <c r="AG473" t="s">
        <v>36</v>
      </c>
      <c r="AH473" t="s">
        <v>36</v>
      </c>
      <c r="AI473" t="s">
        <v>36</v>
      </c>
      <c r="AJ473" t="s">
        <v>36</v>
      </c>
      <c r="AK473" t="s">
        <v>2197</v>
      </c>
      <c r="AL473" t="s">
        <v>36</v>
      </c>
      <c r="AM473" t="s">
        <v>4881</v>
      </c>
      <c r="AN473" s="487">
        <v>0</v>
      </c>
      <c r="AO473" s="487">
        <v>0</v>
      </c>
      <c r="AP473"/>
      <c r="AQ473"/>
      <c r="AR473"/>
      <c r="CE473"/>
      <c r="CG473"/>
      <c r="CI473"/>
      <c r="CJ473"/>
    </row>
    <row r="474" spans="1:88" s="430" customFormat="1" ht="15" customHeight="1" x14ac:dyDescent="0.2">
      <c r="A474">
        <v>473</v>
      </c>
      <c r="B474" t="s">
        <v>1496</v>
      </c>
      <c r="C474" t="s">
        <v>1513</v>
      </c>
      <c r="D474" t="s">
        <v>4328</v>
      </c>
      <c r="E474" t="s">
        <v>2145</v>
      </c>
      <c r="F474" t="s">
        <v>2027</v>
      </c>
      <c r="G474" t="s">
        <v>36</v>
      </c>
      <c r="H474" t="s">
        <v>2200</v>
      </c>
      <c r="I474" t="s">
        <v>5725</v>
      </c>
      <c r="J474" t="s">
        <v>4778</v>
      </c>
      <c r="K474" t="s">
        <v>2454</v>
      </c>
      <c r="L474" t="s">
        <v>3534</v>
      </c>
      <c r="M474" t="s">
        <v>1513</v>
      </c>
      <c r="N474" t="s">
        <v>1513</v>
      </c>
      <c r="O474" t="s">
        <v>111</v>
      </c>
      <c r="P474" t="s">
        <v>2457</v>
      </c>
      <c r="Q474" t="s">
        <v>3647</v>
      </c>
      <c r="R474" t="s">
        <v>2193</v>
      </c>
      <c r="S474" t="s">
        <v>3648</v>
      </c>
      <c r="T474">
        <v>6</v>
      </c>
      <c r="U474" t="s">
        <v>2223</v>
      </c>
      <c r="V474" t="s">
        <v>2324</v>
      </c>
      <c r="W474" t="s">
        <v>1501</v>
      </c>
      <c r="X474" t="s">
        <v>3535</v>
      </c>
      <c r="Y474" t="s">
        <v>111</v>
      </c>
      <c r="Z474" t="s">
        <v>111</v>
      </c>
      <c r="AA474" t="s">
        <v>111</v>
      </c>
      <c r="AB474" t="s">
        <v>3536</v>
      </c>
      <c r="AC474" t="s">
        <v>2195</v>
      </c>
      <c r="AD474" t="s">
        <v>2196</v>
      </c>
      <c r="AE474" t="s">
        <v>1762</v>
      </c>
      <c r="AF474" t="s">
        <v>36</v>
      </c>
      <c r="AG474" t="s">
        <v>36</v>
      </c>
      <c r="AH474" t="s">
        <v>36</v>
      </c>
      <c r="AI474" t="s">
        <v>36</v>
      </c>
      <c r="AJ474" t="s">
        <v>36</v>
      </c>
      <c r="AK474" t="s">
        <v>2197</v>
      </c>
      <c r="AL474" t="s">
        <v>36</v>
      </c>
      <c r="AM474" t="s">
        <v>4881</v>
      </c>
      <c r="AN474" s="487">
        <v>0</v>
      </c>
      <c r="AO474" s="487">
        <v>0</v>
      </c>
      <c r="AP474"/>
      <c r="AQ474"/>
      <c r="AR474"/>
      <c r="CE474"/>
      <c r="CG474"/>
      <c r="CI474"/>
      <c r="CJ474"/>
    </row>
    <row r="475" spans="1:88" s="429" customFormat="1" ht="15" customHeight="1" x14ac:dyDescent="0.2">
      <c r="A475">
        <v>474</v>
      </c>
      <c r="B475" t="s">
        <v>1496</v>
      </c>
      <c r="C475" t="s">
        <v>4675</v>
      </c>
      <c r="D475" t="s">
        <v>4676</v>
      </c>
      <c r="E475" t="s">
        <v>2145</v>
      </c>
      <c r="F475" t="s">
        <v>2027</v>
      </c>
      <c r="G475" t="s">
        <v>36</v>
      </c>
      <c r="H475" t="s">
        <v>2200</v>
      </c>
      <c r="I475" t="s">
        <v>5725</v>
      </c>
      <c r="J475" t="s">
        <v>4778</v>
      </c>
      <c r="K475" t="s">
        <v>2454</v>
      </c>
      <c r="L475" t="s">
        <v>3534</v>
      </c>
      <c r="M475" t="s">
        <v>4675</v>
      </c>
      <c r="N475" t="s">
        <v>4675</v>
      </c>
      <c r="O475" t="s">
        <v>111</v>
      </c>
      <c r="P475" t="s">
        <v>2457</v>
      </c>
      <c r="Q475" t="s">
        <v>3647</v>
      </c>
      <c r="R475" t="s">
        <v>2193</v>
      </c>
      <c r="S475" t="s">
        <v>3648</v>
      </c>
      <c r="T475">
        <v>6</v>
      </c>
      <c r="U475" t="s">
        <v>2223</v>
      </c>
      <c r="V475" t="s">
        <v>2324</v>
      </c>
      <c r="W475" t="s">
        <v>4675</v>
      </c>
      <c r="X475" t="s">
        <v>3535</v>
      </c>
      <c r="Y475" t="s">
        <v>111</v>
      </c>
      <c r="Z475" t="s">
        <v>111</v>
      </c>
      <c r="AA475" t="s">
        <v>111</v>
      </c>
      <c r="AB475" t="s">
        <v>3536</v>
      </c>
      <c r="AC475" t="s">
        <v>2195</v>
      </c>
      <c r="AD475" t="s">
        <v>2196</v>
      </c>
      <c r="AE475" t="s">
        <v>1762</v>
      </c>
      <c r="AF475" t="s">
        <v>3419</v>
      </c>
      <c r="AG475" t="s">
        <v>36</v>
      </c>
      <c r="AH475" t="s">
        <v>36</v>
      </c>
      <c r="AI475" t="s">
        <v>36</v>
      </c>
      <c r="AJ475" t="s">
        <v>36</v>
      </c>
      <c r="AK475" t="s">
        <v>2197</v>
      </c>
      <c r="AL475" t="s">
        <v>36</v>
      </c>
      <c r="AM475" t="s">
        <v>4881</v>
      </c>
      <c r="AN475" s="487">
        <v>0</v>
      </c>
      <c r="AO475" s="487">
        <v>0</v>
      </c>
      <c r="AP475"/>
      <c r="AQ475"/>
      <c r="AR475"/>
      <c r="CE475"/>
      <c r="CG475"/>
      <c r="CI475"/>
      <c r="CJ475"/>
    </row>
    <row r="476" spans="1:88" s="430" customFormat="1" ht="15" customHeight="1" x14ac:dyDescent="0.2">
      <c r="A476">
        <v>475</v>
      </c>
      <c r="B476" t="s">
        <v>1496</v>
      </c>
      <c r="C476" t="s">
        <v>819</v>
      </c>
      <c r="D476" t="s">
        <v>4329</v>
      </c>
      <c r="E476" t="s">
        <v>2145</v>
      </c>
      <c r="F476" t="s">
        <v>2027</v>
      </c>
      <c r="G476" t="s">
        <v>36</v>
      </c>
      <c r="H476" t="s">
        <v>2200</v>
      </c>
      <c r="I476" t="s">
        <v>5725</v>
      </c>
      <c r="J476" t="s">
        <v>1768</v>
      </c>
      <c r="K476" t="s">
        <v>2204</v>
      </c>
      <c r="L476" t="s">
        <v>3514</v>
      </c>
      <c r="M476">
        <v>176667</v>
      </c>
      <c r="N476" t="s">
        <v>819</v>
      </c>
      <c r="O476" t="s">
        <v>2471</v>
      </c>
      <c r="P476" t="s">
        <v>3643</v>
      </c>
      <c r="Q476" t="s">
        <v>2276</v>
      </c>
      <c r="R476" t="s">
        <v>2257</v>
      </c>
      <c r="S476" t="s">
        <v>3644</v>
      </c>
      <c r="T476">
        <v>27.2</v>
      </c>
      <c r="U476" t="s">
        <v>1952</v>
      </c>
      <c r="V476" t="s">
        <v>3515</v>
      </c>
      <c r="W476" t="s">
        <v>3516</v>
      </c>
      <c r="X476" t="s">
        <v>2194</v>
      </c>
      <c r="Y476" t="s">
        <v>111</v>
      </c>
      <c r="Z476" t="s">
        <v>111</v>
      </c>
      <c r="AA476" t="s">
        <v>111</v>
      </c>
      <c r="AB476" t="s">
        <v>36</v>
      </c>
      <c r="AC476" t="s">
        <v>2195</v>
      </c>
      <c r="AD476" t="s">
        <v>2196</v>
      </c>
      <c r="AE476" t="s">
        <v>1762</v>
      </c>
      <c r="AF476">
        <v>10</v>
      </c>
      <c r="AG476">
        <v>2</v>
      </c>
      <c r="AH476">
        <v>0</v>
      </c>
      <c r="AI476" t="s">
        <v>4018</v>
      </c>
      <c r="AJ476" t="s">
        <v>36</v>
      </c>
      <c r="AK476" t="s">
        <v>2197</v>
      </c>
      <c r="AL476" t="s">
        <v>36</v>
      </c>
      <c r="AM476" t="s">
        <v>4876</v>
      </c>
      <c r="AN476" s="487">
        <v>0</v>
      </c>
      <c r="AO476" s="487">
        <v>0</v>
      </c>
      <c r="AP476"/>
      <c r="AQ476"/>
      <c r="AR476"/>
      <c r="CE476"/>
      <c r="CG476"/>
      <c r="CI476"/>
      <c r="CJ476"/>
    </row>
    <row r="477" spans="1:88" s="429" customFormat="1" ht="15" customHeight="1" x14ac:dyDescent="0.2">
      <c r="A477">
        <v>476</v>
      </c>
      <c r="B477" t="s">
        <v>1496</v>
      </c>
      <c r="C477" t="s">
        <v>837</v>
      </c>
      <c r="D477" t="s">
        <v>4330</v>
      </c>
      <c r="E477" t="s">
        <v>2145</v>
      </c>
      <c r="F477" t="s">
        <v>2027</v>
      </c>
      <c r="G477" t="s">
        <v>36</v>
      </c>
      <c r="H477" t="s">
        <v>2200</v>
      </c>
      <c r="I477" t="s">
        <v>5725</v>
      </c>
      <c r="J477" t="s">
        <v>2188</v>
      </c>
      <c r="K477" t="s">
        <v>1453</v>
      </c>
      <c r="L477" t="s">
        <v>3541</v>
      </c>
      <c r="M477" t="s">
        <v>3542</v>
      </c>
      <c r="N477" t="s">
        <v>837</v>
      </c>
      <c r="O477" t="s">
        <v>2471</v>
      </c>
      <c r="P477" t="s">
        <v>3649</v>
      </c>
      <c r="Q477" t="s">
        <v>2276</v>
      </c>
      <c r="R477" t="s">
        <v>2257</v>
      </c>
      <c r="S477" t="s">
        <v>3644</v>
      </c>
      <c r="T477">
        <v>26.1</v>
      </c>
      <c r="U477" t="s">
        <v>1952</v>
      </c>
      <c r="V477" t="s">
        <v>3515</v>
      </c>
      <c r="W477" t="s">
        <v>3543</v>
      </c>
      <c r="X477" t="s">
        <v>2194</v>
      </c>
      <c r="Y477" t="s">
        <v>111</v>
      </c>
      <c r="Z477" t="s">
        <v>111</v>
      </c>
      <c r="AA477" t="s">
        <v>111</v>
      </c>
      <c r="AB477" t="s">
        <v>36</v>
      </c>
      <c r="AC477" t="s">
        <v>2195</v>
      </c>
      <c r="AD477" t="s">
        <v>2196</v>
      </c>
      <c r="AE477" t="s">
        <v>1762</v>
      </c>
      <c r="AF477">
        <v>10</v>
      </c>
      <c r="AG477">
        <v>2</v>
      </c>
      <c r="AH477">
        <v>0</v>
      </c>
      <c r="AI477" t="s">
        <v>4018</v>
      </c>
      <c r="AJ477" t="s">
        <v>36</v>
      </c>
      <c r="AK477" t="s">
        <v>2197</v>
      </c>
      <c r="AL477" t="s">
        <v>36</v>
      </c>
      <c r="AM477" t="s">
        <v>4876</v>
      </c>
      <c r="AN477" s="487">
        <v>0</v>
      </c>
      <c r="AO477" s="487">
        <v>0</v>
      </c>
      <c r="AP477"/>
      <c r="AQ477"/>
      <c r="AR477"/>
      <c r="CE477"/>
      <c r="CG477"/>
      <c r="CI477"/>
      <c r="CJ477"/>
    </row>
    <row r="478" spans="1:88" s="430" customFormat="1" ht="15" customHeight="1" x14ac:dyDescent="0.2">
      <c r="A478">
        <v>477</v>
      </c>
      <c r="B478" t="s">
        <v>1496</v>
      </c>
      <c r="C478" t="s">
        <v>1874</v>
      </c>
      <c r="D478" t="s">
        <v>4331</v>
      </c>
      <c r="E478" t="s">
        <v>2145</v>
      </c>
      <c r="F478" t="s">
        <v>2027</v>
      </c>
      <c r="G478" t="s">
        <v>36</v>
      </c>
      <c r="H478" t="s">
        <v>2200</v>
      </c>
      <c r="I478" t="s">
        <v>5725</v>
      </c>
      <c r="J478" t="s">
        <v>4779</v>
      </c>
      <c r="K478" t="s">
        <v>2454</v>
      </c>
      <c r="L478" t="s">
        <v>3518</v>
      </c>
      <c r="M478" t="s">
        <v>1874</v>
      </c>
      <c r="N478" t="s">
        <v>1874</v>
      </c>
      <c r="O478" t="s">
        <v>2471</v>
      </c>
      <c r="P478" t="s">
        <v>3641</v>
      </c>
      <c r="Q478" t="s">
        <v>4797</v>
      </c>
      <c r="R478" t="s">
        <v>2193</v>
      </c>
      <c r="S478" t="s">
        <v>3642</v>
      </c>
      <c r="T478">
        <v>1.6</v>
      </c>
      <c r="U478" t="s">
        <v>2223</v>
      </c>
      <c r="V478" t="s">
        <v>2324</v>
      </c>
      <c r="W478" t="s">
        <v>1874</v>
      </c>
      <c r="X478" t="s">
        <v>3519</v>
      </c>
      <c r="Y478" t="s">
        <v>111</v>
      </c>
      <c r="Z478" t="s">
        <v>111</v>
      </c>
      <c r="AA478" t="s">
        <v>111</v>
      </c>
      <c r="AB478" t="s">
        <v>3520</v>
      </c>
      <c r="AC478" t="s">
        <v>2195</v>
      </c>
      <c r="AD478" t="s">
        <v>2196</v>
      </c>
      <c r="AE478" t="s">
        <v>1762</v>
      </c>
      <c r="AF478" t="s">
        <v>36</v>
      </c>
      <c r="AG478" t="s">
        <v>36</v>
      </c>
      <c r="AH478" t="s">
        <v>36</v>
      </c>
      <c r="AI478" t="s">
        <v>36</v>
      </c>
      <c r="AJ478" t="s">
        <v>36</v>
      </c>
      <c r="AK478" t="s">
        <v>2197</v>
      </c>
      <c r="AL478" t="s">
        <v>36</v>
      </c>
      <c r="AM478" t="s">
        <v>4881</v>
      </c>
      <c r="AN478" s="487">
        <v>0</v>
      </c>
      <c r="AO478" s="487">
        <v>0</v>
      </c>
      <c r="AP478"/>
      <c r="AQ478"/>
      <c r="AR478"/>
      <c r="CE478"/>
      <c r="CG478"/>
      <c r="CI478"/>
      <c r="CJ478"/>
    </row>
    <row r="479" spans="1:88" s="429" customFormat="1" ht="15" customHeight="1" x14ac:dyDescent="0.2">
      <c r="A479">
        <v>478</v>
      </c>
      <c r="B479" t="s">
        <v>1496</v>
      </c>
      <c r="C479" t="s">
        <v>1515</v>
      </c>
      <c r="D479" t="s">
        <v>4332</v>
      </c>
      <c r="E479" t="s">
        <v>2145</v>
      </c>
      <c r="F479" t="s">
        <v>2027</v>
      </c>
      <c r="G479" t="s">
        <v>36</v>
      </c>
      <c r="H479" t="s">
        <v>2200</v>
      </c>
      <c r="I479" t="s">
        <v>5725</v>
      </c>
      <c r="J479" t="s">
        <v>4779</v>
      </c>
      <c r="K479" t="s">
        <v>2454</v>
      </c>
      <c r="L479" t="s">
        <v>3531</v>
      </c>
      <c r="M479" t="s">
        <v>1515</v>
      </c>
      <c r="N479" t="s">
        <v>1515</v>
      </c>
      <c r="O479" t="s">
        <v>2471</v>
      </c>
      <c r="P479" t="s">
        <v>3641</v>
      </c>
      <c r="Q479" t="s">
        <v>4797</v>
      </c>
      <c r="R479" t="s">
        <v>2193</v>
      </c>
      <c r="S479" t="s">
        <v>3642</v>
      </c>
      <c r="T479">
        <v>1.6</v>
      </c>
      <c r="U479" t="s">
        <v>2223</v>
      </c>
      <c r="V479" t="s">
        <v>2324</v>
      </c>
      <c r="W479" t="s">
        <v>1515</v>
      </c>
      <c r="X479" t="s">
        <v>3532</v>
      </c>
      <c r="Y479" t="s">
        <v>111</v>
      </c>
      <c r="Z479" t="s">
        <v>111</v>
      </c>
      <c r="AA479" t="s">
        <v>111</v>
      </c>
      <c r="AB479" t="s">
        <v>3533</v>
      </c>
      <c r="AC479" t="s">
        <v>2195</v>
      </c>
      <c r="AD479" t="s">
        <v>2196</v>
      </c>
      <c r="AE479" t="s">
        <v>1762</v>
      </c>
      <c r="AF479" t="s">
        <v>36</v>
      </c>
      <c r="AG479" t="s">
        <v>36</v>
      </c>
      <c r="AH479" t="s">
        <v>36</v>
      </c>
      <c r="AI479" t="s">
        <v>36</v>
      </c>
      <c r="AJ479" t="s">
        <v>36</v>
      </c>
      <c r="AK479" t="s">
        <v>2197</v>
      </c>
      <c r="AL479" t="s">
        <v>36</v>
      </c>
      <c r="AM479" t="s">
        <v>4881</v>
      </c>
      <c r="AN479" s="487">
        <v>0</v>
      </c>
      <c r="AO479" s="487">
        <v>0</v>
      </c>
      <c r="AP479"/>
      <c r="AQ479"/>
      <c r="AR479"/>
      <c r="CE479"/>
      <c r="CG479"/>
      <c r="CI479"/>
      <c r="CJ479"/>
    </row>
    <row r="480" spans="1:88" s="430" customFormat="1" ht="15" customHeight="1" x14ac:dyDescent="0.2">
      <c r="A480">
        <v>479</v>
      </c>
      <c r="B480" t="s">
        <v>1496</v>
      </c>
      <c r="C480" t="s">
        <v>1517</v>
      </c>
      <c r="D480" t="s">
        <v>4333</v>
      </c>
      <c r="E480" t="s">
        <v>2145</v>
      </c>
      <c r="F480" t="s">
        <v>2027</v>
      </c>
      <c r="G480" t="s">
        <v>36</v>
      </c>
      <c r="H480" t="s">
        <v>2200</v>
      </c>
      <c r="I480" t="s">
        <v>5725</v>
      </c>
      <c r="J480" t="s">
        <v>4779</v>
      </c>
      <c r="K480" t="s">
        <v>2454</v>
      </c>
      <c r="L480" t="s">
        <v>3525</v>
      </c>
      <c r="M480" t="s">
        <v>1517</v>
      </c>
      <c r="N480" t="s">
        <v>1517</v>
      </c>
      <c r="O480" t="s">
        <v>2471</v>
      </c>
      <c r="P480" t="s">
        <v>3641</v>
      </c>
      <c r="Q480" t="s">
        <v>4797</v>
      </c>
      <c r="R480" t="s">
        <v>2193</v>
      </c>
      <c r="S480" t="s">
        <v>3642</v>
      </c>
      <c r="T480">
        <v>1.6</v>
      </c>
      <c r="U480" t="s">
        <v>2223</v>
      </c>
      <c r="V480" t="s">
        <v>2324</v>
      </c>
      <c r="W480" t="s">
        <v>1517</v>
      </c>
      <c r="X480" t="s">
        <v>3529</v>
      </c>
      <c r="Y480" t="s">
        <v>111</v>
      </c>
      <c r="Z480" t="s">
        <v>111</v>
      </c>
      <c r="AA480" t="s">
        <v>111</v>
      </c>
      <c r="AB480" t="s">
        <v>3530</v>
      </c>
      <c r="AC480" t="s">
        <v>2195</v>
      </c>
      <c r="AD480" t="s">
        <v>2196</v>
      </c>
      <c r="AE480" t="s">
        <v>1762</v>
      </c>
      <c r="AF480" t="s">
        <v>36</v>
      </c>
      <c r="AG480" t="s">
        <v>36</v>
      </c>
      <c r="AH480" t="s">
        <v>36</v>
      </c>
      <c r="AI480" t="s">
        <v>36</v>
      </c>
      <c r="AJ480" t="s">
        <v>36</v>
      </c>
      <c r="AK480" t="s">
        <v>2197</v>
      </c>
      <c r="AL480" t="s">
        <v>36</v>
      </c>
      <c r="AM480" t="s">
        <v>4881</v>
      </c>
      <c r="AN480" s="487">
        <v>0</v>
      </c>
      <c r="AO480" s="487">
        <v>0</v>
      </c>
      <c r="AP480"/>
      <c r="AQ480"/>
      <c r="AR480"/>
      <c r="CE480"/>
      <c r="CG480"/>
      <c r="CI480"/>
      <c r="CJ480"/>
    </row>
    <row r="481" spans="1:88" s="429" customFormat="1" ht="15" customHeight="1" x14ac:dyDescent="0.2">
      <c r="A481">
        <v>480</v>
      </c>
      <c r="B481" t="s">
        <v>1496</v>
      </c>
      <c r="C481" t="s">
        <v>1992</v>
      </c>
      <c r="D481" t="s">
        <v>4334</v>
      </c>
      <c r="E481" t="s">
        <v>2145</v>
      </c>
      <c r="F481" t="s">
        <v>2027</v>
      </c>
      <c r="G481" t="s">
        <v>36</v>
      </c>
      <c r="H481" t="s">
        <v>2200</v>
      </c>
      <c r="I481" t="s">
        <v>5725</v>
      </c>
      <c r="J481" t="s">
        <v>4779</v>
      </c>
      <c r="K481" t="s">
        <v>3544</v>
      </c>
      <c r="L481" t="s">
        <v>3545</v>
      </c>
      <c r="M481" t="s">
        <v>1992</v>
      </c>
      <c r="N481" t="s">
        <v>1992</v>
      </c>
      <c r="O481" t="s">
        <v>2471</v>
      </c>
      <c r="P481" t="s">
        <v>3641</v>
      </c>
      <c r="Q481" t="s">
        <v>4797</v>
      </c>
      <c r="R481" t="s">
        <v>2193</v>
      </c>
      <c r="S481" t="s">
        <v>3642</v>
      </c>
      <c r="T481">
        <v>1.6</v>
      </c>
      <c r="U481" t="s">
        <v>2223</v>
      </c>
      <c r="V481" t="s">
        <v>3546</v>
      </c>
      <c r="W481" t="s">
        <v>1992</v>
      </c>
      <c r="X481" t="s">
        <v>3527</v>
      </c>
      <c r="Y481" t="s">
        <v>111</v>
      </c>
      <c r="Z481" t="s">
        <v>111</v>
      </c>
      <c r="AA481" t="s">
        <v>111</v>
      </c>
      <c r="AB481" t="s">
        <v>3538</v>
      </c>
      <c r="AC481" t="s">
        <v>2195</v>
      </c>
      <c r="AD481" t="s">
        <v>2196</v>
      </c>
      <c r="AE481" t="s">
        <v>1762</v>
      </c>
      <c r="AF481" t="s">
        <v>36</v>
      </c>
      <c r="AG481" t="s">
        <v>36</v>
      </c>
      <c r="AH481" t="s">
        <v>36</v>
      </c>
      <c r="AI481" t="s">
        <v>36</v>
      </c>
      <c r="AJ481" t="s">
        <v>36</v>
      </c>
      <c r="AK481" t="s">
        <v>2197</v>
      </c>
      <c r="AL481" t="s">
        <v>36</v>
      </c>
      <c r="AM481" t="s">
        <v>4881</v>
      </c>
      <c r="AN481" s="487">
        <v>0</v>
      </c>
      <c r="AO481" s="487">
        <v>0</v>
      </c>
      <c r="AP481"/>
      <c r="AQ481"/>
      <c r="AR481"/>
      <c r="CE481"/>
      <c r="CG481"/>
      <c r="CI481"/>
      <c r="CJ481"/>
    </row>
    <row r="482" spans="1:88" s="430" customFormat="1" ht="15" customHeight="1" x14ac:dyDescent="0.2">
      <c r="A482">
        <v>481</v>
      </c>
      <c r="B482" t="s">
        <v>1496</v>
      </c>
      <c r="C482" t="s">
        <v>1519</v>
      </c>
      <c r="D482" t="s">
        <v>4335</v>
      </c>
      <c r="E482" t="s">
        <v>2145</v>
      </c>
      <c r="F482" t="s">
        <v>2027</v>
      </c>
      <c r="G482" t="s">
        <v>36</v>
      </c>
      <c r="H482" t="s">
        <v>2200</v>
      </c>
      <c r="I482" t="s">
        <v>5725</v>
      </c>
      <c r="J482" t="s">
        <v>4779</v>
      </c>
      <c r="K482" t="s">
        <v>2454</v>
      </c>
      <c r="L482" t="s">
        <v>3518</v>
      </c>
      <c r="M482" t="s">
        <v>1519</v>
      </c>
      <c r="N482" t="s">
        <v>1519</v>
      </c>
      <c r="O482" t="s">
        <v>2471</v>
      </c>
      <c r="P482" t="s">
        <v>3641</v>
      </c>
      <c r="Q482" t="s">
        <v>4797</v>
      </c>
      <c r="R482" t="s">
        <v>2193</v>
      </c>
      <c r="S482" t="s">
        <v>3642</v>
      </c>
      <c r="T482">
        <v>1.6</v>
      </c>
      <c r="U482" t="s">
        <v>2223</v>
      </c>
      <c r="V482" t="s">
        <v>2460</v>
      </c>
      <c r="W482" t="s">
        <v>1519</v>
      </c>
      <c r="X482" t="s">
        <v>3521</v>
      </c>
      <c r="Y482" t="s">
        <v>111</v>
      </c>
      <c r="Z482" t="s">
        <v>111</v>
      </c>
      <c r="AA482" t="s">
        <v>111</v>
      </c>
      <c r="AB482" t="s">
        <v>3522</v>
      </c>
      <c r="AC482" t="s">
        <v>2195</v>
      </c>
      <c r="AD482" t="s">
        <v>2196</v>
      </c>
      <c r="AE482" t="s">
        <v>1762</v>
      </c>
      <c r="AF482" t="s">
        <v>36</v>
      </c>
      <c r="AG482" t="s">
        <v>36</v>
      </c>
      <c r="AH482" t="s">
        <v>36</v>
      </c>
      <c r="AI482" t="s">
        <v>36</v>
      </c>
      <c r="AJ482" t="s">
        <v>36</v>
      </c>
      <c r="AK482" t="s">
        <v>2197</v>
      </c>
      <c r="AL482" t="s">
        <v>36</v>
      </c>
      <c r="AM482" t="s">
        <v>4881</v>
      </c>
      <c r="AN482" s="487">
        <v>0</v>
      </c>
      <c r="AO482" s="487">
        <v>0</v>
      </c>
      <c r="AP482"/>
      <c r="AQ482"/>
      <c r="AR482"/>
      <c r="CE482"/>
      <c r="CG482"/>
      <c r="CI482"/>
      <c r="CJ482"/>
    </row>
    <row r="483" spans="1:88" s="429" customFormat="1" ht="15" customHeight="1" x14ac:dyDescent="0.2">
      <c r="A483">
        <v>482</v>
      </c>
      <c r="B483" t="s">
        <v>1496</v>
      </c>
      <c r="C483" t="s">
        <v>1521</v>
      </c>
      <c r="D483" t="s">
        <v>4336</v>
      </c>
      <c r="E483" t="s">
        <v>2145</v>
      </c>
      <c r="F483" t="s">
        <v>2027</v>
      </c>
      <c r="G483" t="s">
        <v>36</v>
      </c>
      <c r="H483" t="s">
        <v>2200</v>
      </c>
      <c r="I483" t="s">
        <v>5725</v>
      </c>
      <c r="J483" t="s">
        <v>4779</v>
      </c>
      <c r="K483" t="s">
        <v>2454</v>
      </c>
      <c r="L483" t="s">
        <v>3518</v>
      </c>
      <c r="M483" t="s">
        <v>1521</v>
      </c>
      <c r="N483" t="s">
        <v>1521</v>
      </c>
      <c r="O483" t="s">
        <v>2471</v>
      </c>
      <c r="P483" t="s">
        <v>3641</v>
      </c>
      <c r="Q483" t="s">
        <v>4797</v>
      </c>
      <c r="R483" t="s">
        <v>2193</v>
      </c>
      <c r="S483" t="s">
        <v>3642</v>
      </c>
      <c r="T483">
        <v>1.6</v>
      </c>
      <c r="U483" t="s">
        <v>2223</v>
      </c>
      <c r="V483" t="s">
        <v>2324</v>
      </c>
      <c r="W483" t="s">
        <v>1519</v>
      </c>
      <c r="X483" t="s">
        <v>3527</v>
      </c>
      <c r="Y483" t="s">
        <v>111</v>
      </c>
      <c r="Z483" t="s">
        <v>111</v>
      </c>
      <c r="AA483" t="s">
        <v>111</v>
      </c>
      <c r="AB483" t="s">
        <v>3528</v>
      </c>
      <c r="AC483" t="s">
        <v>2195</v>
      </c>
      <c r="AD483" t="s">
        <v>2196</v>
      </c>
      <c r="AE483" t="s">
        <v>1762</v>
      </c>
      <c r="AF483" t="s">
        <v>36</v>
      </c>
      <c r="AG483" t="s">
        <v>36</v>
      </c>
      <c r="AH483" t="s">
        <v>36</v>
      </c>
      <c r="AI483" t="s">
        <v>36</v>
      </c>
      <c r="AJ483" t="s">
        <v>36</v>
      </c>
      <c r="AK483" t="s">
        <v>2197</v>
      </c>
      <c r="AL483" t="s">
        <v>36</v>
      </c>
      <c r="AM483" t="s">
        <v>4881</v>
      </c>
      <c r="AN483" s="487">
        <v>0</v>
      </c>
      <c r="AO483" s="487">
        <v>0</v>
      </c>
      <c r="AP483"/>
      <c r="AQ483"/>
      <c r="AR483"/>
      <c r="CE483"/>
      <c r="CG483"/>
      <c r="CI483"/>
      <c r="CJ483"/>
    </row>
    <row r="484" spans="1:88" x14ac:dyDescent="0.2">
      <c r="A484">
        <v>483</v>
      </c>
      <c r="B484" t="s">
        <v>1496</v>
      </c>
      <c r="C484" t="s">
        <v>1523</v>
      </c>
      <c r="D484" t="s">
        <v>4337</v>
      </c>
      <c r="E484" t="s">
        <v>2145</v>
      </c>
      <c r="F484" t="s">
        <v>2027</v>
      </c>
      <c r="G484" t="s">
        <v>36</v>
      </c>
      <c r="H484" t="s">
        <v>2200</v>
      </c>
      <c r="I484" t="s">
        <v>5725</v>
      </c>
      <c r="J484" t="s">
        <v>4779</v>
      </c>
      <c r="K484" t="s">
        <v>2454</v>
      </c>
      <c r="L484" t="s">
        <v>3518</v>
      </c>
      <c r="M484" t="s">
        <v>1523</v>
      </c>
      <c r="N484" t="s">
        <v>1523</v>
      </c>
      <c r="O484" t="s">
        <v>2471</v>
      </c>
      <c r="P484" t="s">
        <v>3641</v>
      </c>
      <c r="Q484" t="s">
        <v>4797</v>
      </c>
      <c r="R484" t="s">
        <v>2193</v>
      </c>
      <c r="S484" t="s">
        <v>3642</v>
      </c>
      <c r="T484">
        <v>1.6</v>
      </c>
      <c r="U484" t="s">
        <v>2223</v>
      </c>
      <c r="V484" t="s">
        <v>2324</v>
      </c>
      <c r="W484" t="s">
        <v>1519</v>
      </c>
      <c r="X484" t="s">
        <v>3527</v>
      </c>
      <c r="Y484" t="s">
        <v>111</v>
      </c>
      <c r="Z484" t="s">
        <v>111</v>
      </c>
      <c r="AA484" t="s">
        <v>111</v>
      </c>
      <c r="AB484" t="s">
        <v>4780</v>
      </c>
      <c r="AC484" t="s">
        <v>2195</v>
      </c>
      <c r="AD484" t="s">
        <v>2196</v>
      </c>
      <c r="AE484" t="s">
        <v>1762</v>
      </c>
      <c r="AF484" t="s">
        <v>36</v>
      </c>
      <c r="AG484" t="s">
        <v>36</v>
      </c>
      <c r="AH484" t="s">
        <v>36</v>
      </c>
      <c r="AI484" t="s">
        <v>36</v>
      </c>
      <c r="AJ484" t="s">
        <v>36</v>
      </c>
      <c r="AK484" t="s">
        <v>2197</v>
      </c>
      <c r="AL484" t="s">
        <v>36</v>
      </c>
      <c r="AM484" t="s">
        <v>4881</v>
      </c>
      <c r="AN484" s="487">
        <v>0</v>
      </c>
      <c r="AO484" s="487">
        <v>0</v>
      </c>
    </row>
    <row r="485" spans="1:88" x14ac:dyDescent="0.2">
      <c r="A485">
        <v>484</v>
      </c>
      <c r="B485" t="s">
        <v>1496</v>
      </c>
      <c r="C485" t="s">
        <v>1525</v>
      </c>
      <c r="D485" t="s">
        <v>4338</v>
      </c>
      <c r="E485" t="s">
        <v>2145</v>
      </c>
      <c r="F485" t="s">
        <v>2027</v>
      </c>
      <c r="G485" t="s">
        <v>36</v>
      </c>
      <c r="H485" t="s">
        <v>2200</v>
      </c>
      <c r="I485" t="s">
        <v>5725</v>
      </c>
      <c r="J485" t="s">
        <v>4779</v>
      </c>
      <c r="K485" t="s">
        <v>2454</v>
      </c>
      <c r="L485" t="s">
        <v>3518</v>
      </c>
      <c r="M485" t="s">
        <v>1525</v>
      </c>
      <c r="N485" t="s">
        <v>1525</v>
      </c>
      <c r="O485" t="s">
        <v>2471</v>
      </c>
      <c r="P485" t="s">
        <v>3641</v>
      </c>
      <c r="Q485" t="s">
        <v>4797</v>
      </c>
      <c r="R485" t="s">
        <v>2193</v>
      </c>
      <c r="S485" t="s">
        <v>3642</v>
      </c>
      <c r="T485">
        <v>1.6</v>
      </c>
      <c r="U485" t="s">
        <v>2223</v>
      </c>
      <c r="V485" t="s">
        <v>2460</v>
      </c>
      <c r="W485" t="s">
        <v>1519</v>
      </c>
      <c r="X485" t="s">
        <v>3521</v>
      </c>
      <c r="Y485" t="s">
        <v>111</v>
      </c>
      <c r="Z485" t="s">
        <v>111</v>
      </c>
      <c r="AA485" t="s">
        <v>111</v>
      </c>
      <c r="AB485" t="s">
        <v>3522</v>
      </c>
      <c r="AC485" t="s">
        <v>2195</v>
      </c>
      <c r="AD485" t="s">
        <v>2196</v>
      </c>
      <c r="AE485" t="s">
        <v>1762</v>
      </c>
      <c r="AF485" t="s">
        <v>36</v>
      </c>
      <c r="AG485" t="s">
        <v>36</v>
      </c>
      <c r="AH485" t="s">
        <v>36</v>
      </c>
      <c r="AI485" t="s">
        <v>36</v>
      </c>
      <c r="AJ485" t="s">
        <v>36</v>
      </c>
      <c r="AK485" t="s">
        <v>2197</v>
      </c>
      <c r="AL485" t="s">
        <v>36</v>
      </c>
      <c r="AM485" t="s">
        <v>4881</v>
      </c>
      <c r="AN485" s="487">
        <v>0</v>
      </c>
      <c r="AO485" s="487">
        <v>0</v>
      </c>
    </row>
    <row r="486" spans="1:88" x14ac:dyDescent="0.2">
      <c r="A486">
        <v>485</v>
      </c>
      <c r="B486" t="s">
        <v>1496</v>
      </c>
      <c r="C486" t="s">
        <v>1990</v>
      </c>
      <c r="D486" t="s">
        <v>4339</v>
      </c>
      <c r="E486" t="s">
        <v>2145</v>
      </c>
      <c r="F486" t="s">
        <v>2027</v>
      </c>
      <c r="G486" t="s">
        <v>36</v>
      </c>
      <c r="H486" t="s">
        <v>2200</v>
      </c>
      <c r="I486" t="s">
        <v>5725</v>
      </c>
      <c r="J486" t="s">
        <v>4779</v>
      </c>
      <c r="K486" t="s">
        <v>2454</v>
      </c>
      <c r="L486" t="s">
        <v>4781</v>
      </c>
      <c r="M486" t="s">
        <v>1990</v>
      </c>
      <c r="N486" t="s">
        <v>1990</v>
      </c>
      <c r="O486" t="s">
        <v>2471</v>
      </c>
      <c r="P486" t="s">
        <v>3641</v>
      </c>
      <c r="Q486" t="s">
        <v>4797</v>
      </c>
      <c r="R486" t="s">
        <v>2257</v>
      </c>
      <c r="S486" t="s">
        <v>3642</v>
      </c>
      <c r="T486">
        <v>1.6</v>
      </c>
      <c r="U486" t="s">
        <v>2223</v>
      </c>
      <c r="V486" t="s">
        <v>2324</v>
      </c>
      <c r="W486" t="s">
        <v>1990</v>
      </c>
      <c r="X486" t="s">
        <v>3519</v>
      </c>
      <c r="Y486" t="s">
        <v>111</v>
      </c>
      <c r="Z486" t="s">
        <v>111</v>
      </c>
      <c r="AA486" t="s">
        <v>111</v>
      </c>
      <c r="AB486" t="s">
        <v>3645</v>
      </c>
      <c r="AC486" t="s">
        <v>2195</v>
      </c>
      <c r="AD486" t="s">
        <v>2196</v>
      </c>
      <c r="AE486" t="s">
        <v>1762</v>
      </c>
      <c r="AF486" t="s">
        <v>36</v>
      </c>
      <c r="AG486" t="s">
        <v>36</v>
      </c>
      <c r="AH486" t="s">
        <v>36</v>
      </c>
      <c r="AI486" t="s">
        <v>36</v>
      </c>
      <c r="AJ486" t="s">
        <v>36</v>
      </c>
      <c r="AK486" t="s">
        <v>2197</v>
      </c>
      <c r="AL486" t="s">
        <v>36</v>
      </c>
      <c r="AM486" t="s">
        <v>4881</v>
      </c>
      <c r="AN486" s="487">
        <v>0</v>
      </c>
      <c r="AO486" s="487">
        <v>0</v>
      </c>
    </row>
    <row r="487" spans="1:88" x14ac:dyDescent="0.2">
      <c r="A487">
        <v>486</v>
      </c>
      <c r="B487" t="s">
        <v>1496</v>
      </c>
      <c r="C487" t="s">
        <v>1527</v>
      </c>
      <c r="D487" t="s">
        <v>4340</v>
      </c>
      <c r="E487" t="s">
        <v>2145</v>
      </c>
      <c r="F487" t="s">
        <v>2027</v>
      </c>
      <c r="G487" t="s">
        <v>36</v>
      </c>
      <c r="H487" t="s">
        <v>2200</v>
      </c>
      <c r="I487" t="s">
        <v>5725</v>
      </c>
      <c r="J487" t="s">
        <v>4779</v>
      </c>
      <c r="K487" t="s">
        <v>2454</v>
      </c>
      <c r="L487" t="s">
        <v>3525</v>
      </c>
      <c r="M487" t="s">
        <v>1527</v>
      </c>
      <c r="N487" t="s">
        <v>1527</v>
      </c>
      <c r="O487" t="s">
        <v>2471</v>
      </c>
      <c r="P487" t="s">
        <v>3641</v>
      </c>
      <c r="Q487" t="s">
        <v>4797</v>
      </c>
      <c r="R487" t="s">
        <v>2193</v>
      </c>
      <c r="S487" t="s">
        <v>3642</v>
      </c>
      <c r="T487">
        <v>1.6</v>
      </c>
      <c r="U487" t="s">
        <v>2223</v>
      </c>
      <c r="V487" t="s">
        <v>2324</v>
      </c>
      <c r="W487" t="s">
        <v>1499</v>
      </c>
      <c r="X487" t="s">
        <v>3521</v>
      </c>
      <c r="Y487" t="s">
        <v>111</v>
      </c>
      <c r="Z487" t="s">
        <v>111</v>
      </c>
      <c r="AA487" t="s">
        <v>111</v>
      </c>
      <c r="AB487" t="s">
        <v>3526</v>
      </c>
      <c r="AC487" t="s">
        <v>2195</v>
      </c>
      <c r="AD487" t="s">
        <v>2196</v>
      </c>
      <c r="AE487" t="s">
        <v>1762</v>
      </c>
      <c r="AF487" t="s">
        <v>36</v>
      </c>
      <c r="AG487" t="s">
        <v>36</v>
      </c>
      <c r="AH487" t="s">
        <v>36</v>
      </c>
      <c r="AI487" t="s">
        <v>36</v>
      </c>
      <c r="AJ487" t="s">
        <v>36</v>
      </c>
      <c r="AK487" t="s">
        <v>2197</v>
      </c>
      <c r="AL487" t="s">
        <v>36</v>
      </c>
      <c r="AM487" t="s">
        <v>4881</v>
      </c>
      <c r="AN487" s="487">
        <v>0</v>
      </c>
      <c r="AO487" s="487">
        <v>0</v>
      </c>
    </row>
    <row r="488" spans="1:88" x14ac:dyDescent="0.2">
      <c r="A488">
        <v>487</v>
      </c>
      <c r="B488" t="s">
        <v>1496</v>
      </c>
      <c r="C488" t="s">
        <v>1529</v>
      </c>
      <c r="D488" t="s">
        <v>4341</v>
      </c>
      <c r="E488" t="s">
        <v>2145</v>
      </c>
      <c r="F488" t="s">
        <v>2027</v>
      </c>
      <c r="G488" t="s">
        <v>36</v>
      </c>
      <c r="H488" t="s">
        <v>2200</v>
      </c>
      <c r="I488" t="s">
        <v>5725</v>
      </c>
      <c r="J488" t="s">
        <v>4779</v>
      </c>
      <c r="K488" t="s">
        <v>2454</v>
      </c>
      <c r="L488" t="s">
        <v>3518</v>
      </c>
      <c r="M488" t="s">
        <v>1529</v>
      </c>
      <c r="N488" t="s">
        <v>1529</v>
      </c>
      <c r="O488" t="s">
        <v>2471</v>
      </c>
      <c r="P488" t="s">
        <v>3641</v>
      </c>
      <c r="Q488" t="s">
        <v>4797</v>
      </c>
      <c r="R488" t="s">
        <v>2193</v>
      </c>
      <c r="S488" t="s">
        <v>3642</v>
      </c>
      <c r="T488">
        <v>1.6</v>
      </c>
      <c r="U488" t="s">
        <v>2223</v>
      </c>
      <c r="V488" t="s">
        <v>2324</v>
      </c>
      <c r="W488" t="s">
        <v>1519</v>
      </c>
      <c r="X488" t="s">
        <v>3523</v>
      </c>
      <c r="Y488" t="s">
        <v>111</v>
      </c>
      <c r="Z488" t="s">
        <v>111</v>
      </c>
      <c r="AA488" t="s">
        <v>111</v>
      </c>
      <c r="AB488" t="s">
        <v>3524</v>
      </c>
      <c r="AC488" t="s">
        <v>2195</v>
      </c>
      <c r="AD488" t="s">
        <v>2196</v>
      </c>
      <c r="AE488" t="s">
        <v>1762</v>
      </c>
      <c r="AF488" t="s">
        <v>36</v>
      </c>
      <c r="AG488" t="s">
        <v>36</v>
      </c>
      <c r="AH488" t="s">
        <v>36</v>
      </c>
      <c r="AI488" t="s">
        <v>36</v>
      </c>
      <c r="AJ488" t="s">
        <v>36</v>
      </c>
      <c r="AK488" t="s">
        <v>2197</v>
      </c>
      <c r="AL488" t="s">
        <v>36</v>
      </c>
      <c r="AM488" t="s">
        <v>4881</v>
      </c>
      <c r="AN488" s="487">
        <v>0</v>
      </c>
      <c r="AO488" s="487">
        <v>0</v>
      </c>
    </row>
    <row r="489" spans="1:88" x14ac:dyDescent="0.2">
      <c r="A489">
        <v>488</v>
      </c>
      <c r="B489" t="s">
        <v>1496</v>
      </c>
      <c r="C489" t="s">
        <v>1531</v>
      </c>
      <c r="D489" t="s">
        <v>4342</v>
      </c>
      <c r="E489" t="s">
        <v>2145</v>
      </c>
      <c r="F489" t="s">
        <v>2027</v>
      </c>
      <c r="G489" t="s">
        <v>36</v>
      </c>
      <c r="H489" t="s">
        <v>2200</v>
      </c>
      <c r="I489" t="s">
        <v>5725</v>
      </c>
      <c r="J489" t="s">
        <v>4779</v>
      </c>
      <c r="K489" t="s">
        <v>2454</v>
      </c>
      <c r="L489" t="s">
        <v>3518</v>
      </c>
      <c r="M489" t="s">
        <v>1531</v>
      </c>
      <c r="N489" t="s">
        <v>1531</v>
      </c>
      <c r="O489" t="s">
        <v>111</v>
      </c>
      <c r="P489" t="s">
        <v>3641</v>
      </c>
      <c r="Q489" t="s">
        <v>4797</v>
      </c>
      <c r="R489" t="s">
        <v>2193</v>
      </c>
      <c r="S489" t="s">
        <v>3642</v>
      </c>
      <c r="T489">
        <v>1.6</v>
      </c>
      <c r="U489" t="s">
        <v>2223</v>
      </c>
      <c r="V489" t="s">
        <v>2460</v>
      </c>
      <c r="W489" t="s">
        <v>1531</v>
      </c>
      <c r="X489" t="s">
        <v>3521</v>
      </c>
      <c r="Y489" t="s">
        <v>111</v>
      </c>
      <c r="Z489" t="s">
        <v>111</v>
      </c>
      <c r="AA489" t="s">
        <v>111</v>
      </c>
      <c r="AB489" t="s">
        <v>3522</v>
      </c>
      <c r="AC489" t="s">
        <v>2195</v>
      </c>
      <c r="AD489" t="s">
        <v>2196</v>
      </c>
      <c r="AE489" t="s">
        <v>1762</v>
      </c>
      <c r="AF489" t="s">
        <v>36</v>
      </c>
      <c r="AG489" t="s">
        <v>36</v>
      </c>
      <c r="AH489" t="s">
        <v>36</v>
      </c>
      <c r="AI489" t="s">
        <v>36</v>
      </c>
      <c r="AJ489" t="s">
        <v>36</v>
      </c>
      <c r="AK489" t="s">
        <v>2197</v>
      </c>
      <c r="AL489" t="s">
        <v>36</v>
      </c>
      <c r="AM489" t="s">
        <v>4881</v>
      </c>
      <c r="AN489" s="487">
        <v>0</v>
      </c>
      <c r="AO489" s="487">
        <v>0</v>
      </c>
    </row>
    <row r="490" spans="1:88" ht="15" customHeight="1" x14ac:dyDescent="0.2">
      <c r="A490">
        <v>489</v>
      </c>
      <c r="B490" t="s">
        <v>1496</v>
      </c>
      <c r="C490" t="s">
        <v>1533</v>
      </c>
      <c r="D490" t="s">
        <v>4343</v>
      </c>
      <c r="E490" t="s">
        <v>2145</v>
      </c>
      <c r="F490" t="s">
        <v>2027</v>
      </c>
      <c r="G490" t="s">
        <v>36</v>
      </c>
      <c r="H490" t="s">
        <v>2200</v>
      </c>
      <c r="I490" t="s">
        <v>5725</v>
      </c>
      <c r="J490" t="s">
        <v>4779</v>
      </c>
      <c r="K490" t="s">
        <v>2454</v>
      </c>
      <c r="L490" t="s">
        <v>3518</v>
      </c>
      <c r="M490" t="s">
        <v>1533</v>
      </c>
      <c r="N490" t="s">
        <v>1533</v>
      </c>
      <c r="O490" t="s">
        <v>2471</v>
      </c>
      <c r="P490" t="s">
        <v>3641</v>
      </c>
      <c r="Q490" t="s">
        <v>4797</v>
      </c>
      <c r="R490" t="s">
        <v>2257</v>
      </c>
      <c r="S490" t="s">
        <v>3642</v>
      </c>
      <c r="T490">
        <v>1.6</v>
      </c>
      <c r="U490" t="s">
        <v>2223</v>
      </c>
      <c r="V490" t="s">
        <v>2324</v>
      </c>
      <c r="W490" t="s">
        <v>1533</v>
      </c>
      <c r="X490" t="s">
        <v>3519</v>
      </c>
      <c r="Y490" t="s">
        <v>111</v>
      </c>
      <c r="Z490" t="s">
        <v>111</v>
      </c>
      <c r="AA490" t="s">
        <v>111</v>
      </c>
      <c r="AB490" t="s">
        <v>3520</v>
      </c>
      <c r="AC490" t="s">
        <v>2195</v>
      </c>
      <c r="AD490" t="s">
        <v>2196</v>
      </c>
      <c r="AE490" t="s">
        <v>1762</v>
      </c>
      <c r="AF490" t="s">
        <v>36</v>
      </c>
      <c r="AG490" t="s">
        <v>36</v>
      </c>
      <c r="AH490" t="s">
        <v>36</v>
      </c>
      <c r="AI490" t="s">
        <v>36</v>
      </c>
      <c r="AJ490" t="s">
        <v>36</v>
      </c>
      <c r="AK490" t="s">
        <v>2197</v>
      </c>
      <c r="AL490" t="s">
        <v>36</v>
      </c>
      <c r="AM490" t="s">
        <v>4881</v>
      </c>
      <c r="AN490" s="487">
        <v>0</v>
      </c>
      <c r="AO490" s="487">
        <v>0</v>
      </c>
    </row>
    <row r="491" spans="1:88" ht="15" customHeight="1" x14ac:dyDescent="0.2">
      <c r="A491">
        <v>490</v>
      </c>
      <c r="B491" t="s">
        <v>1496</v>
      </c>
      <c r="C491" t="s">
        <v>1499</v>
      </c>
      <c r="D491" t="s">
        <v>4344</v>
      </c>
      <c r="E491" t="s">
        <v>2145</v>
      </c>
      <c r="F491" t="s">
        <v>2027</v>
      </c>
      <c r="G491" t="s">
        <v>36</v>
      </c>
      <c r="H491" t="s">
        <v>2200</v>
      </c>
      <c r="I491" t="s">
        <v>5725</v>
      </c>
      <c r="J491" t="s">
        <v>4779</v>
      </c>
      <c r="K491" t="s">
        <v>2454</v>
      </c>
      <c r="L491" t="s">
        <v>3518</v>
      </c>
      <c r="M491" t="s">
        <v>1499</v>
      </c>
      <c r="N491" t="s">
        <v>1499</v>
      </c>
      <c r="O491" t="s">
        <v>2471</v>
      </c>
      <c r="P491" t="s">
        <v>3641</v>
      </c>
      <c r="Q491" t="s">
        <v>4797</v>
      </c>
      <c r="R491" t="s">
        <v>2193</v>
      </c>
      <c r="S491" t="s">
        <v>3642</v>
      </c>
      <c r="T491">
        <v>1.6</v>
      </c>
      <c r="U491" t="s">
        <v>2223</v>
      </c>
      <c r="V491" t="s">
        <v>2324</v>
      </c>
      <c r="W491" t="s">
        <v>1499</v>
      </c>
      <c r="X491" t="s">
        <v>3519</v>
      </c>
      <c r="Y491" t="s">
        <v>111</v>
      </c>
      <c r="Z491" t="s">
        <v>111</v>
      </c>
      <c r="AA491" t="s">
        <v>111</v>
      </c>
      <c r="AB491" t="s">
        <v>3646</v>
      </c>
      <c r="AC491" t="s">
        <v>2195</v>
      </c>
      <c r="AD491" t="s">
        <v>2196</v>
      </c>
      <c r="AE491" t="s">
        <v>1762</v>
      </c>
      <c r="AF491" t="s">
        <v>36</v>
      </c>
      <c r="AG491" t="s">
        <v>36</v>
      </c>
      <c r="AH491" t="s">
        <v>36</v>
      </c>
      <c r="AI491" t="s">
        <v>36</v>
      </c>
      <c r="AJ491" t="s">
        <v>36</v>
      </c>
      <c r="AK491" t="s">
        <v>2197</v>
      </c>
      <c r="AL491" t="s">
        <v>36</v>
      </c>
      <c r="AM491" t="s">
        <v>4881</v>
      </c>
      <c r="AN491" s="487">
        <v>0</v>
      </c>
      <c r="AO491" s="487">
        <v>0</v>
      </c>
    </row>
    <row r="492" spans="1:88" ht="15" customHeight="1" x14ac:dyDescent="0.2">
      <c r="A492">
        <v>491</v>
      </c>
      <c r="B492" t="s">
        <v>1833</v>
      </c>
      <c r="C492" t="s">
        <v>1835</v>
      </c>
      <c r="D492" t="s">
        <v>4345</v>
      </c>
      <c r="E492" t="s">
        <v>3650</v>
      </c>
      <c r="F492" t="s">
        <v>2058</v>
      </c>
      <c r="G492" t="s">
        <v>36</v>
      </c>
      <c r="H492" t="s">
        <v>2200</v>
      </c>
      <c r="I492" t="s">
        <v>5739</v>
      </c>
      <c r="J492" t="s">
        <v>2188</v>
      </c>
      <c r="K492" t="s">
        <v>1835</v>
      </c>
      <c r="L492" t="s">
        <v>3651</v>
      </c>
      <c r="M492" t="s">
        <v>3652</v>
      </c>
      <c r="N492" t="s">
        <v>1835</v>
      </c>
      <c r="O492" t="s">
        <v>3653</v>
      </c>
      <c r="P492" t="s">
        <v>3654</v>
      </c>
      <c r="Q492" t="s">
        <v>2198</v>
      </c>
      <c r="R492" t="s">
        <v>2257</v>
      </c>
      <c r="S492" t="s">
        <v>3655</v>
      </c>
      <c r="T492">
        <v>1.7</v>
      </c>
      <c r="U492" t="s">
        <v>2222</v>
      </c>
      <c r="V492" t="s">
        <v>3656</v>
      </c>
      <c r="W492" t="s">
        <v>3657</v>
      </c>
      <c r="X492" t="s">
        <v>2273</v>
      </c>
      <c r="Y492" t="s">
        <v>3656</v>
      </c>
      <c r="Z492" t="s">
        <v>3658</v>
      </c>
      <c r="AA492" t="s">
        <v>2273</v>
      </c>
      <c r="AB492" t="s">
        <v>4872</v>
      </c>
      <c r="AC492" t="s">
        <v>2195</v>
      </c>
      <c r="AD492" t="s">
        <v>2196</v>
      </c>
      <c r="AE492" t="s">
        <v>1762</v>
      </c>
      <c r="AF492" t="s">
        <v>36</v>
      </c>
      <c r="AG492" t="s">
        <v>36</v>
      </c>
      <c r="AH492" t="s">
        <v>36</v>
      </c>
      <c r="AI492" t="s">
        <v>36</v>
      </c>
      <c r="AJ492" t="s">
        <v>36</v>
      </c>
      <c r="AK492" t="s">
        <v>2197</v>
      </c>
      <c r="AL492" t="s">
        <v>36</v>
      </c>
      <c r="AM492" t="s">
        <v>4876</v>
      </c>
      <c r="AN492" s="487"/>
      <c r="AO492" s="487"/>
    </row>
    <row r="493" spans="1:88" ht="15" customHeight="1" x14ac:dyDescent="0.2">
      <c r="A493">
        <v>492</v>
      </c>
      <c r="B493" t="s">
        <v>5353</v>
      </c>
      <c r="C493" t="s">
        <v>839</v>
      </c>
      <c r="D493" t="s">
        <v>5451</v>
      </c>
      <c r="E493" t="s">
        <v>5355</v>
      </c>
      <c r="F493" t="s">
        <v>2045</v>
      </c>
      <c r="G493" t="s">
        <v>36</v>
      </c>
      <c r="H493" t="s">
        <v>2200</v>
      </c>
      <c r="I493" t="s">
        <v>5725</v>
      </c>
      <c r="J493" t="s">
        <v>2468</v>
      </c>
      <c r="K493" t="s">
        <v>1120</v>
      </c>
      <c r="L493" t="s">
        <v>2315</v>
      </c>
      <c r="M493" t="s">
        <v>839</v>
      </c>
      <c r="N493" t="s">
        <v>839</v>
      </c>
      <c r="O493" t="s">
        <v>906</v>
      </c>
      <c r="P493" t="s">
        <v>5452</v>
      </c>
      <c r="Q493" t="s">
        <v>2198</v>
      </c>
      <c r="R493" t="s">
        <v>5453</v>
      </c>
      <c r="S493" t="s">
        <v>5454</v>
      </c>
      <c r="T493">
        <v>6.4</v>
      </c>
      <c r="U493" t="s">
        <v>1952</v>
      </c>
      <c r="V493" t="s">
        <v>5455</v>
      </c>
      <c r="W493" t="s">
        <v>5456</v>
      </c>
      <c r="X493" t="s">
        <v>2194</v>
      </c>
      <c r="Y493" t="s">
        <v>111</v>
      </c>
      <c r="Z493" t="s">
        <v>111</v>
      </c>
      <c r="AA493" t="s">
        <v>111</v>
      </c>
      <c r="AB493" t="s">
        <v>36</v>
      </c>
      <c r="AC493" t="s">
        <v>2195</v>
      </c>
      <c r="AD493" t="s">
        <v>2196</v>
      </c>
      <c r="AE493" t="s">
        <v>1762</v>
      </c>
      <c r="AF493" t="s">
        <v>36</v>
      </c>
      <c r="AG493" t="s">
        <v>36</v>
      </c>
      <c r="AH493" t="s">
        <v>36</v>
      </c>
      <c r="AI493" t="s">
        <v>36</v>
      </c>
      <c r="AJ493" t="s">
        <v>36</v>
      </c>
      <c r="AK493" t="s">
        <v>2197</v>
      </c>
      <c r="AL493" t="s">
        <v>36</v>
      </c>
      <c r="AM493">
        <v>0</v>
      </c>
      <c r="AN493" s="487"/>
      <c r="AO493" s="487"/>
    </row>
    <row r="494" spans="1:88" ht="15" customHeight="1" x14ac:dyDescent="0.2">
      <c r="A494">
        <v>493</v>
      </c>
      <c r="B494" t="s">
        <v>5353</v>
      </c>
      <c r="C494" t="s">
        <v>837</v>
      </c>
      <c r="D494" t="s">
        <v>5457</v>
      </c>
      <c r="E494" t="s">
        <v>5355</v>
      </c>
      <c r="F494" t="s">
        <v>2045</v>
      </c>
      <c r="G494" t="s">
        <v>36</v>
      </c>
      <c r="H494" t="s">
        <v>2200</v>
      </c>
      <c r="I494" t="s">
        <v>5725</v>
      </c>
      <c r="J494" t="s">
        <v>2468</v>
      </c>
      <c r="K494" t="s">
        <v>1120</v>
      </c>
      <c r="L494" t="s">
        <v>2315</v>
      </c>
      <c r="M494" t="s">
        <v>837</v>
      </c>
      <c r="N494" t="s">
        <v>837</v>
      </c>
      <c r="O494" t="s">
        <v>906</v>
      </c>
      <c r="P494" t="s">
        <v>5458</v>
      </c>
      <c r="Q494" t="s">
        <v>2198</v>
      </c>
      <c r="R494" t="s">
        <v>2367</v>
      </c>
      <c r="S494" t="s">
        <v>5459</v>
      </c>
      <c r="T494">
        <v>282.5</v>
      </c>
      <c r="U494" t="s">
        <v>1952</v>
      </c>
      <c r="V494" t="s">
        <v>5460</v>
      </c>
      <c r="W494" t="s">
        <v>5461</v>
      </c>
      <c r="X494" t="s">
        <v>2194</v>
      </c>
      <c r="Y494" t="s">
        <v>111</v>
      </c>
      <c r="Z494" t="s">
        <v>111</v>
      </c>
      <c r="AA494" t="s">
        <v>111</v>
      </c>
      <c r="AB494" t="s">
        <v>36</v>
      </c>
      <c r="AC494" t="s">
        <v>2195</v>
      </c>
      <c r="AD494" t="s">
        <v>2196</v>
      </c>
      <c r="AE494" t="s">
        <v>1762</v>
      </c>
      <c r="AF494">
        <v>1</v>
      </c>
      <c r="AG494">
        <v>0</v>
      </c>
      <c r="AH494">
        <v>0.75</v>
      </c>
      <c r="AI494" t="s">
        <v>36</v>
      </c>
      <c r="AJ494" t="s">
        <v>36</v>
      </c>
      <c r="AK494" t="s">
        <v>2197</v>
      </c>
      <c r="AL494" t="s">
        <v>36</v>
      </c>
      <c r="AM494" t="s">
        <v>4879</v>
      </c>
      <c r="AN494" s="487"/>
      <c r="AO494" s="487"/>
    </row>
    <row r="495" spans="1:88" ht="15" customHeight="1" x14ac:dyDescent="0.2">
      <c r="A495">
        <v>494</v>
      </c>
      <c r="B495" t="s">
        <v>5353</v>
      </c>
      <c r="C495" t="s">
        <v>819</v>
      </c>
      <c r="D495" t="s">
        <v>5354</v>
      </c>
      <c r="E495" t="s">
        <v>5355</v>
      </c>
      <c r="F495" t="s">
        <v>2045</v>
      </c>
      <c r="G495" t="s">
        <v>36</v>
      </c>
      <c r="H495" t="s">
        <v>2200</v>
      </c>
      <c r="I495" t="s">
        <v>5725</v>
      </c>
      <c r="J495" t="s">
        <v>2468</v>
      </c>
      <c r="K495" t="s">
        <v>1120</v>
      </c>
      <c r="L495" t="s">
        <v>2315</v>
      </c>
      <c r="M495" t="s">
        <v>819</v>
      </c>
      <c r="N495" t="s">
        <v>819</v>
      </c>
      <c r="O495" t="s">
        <v>906</v>
      </c>
      <c r="P495" t="s">
        <v>5356</v>
      </c>
      <c r="Q495" t="s">
        <v>2198</v>
      </c>
      <c r="R495" t="s">
        <v>2367</v>
      </c>
      <c r="S495" t="s">
        <v>5357</v>
      </c>
      <c r="T495">
        <v>1760</v>
      </c>
      <c r="U495" t="s">
        <v>1952</v>
      </c>
      <c r="V495" t="s">
        <v>2740</v>
      </c>
      <c r="W495" t="s">
        <v>3258</v>
      </c>
      <c r="X495" t="s">
        <v>2194</v>
      </c>
      <c r="Y495" t="s">
        <v>111</v>
      </c>
      <c r="Z495" t="s">
        <v>111</v>
      </c>
      <c r="AA495" t="s">
        <v>111</v>
      </c>
      <c r="AB495" t="s">
        <v>36</v>
      </c>
      <c r="AC495" t="s">
        <v>2195</v>
      </c>
      <c r="AD495" t="s">
        <v>2196</v>
      </c>
      <c r="AE495" t="s">
        <v>1762</v>
      </c>
      <c r="AF495" t="s">
        <v>3950</v>
      </c>
      <c r="AG495">
        <v>0.5</v>
      </c>
      <c r="AH495">
        <v>0.75</v>
      </c>
      <c r="AI495" t="s">
        <v>36</v>
      </c>
      <c r="AJ495" t="s">
        <v>36</v>
      </c>
      <c r="AK495" t="s">
        <v>2197</v>
      </c>
      <c r="AL495" t="s">
        <v>36</v>
      </c>
      <c r="AM495" t="s">
        <v>4879</v>
      </c>
      <c r="AN495" s="487">
        <v>0</v>
      </c>
      <c r="AO495" s="487">
        <v>0</v>
      </c>
    </row>
    <row r="496" spans="1:88" x14ac:dyDescent="0.2">
      <c r="A496">
        <v>495</v>
      </c>
      <c r="B496" t="s">
        <v>3878</v>
      </c>
      <c r="C496" t="s">
        <v>4904</v>
      </c>
      <c r="D496" t="s">
        <v>4905</v>
      </c>
      <c r="E496" t="s">
        <v>4906</v>
      </c>
      <c r="F496" t="s">
        <v>4907</v>
      </c>
      <c r="G496" t="s">
        <v>36</v>
      </c>
      <c r="H496" t="s">
        <v>2200</v>
      </c>
      <c r="I496" t="s">
        <v>5725</v>
      </c>
      <c r="J496" t="s">
        <v>2812</v>
      </c>
      <c r="K496" t="s">
        <v>1453</v>
      </c>
      <c r="L496" t="s">
        <v>4398</v>
      </c>
      <c r="M496" t="s">
        <v>4904</v>
      </c>
      <c r="N496" t="s">
        <v>4904</v>
      </c>
      <c r="O496" t="s">
        <v>906</v>
      </c>
      <c r="P496" t="s">
        <v>4399</v>
      </c>
      <c r="Q496" t="s">
        <v>3493</v>
      </c>
      <c r="R496" t="s">
        <v>2257</v>
      </c>
      <c r="S496" t="s">
        <v>4400</v>
      </c>
      <c r="T496">
        <v>2.7</v>
      </c>
      <c r="U496" t="s">
        <v>1952</v>
      </c>
      <c r="V496" t="s">
        <v>4401</v>
      </c>
      <c r="W496" t="s">
        <v>4402</v>
      </c>
      <c r="X496" t="s">
        <v>5555</v>
      </c>
      <c r="Y496" t="s">
        <v>111</v>
      </c>
      <c r="Z496" t="s">
        <v>111</v>
      </c>
      <c r="AA496" t="s">
        <v>111</v>
      </c>
      <c r="AB496" t="s">
        <v>5780</v>
      </c>
      <c r="AC496" t="s">
        <v>2195</v>
      </c>
      <c r="AD496" t="s">
        <v>2196</v>
      </c>
      <c r="AE496" t="s">
        <v>1762</v>
      </c>
      <c r="AF496">
        <v>5</v>
      </c>
      <c r="AG496">
        <v>1</v>
      </c>
      <c r="AH496">
        <v>75</v>
      </c>
      <c r="AI496" t="s">
        <v>3984</v>
      </c>
      <c r="AJ496" t="s">
        <v>4908</v>
      </c>
      <c r="AK496" t="s">
        <v>2197</v>
      </c>
      <c r="AL496" t="s">
        <v>36</v>
      </c>
      <c r="AM496" t="s">
        <v>4876</v>
      </c>
      <c r="AN496" s="487">
        <v>0</v>
      </c>
      <c r="AO496" s="487">
        <v>0</v>
      </c>
    </row>
    <row r="497" spans="1:41" x14ac:dyDescent="0.2">
      <c r="A497">
        <v>496</v>
      </c>
      <c r="B497" t="s">
        <v>1589</v>
      </c>
      <c r="C497" t="s">
        <v>1605</v>
      </c>
      <c r="D497" t="s">
        <v>4346</v>
      </c>
      <c r="E497" t="s">
        <v>2153</v>
      </c>
      <c r="F497" t="s">
        <v>2154</v>
      </c>
      <c r="G497" t="s">
        <v>36</v>
      </c>
      <c r="H497" t="s">
        <v>2200</v>
      </c>
      <c r="I497" t="s">
        <v>5725</v>
      </c>
      <c r="J497" t="s">
        <v>1768</v>
      </c>
      <c r="K497" t="s">
        <v>2322</v>
      </c>
      <c r="L497" t="s">
        <v>3736</v>
      </c>
      <c r="M497" t="s">
        <v>1605</v>
      </c>
      <c r="N497" t="s">
        <v>1605</v>
      </c>
      <c r="O497" t="s">
        <v>2471</v>
      </c>
      <c r="P497" t="s">
        <v>2517</v>
      </c>
      <c r="Q497" t="s">
        <v>2192</v>
      </c>
      <c r="R497" t="s">
        <v>2257</v>
      </c>
      <c r="S497" t="s">
        <v>3737</v>
      </c>
      <c r="T497">
        <v>315</v>
      </c>
      <c r="U497" t="s">
        <v>111</v>
      </c>
      <c r="V497" t="s">
        <v>111</v>
      </c>
      <c r="W497" t="s">
        <v>111</v>
      </c>
      <c r="X497" t="s">
        <v>111</v>
      </c>
      <c r="Y497" t="s">
        <v>111</v>
      </c>
      <c r="Z497" t="s">
        <v>111</v>
      </c>
      <c r="AA497" t="s">
        <v>111</v>
      </c>
      <c r="AB497" t="s">
        <v>36</v>
      </c>
      <c r="AC497" t="s">
        <v>2195</v>
      </c>
      <c r="AD497" t="s">
        <v>2196</v>
      </c>
      <c r="AE497" t="s">
        <v>1762</v>
      </c>
      <c r="AF497" t="s">
        <v>36</v>
      </c>
      <c r="AG497" t="s">
        <v>36</v>
      </c>
      <c r="AH497" t="s">
        <v>36</v>
      </c>
      <c r="AI497" t="s">
        <v>36</v>
      </c>
      <c r="AJ497" t="s">
        <v>36</v>
      </c>
      <c r="AK497" t="s">
        <v>2197</v>
      </c>
      <c r="AL497" t="s">
        <v>36</v>
      </c>
      <c r="AM497" t="s">
        <v>4876</v>
      </c>
      <c r="AN497" s="487">
        <v>0</v>
      </c>
      <c r="AO497" s="487">
        <v>0</v>
      </c>
    </row>
    <row r="498" spans="1:41" x14ac:dyDescent="0.2">
      <c r="A498">
        <v>497</v>
      </c>
      <c r="B498" t="s">
        <v>1589</v>
      </c>
      <c r="C498" t="s">
        <v>1596</v>
      </c>
      <c r="D498" t="s">
        <v>4347</v>
      </c>
      <c r="E498" t="s">
        <v>2153</v>
      </c>
      <c r="F498" t="s">
        <v>2154</v>
      </c>
      <c r="G498" t="s">
        <v>36</v>
      </c>
      <c r="H498" t="s">
        <v>2200</v>
      </c>
      <c r="I498" t="s">
        <v>5725</v>
      </c>
      <c r="J498" t="s">
        <v>1768</v>
      </c>
      <c r="K498" t="s">
        <v>3748</v>
      </c>
      <c r="L498" t="s">
        <v>2315</v>
      </c>
      <c r="M498" t="s">
        <v>3751</v>
      </c>
      <c r="N498" t="s">
        <v>1596</v>
      </c>
      <c r="O498" t="s">
        <v>2471</v>
      </c>
      <c r="P498" t="s">
        <v>2623</v>
      </c>
      <c r="Q498" t="s">
        <v>111</v>
      </c>
      <c r="R498" t="s">
        <v>2257</v>
      </c>
      <c r="S498" t="s">
        <v>3713</v>
      </c>
      <c r="T498">
        <v>94.5</v>
      </c>
      <c r="U498" t="s">
        <v>111</v>
      </c>
      <c r="V498" t="s">
        <v>111</v>
      </c>
      <c r="W498" t="s">
        <v>111</v>
      </c>
      <c r="X498" t="s">
        <v>111</v>
      </c>
      <c r="Y498" t="s">
        <v>111</v>
      </c>
      <c r="Z498" t="s">
        <v>111</v>
      </c>
      <c r="AA498" t="s">
        <v>111</v>
      </c>
      <c r="AB498" t="s">
        <v>36</v>
      </c>
      <c r="AC498" t="s">
        <v>2195</v>
      </c>
      <c r="AD498" t="s">
        <v>2196</v>
      </c>
      <c r="AE498" t="s">
        <v>1762</v>
      </c>
      <c r="AF498" t="s">
        <v>36</v>
      </c>
      <c r="AG498" t="s">
        <v>36</v>
      </c>
      <c r="AH498" t="s">
        <v>36</v>
      </c>
      <c r="AI498" t="s">
        <v>36</v>
      </c>
      <c r="AJ498" t="s">
        <v>36</v>
      </c>
      <c r="AK498" t="s">
        <v>2197</v>
      </c>
      <c r="AL498" t="s">
        <v>36</v>
      </c>
      <c r="AM498" t="s">
        <v>4876</v>
      </c>
      <c r="AN498" s="487">
        <v>0</v>
      </c>
      <c r="AO498" s="487">
        <v>0</v>
      </c>
    </row>
    <row r="499" spans="1:41" x14ac:dyDescent="0.2">
      <c r="A499">
        <v>498</v>
      </c>
      <c r="B499" t="s">
        <v>1589</v>
      </c>
      <c r="C499" t="s">
        <v>1598</v>
      </c>
      <c r="D499" t="s">
        <v>4348</v>
      </c>
      <c r="E499" t="s">
        <v>2153</v>
      </c>
      <c r="F499" t="s">
        <v>2154</v>
      </c>
      <c r="G499" t="s">
        <v>36</v>
      </c>
      <c r="H499" t="s">
        <v>2200</v>
      </c>
      <c r="I499" t="s">
        <v>5725</v>
      </c>
      <c r="J499" t="s">
        <v>1768</v>
      </c>
      <c r="K499" t="s">
        <v>3748</v>
      </c>
      <c r="L499" t="s">
        <v>2315</v>
      </c>
      <c r="M499" t="s">
        <v>3749</v>
      </c>
      <c r="N499" t="s">
        <v>1598</v>
      </c>
      <c r="O499" t="s">
        <v>2471</v>
      </c>
      <c r="P499" t="s">
        <v>3750</v>
      </c>
      <c r="Q499" t="s">
        <v>111</v>
      </c>
      <c r="R499" t="s">
        <v>2257</v>
      </c>
      <c r="S499" t="s">
        <v>3713</v>
      </c>
      <c r="T499">
        <v>94.5</v>
      </c>
      <c r="U499" t="s">
        <v>111</v>
      </c>
      <c r="V499" t="s">
        <v>111</v>
      </c>
      <c r="W499" t="s">
        <v>111</v>
      </c>
      <c r="X499" t="s">
        <v>111</v>
      </c>
      <c r="Y499" t="s">
        <v>111</v>
      </c>
      <c r="Z499" t="s">
        <v>111</v>
      </c>
      <c r="AA499" t="s">
        <v>111</v>
      </c>
      <c r="AB499" t="s">
        <v>36</v>
      </c>
      <c r="AC499" t="s">
        <v>2195</v>
      </c>
      <c r="AD499" t="s">
        <v>2196</v>
      </c>
      <c r="AE499" t="s">
        <v>1762</v>
      </c>
      <c r="AF499" t="s">
        <v>36</v>
      </c>
      <c r="AG499" t="s">
        <v>36</v>
      </c>
      <c r="AH499" t="s">
        <v>36</v>
      </c>
      <c r="AI499" t="s">
        <v>36</v>
      </c>
      <c r="AJ499" t="s">
        <v>36</v>
      </c>
      <c r="AK499" t="s">
        <v>2197</v>
      </c>
      <c r="AL499" t="s">
        <v>36</v>
      </c>
      <c r="AM499" t="s">
        <v>4876</v>
      </c>
      <c r="AN499" s="487">
        <v>0</v>
      </c>
      <c r="AO499" s="487">
        <v>0</v>
      </c>
    </row>
    <row r="500" spans="1:41" x14ac:dyDescent="0.2">
      <c r="A500">
        <v>499</v>
      </c>
      <c r="B500" t="s">
        <v>1589</v>
      </c>
      <c r="C500" t="s">
        <v>1591</v>
      </c>
      <c r="D500" t="s">
        <v>4349</v>
      </c>
      <c r="E500" t="s">
        <v>2153</v>
      </c>
      <c r="F500" t="s">
        <v>2154</v>
      </c>
      <c r="G500" t="s">
        <v>36</v>
      </c>
      <c r="H500" t="s">
        <v>2200</v>
      </c>
      <c r="I500" t="s">
        <v>5725</v>
      </c>
      <c r="J500" t="s">
        <v>1768</v>
      </c>
      <c r="K500" t="s">
        <v>2850</v>
      </c>
      <c r="L500" t="s">
        <v>2315</v>
      </c>
      <c r="M500" t="s">
        <v>3717</v>
      </c>
      <c r="N500" t="s">
        <v>1591</v>
      </c>
      <c r="O500" t="s">
        <v>2471</v>
      </c>
      <c r="P500" t="s">
        <v>2934</v>
      </c>
      <c r="Q500" t="s">
        <v>111</v>
      </c>
      <c r="R500" t="s">
        <v>2257</v>
      </c>
      <c r="S500" t="s">
        <v>3713</v>
      </c>
      <c r="T500">
        <v>94.5</v>
      </c>
      <c r="U500" t="s">
        <v>111</v>
      </c>
      <c r="V500" t="s">
        <v>111</v>
      </c>
      <c r="W500" t="s">
        <v>111</v>
      </c>
      <c r="X500" t="s">
        <v>111</v>
      </c>
      <c r="Y500" t="s">
        <v>111</v>
      </c>
      <c r="Z500" t="s">
        <v>111</v>
      </c>
      <c r="AA500" t="s">
        <v>111</v>
      </c>
      <c r="AB500" t="s">
        <v>36</v>
      </c>
      <c r="AC500" t="s">
        <v>2195</v>
      </c>
      <c r="AD500" t="s">
        <v>2196</v>
      </c>
      <c r="AE500" t="s">
        <v>1762</v>
      </c>
      <c r="AF500" t="s">
        <v>36</v>
      </c>
      <c r="AG500" t="s">
        <v>36</v>
      </c>
      <c r="AH500" t="s">
        <v>36</v>
      </c>
      <c r="AI500" t="s">
        <v>36</v>
      </c>
      <c r="AJ500" t="s">
        <v>36</v>
      </c>
      <c r="AK500" t="s">
        <v>2197</v>
      </c>
      <c r="AL500" t="s">
        <v>36</v>
      </c>
      <c r="AM500" t="s">
        <v>4876</v>
      </c>
      <c r="AN500" s="487">
        <v>0</v>
      </c>
      <c r="AO500" s="487">
        <v>0</v>
      </c>
    </row>
    <row r="501" spans="1:41" x14ac:dyDescent="0.2">
      <c r="A501">
        <v>500</v>
      </c>
      <c r="B501" t="s">
        <v>1589</v>
      </c>
      <c r="C501" t="s">
        <v>1619</v>
      </c>
      <c r="D501" t="s">
        <v>4350</v>
      </c>
      <c r="E501" t="s">
        <v>2153</v>
      </c>
      <c r="F501" t="s">
        <v>2154</v>
      </c>
      <c r="G501" t="s">
        <v>36</v>
      </c>
      <c r="H501" t="s">
        <v>2200</v>
      </c>
      <c r="I501" t="s">
        <v>5725</v>
      </c>
      <c r="J501" t="s">
        <v>1768</v>
      </c>
      <c r="K501" t="s">
        <v>3714</v>
      </c>
      <c r="L501" t="s">
        <v>2315</v>
      </c>
      <c r="M501" t="s">
        <v>3715</v>
      </c>
      <c r="N501" t="s">
        <v>1619</v>
      </c>
      <c r="O501" t="s">
        <v>2471</v>
      </c>
      <c r="P501" t="s">
        <v>3716</v>
      </c>
      <c r="Q501" t="s">
        <v>111</v>
      </c>
      <c r="R501" t="s">
        <v>2257</v>
      </c>
      <c r="S501" t="s">
        <v>3713</v>
      </c>
      <c r="T501">
        <v>94.5</v>
      </c>
      <c r="U501" t="s">
        <v>111</v>
      </c>
      <c r="V501" t="s">
        <v>111</v>
      </c>
      <c r="W501" t="s">
        <v>111</v>
      </c>
      <c r="X501" t="s">
        <v>111</v>
      </c>
      <c r="Y501" t="s">
        <v>111</v>
      </c>
      <c r="Z501" t="s">
        <v>111</v>
      </c>
      <c r="AA501" t="s">
        <v>111</v>
      </c>
      <c r="AB501" t="s">
        <v>36</v>
      </c>
      <c r="AC501" t="s">
        <v>2195</v>
      </c>
      <c r="AD501" t="s">
        <v>2196</v>
      </c>
      <c r="AE501" t="s">
        <v>1762</v>
      </c>
      <c r="AF501" t="s">
        <v>36</v>
      </c>
      <c r="AG501" t="s">
        <v>36</v>
      </c>
      <c r="AH501" t="s">
        <v>36</v>
      </c>
      <c r="AI501" t="s">
        <v>36</v>
      </c>
      <c r="AJ501" t="s">
        <v>36</v>
      </c>
      <c r="AK501" t="s">
        <v>2197</v>
      </c>
      <c r="AL501" t="s">
        <v>36</v>
      </c>
      <c r="AM501" t="s">
        <v>4876</v>
      </c>
      <c r="AN501" s="487">
        <v>0</v>
      </c>
      <c r="AO501" s="487">
        <v>0</v>
      </c>
    </row>
    <row r="502" spans="1:41" x14ac:dyDescent="0.2">
      <c r="A502">
        <v>501</v>
      </c>
      <c r="B502" t="s">
        <v>1589</v>
      </c>
      <c r="C502" t="s">
        <v>1602</v>
      </c>
      <c r="D502" t="s">
        <v>4351</v>
      </c>
      <c r="E502" t="s">
        <v>2153</v>
      </c>
      <c r="F502" t="s">
        <v>2154</v>
      </c>
      <c r="G502" t="s">
        <v>36</v>
      </c>
      <c r="H502" t="s">
        <v>2200</v>
      </c>
      <c r="I502" t="s">
        <v>5725</v>
      </c>
      <c r="J502" t="s">
        <v>1768</v>
      </c>
      <c r="K502" t="s">
        <v>3744</v>
      </c>
      <c r="L502" t="s">
        <v>2315</v>
      </c>
      <c r="M502" t="s">
        <v>3745</v>
      </c>
      <c r="N502" t="s">
        <v>1602</v>
      </c>
      <c r="O502" t="s">
        <v>2471</v>
      </c>
      <c r="P502" t="s">
        <v>3746</v>
      </c>
      <c r="Q502" t="s">
        <v>111</v>
      </c>
      <c r="R502" t="s">
        <v>2257</v>
      </c>
      <c r="S502" t="s">
        <v>3713</v>
      </c>
      <c r="T502">
        <v>94.5</v>
      </c>
      <c r="U502" t="s">
        <v>111</v>
      </c>
      <c r="V502" t="s">
        <v>111</v>
      </c>
      <c r="W502" t="s">
        <v>111</v>
      </c>
      <c r="X502" t="s">
        <v>111</v>
      </c>
      <c r="Y502" t="s">
        <v>111</v>
      </c>
      <c r="Z502" t="s">
        <v>111</v>
      </c>
      <c r="AA502" t="s">
        <v>111</v>
      </c>
      <c r="AB502" t="s">
        <v>36</v>
      </c>
      <c r="AC502" t="s">
        <v>2195</v>
      </c>
      <c r="AD502" t="s">
        <v>2196</v>
      </c>
      <c r="AE502" t="s">
        <v>1762</v>
      </c>
      <c r="AF502" t="s">
        <v>36</v>
      </c>
      <c r="AG502" t="s">
        <v>36</v>
      </c>
      <c r="AH502" t="s">
        <v>36</v>
      </c>
      <c r="AI502" t="s">
        <v>36</v>
      </c>
      <c r="AJ502" t="s">
        <v>36</v>
      </c>
      <c r="AK502" t="s">
        <v>2197</v>
      </c>
      <c r="AL502" t="s">
        <v>36</v>
      </c>
      <c r="AM502" t="s">
        <v>4876</v>
      </c>
      <c r="AN502" s="487">
        <v>0</v>
      </c>
      <c r="AO502" s="487">
        <v>0</v>
      </c>
    </row>
    <row r="503" spans="1:41" x14ac:dyDescent="0.2">
      <c r="A503">
        <v>502</v>
      </c>
      <c r="B503" t="s">
        <v>1589</v>
      </c>
      <c r="C503" t="s">
        <v>1609</v>
      </c>
      <c r="D503" t="s">
        <v>4352</v>
      </c>
      <c r="E503" t="s">
        <v>2153</v>
      </c>
      <c r="F503" t="s">
        <v>2154</v>
      </c>
      <c r="G503" t="s">
        <v>36</v>
      </c>
      <c r="H503" t="s">
        <v>2200</v>
      </c>
      <c r="I503" t="s">
        <v>5725</v>
      </c>
      <c r="J503" t="s">
        <v>1768</v>
      </c>
      <c r="K503" t="s">
        <v>3724</v>
      </c>
      <c r="L503" t="s">
        <v>2315</v>
      </c>
      <c r="M503" t="s">
        <v>3730</v>
      </c>
      <c r="N503" t="s">
        <v>1609</v>
      </c>
      <c r="O503" t="s">
        <v>2471</v>
      </c>
      <c r="P503" t="s">
        <v>3726</v>
      </c>
      <c r="Q503" t="s">
        <v>111</v>
      </c>
      <c r="R503" t="s">
        <v>2257</v>
      </c>
      <c r="S503" t="s">
        <v>3713</v>
      </c>
      <c r="T503">
        <v>94.5</v>
      </c>
      <c r="U503" t="s">
        <v>111</v>
      </c>
      <c r="V503" t="s">
        <v>111</v>
      </c>
      <c r="W503" t="s">
        <v>111</v>
      </c>
      <c r="X503" t="s">
        <v>111</v>
      </c>
      <c r="Y503" t="s">
        <v>111</v>
      </c>
      <c r="Z503" t="s">
        <v>111</v>
      </c>
      <c r="AA503" t="s">
        <v>111</v>
      </c>
      <c r="AB503" t="s">
        <v>36</v>
      </c>
      <c r="AC503" t="s">
        <v>2195</v>
      </c>
      <c r="AD503" t="s">
        <v>2196</v>
      </c>
      <c r="AE503" t="s">
        <v>1762</v>
      </c>
      <c r="AF503" t="s">
        <v>36</v>
      </c>
      <c r="AG503" t="s">
        <v>36</v>
      </c>
      <c r="AH503" t="s">
        <v>36</v>
      </c>
      <c r="AI503" t="s">
        <v>36</v>
      </c>
      <c r="AJ503" t="s">
        <v>36</v>
      </c>
      <c r="AK503" t="s">
        <v>2197</v>
      </c>
      <c r="AL503" t="s">
        <v>36</v>
      </c>
      <c r="AM503" t="s">
        <v>4876</v>
      </c>
      <c r="AN503" s="487">
        <v>0</v>
      </c>
      <c r="AO503" s="487">
        <v>0</v>
      </c>
    </row>
    <row r="504" spans="1:41" x14ac:dyDescent="0.2">
      <c r="A504">
        <v>503</v>
      </c>
      <c r="B504" t="s">
        <v>1589</v>
      </c>
      <c r="C504" t="s">
        <v>1023</v>
      </c>
      <c r="D504" t="s">
        <v>4353</v>
      </c>
      <c r="E504" t="s">
        <v>2153</v>
      </c>
      <c r="F504" t="s">
        <v>2154</v>
      </c>
      <c r="G504" t="s">
        <v>36</v>
      </c>
      <c r="H504" t="s">
        <v>2200</v>
      </c>
      <c r="I504" t="s">
        <v>5725</v>
      </c>
      <c r="J504" t="s">
        <v>2188</v>
      </c>
      <c r="K504" t="s">
        <v>1063</v>
      </c>
      <c r="L504" t="s">
        <v>3761</v>
      </c>
      <c r="M504">
        <v>6469</v>
      </c>
      <c r="N504" t="s">
        <v>1023</v>
      </c>
      <c r="O504" t="s">
        <v>5726</v>
      </c>
      <c r="P504" t="s">
        <v>2493</v>
      </c>
      <c r="Q504" t="s">
        <v>4936</v>
      </c>
      <c r="R504" t="s">
        <v>2193</v>
      </c>
      <c r="S504" t="s">
        <v>3762</v>
      </c>
      <c r="T504">
        <v>100</v>
      </c>
      <c r="U504" t="s">
        <v>2222</v>
      </c>
      <c r="V504">
        <v>0</v>
      </c>
      <c r="W504">
        <v>0</v>
      </c>
      <c r="X504">
        <v>0</v>
      </c>
      <c r="Y504">
        <v>0</v>
      </c>
      <c r="Z504">
        <v>0</v>
      </c>
      <c r="AA504">
        <v>0</v>
      </c>
      <c r="AB504" t="s">
        <v>36</v>
      </c>
      <c r="AC504" t="s">
        <v>2195</v>
      </c>
      <c r="AD504" t="s">
        <v>2196</v>
      </c>
      <c r="AE504" t="s">
        <v>1762</v>
      </c>
      <c r="AF504" t="s">
        <v>36</v>
      </c>
      <c r="AG504" t="s">
        <v>36</v>
      </c>
      <c r="AH504" t="s">
        <v>36</v>
      </c>
      <c r="AI504" t="s">
        <v>36</v>
      </c>
      <c r="AJ504" t="s">
        <v>36</v>
      </c>
      <c r="AK504" t="s">
        <v>2197</v>
      </c>
      <c r="AL504" t="s">
        <v>36</v>
      </c>
      <c r="AM504" t="s">
        <v>4876</v>
      </c>
      <c r="AN504" s="487">
        <v>1.4583333333333332E-2</v>
      </c>
      <c r="AO504" s="487">
        <v>0</v>
      </c>
    </row>
    <row r="505" spans="1:41" x14ac:dyDescent="0.2">
      <c r="A505">
        <v>504</v>
      </c>
      <c r="B505" t="s">
        <v>1589</v>
      </c>
      <c r="C505" t="s">
        <v>1013</v>
      </c>
      <c r="D505" t="s">
        <v>4354</v>
      </c>
      <c r="E505" t="s">
        <v>2153</v>
      </c>
      <c r="F505" t="s">
        <v>2154</v>
      </c>
      <c r="G505" t="s">
        <v>36</v>
      </c>
      <c r="H505" t="s">
        <v>2200</v>
      </c>
      <c r="I505" t="s">
        <v>5725</v>
      </c>
      <c r="J505" t="s">
        <v>2188</v>
      </c>
      <c r="K505" t="s">
        <v>1063</v>
      </c>
      <c r="L505" t="s">
        <v>3756</v>
      </c>
      <c r="M505">
        <v>5214</v>
      </c>
      <c r="N505" t="s">
        <v>1013</v>
      </c>
      <c r="O505" t="s">
        <v>5772</v>
      </c>
      <c r="P505" t="s">
        <v>3757</v>
      </c>
      <c r="Q505" t="s">
        <v>4981</v>
      </c>
      <c r="R505" t="s">
        <v>2193</v>
      </c>
      <c r="S505" t="s">
        <v>3758</v>
      </c>
      <c r="T505">
        <v>55.1</v>
      </c>
      <c r="U505" t="s">
        <v>2222</v>
      </c>
      <c r="V505" t="s">
        <v>2539</v>
      </c>
      <c r="W505" t="s">
        <v>3759</v>
      </c>
      <c r="X505" t="s">
        <v>4937</v>
      </c>
      <c r="Y505" t="s">
        <v>2539</v>
      </c>
      <c r="Z505" t="s">
        <v>3759</v>
      </c>
      <c r="AA505" t="s">
        <v>4937</v>
      </c>
      <c r="AB505" t="s">
        <v>3760</v>
      </c>
      <c r="AC505" t="s">
        <v>2195</v>
      </c>
      <c r="AD505" t="s">
        <v>2196</v>
      </c>
      <c r="AE505" t="s">
        <v>1762</v>
      </c>
      <c r="AF505">
        <v>3.6</v>
      </c>
      <c r="AG505">
        <v>0.7</v>
      </c>
      <c r="AH505">
        <v>2.5</v>
      </c>
      <c r="AI505" t="s">
        <v>4040</v>
      </c>
      <c r="AJ505" t="s">
        <v>36</v>
      </c>
      <c r="AK505" t="s">
        <v>2197</v>
      </c>
      <c r="AL505" t="s">
        <v>36</v>
      </c>
      <c r="AM505" t="s">
        <v>4876</v>
      </c>
      <c r="AN505" s="487">
        <v>1.4583333333333332E-2</v>
      </c>
      <c r="AO505" s="487">
        <v>0</v>
      </c>
    </row>
    <row r="506" spans="1:41" x14ac:dyDescent="0.2">
      <c r="A506">
        <v>505</v>
      </c>
      <c r="B506" t="s">
        <v>1589</v>
      </c>
      <c r="C506" t="s">
        <v>336</v>
      </c>
      <c r="D506" t="s">
        <v>4355</v>
      </c>
      <c r="E506" t="s">
        <v>2153</v>
      </c>
      <c r="F506" t="s">
        <v>2154</v>
      </c>
      <c r="G506" t="s">
        <v>36</v>
      </c>
      <c r="H506" t="s">
        <v>2200</v>
      </c>
      <c r="I506" t="s">
        <v>5725</v>
      </c>
      <c r="J506" t="s">
        <v>2188</v>
      </c>
      <c r="K506" t="s">
        <v>1063</v>
      </c>
      <c r="L506" t="s">
        <v>3752</v>
      </c>
      <c r="M506" t="s">
        <v>3753</v>
      </c>
      <c r="N506" t="s">
        <v>336</v>
      </c>
      <c r="O506" t="s">
        <v>5726</v>
      </c>
      <c r="P506" t="s">
        <v>2978</v>
      </c>
      <c r="Q506" t="s">
        <v>4936</v>
      </c>
      <c r="R506" t="s">
        <v>2367</v>
      </c>
      <c r="S506" t="s">
        <v>3754</v>
      </c>
      <c r="T506">
        <v>480.8</v>
      </c>
      <c r="U506" t="s">
        <v>2222</v>
      </c>
      <c r="V506" t="s">
        <v>2539</v>
      </c>
      <c r="W506" t="s">
        <v>3755</v>
      </c>
      <c r="X506" t="s">
        <v>4937</v>
      </c>
      <c r="Y506" t="s">
        <v>2539</v>
      </c>
      <c r="Z506" t="s">
        <v>3755</v>
      </c>
      <c r="AA506" t="s">
        <v>4937</v>
      </c>
      <c r="AB506" t="s">
        <v>36</v>
      </c>
      <c r="AC506" t="s">
        <v>2195</v>
      </c>
      <c r="AD506" t="s">
        <v>2196</v>
      </c>
      <c r="AE506" t="s">
        <v>1762</v>
      </c>
      <c r="AF506" t="s">
        <v>3959</v>
      </c>
      <c r="AG506">
        <v>0.45</v>
      </c>
      <c r="AH506">
        <v>0.1</v>
      </c>
      <c r="AI506" t="s">
        <v>4040</v>
      </c>
      <c r="AJ506" t="s">
        <v>4041</v>
      </c>
      <c r="AK506" t="s">
        <v>2197</v>
      </c>
      <c r="AL506" t="s">
        <v>36</v>
      </c>
      <c r="AM506" t="s">
        <v>4876</v>
      </c>
      <c r="AN506" s="487">
        <v>0</v>
      </c>
      <c r="AO506" s="487">
        <v>0</v>
      </c>
    </row>
    <row r="507" spans="1:41" x14ac:dyDescent="0.2">
      <c r="A507">
        <v>506</v>
      </c>
      <c r="B507" t="s">
        <v>1589</v>
      </c>
      <c r="C507" t="s">
        <v>1607</v>
      </c>
      <c r="D507" t="s">
        <v>4356</v>
      </c>
      <c r="E507" t="s">
        <v>2153</v>
      </c>
      <c r="F507" t="s">
        <v>2154</v>
      </c>
      <c r="G507" t="s">
        <v>36</v>
      </c>
      <c r="H507" t="s">
        <v>2200</v>
      </c>
      <c r="I507" t="s">
        <v>5725</v>
      </c>
      <c r="J507" t="s">
        <v>2188</v>
      </c>
      <c r="K507" t="s">
        <v>3731</v>
      </c>
      <c r="L507" t="s">
        <v>3732</v>
      </c>
      <c r="M507">
        <v>18612</v>
      </c>
      <c r="N507" t="s">
        <v>1607</v>
      </c>
      <c r="O507" t="s">
        <v>5748</v>
      </c>
      <c r="P507" t="s">
        <v>3733</v>
      </c>
      <c r="Q507" t="s">
        <v>4945</v>
      </c>
      <c r="R507" t="s">
        <v>2193</v>
      </c>
      <c r="S507" t="s">
        <v>3734</v>
      </c>
      <c r="T507">
        <v>21</v>
      </c>
      <c r="U507" t="s">
        <v>2222</v>
      </c>
      <c r="V507" t="s">
        <v>2549</v>
      </c>
      <c r="W507" t="s">
        <v>3735</v>
      </c>
      <c r="X507" t="s">
        <v>4937</v>
      </c>
      <c r="Y507" t="s">
        <v>2549</v>
      </c>
      <c r="Z507" t="s">
        <v>3735</v>
      </c>
      <c r="AA507" t="s">
        <v>4937</v>
      </c>
      <c r="AB507" t="s">
        <v>36</v>
      </c>
      <c r="AC507" t="s">
        <v>2195</v>
      </c>
      <c r="AD507" t="s">
        <v>2196</v>
      </c>
      <c r="AE507" t="s">
        <v>1762</v>
      </c>
      <c r="AF507">
        <v>2.5</v>
      </c>
      <c r="AG507">
        <v>0.15</v>
      </c>
      <c r="AH507">
        <v>0.25</v>
      </c>
      <c r="AI507" t="s">
        <v>4037</v>
      </c>
      <c r="AJ507" t="s">
        <v>36</v>
      </c>
      <c r="AK507" t="s">
        <v>2197</v>
      </c>
      <c r="AL507" t="s">
        <v>36</v>
      </c>
      <c r="AM507" t="s">
        <v>4879</v>
      </c>
      <c r="AN507" s="487">
        <v>1.4583333333333332E-2</v>
      </c>
      <c r="AO507" s="487">
        <v>0</v>
      </c>
    </row>
    <row r="508" spans="1:41" x14ac:dyDescent="0.2">
      <c r="A508">
        <v>507</v>
      </c>
      <c r="B508" t="s">
        <v>1589</v>
      </c>
      <c r="C508" t="s">
        <v>1065</v>
      </c>
      <c r="D508" t="s">
        <v>4357</v>
      </c>
      <c r="E508" t="s">
        <v>2153</v>
      </c>
      <c r="F508" t="s">
        <v>2154</v>
      </c>
      <c r="G508" t="s">
        <v>36</v>
      </c>
      <c r="H508" t="s">
        <v>2200</v>
      </c>
      <c r="I508" t="s">
        <v>5725</v>
      </c>
      <c r="J508" t="s">
        <v>2188</v>
      </c>
      <c r="K508" t="s">
        <v>1065</v>
      </c>
      <c r="L508" t="s">
        <v>3738</v>
      </c>
      <c r="M508">
        <v>7280010</v>
      </c>
      <c r="N508" t="s">
        <v>1065</v>
      </c>
      <c r="O508" t="s">
        <v>5726</v>
      </c>
      <c r="P508" t="s">
        <v>3739</v>
      </c>
      <c r="Q508" t="s">
        <v>4936</v>
      </c>
      <c r="R508" t="s">
        <v>2193</v>
      </c>
      <c r="S508" t="s">
        <v>3740</v>
      </c>
      <c r="T508">
        <v>172</v>
      </c>
      <c r="U508" t="s">
        <v>2222</v>
      </c>
      <c r="V508" t="s">
        <v>2424</v>
      </c>
      <c r="W508" t="s">
        <v>3741</v>
      </c>
      <c r="X508" t="s">
        <v>5249</v>
      </c>
      <c r="Y508" t="s">
        <v>2539</v>
      </c>
      <c r="Z508" t="s">
        <v>3743</v>
      </c>
      <c r="AA508" t="s">
        <v>5249</v>
      </c>
      <c r="AB508" t="s">
        <v>36</v>
      </c>
      <c r="AC508" t="s">
        <v>2195</v>
      </c>
      <c r="AD508" t="s">
        <v>2196</v>
      </c>
      <c r="AE508" t="s">
        <v>1762</v>
      </c>
      <c r="AF508">
        <v>2.5</v>
      </c>
      <c r="AG508">
        <v>1</v>
      </c>
      <c r="AH508">
        <v>2</v>
      </c>
      <c r="AI508" t="s">
        <v>4038</v>
      </c>
      <c r="AJ508" t="s">
        <v>4039</v>
      </c>
      <c r="AK508" t="s">
        <v>2197</v>
      </c>
      <c r="AL508" t="s">
        <v>36</v>
      </c>
      <c r="AM508" t="s">
        <v>4879</v>
      </c>
      <c r="AN508" s="487">
        <v>0</v>
      </c>
      <c r="AO508" s="487">
        <v>2.1527777777777781E-2</v>
      </c>
    </row>
    <row r="509" spans="1:41" x14ac:dyDescent="0.2">
      <c r="A509">
        <v>508</v>
      </c>
      <c r="B509" t="s">
        <v>1589</v>
      </c>
      <c r="C509" t="s">
        <v>1621</v>
      </c>
      <c r="D509" t="s">
        <v>4358</v>
      </c>
      <c r="E509" t="s">
        <v>2153</v>
      </c>
      <c r="F509" t="s">
        <v>2154</v>
      </c>
      <c r="G509" t="s">
        <v>36</v>
      </c>
      <c r="H509" t="s">
        <v>2200</v>
      </c>
      <c r="I509" t="s">
        <v>5725</v>
      </c>
      <c r="J509" t="s">
        <v>1768</v>
      </c>
      <c r="K509" t="s">
        <v>3711</v>
      </c>
      <c r="L509" t="s">
        <v>2315</v>
      </c>
      <c r="M509" t="s">
        <v>3712</v>
      </c>
      <c r="N509" t="s">
        <v>1621</v>
      </c>
      <c r="O509" t="s">
        <v>2471</v>
      </c>
      <c r="P509" t="s">
        <v>2723</v>
      </c>
      <c r="Q509" t="s">
        <v>111</v>
      </c>
      <c r="R509" t="s">
        <v>2257</v>
      </c>
      <c r="S509" t="s">
        <v>3713</v>
      </c>
      <c r="T509">
        <v>94.5</v>
      </c>
      <c r="U509" t="s">
        <v>111</v>
      </c>
      <c r="V509" t="s">
        <v>111</v>
      </c>
      <c r="W509" t="s">
        <v>111</v>
      </c>
      <c r="X509" t="s">
        <v>111</v>
      </c>
      <c r="Y509" t="s">
        <v>111</v>
      </c>
      <c r="Z509" t="s">
        <v>111</v>
      </c>
      <c r="AA509" t="s">
        <v>111</v>
      </c>
      <c r="AB509" t="s">
        <v>36</v>
      </c>
      <c r="AC509" t="s">
        <v>2195</v>
      </c>
      <c r="AD509" t="s">
        <v>2196</v>
      </c>
      <c r="AE509" t="s">
        <v>1762</v>
      </c>
      <c r="AF509" t="s">
        <v>36</v>
      </c>
      <c r="AG509" t="s">
        <v>36</v>
      </c>
      <c r="AH509" t="s">
        <v>36</v>
      </c>
      <c r="AI509" t="s">
        <v>36</v>
      </c>
      <c r="AJ509" t="s">
        <v>36</v>
      </c>
      <c r="AK509" t="s">
        <v>2197</v>
      </c>
      <c r="AL509" t="s">
        <v>36</v>
      </c>
      <c r="AM509" t="s">
        <v>4876</v>
      </c>
      <c r="AN509" s="487">
        <v>0</v>
      </c>
      <c r="AO509" s="487">
        <v>0</v>
      </c>
    </row>
    <row r="510" spans="1:41" x14ac:dyDescent="0.2">
      <c r="A510">
        <v>509</v>
      </c>
      <c r="B510" t="s">
        <v>1589</v>
      </c>
      <c r="C510" t="s">
        <v>1613</v>
      </c>
      <c r="D510" t="s">
        <v>4359</v>
      </c>
      <c r="E510" t="s">
        <v>2153</v>
      </c>
      <c r="F510" t="s">
        <v>2154</v>
      </c>
      <c r="G510" t="s">
        <v>36</v>
      </c>
      <c r="H510" t="s">
        <v>2200</v>
      </c>
      <c r="I510" t="s">
        <v>5725</v>
      </c>
      <c r="J510" t="s">
        <v>1768</v>
      </c>
      <c r="K510" t="s">
        <v>3727</v>
      </c>
      <c r="L510" t="s">
        <v>2315</v>
      </c>
      <c r="M510" t="s">
        <v>3728</v>
      </c>
      <c r="N510" t="s">
        <v>1613</v>
      </c>
      <c r="O510" t="s">
        <v>2471</v>
      </c>
      <c r="P510" t="s">
        <v>3729</v>
      </c>
      <c r="Q510" t="s">
        <v>111</v>
      </c>
      <c r="R510" t="s">
        <v>2257</v>
      </c>
      <c r="S510" t="s">
        <v>3713</v>
      </c>
      <c r="T510">
        <v>94.5</v>
      </c>
      <c r="U510" t="s">
        <v>111</v>
      </c>
      <c r="V510" t="s">
        <v>111</v>
      </c>
      <c r="W510" t="s">
        <v>111</v>
      </c>
      <c r="X510" t="s">
        <v>111</v>
      </c>
      <c r="Y510" t="s">
        <v>111</v>
      </c>
      <c r="Z510" t="s">
        <v>111</v>
      </c>
      <c r="AA510" t="s">
        <v>111</v>
      </c>
      <c r="AB510" t="s">
        <v>36</v>
      </c>
      <c r="AC510" t="s">
        <v>2195</v>
      </c>
      <c r="AD510" t="s">
        <v>2196</v>
      </c>
      <c r="AE510" t="s">
        <v>1762</v>
      </c>
      <c r="AF510" t="s">
        <v>36</v>
      </c>
      <c r="AG510" t="s">
        <v>36</v>
      </c>
      <c r="AH510" t="s">
        <v>36</v>
      </c>
      <c r="AI510" t="s">
        <v>36</v>
      </c>
      <c r="AJ510" t="s">
        <v>36</v>
      </c>
      <c r="AK510" t="s">
        <v>2197</v>
      </c>
      <c r="AL510" t="s">
        <v>36</v>
      </c>
      <c r="AM510" t="s">
        <v>4876</v>
      </c>
      <c r="AN510" s="487">
        <v>0</v>
      </c>
      <c r="AO510" s="487">
        <v>0</v>
      </c>
    </row>
    <row r="511" spans="1:41" x14ac:dyDescent="0.2">
      <c r="A511">
        <v>510</v>
      </c>
      <c r="B511" t="s">
        <v>1589</v>
      </c>
      <c r="C511" t="s">
        <v>1615</v>
      </c>
      <c r="D511" t="s">
        <v>4360</v>
      </c>
      <c r="E511" t="s">
        <v>2153</v>
      </c>
      <c r="F511" t="s">
        <v>2154</v>
      </c>
      <c r="G511" t="s">
        <v>36</v>
      </c>
      <c r="H511" t="s">
        <v>2200</v>
      </c>
      <c r="I511" t="s">
        <v>5725</v>
      </c>
      <c r="J511" t="s">
        <v>1768</v>
      </c>
      <c r="K511" t="s">
        <v>3722</v>
      </c>
      <c r="L511" t="s">
        <v>2315</v>
      </c>
      <c r="M511" t="s">
        <v>3723</v>
      </c>
      <c r="N511" t="s">
        <v>1615</v>
      </c>
      <c r="O511" t="s">
        <v>2471</v>
      </c>
      <c r="P511" t="s">
        <v>2341</v>
      </c>
      <c r="Q511" t="s">
        <v>111</v>
      </c>
      <c r="R511" t="s">
        <v>2257</v>
      </c>
      <c r="S511" t="s">
        <v>3713</v>
      </c>
      <c r="T511">
        <v>94.5</v>
      </c>
      <c r="U511" t="s">
        <v>111</v>
      </c>
      <c r="V511" t="s">
        <v>111</v>
      </c>
      <c r="W511" t="s">
        <v>111</v>
      </c>
      <c r="X511" t="s">
        <v>111</v>
      </c>
      <c r="Y511" t="s">
        <v>111</v>
      </c>
      <c r="Z511" t="s">
        <v>111</v>
      </c>
      <c r="AA511" t="s">
        <v>111</v>
      </c>
      <c r="AB511" t="s">
        <v>36</v>
      </c>
      <c r="AC511" t="s">
        <v>2195</v>
      </c>
      <c r="AD511" t="s">
        <v>2196</v>
      </c>
      <c r="AE511" t="s">
        <v>1762</v>
      </c>
      <c r="AF511" t="s">
        <v>36</v>
      </c>
      <c r="AG511" t="s">
        <v>36</v>
      </c>
      <c r="AH511" t="s">
        <v>36</v>
      </c>
      <c r="AI511" t="s">
        <v>36</v>
      </c>
      <c r="AJ511" t="s">
        <v>36</v>
      </c>
      <c r="AK511" t="s">
        <v>2197</v>
      </c>
      <c r="AL511" t="s">
        <v>36</v>
      </c>
      <c r="AM511" t="s">
        <v>4876</v>
      </c>
      <c r="AN511" s="487">
        <v>0</v>
      </c>
      <c r="AO511" s="487">
        <v>0</v>
      </c>
    </row>
    <row r="512" spans="1:41" x14ac:dyDescent="0.2">
      <c r="A512">
        <v>511</v>
      </c>
      <c r="B512" t="s">
        <v>1589</v>
      </c>
      <c r="C512" t="s">
        <v>1617</v>
      </c>
      <c r="D512" t="s">
        <v>4361</v>
      </c>
      <c r="E512" t="s">
        <v>2153</v>
      </c>
      <c r="F512" t="s">
        <v>2154</v>
      </c>
      <c r="G512" t="s">
        <v>36</v>
      </c>
      <c r="H512" t="s">
        <v>2200</v>
      </c>
      <c r="I512" t="s">
        <v>5725</v>
      </c>
      <c r="J512" t="s">
        <v>1768</v>
      </c>
      <c r="K512" t="s">
        <v>3718</v>
      </c>
      <c r="L512" t="s">
        <v>2315</v>
      </c>
      <c r="M512" t="s">
        <v>3719</v>
      </c>
      <c r="N512" t="s">
        <v>1617</v>
      </c>
      <c r="O512" t="s">
        <v>2471</v>
      </c>
      <c r="P512" t="s">
        <v>3720</v>
      </c>
      <c r="Q512" t="s">
        <v>111</v>
      </c>
      <c r="R512" t="s">
        <v>2257</v>
      </c>
      <c r="S512" t="s">
        <v>3721</v>
      </c>
      <c r="T512">
        <v>63</v>
      </c>
      <c r="U512" t="s">
        <v>111</v>
      </c>
      <c r="V512" t="s">
        <v>111</v>
      </c>
      <c r="W512" t="s">
        <v>111</v>
      </c>
      <c r="X512" t="s">
        <v>111</v>
      </c>
      <c r="Y512" t="s">
        <v>111</v>
      </c>
      <c r="Z512" t="s">
        <v>111</v>
      </c>
      <c r="AA512" t="s">
        <v>111</v>
      </c>
      <c r="AB512" t="s">
        <v>36</v>
      </c>
      <c r="AC512" t="s">
        <v>2195</v>
      </c>
      <c r="AD512" t="s">
        <v>2196</v>
      </c>
      <c r="AE512" t="s">
        <v>1762</v>
      </c>
      <c r="AF512" t="s">
        <v>36</v>
      </c>
      <c r="AG512" t="s">
        <v>36</v>
      </c>
      <c r="AH512" t="s">
        <v>36</v>
      </c>
      <c r="AI512" t="s">
        <v>36</v>
      </c>
      <c r="AJ512" t="s">
        <v>36</v>
      </c>
      <c r="AK512" t="s">
        <v>2197</v>
      </c>
      <c r="AL512" t="s">
        <v>36</v>
      </c>
      <c r="AM512" t="s">
        <v>4876</v>
      </c>
      <c r="AN512" s="487">
        <v>0</v>
      </c>
      <c r="AO512" s="487">
        <v>0</v>
      </c>
    </row>
    <row r="513" spans="1:41" x14ac:dyDescent="0.2">
      <c r="A513">
        <v>512</v>
      </c>
      <c r="B513" t="s">
        <v>1589</v>
      </c>
      <c r="C513" t="s">
        <v>1611</v>
      </c>
      <c r="D513" t="s">
        <v>4362</v>
      </c>
      <c r="E513" t="s">
        <v>2153</v>
      </c>
      <c r="F513" t="s">
        <v>2154</v>
      </c>
      <c r="G513" t="s">
        <v>36</v>
      </c>
      <c r="H513" t="s">
        <v>2200</v>
      </c>
      <c r="I513" t="s">
        <v>5725</v>
      </c>
      <c r="J513" t="s">
        <v>1768</v>
      </c>
      <c r="K513" t="s">
        <v>3724</v>
      </c>
      <c r="L513" t="s">
        <v>2315</v>
      </c>
      <c r="M513" t="s">
        <v>3725</v>
      </c>
      <c r="N513" t="s">
        <v>1611</v>
      </c>
      <c r="O513" t="s">
        <v>2471</v>
      </c>
      <c r="P513" t="s">
        <v>3726</v>
      </c>
      <c r="Q513" t="s">
        <v>111</v>
      </c>
      <c r="R513" t="s">
        <v>2257</v>
      </c>
      <c r="S513" t="s">
        <v>3713</v>
      </c>
      <c r="T513">
        <v>94.5</v>
      </c>
      <c r="U513" t="s">
        <v>111</v>
      </c>
      <c r="V513" t="s">
        <v>111</v>
      </c>
      <c r="W513" t="s">
        <v>111</v>
      </c>
      <c r="X513" t="s">
        <v>111</v>
      </c>
      <c r="Y513" t="s">
        <v>111</v>
      </c>
      <c r="Z513" t="s">
        <v>111</v>
      </c>
      <c r="AA513" t="s">
        <v>111</v>
      </c>
      <c r="AB513" t="s">
        <v>36</v>
      </c>
      <c r="AC513" t="s">
        <v>2195</v>
      </c>
      <c r="AD513" t="s">
        <v>2196</v>
      </c>
      <c r="AE513" t="s">
        <v>1762</v>
      </c>
      <c r="AF513" t="s">
        <v>36</v>
      </c>
      <c r="AG513" t="s">
        <v>36</v>
      </c>
      <c r="AH513" t="s">
        <v>36</v>
      </c>
      <c r="AI513" t="s">
        <v>36</v>
      </c>
      <c r="AJ513" t="s">
        <v>36</v>
      </c>
      <c r="AK513" t="s">
        <v>2197</v>
      </c>
      <c r="AL513" t="s">
        <v>36</v>
      </c>
      <c r="AM513" t="s">
        <v>4876</v>
      </c>
      <c r="AN513" s="487">
        <v>1.4583333333333332E-2</v>
      </c>
      <c r="AO513" s="487">
        <v>2.1527777777777781E-2</v>
      </c>
    </row>
    <row r="514" spans="1:41" x14ac:dyDescent="0.2">
      <c r="A514">
        <v>513</v>
      </c>
      <c r="B514" t="s">
        <v>1589</v>
      </c>
      <c r="C514" t="s">
        <v>1420</v>
      </c>
      <c r="D514" t="s">
        <v>4363</v>
      </c>
      <c r="E514" t="s">
        <v>2153</v>
      </c>
      <c r="F514" t="s">
        <v>2154</v>
      </c>
      <c r="G514" t="s">
        <v>36</v>
      </c>
      <c r="H514" t="s">
        <v>2200</v>
      </c>
      <c r="I514" t="s">
        <v>5725</v>
      </c>
      <c r="J514" t="s">
        <v>2188</v>
      </c>
      <c r="K514" t="s">
        <v>2398</v>
      </c>
      <c r="L514" t="s">
        <v>2191</v>
      </c>
      <c r="M514" t="s">
        <v>5831</v>
      </c>
      <c r="N514" t="s">
        <v>1420</v>
      </c>
      <c r="O514" t="s">
        <v>5726</v>
      </c>
      <c r="P514" t="s">
        <v>5832</v>
      </c>
      <c r="Q514" t="s">
        <v>4936</v>
      </c>
      <c r="R514" t="s">
        <v>2193</v>
      </c>
      <c r="S514" t="s">
        <v>3747</v>
      </c>
      <c r="T514">
        <v>85.6</v>
      </c>
      <c r="U514" t="s">
        <v>2220</v>
      </c>
      <c r="V514" t="s">
        <v>5833</v>
      </c>
      <c r="W514" t="s">
        <v>5834</v>
      </c>
      <c r="X514" t="s">
        <v>4937</v>
      </c>
      <c r="Y514" t="s">
        <v>5835</v>
      </c>
      <c r="Z514" t="s">
        <v>5836</v>
      </c>
      <c r="AA514" t="s">
        <v>4937</v>
      </c>
      <c r="AB514" t="s">
        <v>36</v>
      </c>
      <c r="AC514" t="s">
        <v>2195</v>
      </c>
      <c r="AD514" t="s">
        <v>2196</v>
      </c>
      <c r="AE514" t="s">
        <v>1762</v>
      </c>
      <c r="AF514" t="s">
        <v>5837</v>
      </c>
      <c r="AG514">
        <v>0.1</v>
      </c>
      <c r="AH514">
        <v>0.1</v>
      </c>
      <c r="AI514" t="s">
        <v>36</v>
      </c>
      <c r="AJ514" t="s">
        <v>36</v>
      </c>
      <c r="AK514" t="s">
        <v>2197</v>
      </c>
      <c r="AL514" t="s">
        <v>36</v>
      </c>
      <c r="AM514" t="s">
        <v>4876</v>
      </c>
      <c r="AN514" s="487">
        <v>0</v>
      </c>
      <c r="AO514" s="487">
        <v>0</v>
      </c>
    </row>
    <row r="515" spans="1:41" x14ac:dyDescent="0.2">
      <c r="A515">
        <v>514</v>
      </c>
      <c r="B515" t="s">
        <v>1623</v>
      </c>
      <c r="C515" t="s">
        <v>1625</v>
      </c>
      <c r="D515" t="s">
        <v>4364</v>
      </c>
      <c r="E515" t="s">
        <v>2155</v>
      </c>
      <c r="F515" t="s">
        <v>2156</v>
      </c>
      <c r="G515" t="s">
        <v>36</v>
      </c>
      <c r="H515" t="s">
        <v>2200</v>
      </c>
      <c r="I515" t="s">
        <v>5725</v>
      </c>
      <c r="J515" t="s">
        <v>1768</v>
      </c>
      <c r="K515" t="s">
        <v>1120</v>
      </c>
      <c r="L515" t="s">
        <v>3770</v>
      </c>
      <c r="M515">
        <v>620185</v>
      </c>
      <c r="N515" t="s">
        <v>1625</v>
      </c>
      <c r="O515" t="s">
        <v>2471</v>
      </c>
      <c r="P515" t="s">
        <v>3771</v>
      </c>
      <c r="Q515" t="s">
        <v>3742</v>
      </c>
      <c r="R515" t="s">
        <v>2193</v>
      </c>
      <c r="S515" t="s">
        <v>3772</v>
      </c>
      <c r="T515">
        <v>43.8</v>
      </c>
      <c r="U515" t="s">
        <v>1952</v>
      </c>
      <c r="V515" t="s">
        <v>5358</v>
      </c>
      <c r="W515" t="s">
        <v>5359</v>
      </c>
      <c r="X515" t="s">
        <v>2194</v>
      </c>
      <c r="Y515" t="s">
        <v>111</v>
      </c>
      <c r="Z515" t="s">
        <v>111</v>
      </c>
      <c r="AA515" t="s">
        <v>111</v>
      </c>
      <c r="AB515" t="s">
        <v>36</v>
      </c>
      <c r="AC515" t="s">
        <v>2195</v>
      </c>
      <c r="AD515" t="s">
        <v>2196</v>
      </c>
      <c r="AE515" t="s">
        <v>1762</v>
      </c>
      <c r="AF515">
        <v>1</v>
      </c>
      <c r="AG515">
        <v>106</v>
      </c>
      <c r="AH515" t="s">
        <v>5291</v>
      </c>
      <c r="AI515" t="s">
        <v>5360</v>
      </c>
      <c r="AJ515" t="s">
        <v>5361</v>
      </c>
      <c r="AK515" t="s">
        <v>2197</v>
      </c>
      <c r="AL515" t="s">
        <v>36</v>
      </c>
      <c r="AM515" t="s">
        <v>4876</v>
      </c>
      <c r="AN515" s="487">
        <v>0</v>
      </c>
      <c r="AO515" s="487">
        <v>0</v>
      </c>
    </row>
    <row r="516" spans="1:41" x14ac:dyDescent="0.2">
      <c r="A516">
        <v>515</v>
      </c>
      <c r="B516" t="s">
        <v>1623</v>
      </c>
      <c r="C516" t="s">
        <v>1796</v>
      </c>
      <c r="D516" t="s">
        <v>4365</v>
      </c>
      <c r="E516" t="s">
        <v>2155</v>
      </c>
      <c r="F516" t="s">
        <v>2156</v>
      </c>
      <c r="G516" t="s">
        <v>36</v>
      </c>
      <c r="H516" t="s">
        <v>2200</v>
      </c>
      <c r="I516" t="s">
        <v>5725</v>
      </c>
      <c r="J516" t="s">
        <v>1768</v>
      </c>
      <c r="K516" t="s">
        <v>1329</v>
      </c>
      <c r="L516" t="s">
        <v>3763</v>
      </c>
      <c r="M516" t="s">
        <v>3764</v>
      </c>
      <c r="N516" t="s">
        <v>1796</v>
      </c>
      <c r="O516" t="s">
        <v>2471</v>
      </c>
      <c r="P516" t="s">
        <v>3765</v>
      </c>
      <c r="Q516" t="s">
        <v>2276</v>
      </c>
      <c r="R516" t="s">
        <v>2193</v>
      </c>
      <c r="S516" t="s">
        <v>3766</v>
      </c>
      <c r="T516">
        <v>0.92</v>
      </c>
      <c r="U516" t="s">
        <v>1952</v>
      </c>
      <c r="V516" t="s">
        <v>3767</v>
      </c>
      <c r="W516" t="s">
        <v>3768</v>
      </c>
      <c r="X516" t="s">
        <v>2276</v>
      </c>
      <c r="Y516" t="s">
        <v>111</v>
      </c>
      <c r="Z516" t="s">
        <v>111</v>
      </c>
      <c r="AA516" t="s">
        <v>111</v>
      </c>
      <c r="AB516" t="s">
        <v>3769</v>
      </c>
      <c r="AC516" t="s">
        <v>2195</v>
      </c>
      <c r="AD516" t="s">
        <v>2196</v>
      </c>
      <c r="AE516" t="s">
        <v>1762</v>
      </c>
      <c r="AF516" t="s">
        <v>3419</v>
      </c>
      <c r="AG516" t="s">
        <v>36</v>
      </c>
      <c r="AH516" t="s">
        <v>36</v>
      </c>
      <c r="AI516" t="s">
        <v>36</v>
      </c>
      <c r="AJ516" t="s">
        <v>36</v>
      </c>
      <c r="AK516" t="s">
        <v>2197</v>
      </c>
      <c r="AL516" t="s">
        <v>36</v>
      </c>
      <c r="AM516" t="s">
        <v>4876</v>
      </c>
      <c r="AN516" s="487"/>
      <c r="AO516" s="487"/>
    </row>
    <row r="517" spans="1:41" x14ac:dyDescent="0.2">
      <c r="A517">
        <v>516</v>
      </c>
      <c r="B517" t="s">
        <v>1623</v>
      </c>
      <c r="C517" t="s">
        <v>5362</v>
      </c>
      <c r="D517" t="s">
        <v>5363</v>
      </c>
      <c r="E517" t="s">
        <v>2155</v>
      </c>
      <c r="F517" t="s">
        <v>2156</v>
      </c>
      <c r="G517" t="s">
        <v>36</v>
      </c>
      <c r="H517" t="s">
        <v>5119</v>
      </c>
      <c r="I517" t="s">
        <v>5725</v>
      </c>
      <c r="J517" t="s">
        <v>1768</v>
      </c>
      <c r="K517" t="s">
        <v>5364</v>
      </c>
      <c r="L517" t="s">
        <v>3380</v>
      </c>
      <c r="M517">
        <v>43122353</v>
      </c>
      <c r="N517">
        <v>6042</v>
      </c>
      <c r="O517" t="s">
        <v>2471</v>
      </c>
      <c r="P517" t="s">
        <v>5710</v>
      </c>
      <c r="Q517" t="s">
        <v>2273</v>
      </c>
      <c r="R517" t="s">
        <v>2193</v>
      </c>
      <c r="S517" t="s">
        <v>5365</v>
      </c>
      <c r="T517">
        <v>1.663</v>
      </c>
      <c r="U517" t="s">
        <v>1952</v>
      </c>
      <c r="V517" t="s">
        <v>2268</v>
      </c>
      <c r="W517">
        <v>43122353</v>
      </c>
      <c r="X517" t="s">
        <v>2333</v>
      </c>
      <c r="Y517" t="s">
        <v>111</v>
      </c>
      <c r="Z517" t="s">
        <v>111</v>
      </c>
      <c r="AA517" t="s">
        <v>111</v>
      </c>
      <c r="AB517" t="s">
        <v>3066</v>
      </c>
      <c r="AC517" t="s">
        <v>2195</v>
      </c>
      <c r="AD517" t="s">
        <v>2196</v>
      </c>
      <c r="AE517" t="s">
        <v>1762</v>
      </c>
      <c r="AF517" t="s">
        <v>3419</v>
      </c>
      <c r="AG517" t="s">
        <v>36</v>
      </c>
      <c r="AH517" t="s">
        <v>36</v>
      </c>
      <c r="AI517" t="s">
        <v>36</v>
      </c>
      <c r="AJ517" t="s">
        <v>36</v>
      </c>
      <c r="AK517" t="s">
        <v>2197</v>
      </c>
      <c r="AL517" t="s">
        <v>36</v>
      </c>
      <c r="AM517" t="s">
        <v>4877</v>
      </c>
      <c r="AN517" s="487"/>
      <c r="AO517" s="487"/>
    </row>
    <row r="518" spans="1:41" x14ac:dyDescent="0.2">
      <c r="A518">
        <v>517</v>
      </c>
      <c r="B518" t="s">
        <v>1623</v>
      </c>
      <c r="C518" t="s">
        <v>5366</v>
      </c>
      <c r="D518" t="s">
        <v>5367</v>
      </c>
      <c r="E518" t="s">
        <v>2155</v>
      </c>
      <c r="F518" t="s">
        <v>2156</v>
      </c>
      <c r="G518" t="s">
        <v>36</v>
      </c>
      <c r="H518" t="s">
        <v>5119</v>
      </c>
      <c r="I518" t="s">
        <v>5725</v>
      </c>
      <c r="J518" t="s">
        <v>1768</v>
      </c>
      <c r="K518" t="s">
        <v>5368</v>
      </c>
      <c r="L518" t="s">
        <v>3380</v>
      </c>
      <c r="M518">
        <v>43122366</v>
      </c>
      <c r="N518">
        <v>6043</v>
      </c>
      <c r="O518" t="s">
        <v>2471</v>
      </c>
      <c r="P518" t="s">
        <v>5710</v>
      </c>
      <c r="Q518" t="s">
        <v>2273</v>
      </c>
      <c r="R518" t="s">
        <v>2193</v>
      </c>
      <c r="S518" t="s">
        <v>5365</v>
      </c>
      <c r="T518">
        <v>1.663</v>
      </c>
      <c r="U518" t="s">
        <v>1952</v>
      </c>
      <c r="V518" t="s">
        <v>2268</v>
      </c>
      <c r="W518">
        <v>43122366</v>
      </c>
      <c r="X518" t="s">
        <v>2333</v>
      </c>
      <c r="Y518" t="s">
        <v>111</v>
      </c>
      <c r="Z518" t="s">
        <v>111</v>
      </c>
      <c r="AA518" t="s">
        <v>111</v>
      </c>
      <c r="AB518" t="s">
        <v>3066</v>
      </c>
      <c r="AC518" t="s">
        <v>2195</v>
      </c>
      <c r="AD518" t="s">
        <v>2196</v>
      </c>
      <c r="AE518" t="s">
        <v>1762</v>
      </c>
      <c r="AF518" t="s">
        <v>3419</v>
      </c>
      <c r="AG518" t="s">
        <v>36</v>
      </c>
      <c r="AH518" t="s">
        <v>36</v>
      </c>
      <c r="AI518" t="s">
        <v>36</v>
      </c>
      <c r="AJ518" t="s">
        <v>36</v>
      </c>
      <c r="AK518" t="s">
        <v>2197</v>
      </c>
      <c r="AL518" t="s">
        <v>36</v>
      </c>
      <c r="AM518" t="s">
        <v>4877</v>
      </c>
      <c r="AN518" s="487"/>
      <c r="AO518" s="487"/>
    </row>
    <row r="519" spans="1:41" x14ac:dyDescent="0.2">
      <c r="A519">
        <v>518</v>
      </c>
      <c r="B519" t="s">
        <v>1623</v>
      </c>
      <c r="C519" t="s">
        <v>5369</v>
      </c>
      <c r="D519" t="s">
        <v>5370</v>
      </c>
      <c r="E519" t="s">
        <v>2155</v>
      </c>
      <c r="F519" t="s">
        <v>2156</v>
      </c>
      <c r="G519" t="s">
        <v>36</v>
      </c>
      <c r="H519" t="s">
        <v>5119</v>
      </c>
      <c r="I519" t="s">
        <v>5725</v>
      </c>
      <c r="J519" t="s">
        <v>1768</v>
      </c>
      <c r="K519" t="s">
        <v>5371</v>
      </c>
      <c r="L519" t="s">
        <v>3380</v>
      </c>
      <c r="M519">
        <v>43122354</v>
      </c>
      <c r="N519">
        <v>6044</v>
      </c>
      <c r="O519" t="s">
        <v>2471</v>
      </c>
      <c r="P519" t="s">
        <v>5710</v>
      </c>
      <c r="Q519" t="s">
        <v>2273</v>
      </c>
      <c r="R519" t="s">
        <v>2193</v>
      </c>
      <c r="S519" t="s">
        <v>5365</v>
      </c>
      <c r="T519">
        <v>1.663</v>
      </c>
      <c r="U519" t="s">
        <v>1952</v>
      </c>
      <c r="V519" t="s">
        <v>2268</v>
      </c>
      <c r="W519">
        <v>43122354</v>
      </c>
      <c r="X519" t="s">
        <v>2333</v>
      </c>
      <c r="Y519" t="s">
        <v>111</v>
      </c>
      <c r="Z519" t="s">
        <v>111</v>
      </c>
      <c r="AA519" t="s">
        <v>111</v>
      </c>
      <c r="AB519" t="s">
        <v>3066</v>
      </c>
      <c r="AC519" t="s">
        <v>2195</v>
      </c>
      <c r="AD519" t="s">
        <v>2196</v>
      </c>
      <c r="AE519" t="s">
        <v>1762</v>
      </c>
      <c r="AF519" t="s">
        <v>3419</v>
      </c>
      <c r="AG519" t="s">
        <v>36</v>
      </c>
      <c r="AH519" t="s">
        <v>36</v>
      </c>
      <c r="AI519" t="s">
        <v>36</v>
      </c>
      <c r="AJ519" t="s">
        <v>36</v>
      </c>
      <c r="AK519" t="s">
        <v>2197</v>
      </c>
      <c r="AL519" t="s">
        <v>36</v>
      </c>
      <c r="AM519" t="s">
        <v>4877</v>
      </c>
      <c r="AN519" s="487"/>
      <c r="AO519" s="487"/>
    </row>
    <row r="520" spans="1:41" x14ac:dyDescent="0.2">
      <c r="A520">
        <v>519</v>
      </c>
      <c r="B520" t="s">
        <v>1623</v>
      </c>
      <c r="C520" t="s">
        <v>5372</v>
      </c>
      <c r="D520" t="s">
        <v>5373</v>
      </c>
      <c r="E520" t="s">
        <v>2155</v>
      </c>
      <c r="F520" t="s">
        <v>2156</v>
      </c>
      <c r="G520" t="s">
        <v>36</v>
      </c>
      <c r="H520" t="s">
        <v>5119</v>
      </c>
      <c r="I520" t="s">
        <v>5725</v>
      </c>
      <c r="J520" t="s">
        <v>1768</v>
      </c>
      <c r="K520" t="s">
        <v>5374</v>
      </c>
      <c r="L520" t="s">
        <v>3380</v>
      </c>
      <c r="M520">
        <v>43122367</v>
      </c>
      <c r="N520">
        <v>6045</v>
      </c>
      <c r="O520" t="s">
        <v>2471</v>
      </c>
      <c r="P520" t="s">
        <v>5710</v>
      </c>
      <c r="Q520" t="s">
        <v>2273</v>
      </c>
      <c r="R520" t="s">
        <v>2193</v>
      </c>
      <c r="S520" t="s">
        <v>5365</v>
      </c>
      <c r="T520">
        <v>1.663</v>
      </c>
      <c r="U520" t="s">
        <v>1952</v>
      </c>
      <c r="V520" t="s">
        <v>2268</v>
      </c>
      <c r="W520">
        <v>43122367</v>
      </c>
      <c r="X520" t="s">
        <v>2333</v>
      </c>
      <c r="Y520" t="s">
        <v>111</v>
      </c>
      <c r="Z520" t="s">
        <v>111</v>
      </c>
      <c r="AA520" t="s">
        <v>111</v>
      </c>
      <c r="AB520" t="s">
        <v>3066</v>
      </c>
      <c r="AC520" t="s">
        <v>2195</v>
      </c>
      <c r="AD520" t="s">
        <v>2196</v>
      </c>
      <c r="AE520" t="s">
        <v>1762</v>
      </c>
      <c r="AF520" t="s">
        <v>3419</v>
      </c>
      <c r="AG520" t="s">
        <v>36</v>
      </c>
      <c r="AH520" t="s">
        <v>36</v>
      </c>
      <c r="AI520" t="s">
        <v>36</v>
      </c>
      <c r="AJ520" t="s">
        <v>36</v>
      </c>
      <c r="AK520" t="s">
        <v>2197</v>
      </c>
      <c r="AL520" t="s">
        <v>36</v>
      </c>
      <c r="AM520" t="s">
        <v>4877</v>
      </c>
      <c r="AN520" s="487">
        <v>0</v>
      </c>
      <c r="AO520" s="487">
        <v>0</v>
      </c>
    </row>
    <row r="521" spans="1:41" x14ac:dyDescent="0.2">
      <c r="A521">
        <v>520</v>
      </c>
      <c r="B521" t="s">
        <v>1627</v>
      </c>
      <c r="C521" t="s">
        <v>1485</v>
      </c>
      <c r="D521" t="s">
        <v>4366</v>
      </c>
      <c r="E521" t="s">
        <v>3782</v>
      </c>
      <c r="F521" t="s">
        <v>2027</v>
      </c>
      <c r="G521" t="s">
        <v>36</v>
      </c>
      <c r="H521" t="s">
        <v>2200</v>
      </c>
      <c r="I521" t="s">
        <v>5725</v>
      </c>
      <c r="J521" t="s">
        <v>1768</v>
      </c>
      <c r="K521" t="s">
        <v>3790</v>
      </c>
      <c r="L521" t="s">
        <v>3791</v>
      </c>
      <c r="M521">
        <v>53161</v>
      </c>
      <c r="N521" t="s">
        <v>1485</v>
      </c>
      <c r="O521" t="s">
        <v>2471</v>
      </c>
      <c r="P521" t="s">
        <v>2451</v>
      </c>
      <c r="Q521" t="s">
        <v>2451</v>
      </c>
      <c r="R521" t="s">
        <v>2257</v>
      </c>
      <c r="S521" t="s">
        <v>3792</v>
      </c>
      <c r="T521">
        <v>653.29999999999995</v>
      </c>
      <c r="U521" t="s">
        <v>1952</v>
      </c>
      <c r="V521" t="s">
        <v>3793</v>
      </c>
      <c r="W521" t="s">
        <v>3793</v>
      </c>
      <c r="X521" t="s">
        <v>3083</v>
      </c>
      <c r="Y521" t="s">
        <v>3794</v>
      </c>
      <c r="Z521" t="s">
        <v>3794</v>
      </c>
      <c r="AA521" t="s">
        <v>2273</v>
      </c>
      <c r="AB521" t="s">
        <v>3795</v>
      </c>
      <c r="AC521" t="s">
        <v>2195</v>
      </c>
      <c r="AD521" t="s">
        <v>2196</v>
      </c>
      <c r="AE521" t="s">
        <v>1762</v>
      </c>
      <c r="AF521" t="s">
        <v>36</v>
      </c>
      <c r="AG521" t="s">
        <v>36</v>
      </c>
      <c r="AH521" t="s">
        <v>36</v>
      </c>
      <c r="AI521" t="s">
        <v>36</v>
      </c>
      <c r="AJ521" t="s">
        <v>36</v>
      </c>
      <c r="AK521" t="s">
        <v>2197</v>
      </c>
      <c r="AL521" t="s">
        <v>36</v>
      </c>
      <c r="AM521" t="s">
        <v>4893</v>
      </c>
      <c r="AN521" s="487">
        <v>0</v>
      </c>
      <c r="AO521" s="487">
        <v>0</v>
      </c>
    </row>
    <row r="522" spans="1:41" x14ac:dyDescent="0.2">
      <c r="A522">
        <v>521</v>
      </c>
      <c r="B522" t="s">
        <v>1627</v>
      </c>
      <c r="C522" t="s">
        <v>1463</v>
      </c>
      <c r="D522" t="s">
        <v>4367</v>
      </c>
      <c r="E522" t="s">
        <v>3782</v>
      </c>
      <c r="F522" t="s">
        <v>2027</v>
      </c>
      <c r="G522" t="s">
        <v>36</v>
      </c>
      <c r="H522" t="s">
        <v>2200</v>
      </c>
      <c r="I522" t="s">
        <v>5725</v>
      </c>
      <c r="J522" t="s">
        <v>1768</v>
      </c>
      <c r="K522" t="s">
        <v>3783</v>
      </c>
      <c r="L522" t="s">
        <v>3784</v>
      </c>
      <c r="M522" t="s">
        <v>3785</v>
      </c>
      <c r="N522" t="s">
        <v>1994</v>
      </c>
      <c r="O522" t="s">
        <v>2471</v>
      </c>
      <c r="P522" t="s">
        <v>3786</v>
      </c>
      <c r="Q522" t="s">
        <v>3574</v>
      </c>
      <c r="R522" t="s">
        <v>2193</v>
      </c>
      <c r="S522" t="s">
        <v>3787</v>
      </c>
      <c r="T522">
        <v>68</v>
      </c>
      <c r="U522" t="s">
        <v>1952</v>
      </c>
      <c r="V522" t="s">
        <v>3788</v>
      </c>
      <c r="W522" t="s">
        <v>2541</v>
      </c>
      <c r="X522" t="s">
        <v>2302</v>
      </c>
      <c r="Y522" t="s">
        <v>111</v>
      </c>
      <c r="Z522" t="s">
        <v>111</v>
      </c>
      <c r="AA522" t="s">
        <v>111</v>
      </c>
      <c r="AB522" t="s">
        <v>3789</v>
      </c>
      <c r="AC522" t="s">
        <v>2195</v>
      </c>
      <c r="AD522" t="s">
        <v>2196</v>
      </c>
      <c r="AE522" t="s">
        <v>1762</v>
      </c>
      <c r="AF522" t="s">
        <v>36</v>
      </c>
      <c r="AG522" t="s">
        <v>36</v>
      </c>
      <c r="AH522" t="s">
        <v>36</v>
      </c>
      <c r="AI522" t="s">
        <v>36</v>
      </c>
      <c r="AJ522" t="s">
        <v>36</v>
      </c>
      <c r="AK522" t="s">
        <v>2197</v>
      </c>
      <c r="AL522" t="s">
        <v>36</v>
      </c>
      <c r="AM522" t="s">
        <v>4876</v>
      </c>
      <c r="AN522" s="487"/>
      <c r="AO522" s="487"/>
    </row>
    <row r="523" spans="1:41" x14ac:dyDescent="0.2">
      <c r="A523">
        <v>522</v>
      </c>
      <c r="B523" t="s">
        <v>1627</v>
      </c>
      <c r="C523" t="s">
        <v>5173</v>
      </c>
      <c r="D523" t="s">
        <v>5176</v>
      </c>
      <c r="E523" t="s">
        <v>3782</v>
      </c>
      <c r="F523" t="s">
        <v>2027</v>
      </c>
      <c r="G523" t="s">
        <v>36</v>
      </c>
      <c r="H523" t="s">
        <v>2200</v>
      </c>
      <c r="I523" t="s">
        <v>5725</v>
      </c>
      <c r="J523" t="s">
        <v>1768</v>
      </c>
      <c r="K523" t="s">
        <v>1467</v>
      </c>
      <c r="L523" t="s">
        <v>5168</v>
      </c>
      <c r="M523" t="s">
        <v>5174</v>
      </c>
      <c r="N523" t="s">
        <v>5173</v>
      </c>
      <c r="O523" t="s">
        <v>2471</v>
      </c>
      <c r="P523" t="s">
        <v>2451</v>
      </c>
      <c r="Q523" t="s">
        <v>2451</v>
      </c>
      <c r="R523" t="s">
        <v>2257</v>
      </c>
      <c r="S523" t="s">
        <v>5170</v>
      </c>
      <c r="T523">
        <v>29.17</v>
      </c>
      <c r="U523" t="s">
        <v>1952</v>
      </c>
      <c r="V523" t="s">
        <v>5171</v>
      </c>
      <c r="W523" t="s">
        <v>5175</v>
      </c>
      <c r="X523" t="s">
        <v>3083</v>
      </c>
      <c r="Y523" t="s">
        <v>111</v>
      </c>
      <c r="Z523" t="s">
        <v>111</v>
      </c>
      <c r="AA523" t="s">
        <v>111</v>
      </c>
      <c r="AB523" t="s">
        <v>3795</v>
      </c>
      <c r="AC523" t="s">
        <v>2195</v>
      </c>
      <c r="AD523" t="s">
        <v>2196</v>
      </c>
      <c r="AE523" t="s">
        <v>1762</v>
      </c>
      <c r="AF523" t="s">
        <v>36</v>
      </c>
      <c r="AG523" t="s">
        <v>36</v>
      </c>
      <c r="AH523" t="s">
        <v>36</v>
      </c>
      <c r="AI523" t="s">
        <v>36</v>
      </c>
      <c r="AJ523" t="s">
        <v>36</v>
      </c>
      <c r="AK523" t="s">
        <v>2197</v>
      </c>
      <c r="AL523" t="s">
        <v>36</v>
      </c>
      <c r="AM523" t="s">
        <v>4893</v>
      </c>
      <c r="AN523" s="487"/>
      <c r="AO523" s="487"/>
    </row>
    <row r="524" spans="1:41" x14ac:dyDescent="0.2">
      <c r="A524">
        <v>523</v>
      </c>
      <c r="B524" t="s">
        <v>1627</v>
      </c>
      <c r="C524" t="s">
        <v>5167</v>
      </c>
      <c r="D524" t="s">
        <v>5177</v>
      </c>
      <c r="E524" t="s">
        <v>3782</v>
      </c>
      <c r="F524" t="s">
        <v>2027</v>
      </c>
      <c r="G524" t="s">
        <v>36</v>
      </c>
      <c r="H524" t="s">
        <v>2200</v>
      </c>
      <c r="I524" t="s">
        <v>5725</v>
      </c>
      <c r="J524" t="s">
        <v>1768</v>
      </c>
      <c r="K524" t="s">
        <v>1467</v>
      </c>
      <c r="L524" t="s">
        <v>5168</v>
      </c>
      <c r="M524" t="s">
        <v>5169</v>
      </c>
      <c r="N524" t="s">
        <v>5167</v>
      </c>
      <c r="O524" t="s">
        <v>2471</v>
      </c>
      <c r="P524" t="s">
        <v>2451</v>
      </c>
      <c r="Q524" t="s">
        <v>2451</v>
      </c>
      <c r="R524" t="s">
        <v>2257</v>
      </c>
      <c r="S524" t="s">
        <v>5170</v>
      </c>
      <c r="T524">
        <v>29.17</v>
      </c>
      <c r="U524" t="s">
        <v>1952</v>
      </c>
      <c r="V524" t="s">
        <v>5171</v>
      </c>
      <c r="W524" t="s">
        <v>5172</v>
      </c>
      <c r="X524" t="s">
        <v>3083</v>
      </c>
      <c r="Y524" t="s">
        <v>111</v>
      </c>
      <c r="Z524" t="s">
        <v>111</v>
      </c>
      <c r="AA524" t="s">
        <v>111</v>
      </c>
      <c r="AB524" t="s">
        <v>3795</v>
      </c>
      <c r="AC524" t="s">
        <v>2195</v>
      </c>
      <c r="AD524" t="s">
        <v>2196</v>
      </c>
      <c r="AE524" t="s">
        <v>1762</v>
      </c>
      <c r="AF524" t="s">
        <v>36</v>
      </c>
      <c r="AG524" t="s">
        <v>36</v>
      </c>
      <c r="AH524" t="s">
        <v>36</v>
      </c>
      <c r="AI524" t="s">
        <v>36</v>
      </c>
      <c r="AJ524" t="s">
        <v>36</v>
      </c>
      <c r="AK524" t="s">
        <v>2197</v>
      </c>
      <c r="AL524" t="s">
        <v>36</v>
      </c>
      <c r="AM524" t="s">
        <v>4893</v>
      </c>
      <c r="AN524" s="487"/>
      <c r="AO524" s="487"/>
    </row>
    <row r="525" spans="1:41" x14ac:dyDescent="0.2">
      <c r="A525">
        <v>524</v>
      </c>
      <c r="AN525" s="487"/>
      <c r="AO525" s="487"/>
    </row>
    <row r="526" spans="1:41" x14ac:dyDescent="0.2">
      <c r="A526">
        <v>525</v>
      </c>
      <c r="AN526" s="487"/>
      <c r="AO526" s="487"/>
    </row>
    <row r="527" spans="1:41" x14ac:dyDescent="0.2">
      <c r="A527">
        <v>526</v>
      </c>
      <c r="AN527" s="487"/>
      <c r="AO527" s="487"/>
    </row>
    <row r="528" spans="1:41" x14ac:dyDescent="0.2">
      <c r="A528">
        <v>527</v>
      </c>
      <c r="AN528" s="487"/>
      <c r="AO528" s="487"/>
    </row>
    <row r="529" spans="1:41" x14ac:dyDescent="0.2">
      <c r="A529">
        <v>528</v>
      </c>
      <c r="AN529" s="487"/>
      <c r="AO529" s="487"/>
    </row>
    <row r="530" spans="1:41" x14ac:dyDescent="0.2">
      <c r="A530">
        <v>529</v>
      </c>
      <c r="AN530" s="487"/>
      <c r="AO530" s="487"/>
    </row>
    <row r="531" spans="1:41" x14ac:dyDescent="0.2">
      <c r="A531">
        <v>530</v>
      </c>
      <c r="AN531" s="487"/>
      <c r="AO531" s="487"/>
    </row>
    <row r="532" spans="1:41" x14ac:dyDescent="0.2">
      <c r="A532">
        <v>531</v>
      </c>
      <c r="AN532" s="487"/>
      <c r="AO532" s="487"/>
    </row>
    <row r="533" spans="1:41" x14ac:dyDescent="0.2">
      <c r="A533">
        <v>532</v>
      </c>
      <c r="AN533" s="487"/>
      <c r="AO533" s="487"/>
    </row>
    <row r="534" spans="1:41" x14ac:dyDescent="0.2">
      <c r="A534">
        <v>533</v>
      </c>
      <c r="AN534" s="487"/>
      <c r="AO534" s="487"/>
    </row>
    <row r="535" spans="1:41" x14ac:dyDescent="0.2">
      <c r="A535">
        <v>534</v>
      </c>
      <c r="AN535" s="487"/>
      <c r="AO535" s="487"/>
    </row>
    <row r="536" spans="1:41" x14ac:dyDescent="0.2">
      <c r="A536">
        <v>535</v>
      </c>
      <c r="AN536" s="487"/>
      <c r="AO536" s="487"/>
    </row>
    <row r="537" spans="1:41" x14ac:dyDescent="0.2">
      <c r="A537">
        <v>536</v>
      </c>
      <c r="AN537" s="487"/>
      <c r="AO537" s="487"/>
    </row>
    <row r="538" spans="1:41" x14ac:dyDescent="0.2">
      <c r="A538">
        <v>537</v>
      </c>
      <c r="AN538" s="487"/>
      <c r="AO538" s="487"/>
    </row>
    <row r="539" spans="1:41" x14ac:dyDescent="0.2">
      <c r="A539">
        <v>538</v>
      </c>
      <c r="AN539" s="487"/>
      <c r="AO539" s="487"/>
    </row>
    <row r="540" spans="1:41" x14ac:dyDescent="0.2">
      <c r="A540">
        <v>539</v>
      </c>
      <c r="AN540" s="487"/>
      <c r="AO540" s="487"/>
    </row>
    <row r="541" spans="1:41" x14ac:dyDescent="0.2">
      <c r="A541">
        <v>540</v>
      </c>
      <c r="AN541" s="487"/>
      <c r="AO541" s="487"/>
    </row>
    <row r="542" spans="1:41" x14ac:dyDescent="0.2">
      <c r="A542">
        <v>541</v>
      </c>
      <c r="AN542" s="487"/>
      <c r="AO542" s="487"/>
    </row>
    <row r="543" spans="1:41" x14ac:dyDescent="0.2">
      <c r="A543">
        <v>542</v>
      </c>
      <c r="AN543" s="487"/>
      <c r="AO543" s="487"/>
    </row>
    <row r="544" spans="1:41" x14ac:dyDescent="0.2">
      <c r="A544">
        <v>543</v>
      </c>
      <c r="AN544" s="487"/>
      <c r="AO544" s="487"/>
    </row>
    <row r="545" spans="1:41" x14ac:dyDescent="0.2">
      <c r="A545">
        <v>544</v>
      </c>
      <c r="AN545" s="487"/>
      <c r="AO545" s="487"/>
    </row>
    <row r="546" spans="1:41" x14ac:dyDescent="0.2">
      <c r="A546">
        <v>545</v>
      </c>
      <c r="AN546" s="487"/>
      <c r="AO546" s="487"/>
    </row>
    <row r="547" spans="1:41" x14ac:dyDescent="0.2">
      <c r="AN547" s="487"/>
      <c r="AO547" s="487"/>
    </row>
    <row r="548" spans="1:41" x14ac:dyDescent="0.2">
      <c r="AN548" s="487"/>
      <c r="AO548" s="487"/>
    </row>
    <row r="549" spans="1:41" x14ac:dyDescent="0.2">
      <c r="AN549" s="487"/>
      <c r="AO549" s="487"/>
    </row>
    <row r="550" spans="1:41" x14ac:dyDescent="0.2">
      <c r="AN550" s="487"/>
      <c r="AO550" s="487"/>
    </row>
    <row r="551" spans="1:41" x14ac:dyDescent="0.2">
      <c r="AN551" s="487"/>
      <c r="AO551" s="487"/>
    </row>
    <row r="552" spans="1:41" x14ac:dyDescent="0.2">
      <c r="AN552" s="487"/>
      <c r="AO552" s="487"/>
    </row>
    <row r="553" spans="1:41" x14ac:dyDescent="0.2">
      <c r="AN553" s="487"/>
      <c r="AO553" s="487"/>
    </row>
    <row r="554" spans="1:41" x14ac:dyDescent="0.2">
      <c r="AN554" s="487"/>
      <c r="AO554" s="487"/>
    </row>
    <row r="555" spans="1:41" x14ac:dyDescent="0.2">
      <c r="AN555" s="487"/>
      <c r="AO555" s="487"/>
    </row>
    <row r="556" spans="1:41" x14ac:dyDescent="0.2">
      <c r="AN556" s="487"/>
      <c r="AO556" s="487"/>
    </row>
    <row r="557" spans="1:41" x14ac:dyDescent="0.2">
      <c r="AN557" s="487"/>
      <c r="AO557" s="487"/>
    </row>
    <row r="558" spans="1:41" x14ac:dyDescent="0.2">
      <c r="AN558" s="487"/>
      <c r="AO558" s="487"/>
    </row>
    <row r="559" spans="1:41" x14ac:dyDescent="0.2">
      <c r="AN559" s="487"/>
      <c r="AO559" s="487"/>
    </row>
    <row r="560" spans="1:41" x14ac:dyDescent="0.2">
      <c r="AN560" s="487"/>
      <c r="AO560" s="487"/>
    </row>
    <row r="561" spans="40:41" x14ac:dyDescent="0.2">
      <c r="AN561" s="487"/>
      <c r="AO561" s="487"/>
    </row>
    <row r="562" spans="40:41" x14ac:dyDescent="0.2">
      <c r="AN562" s="487"/>
      <c r="AO562" s="487"/>
    </row>
    <row r="563" spans="40:41" x14ac:dyDescent="0.2">
      <c r="AN563" s="487"/>
      <c r="AO563" s="487"/>
    </row>
    <row r="564" spans="40:41" x14ac:dyDescent="0.2">
      <c r="AN564" s="487"/>
      <c r="AO564" s="487"/>
    </row>
    <row r="565" spans="40:41" x14ac:dyDescent="0.2">
      <c r="AN565" s="487"/>
      <c r="AO565" s="487"/>
    </row>
    <row r="566" spans="40:41" x14ac:dyDescent="0.2">
      <c r="AN566" s="487"/>
      <c r="AO566" s="487"/>
    </row>
    <row r="567" spans="40:41" x14ac:dyDescent="0.2">
      <c r="AN567" s="487"/>
      <c r="AO567" s="487"/>
    </row>
    <row r="568" spans="40:41" x14ac:dyDescent="0.2">
      <c r="AN568" s="487"/>
      <c r="AO568" s="487"/>
    </row>
    <row r="569" spans="40:41" x14ac:dyDescent="0.2">
      <c r="AN569" s="487"/>
      <c r="AO569" s="487"/>
    </row>
    <row r="570" spans="40:41" x14ac:dyDescent="0.2">
      <c r="AN570" s="487"/>
      <c r="AO570" s="487"/>
    </row>
    <row r="571" spans="40:41" x14ac:dyDescent="0.2">
      <c r="AN571" s="487"/>
      <c r="AO571" s="487"/>
    </row>
    <row r="572" spans="40:41" x14ac:dyDescent="0.2">
      <c r="AN572" s="487"/>
      <c r="AO572" s="487"/>
    </row>
    <row r="573" spans="40:41" x14ac:dyDescent="0.2">
      <c r="AN573" s="487"/>
      <c r="AO573" s="487"/>
    </row>
    <row r="574" spans="40:41" x14ac:dyDescent="0.2">
      <c r="AN574" s="487"/>
      <c r="AO574" s="487"/>
    </row>
    <row r="575" spans="40:41" x14ac:dyDescent="0.2">
      <c r="AN575" s="487"/>
      <c r="AO575" s="487"/>
    </row>
    <row r="576" spans="40:41" x14ac:dyDescent="0.2">
      <c r="AN576" s="487"/>
      <c r="AO576" s="487"/>
    </row>
    <row r="577" spans="40:41" x14ac:dyDescent="0.2">
      <c r="AN577" s="487"/>
      <c r="AO577" s="487"/>
    </row>
    <row r="578" spans="40:41" x14ac:dyDescent="0.2">
      <c r="AN578" s="487"/>
      <c r="AO578" s="487"/>
    </row>
    <row r="579" spans="40:41" x14ac:dyDescent="0.2">
      <c r="AN579" s="487"/>
      <c r="AO579" s="487"/>
    </row>
    <row r="580" spans="40:41" x14ac:dyDescent="0.2">
      <c r="AN580" s="487"/>
      <c r="AO580" s="487"/>
    </row>
    <row r="581" spans="40:41" x14ac:dyDescent="0.2">
      <c r="AN581" s="487"/>
      <c r="AO581" s="487"/>
    </row>
    <row r="582" spans="40:41" x14ac:dyDescent="0.2">
      <c r="AN582" s="487"/>
      <c r="AO582" s="487"/>
    </row>
    <row r="583" spans="40:41" x14ac:dyDescent="0.2">
      <c r="AN583" s="487"/>
      <c r="AO583" s="487"/>
    </row>
    <row r="584" spans="40:41" x14ac:dyDescent="0.2">
      <c r="AN584" s="487"/>
      <c r="AO584" s="487"/>
    </row>
    <row r="585" spans="40:41" x14ac:dyDescent="0.2">
      <c r="AN585" s="487"/>
      <c r="AO585" s="487"/>
    </row>
    <row r="586" spans="40:41" x14ac:dyDescent="0.2">
      <c r="AN586" s="487"/>
      <c r="AO586" s="487"/>
    </row>
    <row r="587" spans="40:41" x14ac:dyDescent="0.2">
      <c r="AN587" s="487"/>
      <c r="AO587" s="487"/>
    </row>
    <row r="588" spans="40:41" x14ac:dyDescent="0.2">
      <c r="AN588" s="487"/>
      <c r="AO588" s="487"/>
    </row>
    <row r="589" spans="40:41" x14ac:dyDescent="0.2">
      <c r="AN589" s="487"/>
      <c r="AO589" s="487"/>
    </row>
    <row r="590" spans="40:41" x14ac:dyDescent="0.2">
      <c r="AN590" s="487"/>
      <c r="AO590" s="487"/>
    </row>
    <row r="591" spans="40:41" x14ac:dyDescent="0.2">
      <c r="AN591" s="487"/>
      <c r="AO591" s="487"/>
    </row>
    <row r="592" spans="40:41" x14ac:dyDescent="0.2">
      <c r="AN592" s="487"/>
      <c r="AO592" s="487"/>
    </row>
    <row r="593" spans="40:41" x14ac:dyDescent="0.2">
      <c r="AN593" s="487"/>
      <c r="AO593" s="487"/>
    </row>
    <row r="594" spans="40:41" x14ac:dyDescent="0.2">
      <c r="AN594" s="487"/>
      <c r="AO594" s="487"/>
    </row>
    <row r="595" spans="40:41" x14ac:dyDescent="0.2">
      <c r="AN595" s="487"/>
      <c r="AO595" s="487"/>
    </row>
    <row r="596" spans="40:41" x14ac:dyDescent="0.2">
      <c r="AN596" s="487"/>
      <c r="AO596" s="487"/>
    </row>
    <row r="597" spans="40:41" x14ac:dyDescent="0.2">
      <c r="AN597" s="487"/>
      <c r="AO597" s="487"/>
    </row>
    <row r="598" spans="40:41" x14ac:dyDescent="0.2">
      <c r="AN598" s="487"/>
      <c r="AO598" s="487"/>
    </row>
    <row r="599" spans="40:41" x14ac:dyDescent="0.2">
      <c r="AN599" s="487"/>
      <c r="AO599" s="487"/>
    </row>
    <row r="600" spans="40:41" x14ac:dyDescent="0.2">
      <c r="AN600" s="487"/>
      <c r="AO600" s="487"/>
    </row>
    <row r="601" spans="40:41" x14ac:dyDescent="0.2">
      <c r="AN601" s="487"/>
      <c r="AO601" s="487"/>
    </row>
  </sheetData>
  <dataValidations count="1">
    <dataValidation type="list" allowBlank="1" showInputMessage="1" showErrorMessage="1" sqref="V526:AA526 V524:AA524 V528:AA528 V530:AA530 V538:AA538"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E41"/>
  <sheetViews>
    <sheetView workbookViewId="0">
      <selection activeCell="A3" sqref="A3"/>
    </sheetView>
  </sheetViews>
  <sheetFormatPr defaultRowHeight="12.75" x14ac:dyDescent="0.2"/>
  <sheetData>
    <row r="1" spans="1:31" x14ac:dyDescent="0.2">
      <c r="B1" s="44"/>
      <c r="C1">
        <v>-50</v>
      </c>
      <c r="D1">
        <v>200</v>
      </c>
      <c r="E1">
        <v>450</v>
      </c>
      <c r="P1">
        <v>-100</v>
      </c>
      <c r="Q1">
        <v>-50</v>
      </c>
      <c r="R1">
        <v>0</v>
      </c>
      <c r="S1">
        <v>250</v>
      </c>
      <c r="T1">
        <v>500</v>
      </c>
      <c r="U1">
        <v>1000</v>
      </c>
      <c r="AA1">
        <f>IF(SIGN(P1)=-1,IF(SIGN(Q1)=-1,(P1+Q1)/2,IF(SIGN(Q1)=0,-(Q1-P1)/2,(Q1-P1)/2)),(P1+Q1)/2)</f>
        <v>-75</v>
      </c>
      <c r="AB1">
        <f>IF(SIGN(Q1)=-1,IF(SIGN(R1)=-1,(Q1+R1)/2,IF(SIGN(R1)=0,-(R1-Q1)/2,(R1-Q1)/2)),(Q1+R1)/2)</f>
        <v>-25</v>
      </c>
      <c r="AC1">
        <f t="shared" ref="AC1:AE1" si="0">IF(SIGN(R1)=-1,IF(SIGN(S1)=-1,(R1+S1)/2,IF(SIGN(S1)=0,-(S1-R1)/2,(S1-R1)/2)),(R1+S1)/2)</f>
        <v>125</v>
      </c>
      <c r="AD1">
        <f t="shared" si="0"/>
        <v>375</v>
      </c>
      <c r="AE1">
        <f t="shared" si="0"/>
        <v>750</v>
      </c>
    </row>
    <row r="2" spans="1:31" x14ac:dyDescent="0.2">
      <c r="B2" s="152"/>
      <c r="O2">
        <v>1</v>
      </c>
      <c r="P2" s="6">
        <v>-0.2</v>
      </c>
      <c r="Q2" s="6">
        <v>-0.2</v>
      </c>
      <c r="R2" s="6">
        <v>-0.2</v>
      </c>
      <c r="S2" s="6">
        <v>-0.3</v>
      </c>
      <c r="T2" s="6">
        <v>-0.3</v>
      </c>
      <c r="U2" s="6">
        <v>-0.3</v>
      </c>
      <c r="AA2" s="6">
        <f>QRound((P2+Q2)/2)</f>
        <v>-0.2</v>
      </c>
      <c r="AB2" s="6">
        <f>QRound((Q2+R2)/2)</f>
        <v>-0.2</v>
      </c>
      <c r="AC2" s="6">
        <f>QRound((R2+S2)/2)</f>
        <v>-0.2</v>
      </c>
      <c r="AD2" s="6">
        <f>QRound((S2+T2)/2)</f>
        <v>-0.3</v>
      </c>
      <c r="AE2" s="6">
        <f>QRound((T2+U2)/2)</f>
        <v>-0.3</v>
      </c>
    </row>
    <row r="3" spans="1:31" x14ac:dyDescent="0.2">
      <c r="A3" s="44" t="s">
        <v>5464</v>
      </c>
      <c r="B3" s="44"/>
      <c r="C3">
        <v>-2</v>
      </c>
      <c r="D3">
        <v>0.69999999999998863</v>
      </c>
      <c r="E3">
        <v>1.0500000000000114</v>
      </c>
      <c r="O3">
        <v>2</v>
      </c>
      <c r="P3" s="6">
        <v>0.1</v>
      </c>
      <c r="Q3" s="6">
        <v>0.1</v>
      </c>
      <c r="R3" s="6">
        <v>0.1</v>
      </c>
      <c r="S3" s="6">
        <v>0</v>
      </c>
      <c r="T3" s="6">
        <v>0</v>
      </c>
      <c r="U3" s="6">
        <v>-0.1</v>
      </c>
      <c r="AA3" s="6">
        <f t="shared" ref="AA3:AA41" si="1">QRound((P3+Q3)/2)</f>
        <v>0.1</v>
      </c>
      <c r="AB3" s="6">
        <f t="shared" ref="AB3:AB41" si="2">QRound((Q3+R3)/2)</f>
        <v>0.1</v>
      </c>
      <c r="AC3" s="6">
        <f t="shared" ref="AC3:AC41" si="3">QRound((R3+S3)/2)</f>
        <v>0</v>
      </c>
      <c r="AD3" s="6">
        <f t="shared" ref="AD3:AD41" si="4">QRound((S3+T3)/2)</f>
        <v>0</v>
      </c>
      <c r="AE3" s="6">
        <f t="shared" ref="AE3:AE41" si="5">QRound((T3+U3)/2)</f>
        <v>0</v>
      </c>
    </row>
    <row r="4" spans="1:31" x14ac:dyDescent="0.2">
      <c r="B4" s="44"/>
      <c r="O4">
        <v>3</v>
      </c>
      <c r="P4" s="6">
        <v>-0.1</v>
      </c>
      <c r="Q4" s="6">
        <v>-0.1</v>
      </c>
      <c r="R4" s="6">
        <v>-0.1</v>
      </c>
      <c r="S4" s="6">
        <v>-0.1</v>
      </c>
      <c r="T4" s="6">
        <v>-0.2</v>
      </c>
      <c r="U4" s="6">
        <v>-0.3</v>
      </c>
      <c r="AA4" s="6">
        <f t="shared" si="1"/>
        <v>-0.1</v>
      </c>
      <c r="AB4" s="6">
        <f t="shared" si="2"/>
        <v>-0.1</v>
      </c>
      <c r="AC4" s="6">
        <f t="shared" si="3"/>
        <v>-0.1</v>
      </c>
      <c r="AD4" s="6">
        <f t="shared" si="4"/>
        <v>-0.2</v>
      </c>
      <c r="AE4" s="6">
        <f t="shared" si="5"/>
        <v>-0.2</v>
      </c>
    </row>
    <row r="5" spans="1:31" x14ac:dyDescent="0.2">
      <c r="O5">
        <v>4</v>
      </c>
      <c r="P5" s="6">
        <v>-0.2</v>
      </c>
      <c r="Q5" s="6">
        <v>-0.2</v>
      </c>
      <c r="R5" s="6">
        <v>-0.3</v>
      </c>
      <c r="S5" s="6">
        <v>-0.3</v>
      </c>
      <c r="T5" s="6">
        <v>-0.3</v>
      </c>
      <c r="U5" s="6">
        <v>-0.3</v>
      </c>
      <c r="AA5" s="6">
        <f t="shared" si="1"/>
        <v>-0.2</v>
      </c>
      <c r="AB5" s="6">
        <f t="shared" si="2"/>
        <v>-0.2</v>
      </c>
      <c r="AC5" s="6">
        <f t="shared" si="3"/>
        <v>-0.3</v>
      </c>
      <c r="AD5" s="6">
        <f t="shared" si="4"/>
        <v>-0.3</v>
      </c>
      <c r="AE5" s="6">
        <f t="shared" si="5"/>
        <v>-0.3</v>
      </c>
    </row>
    <row r="6" spans="1:31" x14ac:dyDescent="0.2">
      <c r="O6">
        <v>5</v>
      </c>
      <c r="P6" s="6">
        <v>0.1</v>
      </c>
      <c r="Q6" s="6">
        <v>0</v>
      </c>
      <c r="R6" s="6">
        <v>-0.1</v>
      </c>
      <c r="S6" s="6">
        <v>-0.1</v>
      </c>
      <c r="T6" s="6">
        <v>-0.1</v>
      </c>
      <c r="U6" s="6">
        <v>-0.2</v>
      </c>
      <c r="AA6" s="6">
        <f t="shared" si="1"/>
        <v>0</v>
      </c>
      <c r="AB6" s="6">
        <f t="shared" si="2"/>
        <v>0</v>
      </c>
      <c r="AC6" s="6">
        <f t="shared" si="3"/>
        <v>-0.1</v>
      </c>
      <c r="AD6" s="6">
        <f t="shared" si="4"/>
        <v>-0.1</v>
      </c>
      <c r="AE6" s="6">
        <f t="shared" si="5"/>
        <v>-0.2</v>
      </c>
    </row>
    <row r="7" spans="1:31" x14ac:dyDescent="0.2">
      <c r="A7" s="44"/>
      <c r="O7">
        <v>6</v>
      </c>
      <c r="P7" s="6">
        <v>-0.1</v>
      </c>
      <c r="Q7" s="6">
        <v>-0.1</v>
      </c>
      <c r="R7" s="6">
        <v>-0.1</v>
      </c>
      <c r="S7" s="6">
        <v>-0.2</v>
      </c>
      <c r="T7" s="6">
        <v>-0.2</v>
      </c>
      <c r="U7" s="6">
        <v>-0.2</v>
      </c>
      <c r="AA7" s="6">
        <f t="shared" si="1"/>
        <v>-0.1</v>
      </c>
      <c r="AB7" s="6">
        <f t="shared" si="2"/>
        <v>-0.1</v>
      </c>
      <c r="AC7" s="6">
        <f t="shared" si="3"/>
        <v>-0.2</v>
      </c>
      <c r="AD7" s="6">
        <f t="shared" si="4"/>
        <v>-0.2</v>
      </c>
      <c r="AE7" s="6">
        <f t="shared" si="5"/>
        <v>-0.2</v>
      </c>
    </row>
    <row r="8" spans="1:31" x14ac:dyDescent="0.2">
      <c r="O8">
        <v>7</v>
      </c>
      <c r="P8" s="6">
        <v>0</v>
      </c>
      <c r="Q8" s="6">
        <v>-0.1</v>
      </c>
      <c r="R8" s="6">
        <v>-0.1</v>
      </c>
      <c r="S8" s="6">
        <v>-0.1</v>
      </c>
      <c r="T8" s="6">
        <v>-0.2</v>
      </c>
      <c r="U8" s="6">
        <v>-0.2</v>
      </c>
      <c r="AA8" s="6">
        <f t="shared" si="1"/>
        <v>0</v>
      </c>
      <c r="AB8" s="6">
        <f t="shared" si="2"/>
        <v>-0.1</v>
      </c>
      <c r="AC8" s="6">
        <f t="shared" si="3"/>
        <v>-0.1</v>
      </c>
      <c r="AD8" s="6">
        <f t="shared" si="4"/>
        <v>-0.2</v>
      </c>
      <c r="AE8" s="6">
        <f t="shared" si="5"/>
        <v>-0.2</v>
      </c>
    </row>
    <row r="9" spans="1:31" x14ac:dyDescent="0.2">
      <c r="O9">
        <v>8</v>
      </c>
      <c r="P9" s="6">
        <v>0.2</v>
      </c>
      <c r="Q9" s="6">
        <v>0.2</v>
      </c>
      <c r="R9" s="6">
        <v>0.1</v>
      </c>
      <c r="S9" s="6">
        <v>0.2</v>
      </c>
      <c r="T9" s="6">
        <v>0.2</v>
      </c>
      <c r="U9" s="6">
        <v>0.2</v>
      </c>
      <c r="AA9" s="6">
        <f t="shared" si="1"/>
        <v>0.2</v>
      </c>
      <c r="AB9" s="6">
        <f t="shared" si="2"/>
        <v>0.2</v>
      </c>
      <c r="AC9" s="6">
        <f t="shared" si="3"/>
        <v>0.2</v>
      </c>
      <c r="AD9" s="6">
        <f t="shared" si="4"/>
        <v>0.2</v>
      </c>
      <c r="AE9" s="6">
        <f t="shared" si="5"/>
        <v>0.2</v>
      </c>
    </row>
    <row r="10" spans="1:31" x14ac:dyDescent="0.2">
      <c r="O10">
        <v>9</v>
      </c>
      <c r="P10" s="6">
        <v>-0.2</v>
      </c>
      <c r="Q10" s="6">
        <v>-0.2</v>
      </c>
      <c r="R10" s="6">
        <v>-0.2</v>
      </c>
      <c r="S10" s="6">
        <v>-0.3</v>
      </c>
      <c r="T10" s="6">
        <v>-0.3</v>
      </c>
      <c r="U10" s="6">
        <v>-0.3</v>
      </c>
      <c r="AA10" s="6">
        <f t="shared" si="1"/>
        <v>-0.2</v>
      </c>
      <c r="AB10" s="6">
        <f t="shared" si="2"/>
        <v>-0.2</v>
      </c>
      <c r="AC10" s="6">
        <f t="shared" si="3"/>
        <v>-0.2</v>
      </c>
      <c r="AD10" s="6">
        <f t="shared" si="4"/>
        <v>-0.3</v>
      </c>
      <c r="AE10" s="6">
        <f t="shared" si="5"/>
        <v>-0.3</v>
      </c>
    </row>
    <row r="11" spans="1:31" x14ac:dyDescent="0.2">
      <c r="O11">
        <v>10</v>
      </c>
      <c r="P11" s="6">
        <v>0.1</v>
      </c>
      <c r="Q11" s="6">
        <v>0.1</v>
      </c>
      <c r="R11" s="6">
        <v>0</v>
      </c>
      <c r="S11" s="6">
        <v>0</v>
      </c>
      <c r="T11" s="6">
        <v>0</v>
      </c>
      <c r="U11" s="6">
        <v>0</v>
      </c>
      <c r="AA11" s="6">
        <f t="shared" si="1"/>
        <v>0.1</v>
      </c>
      <c r="AB11" s="6">
        <f t="shared" si="2"/>
        <v>0</v>
      </c>
      <c r="AC11" s="6">
        <f t="shared" si="3"/>
        <v>0</v>
      </c>
      <c r="AD11" s="6">
        <f t="shared" si="4"/>
        <v>0</v>
      </c>
      <c r="AE11" s="6">
        <f t="shared" si="5"/>
        <v>0</v>
      </c>
    </row>
    <row r="12" spans="1:31" x14ac:dyDescent="0.2">
      <c r="O12">
        <v>11</v>
      </c>
      <c r="P12" s="6">
        <v>-0.2</v>
      </c>
      <c r="Q12" s="6">
        <v>-0.2</v>
      </c>
      <c r="R12" s="6">
        <v>-0.2</v>
      </c>
      <c r="S12" s="6">
        <v>-0.3</v>
      </c>
      <c r="T12" s="6">
        <v>-0.3</v>
      </c>
      <c r="U12" s="6">
        <v>-0.3</v>
      </c>
      <c r="AA12" s="6">
        <f t="shared" si="1"/>
        <v>-0.2</v>
      </c>
      <c r="AB12" s="6">
        <f t="shared" si="2"/>
        <v>-0.2</v>
      </c>
      <c r="AC12" s="6">
        <f t="shared" si="3"/>
        <v>-0.2</v>
      </c>
      <c r="AD12" s="6">
        <f t="shared" si="4"/>
        <v>-0.3</v>
      </c>
      <c r="AE12" s="6">
        <f t="shared" si="5"/>
        <v>-0.3</v>
      </c>
    </row>
    <row r="13" spans="1:31" x14ac:dyDescent="0.2">
      <c r="O13">
        <v>12</v>
      </c>
      <c r="P13" s="6">
        <v>0.2</v>
      </c>
      <c r="Q13" s="6">
        <v>0.2</v>
      </c>
      <c r="R13" s="6">
        <v>0.1</v>
      </c>
      <c r="S13" s="6">
        <v>0</v>
      </c>
      <c r="T13" s="6">
        <v>0</v>
      </c>
      <c r="U13" s="6">
        <v>-0.1</v>
      </c>
      <c r="AA13" s="6">
        <f t="shared" si="1"/>
        <v>0.2</v>
      </c>
      <c r="AB13" s="6">
        <f t="shared" si="2"/>
        <v>0.2</v>
      </c>
      <c r="AC13" s="6">
        <f t="shared" si="3"/>
        <v>0</v>
      </c>
      <c r="AD13" s="6">
        <f t="shared" si="4"/>
        <v>0</v>
      </c>
      <c r="AE13" s="6">
        <f t="shared" si="5"/>
        <v>0</v>
      </c>
    </row>
    <row r="14" spans="1:31" x14ac:dyDescent="0.2">
      <c r="O14">
        <v>13</v>
      </c>
      <c r="P14" s="6">
        <v>-0.2</v>
      </c>
      <c r="Q14" s="6">
        <v>-0.2</v>
      </c>
      <c r="R14" s="6">
        <v>-0.2</v>
      </c>
      <c r="S14" s="6">
        <v>-0.4</v>
      </c>
      <c r="T14" s="6">
        <v>-0.4</v>
      </c>
      <c r="U14" s="6">
        <v>-0.5</v>
      </c>
      <c r="AA14" s="6">
        <f t="shared" si="1"/>
        <v>-0.2</v>
      </c>
      <c r="AB14" s="6">
        <f t="shared" si="2"/>
        <v>-0.2</v>
      </c>
      <c r="AC14" s="6">
        <f t="shared" si="3"/>
        <v>-0.3</v>
      </c>
      <c r="AD14" s="6">
        <f t="shared" si="4"/>
        <v>-0.4</v>
      </c>
      <c r="AE14" s="6">
        <f t="shared" si="5"/>
        <v>-0.4</v>
      </c>
    </row>
    <row r="15" spans="1:31" x14ac:dyDescent="0.2">
      <c r="O15">
        <v>14</v>
      </c>
      <c r="P15" s="6">
        <v>-0.5</v>
      </c>
      <c r="Q15" s="6">
        <v>-0.5</v>
      </c>
      <c r="R15" s="6">
        <v>-0.5</v>
      </c>
      <c r="S15" s="6">
        <v>-0.5</v>
      </c>
      <c r="T15" s="6">
        <v>-0.5</v>
      </c>
      <c r="U15" s="6">
        <v>-0.5</v>
      </c>
      <c r="AA15" s="6">
        <f t="shared" si="1"/>
        <v>-0.5</v>
      </c>
      <c r="AB15" s="6">
        <f t="shared" si="2"/>
        <v>-0.5</v>
      </c>
      <c r="AC15" s="6">
        <f t="shared" si="3"/>
        <v>-0.5</v>
      </c>
      <c r="AD15" s="6">
        <f t="shared" si="4"/>
        <v>-0.5</v>
      </c>
      <c r="AE15" s="6">
        <f t="shared" si="5"/>
        <v>-0.5</v>
      </c>
    </row>
    <row r="16" spans="1:31" x14ac:dyDescent="0.2">
      <c r="A16" s="44"/>
      <c r="O16">
        <v>15</v>
      </c>
      <c r="P16" s="6">
        <v>0.2</v>
      </c>
      <c r="Q16" s="6">
        <v>0.1</v>
      </c>
      <c r="R16" s="6">
        <v>0.1</v>
      </c>
      <c r="S16" s="6">
        <v>0.1</v>
      </c>
      <c r="T16" s="6">
        <v>0</v>
      </c>
      <c r="U16" s="6">
        <v>-0.1</v>
      </c>
      <c r="AA16" s="6">
        <f t="shared" si="1"/>
        <v>0.2</v>
      </c>
      <c r="AB16" s="6">
        <f t="shared" si="2"/>
        <v>0.1</v>
      </c>
      <c r="AC16" s="6">
        <f t="shared" si="3"/>
        <v>0.1</v>
      </c>
      <c r="AD16" s="6">
        <f t="shared" si="4"/>
        <v>0</v>
      </c>
      <c r="AE16" s="6">
        <f t="shared" si="5"/>
        <v>0</v>
      </c>
    </row>
    <row r="17" spans="1:31" x14ac:dyDescent="0.2">
      <c r="A17" s="44"/>
      <c r="O17">
        <v>16</v>
      </c>
      <c r="P17" s="6">
        <v>0.2</v>
      </c>
      <c r="Q17" s="6">
        <v>0.2</v>
      </c>
      <c r="R17" s="6">
        <v>0.1</v>
      </c>
      <c r="S17" s="6">
        <v>0</v>
      </c>
      <c r="T17" s="6">
        <v>-0.1</v>
      </c>
      <c r="U17" s="6">
        <v>-0.2</v>
      </c>
      <c r="AA17" s="6">
        <f t="shared" si="1"/>
        <v>0.2</v>
      </c>
      <c r="AB17" s="6">
        <f t="shared" si="2"/>
        <v>0.2</v>
      </c>
      <c r="AC17" s="6">
        <f t="shared" si="3"/>
        <v>0</v>
      </c>
      <c r="AD17" s="6">
        <f t="shared" si="4"/>
        <v>0</v>
      </c>
      <c r="AE17" s="6">
        <f t="shared" si="5"/>
        <v>-0.2</v>
      </c>
    </row>
    <row r="18" spans="1:31" x14ac:dyDescent="0.2">
      <c r="A18" s="44"/>
      <c r="O18">
        <v>17</v>
      </c>
      <c r="P18" s="6">
        <v>0.2</v>
      </c>
      <c r="Q18" s="6">
        <v>0.1</v>
      </c>
      <c r="R18" s="6">
        <v>0</v>
      </c>
      <c r="S18" s="6">
        <v>0</v>
      </c>
      <c r="T18" s="6">
        <v>0</v>
      </c>
      <c r="U18" s="6">
        <v>0</v>
      </c>
      <c r="AA18" s="6">
        <f t="shared" si="1"/>
        <v>0.2</v>
      </c>
      <c r="AB18" s="6">
        <f t="shared" si="2"/>
        <v>0</v>
      </c>
      <c r="AC18" s="6">
        <f t="shared" si="3"/>
        <v>0</v>
      </c>
      <c r="AD18" s="6">
        <f t="shared" si="4"/>
        <v>0</v>
      </c>
      <c r="AE18" s="6">
        <f t="shared" si="5"/>
        <v>0</v>
      </c>
    </row>
    <row r="19" spans="1:31" x14ac:dyDescent="0.2">
      <c r="O19">
        <v>18</v>
      </c>
      <c r="P19" s="6">
        <v>0.2</v>
      </c>
      <c r="Q19" s="6">
        <v>0.1</v>
      </c>
      <c r="R19" s="6">
        <v>0</v>
      </c>
      <c r="S19" s="6">
        <v>0</v>
      </c>
      <c r="T19" s="6">
        <v>-0.1</v>
      </c>
      <c r="U19" s="6">
        <v>-0.1</v>
      </c>
      <c r="AA19" s="6">
        <f t="shared" si="1"/>
        <v>0.2</v>
      </c>
      <c r="AB19" s="6">
        <f t="shared" si="2"/>
        <v>0</v>
      </c>
      <c r="AC19" s="6">
        <f t="shared" si="3"/>
        <v>0</v>
      </c>
      <c r="AD19" s="6">
        <f t="shared" si="4"/>
        <v>0</v>
      </c>
      <c r="AE19" s="6">
        <f t="shared" si="5"/>
        <v>-0.1</v>
      </c>
    </row>
    <row r="20" spans="1:31" x14ac:dyDescent="0.2">
      <c r="O20">
        <v>19</v>
      </c>
      <c r="P20" s="6">
        <v>-0.1</v>
      </c>
      <c r="Q20" s="6">
        <v>-0.1</v>
      </c>
      <c r="R20" s="6">
        <v>-0.1</v>
      </c>
      <c r="S20" s="6">
        <v>-0.1</v>
      </c>
      <c r="T20" s="6">
        <v>-0.2</v>
      </c>
      <c r="U20" s="6">
        <v>-0.2</v>
      </c>
      <c r="AA20" s="6">
        <f t="shared" si="1"/>
        <v>-0.1</v>
      </c>
      <c r="AB20" s="6">
        <f t="shared" si="2"/>
        <v>-0.1</v>
      </c>
      <c r="AC20" s="6">
        <f t="shared" si="3"/>
        <v>-0.1</v>
      </c>
      <c r="AD20" s="6">
        <f t="shared" si="4"/>
        <v>-0.2</v>
      </c>
      <c r="AE20" s="6">
        <f t="shared" si="5"/>
        <v>-0.2</v>
      </c>
    </row>
    <row r="21" spans="1:31" x14ac:dyDescent="0.2">
      <c r="O21">
        <v>20</v>
      </c>
      <c r="P21" s="6">
        <v>0.2</v>
      </c>
      <c r="Q21" s="6">
        <v>0.1</v>
      </c>
      <c r="R21" s="6">
        <v>0</v>
      </c>
      <c r="S21" s="6">
        <v>0.1</v>
      </c>
      <c r="T21" s="6">
        <v>0</v>
      </c>
      <c r="U21" s="6">
        <v>0.2</v>
      </c>
      <c r="AA21" s="6">
        <f t="shared" si="1"/>
        <v>0.2</v>
      </c>
      <c r="AB21" s="6">
        <f t="shared" si="2"/>
        <v>0</v>
      </c>
      <c r="AC21" s="6">
        <f t="shared" si="3"/>
        <v>0</v>
      </c>
      <c r="AD21" s="6">
        <f t="shared" si="4"/>
        <v>0</v>
      </c>
      <c r="AE21" s="6">
        <f t="shared" si="5"/>
        <v>0.1</v>
      </c>
    </row>
    <row r="22" spans="1:31" x14ac:dyDescent="0.2">
      <c r="O22">
        <v>21</v>
      </c>
      <c r="P22" s="6">
        <v>0.2</v>
      </c>
      <c r="Q22" s="6">
        <v>0.2</v>
      </c>
      <c r="R22" s="6">
        <v>0</v>
      </c>
      <c r="S22" s="6">
        <v>0.1</v>
      </c>
      <c r="T22" s="6">
        <v>0.1</v>
      </c>
      <c r="U22" s="6">
        <v>0.2</v>
      </c>
      <c r="AA22" s="6">
        <f t="shared" si="1"/>
        <v>0.2</v>
      </c>
      <c r="AB22" s="6">
        <f t="shared" si="2"/>
        <v>0.1</v>
      </c>
      <c r="AC22" s="6">
        <f t="shared" si="3"/>
        <v>0</v>
      </c>
      <c r="AD22" s="6">
        <f t="shared" si="4"/>
        <v>0.1</v>
      </c>
      <c r="AE22" s="6">
        <f t="shared" si="5"/>
        <v>0.2</v>
      </c>
    </row>
    <row r="23" spans="1:31" x14ac:dyDescent="0.2">
      <c r="O23">
        <v>22</v>
      </c>
      <c r="P23" s="6">
        <v>0.3</v>
      </c>
      <c r="Q23" s="6">
        <v>0.3</v>
      </c>
      <c r="R23" s="6">
        <v>0.1</v>
      </c>
      <c r="S23" s="6">
        <v>0.1</v>
      </c>
      <c r="T23" s="6">
        <v>0</v>
      </c>
      <c r="U23" s="6">
        <v>0</v>
      </c>
      <c r="AA23" s="6">
        <f t="shared" si="1"/>
        <v>0.3</v>
      </c>
      <c r="AB23" s="6">
        <f t="shared" si="2"/>
        <v>0.2</v>
      </c>
      <c r="AC23" s="6">
        <f t="shared" si="3"/>
        <v>0.1</v>
      </c>
      <c r="AD23" s="6">
        <f t="shared" si="4"/>
        <v>0</v>
      </c>
      <c r="AE23" s="6">
        <f t="shared" si="5"/>
        <v>0</v>
      </c>
    </row>
    <row r="24" spans="1:31" x14ac:dyDescent="0.2">
      <c r="O24">
        <v>23</v>
      </c>
      <c r="P24" s="6">
        <v>0.2</v>
      </c>
      <c r="Q24" s="6">
        <v>0.2</v>
      </c>
      <c r="R24" s="6">
        <v>0.2</v>
      </c>
      <c r="S24" s="6">
        <v>-0.1</v>
      </c>
      <c r="T24" s="6">
        <v>0</v>
      </c>
      <c r="U24" s="6">
        <v>0</v>
      </c>
      <c r="AA24" s="6">
        <f t="shared" si="1"/>
        <v>0.2</v>
      </c>
      <c r="AB24" s="6">
        <f t="shared" si="2"/>
        <v>0.2</v>
      </c>
      <c r="AC24" s="6">
        <f t="shared" si="3"/>
        <v>0</v>
      </c>
      <c r="AD24" s="6">
        <f t="shared" si="4"/>
        <v>0</v>
      </c>
      <c r="AE24" s="6">
        <f t="shared" si="5"/>
        <v>0</v>
      </c>
    </row>
    <row r="25" spans="1:31" x14ac:dyDescent="0.2">
      <c r="O25">
        <v>24</v>
      </c>
      <c r="P25" s="6">
        <v>0.1</v>
      </c>
      <c r="Q25" s="6">
        <v>0.1</v>
      </c>
      <c r="R25" s="6">
        <v>-0.1</v>
      </c>
      <c r="S25" s="6">
        <v>-0.1</v>
      </c>
      <c r="T25" s="6">
        <v>-0.2</v>
      </c>
      <c r="U25" s="6">
        <v>-0.2</v>
      </c>
      <c r="AA25" s="6">
        <f t="shared" si="1"/>
        <v>0.1</v>
      </c>
      <c r="AB25" s="6">
        <f t="shared" si="2"/>
        <v>0</v>
      </c>
      <c r="AC25" s="6">
        <f t="shared" si="3"/>
        <v>-0.1</v>
      </c>
      <c r="AD25" s="6">
        <f t="shared" si="4"/>
        <v>-0.2</v>
      </c>
      <c r="AE25" s="6">
        <f t="shared" si="5"/>
        <v>-0.2</v>
      </c>
    </row>
    <row r="26" spans="1:31" x14ac:dyDescent="0.2">
      <c r="O26">
        <v>25</v>
      </c>
      <c r="P26" s="6">
        <v>-0.1</v>
      </c>
      <c r="Q26" s="6">
        <v>-0.1</v>
      </c>
      <c r="R26" s="6">
        <v>-0.1</v>
      </c>
      <c r="S26" s="6">
        <v>0</v>
      </c>
      <c r="T26" s="6">
        <v>0</v>
      </c>
      <c r="U26" s="6">
        <v>0.1</v>
      </c>
      <c r="AA26" s="6">
        <f t="shared" si="1"/>
        <v>-0.1</v>
      </c>
      <c r="AB26" s="6">
        <f t="shared" si="2"/>
        <v>-0.1</v>
      </c>
      <c r="AC26" s="6">
        <f t="shared" si="3"/>
        <v>0</v>
      </c>
      <c r="AD26" s="6">
        <f t="shared" si="4"/>
        <v>0</v>
      </c>
      <c r="AE26" s="6">
        <f t="shared" si="5"/>
        <v>0</v>
      </c>
    </row>
    <row r="27" spans="1:31" x14ac:dyDescent="0.2">
      <c r="O27">
        <v>26</v>
      </c>
      <c r="P27" s="6">
        <v>0.2</v>
      </c>
      <c r="Q27" s="6">
        <v>0.2</v>
      </c>
      <c r="R27" s="6">
        <v>0</v>
      </c>
      <c r="S27" s="6">
        <v>0</v>
      </c>
      <c r="T27" s="6">
        <v>-0.1</v>
      </c>
      <c r="U27" s="6">
        <v>-0.1</v>
      </c>
      <c r="AA27" s="6">
        <f t="shared" si="1"/>
        <v>0.2</v>
      </c>
      <c r="AB27" s="6">
        <f t="shared" si="2"/>
        <v>0.1</v>
      </c>
      <c r="AC27" s="6">
        <f t="shared" si="3"/>
        <v>0</v>
      </c>
      <c r="AD27" s="6">
        <f t="shared" si="4"/>
        <v>0</v>
      </c>
      <c r="AE27" s="6">
        <f t="shared" si="5"/>
        <v>-0.1</v>
      </c>
    </row>
    <row r="28" spans="1:31" x14ac:dyDescent="0.2">
      <c r="O28">
        <v>27</v>
      </c>
      <c r="P28" s="6">
        <v>0.4</v>
      </c>
      <c r="Q28" s="6">
        <v>0.4</v>
      </c>
      <c r="R28" s="6">
        <v>0.3</v>
      </c>
      <c r="S28" s="6">
        <v>0.2</v>
      </c>
      <c r="T28" s="6">
        <v>0</v>
      </c>
      <c r="U28" s="6">
        <v>-0.2</v>
      </c>
      <c r="AA28" s="6">
        <f t="shared" si="1"/>
        <v>0.4</v>
      </c>
      <c r="AB28" s="6">
        <f t="shared" si="2"/>
        <v>0.4</v>
      </c>
      <c r="AC28" s="6">
        <f t="shared" si="3"/>
        <v>0.2</v>
      </c>
      <c r="AD28" s="6">
        <f t="shared" si="4"/>
        <v>0.1</v>
      </c>
      <c r="AE28" s="6">
        <f t="shared" si="5"/>
        <v>-0.1</v>
      </c>
    </row>
    <row r="29" spans="1:31" x14ac:dyDescent="0.2">
      <c r="O29">
        <v>28</v>
      </c>
      <c r="P29" s="6">
        <v>0.1</v>
      </c>
      <c r="Q29" s="6">
        <v>-0.2</v>
      </c>
      <c r="R29" s="6">
        <v>-0.3</v>
      </c>
      <c r="S29" s="6">
        <v>-0.2</v>
      </c>
      <c r="T29" s="6">
        <v>-0.3</v>
      </c>
      <c r="U29" s="6">
        <v>-0.3</v>
      </c>
      <c r="AA29" s="6">
        <f t="shared" si="1"/>
        <v>0</v>
      </c>
      <c r="AB29" s="6">
        <f t="shared" si="2"/>
        <v>-0.2</v>
      </c>
      <c r="AC29" s="6">
        <f t="shared" si="3"/>
        <v>-0.2</v>
      </c>
      <c r="AD29" s="6">
        <f t="shared" si="4"/>
        <v>-0.2</v>
      </c>
      <c r="AE29" s="6">
        <f t="shared" si="5"/>
        <v>-0.3</v>
      </c>
    </row>
    <row r="30" spans="1:31" x14ac:dyDescent="0.2">
      <c r="O30">
        <v>29</v>
      </c>
      <c r="P30" s="6">
        <v>-0.3</v>
      </c>
      <c r="Q30" s="6">
        <v>-0.3</v>
      </c>
      <c r="R30" s="6">
        <v>-0.2</v>
      </c>
      <c r="S30" s="6">
        <v>-0.2</v>
      </c>
      <c r="T30" s="6">
        <v>-0.3</v>
      </c>
      <c r="U30" s="6">
        <v>-0.3</v>
      </c>
      <c r="AA30" s="6">
        <f t="shared" si="1"/>
        <v>-0.3</v>
      </c>
      <c r="AB30" s="6">
        <f t="shared" si="2"/>
        <v>-0.2</v>
      </c>
      <c r="AC30" s="6">
        <f t="shared" si="3"/>
        <v>-0.2</v>
      </c>
      <c r="AD30" s="6">
        <f t="shared" si="4"/>
        <v>-0.2</v>
      </c>
      <c r="AE30" s="6">
        <f t="shared" si="5"/>
        <v>-0.3</v>
      </c>
    </row>
    <row r="31" spans="1:31" x14ac:dyDescent="0.2">
      <c r="O31">
        <v>30</v>
      </c>
      <c r="P31" s="6">
        <v>0.3</v>
      </c>
      <c r="Q31" s="6">
        <v>0.3</v>
      </c>
      <c r="R31" s="6">
        <v>0.3</v>
      </c>
      <c r="S31" s="6">
        <v>0.3</v>
      </c>
      <c r="T31" s="6">
        <v>0.2</v>
      </c>
      <c r="U31" s="6">
        <v>0.2</v>
      </c>
      <c r="AA31" s="6">
        <f t="shared" si="1"/>
        <v>0.3</v>
      </c>
      <c r="AB31" s="6">
        <f t="shared" si="2"/>
        <v>0.3</v>
      </c>
      <c r="AC31" s="6">
        <f t="shared" si="3"/>
        <v>0.3</v>
      </c>
      <c r="AD31" s="6">
        <f t="shared" si="4"/>
        <v>0.2</v>
      </c>
      <c r="AE31" s="6">
        <f t="shared" si="5"/>
        <v>0.2</v>
      </c>
    </row>
    <row r="32" spans="1:31" x14ac:dyDescent="0.2">
      <c r="O32">
        <v>31</v>
      </c>
      <c r="P32" s="6">
        <v>0.2</v>
      </c>
      <c r="Q32" s="6">
        <v>0.2</v>
      </c>
      <c r="R32" s="6">
        <v>0.3</v>
      </c>
      <c r="S32" s="6">
        <v>0.2</v>
      </c>
      <c r="T32" s="6">
        <v>0.1</v>
      </c>
      <c r="U32" s="6">
        <v>0</v>
      </c>
      <c r="AA32" s="6">
        <f t="shared" si="1"/>
        <v>0.2</v>
      </c>
      <c r="AB32" s="6">
        <f t="shared" si="2"/>
        <v>0.2</v>
      </c>
      <c r="AC32" s="6">
        <f t="shared" si="3"/>
        <v>0.2</v>
      </c>
      <c r="AD32" s="6">
        <f t="shared" si="4"/>
        <v>0.2</v>
      </c>
      <c r="AE32" s="6">
        <f t="shared" si="5"/>
        <v>0</v>
      </c>
    </row>
    <row r="33" spans="15:31" x14ac:dyDescent="0.2">
      <c r="O33">
        <v>32</v>
      </c>
      <c r="P33" s="6">
        <v>-0.1</v>
      </c>
      <c r="Q33" s="6">
        <v>-0.1</v>
      </c>
      <c r="R33" s="6">
        <v>0</v>
      </c>
      <c r="S33" s="6">
        <v>0</v>
      </c>
      <c r="T33" s="6">
        <v>-0.2</v>
      </c>
      <c r="U33" s="6">
        <v>-0.2</v>
      </c>
      <c r="AA33" s="6">
        <f t="shared" si="1"/>
        <v>-0.1</v>
      </c>
      <c r="AB33" s="6">
        <f t="shared" si="2"/>
        <v>0</v>
      </c>
      <c r="AC33" s="6">
        <f t="shared" si="3"/>
        <v>0</v>
      </c>
      <c r="AD33" s="6">
        <f t="shared" si="4"/>
        <v>-0.1</v>
      </c>
      <c r="AE33" s="6">
        <f t="shared" si="5"/>
        <v>-0.2</v>
      </c>
    </row>
    <row r="34" spans="15:31" x14ac:dyDescent="0.2">
      <c r="O34">
        <v>33</v>
      </c>
      <c r="P34" s="6">
        <v>-0.1</v>
      </c>
      <c r="Q34" s="6">
        <v>-0.1</v>
      </c>
      <c r="R34" s="6">
        <v>-0.3</v>
      </c>
      <c r="S34" s="6">
        <v>-0.4</v>
      </c>
      <c r="T34" s="6">
        <v>-0.5</v>
      </c>
      <c r="U34" s="6">
        <v>-0.4</v>
      </c>
      <c r="AA34" s="6">
        <f t="shared" si="1"/>
        <v>-0.1</v>
      </c>
      <c r="AB34" s="6">
        <f t="shared" si="2"/>
        <v>-0.2</v>
      </c>
      <c r="AC34" s="6">
        <f t="shared" si="3"/>
        <v>-0.4</v>
      </c>
      <c r="AD34" s="6">
        <f t="shared" si="4"/>
        <v>-0.4</v>
      </c>
      <c r="AE34" s="6">
        <f t="shared" si="5"/>
        <v>-0.4</v>
      </c>
    </row>
    <row r="35" spans="15:31" x14ac:dyDescent="0.2">
      <c r="O35">
        <v>34</v>
      </c>
      <c r="P35" s="6">
        <v>-0.2</v>
      </c>
      <c r="Q35" s="6">
        <v>-0.2</v>
      </c>
      <c r="R35" s="6">
        <v>-0.2</v>
      </c>
      <c r="S35" s="6">
        <v>-0.5</v>
      </c>
      <c r="T35" s="6">
        <v>-0.5</v>
      </c>
      <c r="U35" s="6">
        <v>-0.5</v>
      </c>
      <c r="AA35" s="6">
        <f t="shared" si="1"/>
        <v>-0.2</v>
      </c>
      <c r="AB35" s="6">
        <f t="shared" si="2"/>
        <v>-0.2</v>
      </c>
      <c r="AC35" s="6">
        <f t="shared" si="3"/>
        <v>-0.4</v>
      </c>
      <c r="AD35" s="6">
        <f t="shared" si="4"/>
        <v>-0.5</v>
      </c>
      <c r="AE35" s="6">
        <f t="shared" si="5"/>
        <v>-0.5</v>
      </c>
    </row>
    <row r="36" spans="15:31" x14ac:dyDescent="0.2">
      <c r="O36">
        <v>35</v>
      </c>
      <c r="P36" s="6">
        <v>0.2</v>
      </c>
      <c r="Q36" s="6">
        <v>0.2</v>
      </c>
      <c r="R36" s="6">
        <v>0.3</v>
      </c>
      <c r="S36" s="6">
        <v>0.3</v>
      </c>
      <c r="T36" s="6">
        <v>0</v>
      </c>
      <c r="U36" s="6">
        <v>0</v>
      </c>
      <c r="AA36" s="6">
        <f t="shared" si="1"/>
        <v>0.2</v>
      </c>
      <c r="AB36" s="6">
        <f t="shared" si="2"/>
        <v>0.2</v>
      </c>
      <c r="AC36" s="6">
        <f t="shared" si="3"/>
        <v>0.3</v>
      </c>
      <c r="AD36" s="6">
        <f t="shared" si="4"/>
        <v>0.2</v>
      </c>
      <c r="AE36" s="6">
        <f t="shared" si="5"/>
        <v>0</v>
      </c>
    </row>
    <row r="37" spans="15:31" x14ac:dyDescent="0.2">
      <c r="O37">
        <v>36</v>
      </c>
      <c r="P37" s="6">
        <v>0.1</v>
      </c>
      <c r="Q37" s="6">
        <v>0</v>
      </c>
      <c r="R37" s="6">
        <v>0.1</v>
      </c>
      <c r="S37" s="6">
        <v>0.1</v>
      </c>
      <c r="T37" s="6">
        <v>0</v>
      </c>
      <c r="U37" s="6">
        <v>-0.1</v>
      </c>
      <c r="AA37" s="6">
        <f t="shared" si="1"/>
        <v>0</v>
      </c>
      <c r="AB37" s="6">
        <f t="shared" si="2"/>
        <v>0</v>
      </c>
      <c r="AC37" s="6">
        <f t="shared" si="3"/>
        <v>0.1</v>
      </c>
      <c r="AD37" s="6">
        <f t="shared" si="4"/>
        <v>0</v>
      </c>
      <c r="AE37" s="6">
        <f t="shared" si="5"/>
        <v>0</v>
      </c>
    </row>
    <row r="38" spans="15:31" x14ac:dyDescent="0.2">
      <c r="O38">
        <v>37</v>
      </c>
      <c r="P38" s="6">
        <v>-0.1</v>
      </c>
      <c r="Q38" s="6">
        <v>-0.1</v>
      </c>
      <c r="R38" s="6">
        <v>-0.1</v>
      </c>
      <c r="S38" s="6">
        <v>-0.1</v>
      </c>
      <c r="T38" s="6">
        <v>-0.1</v>
      </c>
      <c r="U38" s="6">
        <v>-0.1</v>
      </c>
      <c r="AA38" s="6">
        <f t="shared" si="1"/>
        <v>-0.1</v>
      </c>
      <c r="AB38" s="6">
        <f t="shared" si="2"/>
        <v>-0.1</v>
      </c>
      <c r="AC38" s="6">
        <f t="shared" si="3"/>
        <v>-0.1</v>
      </c>
      <c r="AD38" s="6">
        <f t="shared" si="4"/>
        <v>-0.1</v>
      </c>
      <c r="AE38" s="6">
        <f t="shared" si="5"/>
        <v>-0.1</v>
      </c>
    </row>
    <row r="39" spans="15:31" x14ac:dyDescent="0.2">
      <c r="O39">
        <v>38</v>
      </c>
      <c r="P39" s="6">
        <v>0</v>
      </c>
      <c r="Q39" s="6">
        <v>0</v>
      </c>
      <c r="R39" s="6">
        <v>0.1</v>
      </c>
      <c r="S39" s="6">
        <v>0.1</v>
      </c>
      <c r="T39" s="6">
        <v>0</v>
      </c>
      <c r="U39" s="6">
        <v>0</v>
      </c>
      <c r="AA39" s="6">
        <f t="shared" si="1"/>
        <v>0</v>
      </c>
      <c r="AB39" s="6">
        <f t="shared" si="2"/>
        <v>0</v>
      </c>
      <c r="AC39" s="6">
        <f t="shared" si="3"/>
        <v>0.1</v>
      </c>
      <c r="AD39" s="6">
        <f t="shared" si="4"/>
        <v>0</v>
      </c>
      <c r="AE39" s="6">
        <f t="shared" si="5"/>
        <v>0</v>
      </c>
    </row>
    <row r="40" spans="15:31" x14ac:dyDescent="0.2">
      <c r="O40">
        <v>39</v>
      </c>
      <c r="P40" s="6">
        <v>0.2</v>
      </c>
      <c r="Q40" s="6">
        <v>0.2</v>
      </c>
      <c r="R40" s="6">
        <v>0.3</v>
      </c>
      <c r="S40" s="6">
        <v>0.3</v>
      </c>
      <c r="T40" s="6">
        <v>0.1</v>
      </c>
      <c r="U40" s="6">
        <v>0.1</v>
      </c>
      <c r="AA40" s="6">
        <f t="shared" si="1"/>
        <v>0.2</v>
      </c>
      <c r="AB40" s="6">
        <f t="shared" si="2"/>
        <v>0.2</v>
      </c>
      <c r="AC40" s="6">
        <f t="shared" si="3"/>
        <v>0.3</v>
      </c>
      <c r="AD40" s="6">
        <f t="shared" si="4"/>
        <v>0.2</v>
      </c>
      <c r="AE40" s="6">
        <f t="shared" si="5"/>
        <v>0.1</v>
      </c>
    </row>
    <row r="41" spans="15:31" x14ac:dyDescent="0.2">
      <c r="O41">
        <v>40</v>
      </c>
      <c r="P41" s="6">
        <v>-0.3</v>
      </c>
      <c r="Q41" s="6">
        <v>-0.3</v>
      </c>
      <c r="R41" s="6">
        <v>-0.2</v>
      </c>
      <c r="S41" s="6">
        <v>-0.2</v>
      </c>
      <c r="T41" s="6">
        <v>-0.2</v>
      </c>
      <c r="U41" s="6">
        <v>-0.2</v>
      </c>
      <c r="AA41" s="6">
        <f t="shared" si="1"/>
        <v>-0.3</v>
      </c>
      <c r="AB41" s="6">
        <f t="shared" si="2"/>
        <v>-0.2</v>
      </c>
      <c r="AC41" s="6">
        <f t="shared" si="3"/>
        <v>-0.2</v>
      </c>
      <c r="AD41" s="6">
        <f t="shared" si="4"/>
        <v>-0.2</v>
      </c>
      <c r="AE41" s="6">
        <f t="shared" si="5"/>
        <v>-0.2</v>
      </c>
    </row>
  </sheetData>
  <sheetProtection algorithmName="SHA-512" hashValue="4BVQQLif/3nST9joXdXwZhyht5aFJnNIHKOjl21cWZHMIbC6oAZtddZpxWLA6OXMPOmhSWM/Px9ieFk/T84pDA==" saltValue="ZLe2bRSpKqMS/0P5WdWYwg==" spinCount="100000" sheet="1" objects="1" scenarios="1" selectLockedCells="1" selectUnlockedCells="1"/>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AG11" sqref="AG11"/>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714" t="s">
        <v>79</v>
      </c>
      <c r="B1" s="649"/>
      <c r="C1" s="649"/>
      <c r="D1" s="649"/>
      <c r="E1" s="40" t="s">
        <v>242</v>
      </c>
      <c r="G1" s="649" t="s">
        <v>92</v>
      </c>
      <c r="H1" s="649"/>
      <c r="K1" t="s">
        <v>123</v>
      </c>
      <c r="M1" t="s">
        <v>124</v>
      </c>
      <c r="O1" t="s">
        <v>197</v>
      </c>
      <c r="Q1" t="s">
        <v>206</v>
      </c>
      <c r="S1" t="s">
        <v>216</v>
      </c>
      <c r="U1" s="44" t="s">
        <v>288</v>
      </c>
      <c r="W1" s="44" t="s">
        <v>295</v>
      </c>
      <c r="Y1" s="44" t="s">
        <v>562</v>
      </c>
      <c r="AA1" s="44" t="s">
        <v>563</v>
      </c>
      <c r="AC1" s="44" t="s">
        <v>1760</v>
      </c>
      <c r="AE1" s="96" t="s">
        <v>4383</v>
      </c>
      <c r="AG1" s="44" t="s">
        <v>4390</v>
      </c>
    </row>
    <row r="2" spans="1:33" x14ac:dyDescent="0.2">
      <c r="A2" s="40" t="s">
        <v>74</v>
      </c>
      <c r="B2" s="40" t="s">
        <v>75</v>
      </c>
      <c r="C2" s="40">
        <v>807408</v>
      </c>
      <c r="D2" s="40" t="s">
        <v>95</v>
      </c>
      <c r="E2" s="40">
        <v>40</v>
      </c>
      <c r="G2" t="s">
        <v>96</v>
      </c>
      <c r="H2" t="s">
        <v>95</v>
      </c>
      <c r="K2" t="s">
        <v>114</v>
      </c>
      <c r="M2" t="s">
        <v>125</v>
      </c>
      <c r="Q2" t="s">
        <v>207</v>
      </c>
      <c r="S2" t="s">
        <v>111</v>
      </c>
      <c r="U2" s="44" t="s">
        <v>289</v>
      </c>
      <c r="W2">
        <f>IF(Main!D32 = 10, 5, IF(Main!D32 = 30, 15, IF(Main!D32 = 40, 20, 0)))</f>
        <v>15</v>
      </c>
      <c r="Y2" t="s">
        <v>469</v>
      </c>
      <c r="AC2" s="44" t="s">
        <v>1762</v>
      </c>
      <c r="AE2" s="44" t="s">
        <v>4384</v>
      </c>
      <c r="AG2" s="44" t="s">
        <v>5634</v>
      </c>
    </row>
    <row r="3" spans="1:33" x14ac:dyDescent="0.2">
      <c r="A3" s="40" t="s">
        <v>62</v>
      </c>
      <c r="B3" s="40" t="s">
        <v>75</v>
      </c>
      <c r="C3" s="40">
        <v>806337</v>
      </c>
      <c r="D3" s="40" t="s">
        <v>95</v>
      </c>
      <c r="E3" s="40">
        <v>40</v>
      </c>
      <c r="G3" t="s">
        <v>97</v>
      </c>
      <c r="H3" t="s">
        <v>93</v>
      </c>
      <c r="K3" t="s">
        <v>115</v>
      </c>
      <c r="M3" t="s">
        <v>126</v>
      </c>
      <c r="O3" t="s">
        <v>198</v>
      </c>
      <c r="Q3" s="44" t="s">
        <v>258</v>
      </c>
      <c r="S3" t="s">
        <v>218</v>
      </c>
      <c r="U3" s="44" t="s">
        <v>3824</v>
      </c>
      <c r="Y3" t="s">
        <v>472</v>
      </c>
      <c r="AC3" s="44" t="s">
        <v>1761</v>
      </c>
      <c r="AE3" s="44" t="s">
        <v>5633</v>
      </c>
      <c r="AG3" s="44" t="s">
        <v>5635</v>
      </c>
    </row>
    <row r="4" spans="1:33" x14ac:dyDescent="0.2">
      <c r="A4" s="40" t="s">
        <v>152</v>
      </c>
      <c r="B4" s="40" t="s">
        <v>75</v>
      </c>
      <c r="C4" s="40">
        <v>807705</v>
      </c>
      <c r="D4" s="40" t="s">
        <v>95</v>
      </c>
      <c r="E4" s="40">
        <v>40</v>
      </c>
      <c r="G4" t="s">
        <v>98</v>
      </c>
      <c r="H4" t="s">
        <v>94</v>
      </c>
      <c r="K4" t="s">
        <v>126</v>
      </c>
      <c r="M4" t="s">
        <v>136</v>
      </c>
      <c r="O4" t="s">
        <v>204</v>
      </c>
      <c r="Q4" t="s">
        <v>208</v>
      </c>
      <c r="S4" t="s">
        <v>217</v>
      </c>
      <c r="U4" s="44" t="s">
        <v>290</v>
      </c>
      <c r="Y4" t="s">
        <v>475</v>
      </c>
      <c r="AE4" s="44" t="s">
        <v>3907</v>
      </c>
      <c r="AG4" s="44" t="s">
        <v>340</v>
      </c>
    </row>
    <row r="5" spans="1:33" x14ac:dyDescent="0.2">
      <c r="A5" s="40" t="s">
        <v>64</v>
      </c>
      <c r="B5" s="40" t="s">
        <v>76</v>
      </c>
      <c r="C5" s="40">
        <v>236720</v>
      </c>
      <c r="D5" s="40" t="s">
        <v>93</v>
      </c>
      <c r="E5" s="40">
        <v>40</v>
      </c>
      <c r="K5" s="103">
        <v>283372</v>
      </c>
      <c r="M5" t="s">
        <v>149</v>
      </c>
      <c r="O5" t="s">
        <v>229</v>
      </c>
      <c r="Q5" t="s">
        <v>209</v>
      </c>
      <c r="U5" s="44" t="s">
        <v>157</v>
      </c>
      <c r="Y5" t="s">
        <v>478</v>
      </c>
      <c r="AG5" s="44" t="s">
        <v>4391</v>
      </c>
    </row>
    <row r="6" spans="1:33" x14ac:dyDescent="0.2">
      <c r="A6" s="40" t="s">
        <v>77</v>
      </c>
      <c r="B6" s="40" t="s">
        <v>75</v>
      </c>
      <c r="C6" s="40">
        <v>807621</v>
      </c>
      <c r="D6" s="40" t="s">
        <v>93</v>
      </c>
      <c r="E6" s="40">
        <v>40</v>
      </c>
      <c r="K6" t="s">
        <v>169</v>
      </c>
      <c r="O6" t="s">
        <v>137</v>
      </c>
      <c r="Q6" s="44" t="s">
        <v>5630</v>
      </c>
      <c r="U6" s="44" t="s">
        <v>163</v>
      </c>
      <c r="Y6" t="s">
        <v>481</v>
      </c>
      <c r="AG6" s="44" t="s">
        <v>145</v>
      </c>
    </row>
    <row r="7" spans="1:33" x14ac:dyDescent="0.2">
      <c r="A7" s="40" t="s">
        <v>78</v>
      </c>
      <c r="B7" s="40" t="s">
        <v>75</v>
      </c>
      <c r="C7" s="40">
        <v>807409</v>
      </c>
      <c r="D7" s="40" t="s">
        <v>93</v>
      </c>
      <c r="E7" s="40">
        <v>40</v>
      </c>
      <c r="O7" t="s">
        <v>201</v>
      </c>
      <c r="Q7" s="44" t="s">
        <v>5631</v>
      </c>
      <c r="U7" s="44" t="s">
        <v>291</v>
      </c>
      <c r="Y7" t="s">
        <v>484</v>
      </c>
      <c r="AG7" s="44" t="s">
        <v>5323</v>
      </c>
    </row>
    <row r="8" spans="1:33" x14ac:dyDescent="0.2">
      <c r="A8" s="40" t="s">
        <v>165</v>
      </c>
      <c r="B8" s="107" t="s">
        <v>75</v>
      </c>
      <c r="C8" s="107">
        <v>808005</v>
      </c>
      <c r="D8" s="40" t="s">
        <v>93</v>
      </c>
      <c r="E8" s="40">
        <v>28</v>
      </c>
      <c r="O8" t="s">
        <v>200</v>
      </c>
      <c r="Q8" s="44" t="s">
        <v>5632</v>
      </c>
      <c r="U8" t="str">
        <f>IF(AND(Main!D17&lt;&gt;"",Main!D17&gt;14),"Data_Sheet_15_28","")</f>
        <v/>
      </c>
      <c r="Y8" t="s">
        <v>487</v>
      </c>
      <c r="AE8" s="96" t="s">
        <v>4385</v>
      </c>
      <c r="AG8" s="44" t="s">
        <v>5463</v>
      </c>
    </row>
    <row r="9" spans="1:33" x14ac:dyDescent="0.2">
      <c r="A9" s="153" t="s">
        <v>243</v>
      </c>
      <c r="B9" s="92" t="s">
        <v>75</v>
      </c>
      <c r="C9" s="40">
        <v>808173</v>
      </c>
      <c r="D9" s="92" t="s">
        <v>93</v>
      </c>
      <c r="E9" s="40">
        <v>40</v>
      </c>
      <c r="O9" t="s">
        <v>18</v>
      </c>
      <c r="U9" t="str">
        <f>IF(AND(Main!D17&lt;&gt;"",Main!D17&gt;28),"Data_Sheet_29_40","")</f>
        <v/>
      </c>
      <c r="Y9" t="s">
        <v>490</v>
      </c>
      <c r="AE9" s="44" t="s">
        <v>3909</v>
      </c>
      <c r="AG9" s="44" t="s">
        <v>5911</v>
      </c>
    </row>
    <row r="10" spans="1:33" x14ac:dyDescent="0.2">
      <c r="A10" s="40" t="s">
        <v>182</v>
      </c>
      <c r="B10" s="40" t="s">
        <v>75</v>
      </c>
      <c r="C10" s="40">
        <v>807702</v>
      </c>
      <c r="D10" s="40" t="s">
        <v>94</v>
      </c>
      <c r="E10" s="40">
        <v>28</v>
      </c>
      <c r="O10" t="s">
        <v>199</v>
      </c>
      <c r="Y10" t="s">
        <v>493</v>
      </c>
      <c r="AE10" s="44" t="s">
        <v>4386</v>
      </c>
      <c r="AG10" s="44" t="s">
        <v>5912</v>
      </c>
    </row>
    <row r="11" spans="1:33" x14ac:dyDescent="0.2">
      <c r="A11" s="40" t="s">
        <v>166</v>
      </c>
      <c r="B11" s="40" t="s">
        <v>75</v>
      </c>
      <c r="C11" s="40">
        <v>808004</v>
      </c>
      <c r="D11" s="40" t="s">
        <v>94</v>
      </c>
      <c r="E11" s="40">
        <v>28</v>
      </c>
      <c r="O11" t="s">
        <v>203</v>
      </c>
      <c r="Y11" s="44" t="s">
        <v>1714</v>
      </c>
      <c r="AE11" s="44" t="s">
        <v>209</v>
      </c>
    </row>
    <row r="12" spans="1:33" x14ac:dyDescent="0.2">
      <c r="O12" t="s">
        <v>202</v>
      </c>
      <c r="Y12" s="44" t="s">
        <v>5401</v>
      </c>
      <c r="AE12" s="44" t="s">
        <v>4387</v>
      </c>
    </row>
    <row r="13" spans="1:33" x14ac:dyDescent="0.2">
      <c r="O13" s="44" t="s">
        <v>5625</v>
      </c>
      <c r="Y13" t="s">
        <v>497</v>
      </c>
      <c r="AE13" s="44" t="s">
        <v>4388</v>
      </c>
    </row>
    <row r="14" spans="1:33" x14ac:dyDescent="0.2">
      <c r="Y14" t="s">
        <v>500</v>
      </c>
      <c r="AE14" s="44" t="s">
        <v>4389</v>
      </c>
    </row>
    <row r="15" spans="1:33" x14ac:dyDescent="0.2">
      <c r="Y15" t="s">
        <v>503</v>
      </c>
      <c r="AE15" s="44" t="s">
        <v>5588</v>
      </c>
    </row>
    <row r="16" spans="1:33" x14ac:dyDescent="0.2">
      <c r="B16" s="47"/>
      <c r="C16" s="47"/>
      <c r="D16" s="47"/>
      <c r="E16" s="47"/>
      <c r="F16" s="47"/>
      <c r="G16" s="47"/>
      <c r="H16" s="47"/>
      <c r="I16" s="47"/>
      <c r="J16" s="47"/>
      <c r="K16" s="47"/>
      <c r="L16" s="47"/>
      <c r="M16" s="47"/>
      <c r="O16" s="47"/>
      <c r="Y16" t="s">
        <v>506</v>
      </c>
    </row>
    <row r="17" spans="25:25" x14ac:dyDescent="0.2">
      <c r="Y17" s="44" t="s">
        <v>1841</v>
      </c>
    </row>
    <row r="18" spans="25:25" x14ac:dyDescent="0.2">
      <c r="Y18" t="s">
        <v>510</v>
      </c>
    </row>
    <row r="19" spans="25:25" x14ac:dyDescent="0.2">
      <c r="Y19" t="s">
        <v>513</v>
      </c>
    </row>
    <row r="20" spans="25:25" x14ac:dyDescent="0.2">
      <c r="Y20" t="s">
        <v>516</v>
      </c>
    </row>
    <row r="21" spans="25:25" x14ac:dyDescent="0.2">
      <c r="Y21" t="s">
        <v>519</v>
      </c>
    </row>
    <row r="22" spans="25:25" x14ac:dyDescent="0.2">
      <c r="Y22" t="s">
        <v>522</v>
      </c>
    </row>
    <row r="23" spans="25:25" x14ac:dyDescent="0.2">
      <c r="Y23" s="44" t="s">
        <v>1727</v>
      </c>
    </row>
    <row r="24" spans="25:25" x14ac:dyDescent="0.2">
      <c r="Y24" s="44" t="s">
        <v>1742</v>
      </c>
    </row>
    <row r="25" spans="25:25" x14ac:dyDescent="0.2">
      <c r="Y25" s="44" t="s">
        <v>3904</v>
      </c>
    </row>
    <row r="26" spans="25:25" x14ac:dyDescent="0.2">
      <c r="Y26" t="s">
        <v>527</v>
      </c>
    </row>
    <row r="27" spans="25:25" x14ac:dyDescent="0.2">
      <c r="Y27" t="s">
        <v>530</v>
      </c>
    </row>
    <row r="28" spans="25:25" x14ac:dyDescent="0.2">
      <c r="Y28" s="44" t="s">
        <v>1745</v>
      </c>
    </row>
    <row r="29" spans="25:25" x14ac:dyDescent="0.2">
      <c r="Y29" t="s">
        <v>450</v>
      </c>
    </row>
    <row r="30" spans="25:25" x14ac:dyDescent="0.2">
      <c r="Y30" s="44" t="s">
        <v>1946</v>
      </c>
    </row>
    <row r="31" spans="25:25" x14ac:dyDescent="0.2">
      <c r="Y31" t="s">
        <v>454</v>
      </c>
    </row>
    <row r="32" spans="25:25" x14ac:dyDescent="0.2">
      <c r="Y32" t="s">
        <v>459</v>
      </c>
    </row>
    <row r="33" spans="25:25" x14ac:dyDescent="0.2">
      <c r="Y33" t="s">
        <v>463</v>
      </c>
    </row>
    <row r="34" spans="25:25" x14ac:dyDescent="0.2">
      <c r="Y34" t="s">
        <v>466</v>
      </c>
    </row>
    <row r="35" spans="25:25" x14ac:dyDescent="0.2">
      <c r="Y35" s="44" t="s">
        <v>1768</v>
      </c>
    </row>
  </sheetData>
  <sheetProtection selectLockedCells="1"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1673</v>
      </c>
    </row>
    <row r="2" spans="1:1" x14ac:dyDescent="0.2">
      <c r="A2" s="112" t="s">
        <v>1675</v>
      </c>
    </row>
    <row r="3" spans="1:1" x14ac:dyDescent="0.2">
      <c r="A3" s="112" t="s">
        <v>1676</v>
      </c>
    </row>
    <row r="4" spans="1:1" x14ac:dyDescent="0.2">
      <c r="A4" s="112" t="s">
        <v>1677</v>
      </c>
    </row>
    <row r="5" spans="1:1" x14ac:dyDescent="0.2">
      <c r="A5" s="112" t="s">
        <v>1678</v>
      </c>
    </row>
    <row r="6" spans="1:1" x14ac:dyDescent="0.2">
      <c r="A6" s="112" t="s">
        <v>1679</v>
      </c>
    </row>
    <row r="7" spans="1:1" x14ac:dyDescent="0.2">
      <c r="A7" s="112" t="s">
        <v>1680</v>
      </c>
    </row>
    <row r="8" spans="1:1" x14ac:dyDescent="0.2">
      <c r="A8" s="112" t="s">
        <v>1681</v>
      </c>
    </row>
    <row r="9" spans="1:1" x14ac:dyDescent="0.2">
      <c r="A9" s="112" t="s">
        <v>1682</v>
      </c>
    </row>
    <row r="10" spans="1:1" x14ac:dyDescent="0.2">
      <c r="A10" s="112" t="s">
        <v>1683</v>
      </c>
    </row>
    <row r="11" spans="1:1" x14ac:dyDescent="0.2">
      <c r="A11" s="112" t="s">
        <v>1684</v>
      </c>
    </row>
    <row r="12" spans="1:1" x14ac:dyDescent="0.2">
      <c r="A12" s="112" t="s">
        <v>1674</v>
      </c>
    </row>
    <row r="13" spans="1:1" x14ac:dyDescent="0.2">
      <c r="A13" s="112" t="s">
        <v>1685</v>
      </c>
    </row>
    <row r="14" spans="1:1" x14ac:dyDescent="0.2">
      <c r="A14" s="112" t="s">
        <v>1686</v>
      </c>
    </row>
    <row r="15" spans="1:1" x14ac:dyDescent="0.2">
      <c r="A15" s="112" t="s">
        <v>1687</v>
      </c>
    </row>
    <row r="16" spans="1:1" x14ac:dyDescent="0.2">
      <c r="A16" s="112" t="s">
        <v>1688</v>
      </c>
    </row>
    <row r="17" spans="1:1" x14ac:dyDescent="0.2">
      <c r="A17" s="112" t="s">
        <v>1689</v>
      </c>
    </row>
    <row r="18" spans="1:1" x14ac:dyDescent="0.2">
      <c r="A18" s="112" t="s">
        <v>1690</v>
      </c>
    </row>
    <row r="19" spans="1:1" x14ac:dyDescent="0.2">
      <c r="A19" s="112" t="s">
        <v>1691</v>
      </c>
    </row>
    <row r="20" spans="1:1" x14ac:dyDescent="0.2">
      <c r="A20" s="112" t="s">
        <v>1692</v>
      </c>
    </row>
    <row r="21" spans="1:1" x14ac:dyDescent="0.2">
      <c r="A21" s="112" t="s">
        <v>1693</v>
      </c>
    </row>
    <row r="22" spans="1:1" x14ac:dyDescent="0.2">
      <c r="A22" s="112" t="s">
        <v>1694</v>
      </c>
    </row>
    <row r="23" spans="1:1" x14ac:dyDescent="0.2">
      <c r="A23" s="112" t="s">
        <v>1695</v>
      </c>
    </row>
    <row r="24" spans="1:1" x14ac:dyDescent="0.2">
      <c r="A24" s="112" t="s">
        <v>1696</v>
      </c>
    </row>
    <row r="25" spans="1:1" x14ac:dyDescent="0.2">
      <c r="A25" s="112" t="s">
        <v>1697</v>
      </c>
    </row>
    <row r="26" spans="1:1" x14ac:dyDescent="0.2">
      <c r="A26" s="112" t="s">
        <v>1698</v>
      </c>
    </row>
    <row r="27" spans="1:1" x14ac:dyDescent="0.2">
      <c r="A27" s="112" t="s">
        <v>1699</v>
      </c>
    </row>
    <row r="28" spans="1:1" x14ac:dyDescent="0.2">
      <c r="A28" s="112" t="s">
        <v>1700</v>
      </c>
    </row>
    <row r="29" spans="1:1" x14ac:dyDescent="0.2">
      <c r="A29" s="112" t="s">
        <v>1701</v>
      </c>
    </row>
    <row r="30" spans="1:1" x14ac:dyDescent="0.2">
      <c r="A30" s="112" t="s">
        <v>1702</v>
      </c>
    </row>
    <row r="31" spans="1:1" x14ac:dyDescent="0.2">
      <c r="A31" s="112" t="s">
        <v>26</v>
      </c>
    </row>
    <row r="32" spans="1:1" x14ac:dyDescent="0.2">
      <c r="A32" s="112" t="s">
        <v>1703</v>
      </c>
    </row>
  </sheetData>
  <pageMargins left="0.7" right="0.7" top="0.75" bottom="0.75" header="0.3" footer="0.3"/>
  <customProperties>
    <customPr name="%startcell%" r:id="rId1"/>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B1:AH723"/>
  <sheetViews>
    <sheetView workbookViewId="0">
      <selection activeCell="K4" sqref="K4"/>
    </sheetView>
  </sheetViews>
  <sheetFormatPr defaultColWidth="9.140625" defaultRowHeight="12.75" x14ac:dyDescent="0.2"/>
  <cols>
    <col min="1" max="1" width="9.140625" style="208"/>
    <col min="2" max="2" width="47.42578125" style="208" bestFit="1" customWidth="1"/>
    <col min="3" max="3" width="22.5703125" style="208" bestFit="1" customWidth="1"/>
    <col min="4" max="4" width="39.7109375" style="208" bestFit="1" customWidth="1"/>
    <col min="5" max="5" width="22.85546875" style="208" bestFit="1" customWidth="1"/>
    <col min="6" max="9" width="9.140625" style="208"/>
    <col min="10" max="10" width="22.5703125" style="208" bestFit="1" customWidth="1"/>
    <col min="11" max="11" width="47.42578125" style="208" bestFit="1" customWidth="1"/>
    <col min="12" max="13" width="9.140625" style="208"/>
    <col min="14" max="14" width="21.140625" style="208" bestFit="1" customWidth="1"/>
    <col min="15" max="15" width="22" style="208" bestFit="1" customWidth="1"/>
    <col min="16" max="16" width="9.140625" style="208"/>
    <col min="17" max="17" width="22" style="208" bestFit="1" customWidth="1"/>
    <col min="18" max="18" width="67.28515625" style="208" bestFit="1" customWidth="1"/>
    <col min="19" max="19" width="39" style="208" bestFit="1" customWidth="1"/>
    <col min="20" max="20" width="23.7109375" style="208" bestFit="1" customWidth="1"/>
    <col min="21" max="21" width="18.140625" style="208" bestFit="1" customWidth="1"/>
    <col min="22" max="22" width="22.7109375" style="208" bestFit="1" customWidth="1"/>
    <col min="23" max="23" width="9.140625" style="208"/>
    <col min="24" max="24" width="20.7109375" style="208" bestFit="1" customWidth="1"/>
    <col min="25" max="25" width="26.28515625" style="208" bestFit="1" customWidth="1"/>
    <col min="26" max="26" width="9.140625" style="208"/>
    <col min="27" max="27" width="21" style="208" bestFit="1" customWidth="1"/>
    <col min="28" max="28" width="26.85546875" style="208" bestFit="1" customWidth="1"/>
    <col min="29" max="29" width="9.140625" style="208"/>
    <col min="30" max="30" width="20.7109375" style="208" bestFit="1" customWidth="1"/>
    <col min="31" max="33" width="11.140625" style="208" customWidth="1"/>
    <col min="34" max="16384" width="9.140625" style="208"/>
  </cols>
  <sheetData>
    <row r="1" spans="2:34" x14ac:dyDescent="0.2">
      <c r="B1" s="1" t="s">
        <v>331</v>
      </c>
      <c r="C1" s="1" t="s">
        <v>332</v>
      </c>
      <c r="D1" s="1" t="s">
        <v>333</v>
      </c>
      <c r="E1" s="1" t="s">
        <v>334</v>
      </c>
      <c r="J1" s="208" t="s">
        <v>818</v>
      </c>
      <c r="K1" s="208" t="s">
        <v>817</v>
      </c>
      <c r="N1" s="1" t="s">
        <v>334</v>
      </c>
      <c r="O1" s="1" t="s">
        <v>337</v>
      </c>
      <c r="Q1" s="1" t="s">
        <v>334</v>
      </c>
      <c r="R1" s="1" t="s">
        <v>333</v>
      </c>
      <c r="S1" s="1" t="s">
        <v>353</v>
      </c>
      <c r="T1" s="1" t="s">
        <v>354</v>
      </c>
      <c r="U1" s="1" t="s">
        <v>355</v>
      </c>
      <c r="V1" s="1" t="s">
        <v>356</v>
      </c>
      <c r="X1" s="1" t="s">
        <v>334</v>
      </c>
      <c r="Y1" s="1" t="s">
        <v>333</v>
      </c>
      <c r="AA1" s="1" t="s">
        <v>334</v>
      </c>
      <c r="AB1" s="1" t="s">
        <v>333</v>
      </c>
      <c r="AD1" s="1" t="s">
        <v>334</v>
      </c>
      <c r="AE1" s="1" t="s">
        <v>333</v>
      </c>
      <c r="AF1" s="1" t="s">
        <v>1670</v>
      </c>
      <c r="AG1" s="1" t="s">
        <v>1671</v>
      </c>
      <c r="AH1" s="1" t="s">
        <v>1673</v>
      </c>
    </row>
    <row r="2" spans="2:34" x14ac:dyDescent="0.2">
      <c r="B2" s="208" t="str">
        <f>'Header Info'!B2</f>
        <v>AAR Component Services-Wellington</v>
      </c>
      <c r="C2" s="208" t="s">
        <v>818</v>
      </c>
      <c r="D2" s="208" t="str">
        <f>'Header Info'!C2</f>
        <v>L-0866</v>
      </c>
      <c r="E2" s="208" t="s">
        <v>820</v>
      </c>
      <c r="J2" s="208" t="s">
        <v>846</v>
      </c>
      <c r="K2" s="208" t="s">
        <v>845</v>
      </c>
      <c r="N2" s="208" t="s">
        <v>338</v>
      </c>
      <c r="O2" s="208" t="s">
        <v>317</v>
      </c>
      <c r="Q2" s="208" t="s">
        <v>358</v>
      </c>
      <c r="R2" s="208" t="s">
        <v>359</v>
      </c>
      <c r="S2" s="208" t="s">
        <v>360</v>
      </c>
      <c r="T2" s="208" t="s">
        <v>357</v>
      </c>
      <c r="U2" s="208" t="s">
        <v>361</v>
      </c>
      <c r="V2" s="208">
        <v>9546011</v>
      </c>
      <c r="X2" s="208" t="s">
        <v>1751</v>
      </c>
      <c r="Y2" s="208" t="s">
        <v>1752</v>
      </c>
      <c r="AA2" s="208" t="s">
        <v>816</v>
      </c>
      <c r="AB2" s="208" t="s">
        <v>794</v>
      </c>
      <c r="AD2" s="208" t="s">
        <v>1672</v>
      </c>
      <c r="AE2" s="208">
        <v>40100</v>
      </c>
      <c r="AF2" s="209">
        <v>43102</v>
      </c>
      <c r="AG2" s="208" t="s">
        <v>1800</v>
      </c>
      <c r="AH2" s="356" t="s">
        <v>1674</v>
      </c>
    </row>
    <row r="3" spans="2:34" x14ac:dyDescent="0.2">
      <c r="B3" s="208" t="str">
        <f>'Header Info'!B3</f>
        <v>AAR Component Services-Wellington</v>
      </c>
      <c r="C3" s="208" t="s">
        <v>818</v>
      </c>
      <c r="D3" s="208" t="str">
        <f>'Header Info'!C3</f>
        <v>L-1172</v>
      </c>
      <c r="E3" s="208" t="s">
        <v>822</v>
      </c>
      <c r="K3" s="44" t="s">
        <v>5695</v>
      </c>
      <c r="N3" s="208" t="s">
        <v>1875</v>
      </c>
      <c r="O3" s="208" t="s">
        <v>1876</v>
      </c>
      <c r="Q3" s="208" t="s">
        <v>362</v>
      </c>
      <c r="R3" s="208" t="s">
        <v>363</v>
      </c>
      <c r="S3" s="208" t="s">
        <v>364</v>
      </c>
      <c r="T3" s="208" t="s">
        <v>357</v>
      </c>
      <c r="U3" s="208" t="s">
        <v>365</v>
      </c>
      <c r="V3" s="208">
        <v>1139027</v>
      </c>
      <c r="X3" s="208" t="s">
        <v>815</v>
      </c>
      <c r="Y3" s="208" t="s">
        <v>1753</v>
      </c>
    </row>
    <row r="4" spans="2:34" x14ac:dyDescent="0.2">
      <c r="B4" s="208" t="str">
        <f>'Header Info'!B4</f>
        <v>AAR Component Services-Wellington</v>
      </c>
      <c r="C4" s="208" t="s">
        <v>818</v>
      </c>
      <c r="D4" s="208" t="str">
        <f>'Header Info'!C4</f>
        <v>L3091</v>
      </c>
      <c r="E4" s="208" t="s">
        <v>824</v>
      </c>
      <c r="J4" s="208" t="s">
        <v>1886</v>
      </c>
      <c r="K4" s="208" t="s">
        <v>1885</v>
      </c>
      <c r="N4" s="208" t="s">
        <v>339</v>
      </c>
      <c r="O4" s="208" t="s">
        <v>340</v>
      </c>
      <c r="Q4" s="208" t="s">
        <v>366</v>
      </c>
      <c r="R4" s="208" t="s">
        <v>367</v>
      </c>
      <c r="S4" s="208" t="s">
        <v>364</v>
      </c>
      <c r="T4" s="208" t="s">
        <v>357</v>
      </c>
      <c r="U4" s="208" t="s">
        <v>368</v>
      </c>
      <c r="V4" s="208">
        <v>1611806</v>
      </c>
    </row>
    <row r="5" spans="2:34" x14ac:dyDescent="0.2">
      <c r="B5" s="208" t="str">
        <f>'Header Info'!B5</f>
        <v>AAR Component Services-Wellington</v>
      </c>
      <c r="C5" s="208" t="s">
        <v>818</v>
      </c>
      <c r="D5" s="208" t="str">
        <f>'Header Info'!C5</f>
        <v>L-5078</v>
      </c>
      <c r="E5" s="208" t="s">
        <v>826</v>
      </c>
      <c r="J5" s="208" t="s">
        <v>850</v>
      </c>
      <c r="K5" s="208" t="s">
        <v>849</v>
      </c>
      <c r="N5" s="208" t="s">
        <v>341</v>
      </c>
      <c r="O5" s="208" t="s">
        <v>342</v>
      </c>
      <c r="Q5" s="208" t="s">
        <v>369</v>
      </c>
      <c r="R5" s="208" t="s">
        <v>370</v>
      </c>
      <c r="S5" s="208" t="s">
        <v>364</v>
      </c>
      <c r="T5" s="208" t="s">
        <v>357</v>
      </c>
      <c r="U5" s="208" t="s">
        <v>371</v>
      </c>
      <c r="V5" s="208">
        <v>1880060</v>
      </c>
    </row>
    <row r="6" spans="2:34" x14ac:dyDescent="0.2">
      <c r="B6" s="208" t="str">
        <f>'Header Info'!B6</f>
        <v>AAR Component Services-Wellington</v>
      </c>
      <c r="C6" s="208" t="s">
        <v>818</v>
      </c>
      <c r="D6" s="208" t="str">
        <f>'Header Info'!C6</f>
        <v>L-5080</v>
      </c>
      <c r="E6" s="208" t="s">
        <v>828</v>
      </c>
      <c r="J6" s="208" t="s">
        <v>856</v>
      </c>
      <c r="K6" s="208" t="s">
        <v>855</v>
      </c>
      <c r="N6" s="208" t="s">
        <v>3881</v>
      </c>
      <c r="O6" s="208" t="s">
        <v>3836</v>
      </c>
      <c r="Q6" s="208" t="s">
        <v>372</v>
      </c>
      <c r="R6" s="208" t="s">
        <v>373</v>
      </c>
      <c r="S6" s="208" t="s">
        <v>364</v>
      </c>
      <c r="T6" s="208" t="s">
        <v>357</v>
      </c>
      <c r="U6" s="208" t="s">
        <v>374</v>
      </c>
      <c r="V6" s="208">
        <v>2916025</v>
      </c>
    </row>
    <row r="7" spans="2:34" x14ac:dyDescent="0.2">
      <c r="B7" s="208" t="str">
        <f>'Header Info'!B7</f>
        <v>AAR Component Services-Wellington</v>
      </c>
      <c r="C7" s="208" t="s">
        <v>818</v>
      </c>
      <c r="D7" s="208" t="str">
        <f>'Header Info'!C7</f>
        <v>L-5081 (ASSET #N00076)</v>
      </c>
      <c r="E7" s="208" t="s">
        <v>830</v>
      </c>
      <c r="J7" s="208" t="s">
        <v>862</v>
      </c>
      <c r="K7" s="208" t="s">
        <v>861</v>
      </c>
      <c r="N7" s="208" t="s">
        <v>343</v>
      </c>
      <c r="O7" s="208" t="s">
        <v>344</v>
      </c>
      <c r="Q7" s="208" t="s">
        <v>375</v>
      </c>
      <c r="R7" s="208" t="s">
        <v>376</v>
      </c>
      <c r="S7" s="208" t="s">
        <v>364</v>
      </c>
      <c r="T7" s="208" t="s">
        <v>357</v>
      </c>
      <c r="U7" s="208" t="s">
        <v>377</v>
      </c>
      <c r="V7" s="208">
        <v>2919050</v>
      </c>
    </row>
    <row r="8" spans="2:34" x14ac:dyDescent="0.2">
      <c r="B8" s="208" t="str">
        <f>'Header Info'!B8</f>
        <v>AAR Component Services-Wellington</v>
      </c>
      <c r="C8" s="208" t="s">
        <v>818</v>
      </c>
      <c r="D8" s="208" t="str">
        <f>'Header Info'!C8</f>
        <v>L-5082</v>
      </c>
      <c r="E8" s="208" t="s">
        <v>832</v>
      </c>
      <c r="J8" s="208" t="s">
        <v>866</v>
      </c>
      <c r="K8" s="208" t="s">
        <v>865</v>
      </c>
      <c r="N8" s="208" t="s">
        <v>345</v>
      </c>
      <c r="O8" s="208" t="s">
        <v>155</v>
      </c>
      <c r="Q8" s="208" t="s">
        <v>378</v>
      </c>
      <c r="R8" s="208" t="s">
        <v>379</v>
      </c>
      <c r="S8" s="208" t="s">
        <v>364</v>
      </c>
      <c r="T8" s="208" t="s">
        <v>357</v>
      </c>
      <c r="U8" s="208" t="s">
        <v>380</v>
      </c>
      <c r="V8" s="208">
        <v>9491033</v>
      </c>
    </row>
    <row r="9" spans="2:34" x14ac:dyDescent="0.2">
      <c r="B9" s="208" t="str">
        <f>'Header Info'!B9</f>
        <v>AAR Component Services-Wellington</v>
      </c>
      <c r="C9" s="208" t="s">
        <v>818</v>
      </c>
      <c r="D9" s="208" t="str">
        <f>'Header Info'!C9</f>
        <v>L-5084</v>
      </c>
      <c r="E9" s="208" t="s">
        <v>834</v>
      </c>
      <c r="J9" s="208" t="s">
        <v>870</v>
      </c>
      <c r="K9" s="208" t="s">
        <v>869</v>
      </c>
      <c r="N9" s="208" t="s">
        <v>346</v>
      </c>
      <c r="O9" s="208" t="s">
        <v>347</v>
      </c>
      <c r="Q9" s="208" t="s">
        <v>381</v>
      </c>
      <c r="R9" s="208" t="s">
        <v>382</v>
      </c>
      <c r="S9" s="208" t="s">
        <v>364</v>
      </c>
      <c r="T9" s="208" t="s">
        <v>357</v>
      </c>
      <c r="U9" s="208" t="s">
        <v>383</v>
      </c>
      <c r="V9" s="208">
        <v>9728087</v>
      </c>
    </row>
    <row r="10" spans="2:34" x14ac:dyDescent="0.2">
      <c r="B10" s="208" t="str">
        <f>'Header Info'!B10</f>
        <v>AAR Component Services-Wellington</v>
      </c>
      <c r="C10" s="208" t="s">
        <v>818</v>
      </c>
      <c r="D10" s="208" t="str">
        <f>'Header Info'!C10</f>
        <v>L-5128 (ASSET #N00147)</v>
      </c>
      <c r="E10" s="208" t="s">
        <v>836</v>
      </c>
      <c r="J10" s="208" t="s">
        <v>1856</v>
      </c>
      <c r="K10" s="208" t="s">
        <v>1888</v>
      </c>
      <c r="N10" s="208" t="s">
        <v>348</v>
      </c>
      <c r="O10" s="44" t="s">
        <v>145</v>
      </c>
      <c r="Q10" s="208" t="s">
        <v>1799</v>
      </c>
      <c r="R10" s="208" t="s">
        <v>1850</v>
      </c>
      <c r="S10" s="208" t="s">
        <v>1851</v>
      </c>
      <c r="T10" s="208" t="s">
        <v>1852</v>
      </c>
      <c r="V10" s="208" t="s">
        <v>1768</v>
      </c>
    </row>
    <row r="11" spans="2:34" x14ac:dyDescent="0.2">
      <c r="B11" s="208" t="str">
        <f>'Header Info'!B11</f>
        <v>AAR Component Services-Wellington</v>
      </c>
      <c r="C11" s="208" t="s">
        <v>818</v>
      </c>
      <c r="D11" s="208" t="str">
        <f>'Header Info'!C11</f>
        <v>L-5180</v>
      </c>
      <c r="E11" s="208" t="s">
        <v>838</v>
      </c>
      <c r="J11" s="208" t="s">
        <v>873</v>
      </c>
      <c r="K11" s="208" t="s">
        <v>872</v>
      </c>
      <c r="N11" s="208" t="s">
        <v>1798</v>
      </c>
      <c r="O11" s="208" t="s">
        <v>261</v>
      </c>
      <c r="Q11" s="208" t="s">
        <v>385</v>
      </c>
      <c r="R11" s="208" t="s">
        <v>386</v>
      </c>
      <c r="S11" s="208" t="s">
        <v>75</v>
      </c>
      <c r="T11" s="208" t="s">
        <v>384</v>
      </c>
      <c r="U11" s="208" t="s">
        <v>62</v>
      </c>
      <c r="V11" s="208" t="s">
        <v>387</v>
      </c>
    </row>
    <row r="12" spans="2:34" x14ac:dyDescent="0.2">
      <c r="B12" s="208" t="str">
        <f>'Header Info'!B12</f>
        <v>AAR Component Services-Wellington</v>
      </c>
      <c r="C12" s="208" t="s">
        <v>818</v>
      </c>
      <c r="D12" s="208" t="str">
        <f>'Header Info'!C12</f>
        <v>L-5182</v>
      </c>
      <c r="E12" s="208" t="s">
        <v>840</v>
      </c>
      <c r="J12" s="208" t="s">
        <v>885</v>
      </c>
      <c r="K12" s="208" t="s">
        <v>884</v>
      </c>
      <c r="Q12" s="208" t="s">
        <v>388</v>
      </c>
      <c r="R12" s="208" t="s">
        <v>389</v>
      </c>
      <c r="S12" s="208" t="s">
        <v>75</v>
      </c>
      <c r="T12" s="208" t="s">
        <v>384</v>
      </c>
      <c r="U12" s="208" t="s">
        <v>74</v>
      </c>
      <c r="V12" s="208" t="s">
        <v>390</v>
      </c>
    </row>
    <row r="13" spans="2:34" x14ac:dyDescent="0.2">
      <c r="B13" s="208" t="str">
        <f>'Header Info'!B13</f>
        <v>AAR Component Services-Wellington</v>
      </c>
      <c r="C13" s="208" t="s">
        <v>818</v>
      </c>
      <c r="D13" s="208" t="str">
        <f>'Header Info'!C13</f>
        <v>L-5185</v>
      </c>
      <c r="E13" s="208" t="s">
        <v>842</v>
      </c>
      <c r="J13" s="208" t="s">
        <v>905</v>
      </c>
      <c r="K13" s="208" t="s">
        <v>904</v>
      </c>
      <c r="Q13" s="208" t="s">
        <v>391</v>
      </c>
      <c r="R13" s="208" t="s">
        <v>392</v>
      </c>
      <c r="S13" s="208" t="s">
        <v>75</v>
      </c>
      <c r="T13" s="208" t="s">
        <v>384</v>
      </c>
      <c r="U13" s="208" t="s">
        <v>78</v>
      </c>
      <c r="V13" s="208" t="s">
        <v>393</v>
      </c>
    </row>
    <row r="14" spans="2:34" x14ac:dyDescent="0.2">
      <c r="B14" s="208" t="str">
        <f>'Header Info'!B14</f>
        <v>AAR Component Services-Wellington</v>
      </c>
      <c r="C14" s="208" t="s">
        <v>818</v>
      </c>
      <c r="D14" s="208" t="str">
        <f>'Header Info'!C14</f>
        <v>L-5186</v>
      </c>
      <c r="E14" s="208" t="s">
        <v>844</v>
      </c>
      <c r="J14" s="208" t="s">
        <v>911</v>
      </c>
      <c r="K14" s="208" t="s">
        <v>910</v>
      </c>
      <c r="Q14" s="208" t="s">
        <v>394</v>
      </c>
      <c r="R14" s="208" t="s">
        <v>395</v>
      </c>
      <c r="S14" s="208" t="s">
        <v>75</v>
      </c>
      <c r="T14" s="208" t="s">
        <v>384</v>
      </c>
      <c r="U14" s="208" t="s">
        <v>182</v>
      </c>
      <c r="V14" s="208" t="s">
        <v>396</v>
      </c>
    </row>
    <row r="15" spans="2:34" x14ac:dyDescent="0.2">
      <c r="B15" s="208" t="str">
        <f>'Header Info'!B15</f>
        <v>AAR Component Services-Wellington</v>
      </c>
      <c r="C15" s="208" t="s">
        <v>846</v>
      </c>
      <c r="D15" s="208" t="str">
        <f>'Header Info'!C15</f>
        <v>L-10163</v>
      </c>
      <c r="E15" s="208" t="s">
        <v>847</v>
      </c>
      <c r="J15" s="208" t="s">
        <v>917</v>
      </c>
      <c r="K15" s="208" t="s">
        <v>916</v>
      </c>
      <c r="Q15" s="208" t="s">
        <v>559</v>
      </c>
      <c r="R15" s="208" t="s">
        <v>560</v>
      </c>
      <c r="S15" s="208" t="s">
        <v>75</v>
      </c>
      <c r="T15" s="208" t="s">
        <v>384</v>
      </c>
      <c r="U15" s="208" t="s">
        <v>152</v>
      </c>
      <c r="V15" s="208" t="s">
        <v>561</v>
      </c>
    </row>
    <row r="16" spans="2:34" x14ac:dyDescent="0.2">
      <c r="B16" s="208" t="str">
        <f>'Header Info'!B16</f>
        <v>AAR Component Services-Wellington</v>
      </c>
      <c r="C16" s="208" t="s">
        <v>846</v>
      </c>
      <c r="D16" s="208" t="str">
        <f>'Header Info'!C16</f>
        <v>L-10164</v>
      </c>
      <c r="E16" s="208" t="s">
        <v>848</v>
      </c>
      <c r="J16" s="208" t="s">
        <v>920</v>
      </c>
      <c r="K16" s="208" t="s">
        <v>919</v>
      </c>
      <c r="Q16" s="208" t="s">
        <v>397</v>
      </c>
      <c r="R16" s="208" t="s">
        <v>398</v>
      </c>
      <c r="S16" s="208" t="s">
        <v>75</v>
      </c>
      <c r="T16" s="208" t="s">
        <v>384</v>
      </c>
      <c r="U16" s="208" t="s">
        <v>166</v>
      </c>
      <c r="V16" s="208" t="s">
        <v>399</v>
      </c>
    </row>
    <row r="17" spans="2:22" x14ac:dyDescent="0.2">
      <c r="B17" s="208" t="str">
        <f>'Header Info'!B17</f>
        <v>ABSOLUTE DIMENSIONS</v>
      </c>
      <c r="C17" s="208" t="s">
        <v>1886</v>
      </c>
      <c r="D17" s="208" t="str">
        <f>'Header Info'!C17</f>
        <v>Oven No. 1</v>
      </c>
      <c r="E17" s="208" t="s">
        <v>1887</v>
      </c>
      <c r="J17" s="208" t="s">
        <v>942</v>
      </c>
      <c r="K17" s="208" t="s">
        <v>941</v>
      </c>
      <c r="Q17" s="208" t="s">
        <v>400</v>
      </c>
      <c r="R17" s="208" t="s">
        <v>401</v>
      </c>
      <c r="S17" s="208" t="s">
        <v>75</v>
      </c>
      <c r="T17" s="208" t="s">
        <v>384</v>
      </c>
      <c r="U17" s="208" t="s">
        <v>165</v>
      </c>
      <c r="V17" s="208" t="s">
        <v>402</v>
      </c>
    </row>
    <row r="18" spans="2:22" x14ac:dyDescent="0.2">
      <c r="B18" s="208" t="str">
        <f>'Header Info'!B18</f>
        <v>AERO METAL FORMS, INC.</v>
      </c>
      <c r="C18" s="208" t="s">
        <v>850</v>
      </c>
      <c r="D18" s="208" t="str">
        <f>'Header Info'!C18</f>
        <v>QUINCY OVEN</v>
      </c>
      <c r="E18" s="208" t="s">
        <v>851</v>
      </c>
      <c r="J18" s="208" t="s">
        <v>961</v>
      </c>
      <c r="K18" s="208" t="s">
        <v>960</v>
      </c>
      <c r="Q18" s="208" t="s">
        <v>403</v>
      </c>
      <c r="R18" s="208" t="s">
        <v>404</v>
      </c>
      <c r="S18" s="208" t="s">
        <v>75</v>
      </c>
      <c r="T18" s="208" t="s">
        <v>384</v>
      </c>
      <c r="U18" s="208" t="s">
        <v>243</v>
      </c>
      <c r="V18" s="208" t="s">
        <v>405</v>
      </c>
    </row>
    <row r="19" spans="2:22" x14ac:dyDescent="0.2">
      <c r="B19" s="208" t="str">
        <f>'Header Info'!B19</f>
        <v>AERO METAL FORMS, INC.</v>
      </c>
      <c r="C19" s="208" t="s">
        <v>850</v>
      </c>
      <c r="D19" s="208" t="str">
        <f>'Header Info'!C19</f>
        <v>OVEN NO. 1</v>
      </c>
      <c r="E19" s="208" t="s">
        <v>852</v>
      </c>
      <c r="J19" s="208" t="s">
        <v>990</v>
      </c>
      <c r="K19" s="208" t="s">
        <v>989</v>
      </c>
      <c r="Q19" s="208" t="s">
        <v>1996</v>
      </c>
      <c r="R19" s="208" t="s">
        <v>1997</v>
      </c>
      <c r="S19" s="208" t="s">
        <v>406</v>
      </c>
      <c r="T19" s="208" t="s">
        <v>407</v>
      </c>
      <c r="U19" s="208" t="s">
        <v>1998</v>
      </c>
      <c r="V19" s="208" t="s">
        <v>1999</v>
      </c>
    </row>
    <row r="20" spans="2:22" x14ac:dyDescent="0.2">
      <c r="B20" s="208" t="str">
        <f>'Header Info'!B20</f>
        <v>AEROSPACE TESTING SERVICES</v>
      </c>
      <c r="C20" s="208" t="s">
        <v>850</v>
      </c>
      <c r="D20" s="208" t="str">
        <f>'Header Info'!C20</f>
        <v>ATS 0233</v>
      </c>
      <c r="E20" s="208" t="s">
        <v>854</v>
      </c>
      <c r="J20" s="208" t="s">
        <v>1003</v>
      </c>
      <c r="K20" s="208" t="s">
        <v>335</v>
      </c>
      <c r="Q20" s="208" t="s">
        <v>408</v>
      </c>
      <c r="R20" s="208" t="s">
        <v>409</v>
      </c>
      <c r="S20" s="208" t="s">
        <v>406</v>
      </c>
      <c r="T20" s="208" t="s">
        <v>407</v>
      </c>
      <c r="U20" s="208" t="s">
        <v>410</v>
      </c>
      <c r="V20" s="208" t="s">
        <v>411</v>
      </c>
    </row>
    <row r="21" spans="2:22" x14ac:dyDescent="0.2">
      <c r="B21" s="208" t="str">
        <f>'Header Info'!B21</f>
        <v>AEROSPACE TESTING SERVICES</v>
      </c>
      <c r="C21" s="208" t="s">
        <v>856</v>
      </c>
      <c r="D21" s="208" t="str">
        <f>'Header Info'!C21</f>
        <v>ATS 0234</v>
      </c>
      <c r="E21" s="208" t="s">
        <v>1954</v>
      </c>
      <c r="J21" s="208" t="s">
        <v>1026</v>
      </c>
      <c r="K21" s="208" t="s">
        <v>1025</v>
      </c>
      <c r="Q21" s="208" t="s">
        <v>797</v>
      </c>
      <c r="R21" s="208" t="s">
        <v>798</v>
      </c>
      <c r="S21" s="208" t="s">
        <v>799</v>
      </c>
      <c r="T21" s="208" t="s">
        <v>800</v>
      </c>
      <c r="U21" s="208" t="s">
        <v>801</v>
      </c>
      <c r="V21" s="208" t="s">
        <v>802</v>
      </c>
    </row>
    <row r="22" spans="2:22" x14ac:dyDescent="0.2">
      <c r="B22" s="208" t="str">
        <f>'Header Info'!B22</f>
        <v>AEROSPACE TESTING SERVICES</v>
      </c>
      <c r="C22" s="208" t="s">
        <v>856</v>
      </c>
      <c r="D22" s="208" t="str">
        <f>'Header Info'!C22</f>
        <v>ATS0013</v>
      </c>
      <c r="E22" s="208" t="s">
        <v>1956</v>
      </c>
      <c r="J22" s="208" t="s">
        <v>1051</v>
      </c>
      <c r="K22" s="208" t="s">
        <v>1050</v>
      </c>
      <c r="Q22" s="208" t="s">
        <v>803</v>
      </c>
      <c r="R22" s="208" t="s">
        <v>804</v>
      </c>
      <c r="S22" s="208" t="s">
        <v>805</v>
      </c>
      <c r="T22" s="208" t="s">
        <v>806</v>
      </c>
      <c r="U22" s="208" t="s">
        <v>807</v>
      </c>
      <c r="V22" s="208">
        <v>355114</v>
      </c>
    </row>
    <row r="23" spans="2:22" x14ac:dyDescent="0.2">
      <c r="B23" s="208" t="str">
        <f>'Header Info'!B23</f>
        <v>AEROSPACE TESTING SERVICES</v>
      </c>
      <c r="C23" s="208" t="s">
        <v>856</v>
      </c>
      <c r="D23" s="208" t="str">
        <f>'Header Info'!C23</f>
        <v>ATS0115</v>
      </c>
      <c r="E23" s="208" t="s">
        <v>1958</v>
      </c>
      <c r="J23" s="208" t="s">
        <v>1054</v>
      </c>
      <c r="K23" s="208" t="s">
        <v>1053</v>
      </c>
      <c r="Q23" s="208" t="s">
        <v>3882</v>
      </c>
      <c r="R23" s="208" t="s">
        <v>3883</v>
      </c>
      <c r="S23" s="208" t="s">
        <v>3884</v>
      </c>
      <c r="T23" s="208" t="s">
        <v>3885</v>
      </c>
      <c r="U23" s="208" t="s">
        <v>3886</v>
      </c>
      <c r="V23" s="208">
        <v>12799</v>
      </c>
    </row>
    <row r="24" spans="2:22" x14ac:dyDescent="0.2">
      <c r="B24" s="208" t="str">
        <f>'Header Info'!B24</f>
        <v>AEROSPACE TESTING SERVICES</v>
      </c>
      <c r="C24" s="208" t="s">
        <v>856</v>
      </c>
      <c r="D24" s="208" t="str">
        <f>'Header Info'!C24</f>
        <v>ATS0243</v>
      </c>
      <c r="E24" s="208" t="s">
        <v>858</v>
      </c>
      <c r="J24" s="208" t="s">
        <v>1072</v>
      </c>
      <c r="K24" s="208" t="s">
        <v>1071</v>
      </c>
      <c r="Q24" s="208" t="s">
        <v>3887</v>
      </c>
      <c r="R24" s="208" t="s">
        <v>3888</v>
      </c>
      <c r="S24" s="208" t="s">
        <v>2327</v>
      </c>
      <c r="T24" s="208" t="s">
        <v>3889</v>
      </c>
      <c r="U24" s="208" t="s">
        <v>3890</v>
      </c>
      <c r="V24" s="208" t="s">
        <v>3891</v>
      </c>
    </row>
    <row r="25" spans="2:22" x14ac:dyDescent="0.2">
      <c r="B25" s="208" t="str">
        <f>'Header Info'!B25</f>
        <v>AEROSPACE TESTING SERVICES</v>
      </c>
      <c r="C25" s="208" t="s">
        <v>856</v>
      </c>
      <c r="D25" s="208" t="str">
        <f>'Header Info'!C25</f>
        <v>ATS0252</v>
      </c>
      <c r="E25" s="208" t="s">
        <v>860</v>
      </c>
      <c r="J25" s="208" t="s">
        <v>1077</v>
      </c>
      <c r="K25" s="208" t="s">
        <v>1076</v>
      </c>
      <c r="Q25" s="208" t="s">
        <v>412</v>
      </c>
      <c r="R25" s="208" t="s">
        <v>413</v>
      </c>
      <c r="S25" s="208" t="s">
        <v>414</v>
      </c>
      <c r="T25" s="208" t="s">
        <v>415</v>
      </c>
      <c r="U25" s="208" t="s">
        <v>416</v>
      </c>
      <c r="V25" s="208" t="s">
        <v>416</v>
      </c>
    </row>
    <row r="26" spans="2:22" x14ac:dyDescent="0.2">
      <c r="B26" s="208" t="str">
        <f>'Header Info'!B26</f>
        <v>AIR CAPITAL INTERIORS</v>
      </c>
      <c r="C26" s="208" t="s">
        <v>862</v>
      </c>
      <c r="D26" s="208" t="str">
        <f>'Header Info'!C26</f>
        <v>SPRAY BOOTH NO. 1</v>
      </c>
      <c r="E26" s="208" t="s">
        <v>1843</v>
      </c>
      <c r="J26" s="208" t="s">
        <v>1660</v>
      </c>
      <c r="K26" s="208" t="s">
        <v>1659</v>
      </c>
      <c r="Q26" s="208" t="s">
        <v>3892</v>
      </c>
      <c r="R26" s="208" t="s">
        <v>3893</v>
      </c>
      <c r="S26" s="208" t="s">
        <v>3894</v>
      </c>
      <c r="T26" s="208" t="s">
        <v>3895</v>
      </c>
      <c r="U26" s="208" t="s">
        <v>3896</v>
      </c>
      <c r="V26" s="208" t="s">
        <v>3891</v>
      </c>
    </row>
    <row r="27" spans="2:22" x14ac:dyDescent="0.2">
      <c r="B27" s="208" t="str">
        <f>'Header Info'!B27</f>
        <v>AIR CAPITAL INTERIORS</v>
      </c>
      <c r="C27" s="208" t="s">
        <v>862</v>
      </c>
      <c r="D27" s="208" t="str">
        <f>'Header Info'!C27</f>
        <v>SPRAY BOOTH NO. 2</v>
      </c>
      <c r="E27" s="208" t="s">
        <v>864</v>
      </c>
      <c r="J27" s="208" t="s">
        <v>1096</v>
      </c>
      <c r="K27" s="208" t="s">
        <v>1095</v>
      </c>
      <c r="Q27" s="208" t="s">
        <v>417</v>
      </c>
      <c r="R27" s="208" t="s">
        <v>418</v>
      </c>
      <c r="S27" s="208" t="s">
        <v>419</v>
      </c>
      <c r="T27" s="208" t="s">
        <v>420</v>
      </c>
      <c r="U27" s="208" t="s">
        <v>421</v>
      </c>
      <c r="V27" s="208" t="s">
        <v>422</v>
      </c>
    </row>
    <row r="28" spans="2:22" x14ac:dyDescent="0.2">
      <c r="B28" s="208" t="str">
        <f>'Header Info'!B28</f>
        <v>AIR CAPITAL INTERIORS</v>
      </c>
      <c r="C28" s="208" t="s">
        <v>862</v>
      </c>
      <c r="D28" s="208" t="str">
        <f>'Header Info'!C28</f>
        <v>SPRAY BOOTH NO. 3</v>
      </c>
      <c r="E28" s="208" t="s">
        <v>3837</v>
      </c>
      <c r="J28" s="208" t="s">
        <v>1099</v>
      </c>
      <c r="K28" s="208" t="s">
        <v>1098</v>
      </c>
      <c r="Q28" s="208" t="s">
        <v>423</v>
      </c>
      <c r="R28" s="208" t="s">
        <v>1707</v>
      </c>
      <c r="S28" s="208" t="s">
        <v>419</v>
      </c>
      <c r="T28" s="208" t="s">
        <v>420</v>
      </c>
      <c r="U28" s="208" t="s">
        <v>1708</v>
      </c>
      <c r="V28" s="208" t="s">
        <v>1709</v>
      </c>
    </row>
    <row r="29" spans="2:22" x14ac:dyDescent="0.2">
      <c r="B29" s="208" t="str">
        <f>'Header Info'!B29</f>
        <v>AIR CAPITAL NDI</v>
      </c>
      <c r="C29" s="208" t="s">
        <v>866</v>
      </c>
      <c r="D29" s="208" t="str">
        <f>'Header Info'!C29</f>
        <v>AIR CAPITAL NDI OVEN</v>
      </c>
      <c r="E29" s="208" t="s">
        <v>868</v>
      </c>
      <c r="J29" s="208" t="s">
        <v>1110</v>
      </c>
      <c r="K29" s="208" t="s">
        <v>1109</v>
      </c>
      <c r="Q29" s="208" t="s">
        <v>424</v>
      </c>
      <c r="R29" s="208" t="s">
        <v>425</v>
      </c>
      <c r="S29" s="208" t="s">
        <v>426</v>
      </c>
      <c r="T29" s="208" t="s">
        <v>420</v>
      </c>
      <c r="U29" s="208" t="s">
        <v>427</v>
      </c>
      <c r="V29" s="208" t="s">
        <v>428</v>
      </c>
    </row>
    <row r="30" spans="2:22" x14ac:dyDescent="0.2">
      <c r="B30" s="208" t="str">
        <f>'Header Info'!B30</f>
        <v>AIRCRAFT &amp; COMMERCIAL ENT.</v>
      </c>
      <c r="C30" s="208" t="s">
        <v>870</v>
      </c>
      <c r="D30" s="208" t="str">
        <f>'Header Info'!C30</f>
        <v>DKN-602</v>
      </c>
      <c r="E30" s="208" t="s">
        <v>871</v>
      </c>
      <c r="J30" s="208" t="s">
        <v>1119</v>
      </c>
      <c r="K30" s="208" t="s">
        <v>1118</v>
      </c>
      <c r="Q30" s="208" t="s">
        <v>429</v>
      </c>
      <c r="R30" s="208" t="s">
        <v>430</v>
      </c>
      <c r="S30" s="208" t="s">
        <v>431</v>
      </c>
      <c r="T30" s="208" t="s">
        <v>420</v>
      </c>
      <c r="U30" s="208" t="s">
        <v>432</v>
      </c>
      <c r="V30" s="208" t="s">
        <v>433</v>
      </c>
    </row>
    <row r="31" spans="2:22" x14ac:dyDescent="0.2">
      <c r="B31" s="208" t="str">
        <f>'Header Info'!B31</f>
        <v>ALBERS FINISHING &amp; SOLUTIONS LLC</v>
      </c>
      <c r="C31" s="208" t="s">
        <v>1856</v>
      </c>
      <c r="D31" s="208" t="str">
        <f>'Header Info'!C31</f>
        <v>Air Dryer Tank</v>
      </c>
      <c r="E31" s="208" t="s">
        <v>1893</v>
      </c>
      <c r="J31" s="208" t="s">
        <v>1126</v>
      </c>
      <c r="K31" s="208" t="s">
        <v>1125</v>
      </c>
      <c r="Q31" s="208" t="s">
        <v>434</v>
      </c>
      <c r="R31" s="208" t="s">
        <v>808</v>
      </c>
      <c r="S31" s="208" t="s">
        <v>435</v>
      </c>
      <c r="T31" s="208" t="s">
        <v>420</v>
      </c>
      <c r="U31" s="208" t="s">
        <v>436</v>
      </c>
      <c r="V31" s="208" t="s">
        <v>809</v>
      </c>
    </row>
    <row r="32" spans="2:22" x14ac:dyDescent="0.2">
      <c r="B32" s="208" t="str">
        <f>'Header Info'!B32</f>
        <v>ALBERS FINISHING &amp; SOLUTIONS LLC</v>
      </c>
      <c r="C32" s="208" t="s">
        <v>1856</v>
      </c>
      <c r="D32" s="208" t="str">
        <f>'Header Info'!C32</f>
        <v>Cure Oven No. 1</v>
      </c>
      <c r="E32" s="208" t="s">
        <v>1892</v>
      </c>
      <c r="J32" s="208" t="s">
        <v>1150</v>
      </c>
      <c r="K32" s="208" t="s">
        <v>1149</v>
      </c>
      <c r="Q32" s="208" t="s">
        <v>437</v>
      </c>
      <c r="R32" s="208" t="s">
        <v>438</v>
      </c>
      <c r="S32" s="208" t="s">
        <v>435</v>
      </c>
      <c r="T32" s="208" t="s">
        <v>420</v>
      </c>
      <c r="U32" s="208" t="s">
        <v>439</v>
      </c>
      <c r="V32" s="208" t="s">
        <v>440</v>
      </c>
    </row>
    <row r="33" spans="2:22" x14ac:dyDescent="0.2">
      <c r="B33" s="208" t="str">
        <f>'Header Info'!B33</f>
        <v>ALBERS FINISHING &amp; SOLUTIONS LLC</v>
      </c>
      <c r="C33" s="208" t="s">
        <v>1856</v>
      </c>
      <c r="D33" s="208" t="str">
        <f>'Header Info'!C33</f>
        <v>Penetrant Oven</v>
      </c>
      <c r="E33" s="208" t="s">
        <v>1890</v>
      </c>
      <c r="J33" s="208" t="s">
        <v>1169</v>
      </c>
      <c r="K33" s="208" t="s">
        <v>1168</v>
      </c>
      <c r="Q33" s="208" t="s">
        <v>1941</v>
      </c>
      <c r="R33" s="208" t="s">
        <v>1942</v>
      </c>
      <c r="S33" s="208" t="s">
        <v>1943</v>
      </c>
      <c r="T33" s="208" t="s">
        <v>420</v>
      </c>
      <c r="U33" s="208" t="s">
        <v>1944</v>
      </c>
      <c r="V33" s="208" t="s">
        <v>1945</v>
      </c>
    </row>
    <row r="34" spans="2:22" x14ac:dyDescent="0.2">
      <c r="B34" s="208" t="str">
        <f>'Header Info'!B34</f>
        <v>ALBERS FINISHING &amp; SOLUTIONS LLC</v>
      </c>
      <c r="C34" s="208" t="s">
        <v>1856</v>
      </c>
      <c r="D34" s="208" t="str">
        <f>'Header Info'!C34</f>
        <v>Tank 301 Aqueous Degreaser</v>
      </c>
      <c r="E34" s="208" t="s">
        <v>1895</v>
      </c>
      <c r="J34" s="208" t="s">
        <v>1847</v>
      </c>
      <c r="K34" s="208" t="s">
        <v>3773</v>
      </c>
      <c r="Q34" s="208" t="s">
        <v>442</v>
      </c>
      <c r="R34" s="208" t="s">
        <v>443</v>
      </c>
      <c r="T34" s="208" t="s">
        <v>441</v>
      </c>
      <c r="U34" s="208" t="s">
        <v>444</v>
      </c>
      <c r="V34" s="208" t="s">
        <v>445</v>
      </c>
    </row>
    <row r="35" spans="2:22" x14ac:dyDescent="0.2">
      <c r="B35" s="208" t="str">
        <f>'Header Info'!B35</f>
        <v>ALBERS FINISHING &amp; SOLUTIONS LLC</v>
      </c>
      <c r="C35" s="208" t="s">
        <v>1856</v>
      </c>
      <c r="D35" s="208" t="str">
        <f>'Header Info'!C35</f>
        <v>Tank 302A Immersion Rinse (RO Water)</v>
      </c>
      <c r="E35" s="208" t="s">
        <v>1858</v>
      </c>
      <c r="J35" s="208" t="s">
        <v>1174</v>
      </c>
      <c r="K35" s="44" t="s">
        <v>1173</v>
      </c>
      <c r="Q35" s="208" t="s">
        <v>446</v>
      </c>
      <c r="R35" s="208" t="s">
        <v>447</v>
      </c>
      <c r="T35" s="208" t="s">
        <v>448</v>
      </c>
      <c r="U35" s="208" t="s">
        <v>449</v>
      </c>
      <c r="V35" s="208" t="s">
        <v>450</v>
      </c>
    </row>
    <row r="36" spans="2:22" x14ac:dyDescent="0.2">
      <c r="B36" s="208" t="str">
        <f>'Header Info'!B36</f>
        <v>ALBERS FINISHING &amp; SOLUTIONS LLC</v>
      </c>
      <c r="C36" s="208" t="s">
        <v>1856</v>
      </c>
      <c r="D36" s="208" t="str">
        <f>'Header Info'!C36</f>
        <v>Tank 303 Alkaline Clean</v>
      </c>
      <c r="E36" s="208" t="s">
        <v>1897</v>
      </c>
      <c r="J36" s="208" t="s">
        <v>1191</v>
      </c>
      <c r="K36" s="208" t="s">
        <v>1190</v>
      </c>
      <c r="Q36" s="208" t="s">
        <v>2004</v>
      </c>
      <c r="R36" s="208" t="s">
        <v>2005</v>
      </c>
      <c r="S36" s="208" t="s">
        <v>1711</v>
      </c>
      <c r="T36" s="208" t="s">
        <v>452</v>
      </c>
      <c r="U36" s="208" t="s">
        <v>2003</v>
      </c>
      <c r="V36" s="208" t="s">
        <v>2003</v>
      </c>
    </row>
    <row r="37" spans="2:22" x14ac:dyDescent="0.2">
      <c r="B37" s="208" t="str">
        <f>'Header Info'!B37</f>
        <v>ALBERS FINISHING &amp; SOLUTIONS LLC</v>
      </c>
      <c r="C37" s="208" t="s">
        <v>1856</v>
      </c>
      <c r="D37" s="208" t="str">
        <f>'Header Info'!C37</f>
        <v>Tank 304 Immersion Rinse (RO Water Make Up)</v>
      </c>
      <c r="E37" s="208" t="s">
        <v>1899</v>
      </c>
      <c r="J37" s="208" t="s">
        <v>1195</v>
      </c>
      <c r="K37" s="208" t="s">
        <v>1194</v>
      </c>
      <c r="Q37" s="208" t="s">
        <v>2002</v>
      </c>
      <c r="R37" s="208" t="s">
        <v>2005</v>
      </c>
      <c r="S37" s="208" t="s">
        <v>1711</v>
      </c>
      <c r="T37" s="208" t="s">
        <v>452</v>
      </c>
      <c r="U37" s="208" t="s">
        <v>2003</v>
      </c>
      <c r="V37" s="208" t="s">
        <v>2003</v>
      </c>
    </row>
    <row r="38" spans="2:22" x14ac:dyDescent="0.2">
      <c r="B38" s="208" t="str">
        <f>'Header Info'!B38</f>
        <v>ALBERS FINISHING &amp; SOLUTIONS LLC</v>
      </c>
      <c r="C38" s="208" t="s">
        <v>1856</v>
      </c>
      <c r="D38" s="208" t="str">
        <f>'Header Info'!C38</f>
        <v>Tank 305 Alkaline Etch</v>
      </c>
      <c r="E38" s="208" t="s">
        <v>1901</v>
      </c>
      <c r="J38" s="208" t="s">
        <v>1199</v>
      </c>
      <c r="K38" s="208" t="s">
        <v>1198</v>
      </c>
      <c r="Q38" s="208" t="s">
        <v>3897</v>
      </c>
      <c r="R38" s="208" t="s">
        <v>3898</v>
      </c>
      <c r="S38" s="208" t="s">
        <v>1711</v>
      </c>
      <c r="T38" s="208" t="s">
        <v>452</v>
      </c>
      <c r="U38" s="208" t="s">
        <v>3899</v>
      </c>
      <c r="V38" s="208" t="s">
        <v>3899</v>
      </c>
    </row>
    <row r="39" spans="2:22" x14ac:dyDescent="0.2">
      <c r="B39" s="208" t="str">
        <f>'Header Info'!B39</f>
        <v>ALBERS FINISHING &amp; SOLUTIONS LLC</v>
      </c>
      <c r="C39" s="208" t="s">
        <v>1856</v>
      </c>
      <c r="D39" s="208" t="str">
        <f>'Header Info'!C39</f>
        <v>Tank 307 Deoxidizer</v>
      </c>
      <c r="E39" s="208" t="s">
        <v>1903</v>
      </c>
      <c r="J39" s="208" t="s">
        <v>1203</v>
      </c>
      <c r="K39" s="208" t="s">
        <v>1202</v>
      </c>
      <c r="Q39" s="208" t="s">
        <v>451</v>
      </c>
      <c r="R39" s="208" t="s">
        <v>1947</v>
      </c>
      <c r="S39" s="208" t="s">
        <v>1711</v>
      </c>
      <c r="T39" s="208" t="s">
        <v>452</v>
      </c>
      <c r="U39" s="208" t="s">
        <v>453</v>
      </c>
      <c r="V39" s="208" t="s">
        <v>1946</v>
      </c>
    </row>
    <row r="40" spans="2:22" x14ac:dyDescent="0.2">
      <c r="B40" s="208" t="str">
        <f>'Header Info'!B40</f>
        <v>ALBERS FINISHING &amp; SOLUTIONS LLC</v>
      </c>
      <c r="C40" s="208" t="s">
        <v>1856</v>
      </c>
      <c r="D40" s="208" t="str">
        <f>'Header Info'!C40</f>
        <v>Tank 310 Chem Film</v>
      </c>
      <c r="E40" s="208" t="s">
        <v>1904</v>
      </c>
      <c r="J40" s="208" t="s">
        <v>1967</v>
      </c>
      <c r="K40" s="208" t="s">
        <v>1966</v>
      </c>
      <c r="Q40" s="208" t="s">
        <v>456</v>
      </c>
      <c r="R40" s="208" t="s">
        <v>457</v>
      </c>
      <c r="S40" s="208" t="s">
        <v>455</v>
      </c>
      <c r="T40" s="208" t="s">
        <v>452</v>
      </c>
      <c r="U40" s="208" t="s">
        <v>458</v>
      </c>
      <c r="V40" s="208" t="s">
        <v>459</v>
      </c>
    </row>
    <row r="41" spans="2:22" x14ac:dyDescent="0.2">
      <c r="B41" s="208" t="str">
        <f>'Header Info'!B41</f>
        <v>ALBERS FINISHING &amp; SOLUTIONS LLC</v>
      </c>
      <c r="C41" s="208" t="s">
        <v>873</v>
      </c>
      <c r="D41" s="208" t="str">
        <f>'Header Info'!C41</f>
        <v>Tank 312 Boric Sulfuric Anodize</v>
      </c>
      <c r="E41" s="208" t="s">
        <v>874</v>
      </c>
      <c r="J41" s="208" t="s">
        <v>1206</v>
      </c>
      <c r="K41" s="208" t="s">
        <v>1205</v>
      </c>
      <c r="Q41" s="208" t="s">
        <v>460</v>
      </c>
      <c r="R41" s="208" t="s">
        <v>461</v>
      </c>
      <c r="S41" s="208" t="s">
        <v>455</v>
      </c>
      <c r="T41" s="208" t="s">
        <v>452</v>
      </c>
      <c r="U41" s="208" t="s">
        <v>462</v>
      </c>
      <c r="V41" s="208" t="s">
        <v>463</v>
      </c>
    </row>
    <row r="42" spans="2:22" x14ac:dyDescent="0.2">
      <c r="B42" s="208" t="str">
        <f>'Header Info'!B42</f>
        <v>ALBERS FINISHING &amp; SOLUTIONS LLC</v>
      </c>
      <c r="C42" s="208" t="s">
        <v>873</v>
      </c>
      <c r="D42" s="208" t="str">
        <f>'Header Info'!C42</f>
        <v>Tank 317 Dilute Chromate Seal</v>
      </c>
      <c r="E42" s="208" t="s">
        <v>883</v>
      </c>
      <c r="J42" s="208" t="s">
        <v>1231</v>
      </c>
      <c r="K42" s="208" t="s">
        <v>1230</v>
      </c>
      <c r="Q42" s="208" t="s">
        <v>3900</v>
      </c>
      <c r="R42" s="208" t="s">
        <v>3901</v>
      </c>
      <c r="S42" s="208" t="s">
        <v>111</v>
      </c>
      <c r="T42" s="208" t="s">
        <v>3902</v>
      </c>
      <c r="U42" s="208" t="s">
        <v>3896</v>
      </c>
      <c r="V42" s="208" t="s">
        <v>3891</v>
      </c>
    </row>
    <row r="43" spans="2:22" x14ac:dyDescent="0.2">
      <c r="B43" s="208" t="str">
        <f>'Header Info'!B43</f>
        <v>APEX COMPOSITES - OKLAHOMA DIV.</v>
      </c>
      <c r="C43" s="208" t="s">
        <v>873</v>
      </c>
      <c r="D43" s="208" t="str">
        <f>'Header Info'!C43</f>
        <v>AUTOCLAVE NO. 1</v>
      </c>
      <c r="E43" s="208" t="s">
        <v>877</v>
      </c>
      <c r="J43" s="208" t="s">
        <v>1237</v>
      </c>
      <c r="K43" s="208" t="s">
        <v>1236</v>
      </c>
      <c r="Q43" s="208" t="s">
        <v>464</v>
      </c>
      <c r="R43" s="208" t="s">
        <v>1710</v>
      </c>
      <c r="S43" s="208" t="s">
        <v>1711</v>
      </c>
      <c r="T43" s="208" t="s">
        <v>465</v>
      </c>
      <c r="V43" s="208" t="s">
        <v>466</v>
      </c>
    </row>
    <row r="44" spans="2:22" x14ac:dyDescent="0.2">
      <c r="B44" s="208" t="str">
        <f>'Header Info'!B44</f>
        <v>APEX COMPOSITES - OKLAHOMA DIV.</v>
      </c>
      <c r="C44" s="208" t="s">
        <v>873</v>
      </c>
      <c r="D44" s="208" t="str">
        <f>'Header Info'!C44</f>
        <v>AUTOCLAVE NO. 3</v>
      </c>
      <c r="E44" s="208" t="s">
        <v>876</v>
      </c>
      <c r="J44" s="208" t="s">
        <v>1778</v>
      </c>
      <c r="K44" s="208" t="s">
        <v>1777</v>
      </c>
      <c r="Q44" s="208" t="s">
        <v>1712</v>
      </c>
      <c r="R44" s="208" t="s">
        <v>1713</v>
      </c>
      <c r="S44" s="208" t="s">
        <v>1711</v>
      </c>
      <c r="T44" s="208" t="s">
        <v>465</v>
      </c>
      <c r="V44" s="208" t="s">
        <v>1714</v>
      </c>
    </row>
    <row r="45" spans="2:22" x14ac:dyDescent="0.2">
      <c r="B45" s="208" t="str">
        <f>'Header Info'!B45</f>
        <v>APEX COMPOSITES - OKLAHOMA DIV.</v>
      </c>
      <c r="C45" s="208" t="s">
        <v>873</v>
      </c>
      <c r="D45" s="208" t="str">
        <f>'Header Info'!C45</f>
        <v>CURE OVEN NO. 4</v>
      </c>
      <c r="E45" s="208" t="s">
        <v>881</v>
      </c>
      <c r="J45" s="208" t="s">
        <v>1240</v>
      </c>
      <c r="K45" s="208" t="s">
        <v>1239</v>
      </c>
      <c r="Q45" s="208" t="s">
        <v>467</v>
      </c>
      <c r="R45" s="208" t="s">
        <v>1715</v>
      </c>
      <c r="S45" s="208" t="s">
        <v>1711</v>
      </c>
      <c r="T45" s="208" t="s">
        <v>465</v>
      </c>
      <c r="U45" s="208" t="s">
        <v>468</v>
      </c>
      <c r="V45" s="208" t="s">
        <v>469</v>
      </c>
    </row>
    <row r="46" spans="2:22" x14ac:dyDescent="0.2">
      <c r="B46" s="208" t="str">
        <f>'Header Info'!B46</f>
        <v>APEX COMPOSITES - OKLAHOMA DIV.</v>
      </c>
      <c r="C46" s="208" t="s">
        <v>873</v>
      </c>
      <c r="D46" s="208" t="str">
        <f>'Header Info'!C46</f>
        <v>OVEN NO. 5</v>
      </c>
      <c r="E46" s="208" t="s">
        <v>879</v>
      </c>
      <c r="J46" s="208" t="s">
        <v>1246</v>
      </c>
      <c r="K46" s="208" t="s">
        <v>1245</v>
      </c>
      <c r="Q46" s="208" t="s">
        <v>470</v>
      </c>
      <c r="R46" s="208" t="s">
        <v>1716</v>
      </c>
      <c r="S46" s="208" t="s">
        <v>1711</v>
      </c>
      <c r="T46" s="208" t="s">
        <v>465</v>
      </c>
      <c r="U46" s="208" t="s">
        <v>471</v>
      </c>
      <c r="V46" s="208" t="s">
        <v>472</v>
      </c>
    </row>
    <row r="47" spans="2:22" x14ac:dyDescent="0.2">
      <c r="B47" s="208" t="str">
        <f>'Header Info'!B47</f>
        <v>APEX ENGINEERING WICHITA DIV.</v>
      </c>
      <c r="C47" s="208" t="s">
        <v>873</v>
      </c>
      <c r="D47" s="208" t="str">
        <f>'Header Info'!C47</f>
        <v>AEI-060</v>
      </c>
      <c r="E47" s="208" t="s">
        <v>882</v>
      </c>
      <c r="J47" s="208" t="s">
        <v>1250</v>
      </c>
      <c r="K47" s="208" t="s">
        <v>1249</v>
      </c>
      <c r="Q47" s="208" t="s">
        <v>473</v>
      </c>
      <c r="R47" s="208" t="s">
        <v>1717</v>
      </c>
      <c r="S47" s="208" t="s">
        <v>1711</v>
      </c>
      <c r="T47" s="208" t="s">
        <v>465</v>
      </c>
      <c r="U47" s="208" t="s">
        <v>474</v>
      </c>
      <c r="V47" s="208" t="s">
        <v>475</v>
      </c>
    </row>
    <row r="48" spans="2:22" x14ac:dyDescent="0.2">
      <c r="B48" s="208" t="str">
        <f>'Header Info'!B48</f>
        <v>APEX ENGINEERING WICHITA DIV.</v>
      </c>
      <c r="C48" s="208" t="s">
        <v>885</v>
      </c>
      <c r="D48" s="208" t="str">
        <f>'Header Info'!C48</f>
        <v>AEI-113</v>
      </c>
      <c r="E48" s="208" t="s">
        <v>893</v>
      </c>
      <c r="J48" s="208" t="s">
        <v>1253</v>
      </c>
      <c r="K48" s="208" t="s">
        <v>1252</v>
      </c>
      <c r="Q48" s="208" t="s">
        <v>476</v>
      </c>
      <c r="R48" s="208" t="s">
        <v>1718</v>
      </c>
      <c r="S48" s="208" t="s">
        <v>1711</v>
      </c>
      <c r="T48" s="208" t="s">
        <v>465</v>
      </c>
      <c r="U48" s="208" t="s">
        <v>477</v>
      </c>
      <c r="V48" s="208" t="s">
        <v>478</v>
      </c>
    </row>
    <row r="49" spans="2:22" x14ac:dyDescent="0.2">
      <c r="B49" s="208" t="str">
        <f>'Header Info'!B49</f>
        <v>APEX ENGINEERING WICHITA DIV.</v>
      </c>
      <c r="C49" s="208" t="s">
        <v>885</v>
      </c>
      <c r="D49" s="208" t="str">
        <f>'Header Info'!C49</f>
        <v>AEI-129 FREEZER</v>
      </c>
      <c r="E49" s="208" t="s">
        <v>891</v>
      </c>
      <c r="J49" s="208" t="s">
        <v>1863</v>
      </c>
      <c r="K49" s="208" t="s">
        <v>1862</v>
      </c>
      <c r="Q49" s="208" t="s">
        <v>479</v>
      </c>
      <c r="R49" s="208" t="s">
        <v>1719</v>
      </c>
      <c r="S49" s="208" t="s">
        <v>1711</v>
      </c>
      <c r="T49" s="208" t="s">
        <v>465</v>
      </c>
      <c r="U49" s="208" t="s">
        <v>480</v>
      </c>
      <c r="V49" s="208" t="s">
        <v>481</v>
      </c>
    </row>
    <row r="50" spans="2:22" x14ac:dyDescent="0.2">
      <c r="B50" s="208" t="str">
        <f>'Header Info'!B50</f>
        <v>APEX ENGINEERING WICHITA DIV.</v>
      </c>
      <c r="C50" s="208" t="s">
        <v>885</v>
      </c>
      <c r="D50" s="208" t="str">
        <f>'Header Info'!C50</f>
        <v>AEI-139A</v>
      </c>
      <c r="E50" s="208" t="s">
        <v>887</v>
      </c>
      <c r="J50" s="208" t="s">
        <v>1258</v>
      </c>
      <c r="K50" s="208" t="s">
        <v>1257</v>
      </c>
      <c r="Q50" s="208" t="s">
        <v>482</v>
      </c>
      <c r="R50" s="208" t="s">
        <v>1720</v>
      </c>
      <c r="S50" s="208" t="s">
        <v>1711</v>
      </c>
      <c r="T50" s="208" t="s">
        <v>465</v>
      </c>
      <c r="U50" s="208" t="s">
        <v>483</v>
      </c>
      <c r="V50" s="208" t="s">
        <v>484</v>
      </c>
    </row>
    <row r="51" spans="2:22" x14ac:dyDescent="0.2">
      <c r="B51" s="208" t="str">
        <f>'Header Info'!B51</f>
        <v>APEX ENGINEERING WICHITA DIV.</v>
      </c>
      <c r="C51" s="208" t="s">
        <v>885</v>
      </c>
      <c r="D51" s="208" t="str">
        <f>'Header Info'!C51</f>
        <v>AEI-243</v>
      </c>
      <c r="E51" s="208" t="s">
        <v>889</v>
      </c>
      <c r="J51" s="208" t="s">
        <v>1284</v>
      </c>
      <c r="K51" s="208" t="s">
        <v>1283</v>
      </c>
      <c r="Q51" s="208" t="s">
        <v>485</v>
      </c>
      <c r="R51" s="208" t="s">
        <v>1721</v>
      </c>
      <c r="S51" s="208" t="s">
        <v>1711</v>
      </c>
      <c r="T51" s="208" t="s">
        <v>465</v>
      </c>
      <c r="U51" s="208" t="s">
        <v>486</v>
      </c>
      <c r="V51" s="208" t="s">
        <v>487</v>
      </c>
    </row>
    <row r="52" spans="2:22" x14ac:dyDescent="0.2">
      <c r="B52" s="208" t="str">
        <f>'Header Info'!B52</f>
        <v>APEX ENGINEERING WICHITA DIV.</v>
      </c>
      <c r="C52" s="208" t="s">
        <v>885</v>
      </c>
      <c r="D52" s="208" t="str">
        <f>'Header Info'!C52</f>
        <v>AEI-244</v>
      </c>
      <c r="E52" s="208" t="s">
        <v>896</v>
      </c>
      <c r="J52" s="208" t="s">
        <v>1288</v>
      </c>
      <c r="K52" s="208" t="s">
        <v>1287</v>
      </c>
      <c r="Q52" s="208" t="s">
        <v>488</v>
      </c>
      <c r="R52" s="208" t="s">
        <v>1722</v>
      </c>
      <c r="S52" s="208" t="s">
        <v>1711</v>
      </c>
      <c r="T52" s="208" t="s">
        <v>465</v>
      </c>
      <c r="U52" s="208" t="s">
        <v>489</v>
      </c>
      <c r="V52" s="208" t="s">
        <v>490</v>
      </c>
    </row>
    <row r="53" spans="2:22" x14ac:dyDescent="0.2">
      <c r="B53" s="208" t="str">
        <f>'Header Info'!B53</f>
        <v>APEX ENGINEERING WICHITA DIV.</v>
      </c>
      <c r="C53" s="208" t="s">
        <v>885</v>
      </c>
      <c r="D53" s="208" t="str">
        <f>'Header Info'!C53</f>
        <v>AEI-323</v>
      </c>
      <c r="E53" s="208" t="s">
        <v>895</v>
      </c>
      <c r="J53" s="208" t="s">
        <v>1909</v>
      </c>
      <c r="K53" s="208" t="s">
        <v>1908</v>
      </c>
      <c r="Q53" s="208" t="s">
        <v>491</v>
      </c>
      <c r="R53" s="208" t="s">
        <v>1723</v>
      </c>
      <c r="S53" s="208" t="s">
        <v>1711</v>
      </c>
      <c r="T53" s="208" t="s">
        <v>465</v>
      </c>
      <c r="U53" s="208" t="s">
        <v>492</v>
      </c>
      <c r="V53" s="208" t="s">
        <v>493</v>
      </c>
    </row>
    <row r="54" spans="2:22" x14ac:dyDescent="0.2">
      <c r="B54" s="208" t="str">
        <f>'Header Info'!B54</f>
        <v>APEX ENGINEERING WICHITA DIV.</v>
      </c>
      <c r="C54" s="208" t="s">
        <v>885</v>
      </c>
      <c r="D54" s="208" t="str">
        <f>'Header Info'!C54</f>
        <v>AEI-324</v>
      </c>
      <c r="E54" s="208" t="s">
        <v>903</v>
      </c>
      <c r="J54" s="208" t="s">
        <v>3845</v>
      </c>
      <c r="K54" s="208" t="s">
        <v>3844</v>
      </c>
      <c r="Q54" s="208" t="s">
        <v>1724</v>
      </c>
      <c r="R54" s="208" t="s">
        <v>1725</v>
      </c>
      <c r="S54" s="208" t="s">
        <v>1726</v>
      </c>
      <c r="T54" s="208" t="s">
        <v>465</v>
      </c>
      <c r="V54" s="208" t="s">
        <v>1727</v>
      </c>
    </row>
    <row r="55" spans="2:22" x14ac:dyDescent="0.2">
      <c r="B55" s="208" t="str">
        <f>'Header Info'!B55</f>
        <v>APEX ENGINEERING WICHITA DIV.</v>
      </c>
      <c r="C55" s="208" t="s">
        <v>885</v>
      </c>
      <c r="D55" s="208" t="str">
        <f>'Header Info'!C55</f>
        <v>AEI-585</v>
      </c>
      <c r="E55" s="208" t="s">
        <v>902</v>
      </c>
      <c r="J55" s="208" t="s">
        <v>1297</v>
      </c>
      <c r="K55" s="208" t="s">
        <v>1296</v>
      </c>
      <c r="Q55" s="208" t="s">
        <v>494</v>
      </c>
      <c r="R55" s="44" t="s">
        <v>5462</v>
      </c>
      <c r="S55" s="208" t="s">
        <v>1726</v>
      </c>
      <c r="T55" s="208" t="s">
        <v>465</v>
      </c>
      <c r="U55" s="208" t="s">
        <v>495</v>
      </c>
      <c r="V55" s="44" t="s">
        <v>5401</v>
      </c>
    </row>
    <row r="56" spans="2:22" x14ac:dyDescent="0.2">
      <c r="B56" s="208" t="str">
        <f>'Header Info'!B56</f>
        <v>APEX ENGINEERING WICHITA DIV.</v>
      </c>
      <c r="C56" s="208" t="s">
        <v>885</v>
      </c>
      <c r="D56" s="208" t="str">
        <f>'Header Info'!C56</f>
        <v>AEI-650 GRIEVE OVEN</v>
      </c>
      <c r="E56" s="208" t="s">
        <v>900</v>
      </c>
      <c r="J56" s="208" t="s">
        <v>1303</v>
      </c>
      <c r="K56" s="208" t="s">
        <v>1302</v>
      </c>
      <c r="Q56" s="208" t="s">
        <v>496</v>
      </c>
      <c r="R56" s="208" t="s">
        <v>1728</v>
      </c>
      <c r="S56" s="208" t="s">
        <v>1726</v>
      </c>
      <c r="T56" s="208" t="s">
        <v>465</v>
      </c>
      <c r="V56" s="208" t="s">
        <v>497</v>
      </c>
    </row>
    <row r="57" spans="2:22" x14ac:dyDescent="0.2">
      <c r="B57" s="208" t="str">
        <f>'Header Info'!B57</f>
        <v>APEX ENGINEERING WICHITA DIV.</v>
      </c>
      <c r="C57" s="208" t="s">
        <v>885</v>
      </c>
      <c r="D57" s="208" t="str">
        <f>'Header Info'!C57</f>
        <v>ICTA-0122</v>
      </c>
      <c r="E57" s="208" t="s">
        <v>898</v>
      </c>
      <c r="J57" s="208" t="s">
        <v>1321</v>
      </c>
      <c r="K57" s="44" t="s">
        <v>3085</v>
      </c>
      <c r="Q57" s="208" t="s">
        <v>498</v>
      </c>
      <c r="R57" s="208" t="s">
        <v>1729</v>
      </c>
      <c r="S57" s="208" t="s">
        <v>1726</v>
      </c>
      <c r="T57" s="208" t="s">
        <v>465</v>
      </c>
      <c r="U57" s="208" t="s">
        <v>499</v>
      </c>
      <c r="V57" s="208" t="s">
        <v>500</v>
      </c>
    </row>
    <row r="58" spans="2:22" x14ac:dyDescent="0.2">
      <c r="B58" s="208" t="str">
        <f>'Header Info'!B58</f>
        <v>APPH WICHITA, INC.</v>
      </c>
      <c r="C58" s="208" t="s">
        <v>885</v>
      </c>
      <c r="D58" s="208" t="str">
        <f>'Header Info'!C58</f>
        <v>917-195</v>
      </c>
      <c r="E58" s="208" t="s">
        <v>897</v>
      </c>
      <c r="J58" s="208" t="s">
        <v>1342</v>
      </c>
      <c r="K58" s="208" t="s">
        <v>1341</v>
      </c>
      <c r="Q58" s="208" t="s">
        <v>501</v>
      </c>
      <c r="R58" s="208" t="s">
        <v>1730</v>
      </c>
      <c r="S58" s="208" t="s">
        <v>1726</v>
      </c>
      <c r="T58" s="208" t="s">
        <v>465</v>
      </c>
      <c r="U58" s="208" t="s">
        <v>502</v>
      </c>
      <c r="V58" s="208" t="s">
        <v>503</v>
      </c>
    </row>
    <row r="59" spans="2:22" x14ac:dyDescent="0.2">
      <c r="B59" s="208" t="str">
        <f>'Header Info'!B59</f>
        <v>APPH WICHITA, INC.</v>
      </c>
      <c r="C59" s="208" t="s">
        <v>905</v>
      </c>
      <c r="D59" s="208" t="str">
        <f>'Header Info'!C59</f>
        <v>PAINTBOOTH OVEN</v>
      </c>
      <c r="E59" s="208" t="s">
        <v>909</v>
      </c>
      <c r="J59" s="208" t="s">
        <v>1782</v>
      </c>
      <c r="K59" s="208" t="s">
        <v>1781</v>
      </c>
      <c r="Q59" s="208" t="s">
        <v>504</v>
      </c>
      <c r="R59" s="208" t="s">
        <v>1731</v>
      </c>
      <c r="S59" s="208" t="s">
        <v>1726</v>
      </c>
      <c r="T59" s="208" t="s">
        <v>465</v>
      </c>
      <c r="U59" s="208" t="s">
        <v>505</v>
      </c>
      <c r="V59" s="208" t="s">
        <v>506</v>
      </c>
    </row>
    <row r="60" spans="2:22" x14ac:dyDescent="0.2">
      <c r="B60" s="208" t="str">
        <f>'Header Info'!B60</f>
        <v>ASSOCIATED INDUSTRIES, INC.</v>
      </c>
      <c r="C60" s="208" t="s">
        <v>905</v>
      </c>
      <c r="D60" s="208" t="str">
        <f>'Header Info'!C60</f>
        <v>COLD STORAGE NO. 1</v>
      </c>
      <c r="E60" s="208" t="s">
        <v>907</v>
      </c>
      <c r="J60" s="208" t="s">
        <v>1347</v>
      </c>
      <c r="K60" s="208" t="s">
        <v>1346</v>
      </c>
      <c r="Q60" s="208" t="s">
        <v>507</v>
      </c>
      <c r="R60" s="208" t="s">
        <v>1853</v>
      </c>
      <c r="S60" s="208" t="s">
        <v>1726</v>
      </c>
      <c r="T60" s="208" t="s">
        <v>465</v>
      </c>
      <c r="V60" s="208" t="s">
        <v>1841</v>
      </c>
    </row>
    <row r="61" spans="2:22" x14ac:dyDescent="0.2">
      <c r="B61" s="208" t="str">
        <f>'Header Info'!B61</f>
        <v>ASSOCIATED INDUSTRIES, INC.</v>
      </c>
      <c r="C61" s="208" t="s">
        <v>911</v>
      </c>
      <c r="D61" s="208" t="str">
        <f>'Header Info'!C61</f>
        <v>FREEZER NO. 1</v>
      </c>
      <c r="E61" s="208" t="s">
        <v>913</v>
      </c>
      <c r="J61" s="208" t="s">
        <v>1352</v>
      </c>
      <c r="K61" s="208" t="s">
        <v>1351</v>
      </c>
      <c r="Q61" s="208" t="s">
        <v>508</v>
      </c>
      <c r="R61" s="208" t="s">
        <v>1732</v>
      </c>
      <c r="S61" s="208" t="s">
        <v>1726</v>
      </c>
      <c r="T61" s="208" t="s">
        <v>465</v>
      </c>
      <c r="U61" s="208" t="s">
        <v>509</v>
      </c>
      <c r="V61" s="208" t="s">
        <v>510</v>
      </c>
    </row>
    <row r="62" spans="2:22" x14ac:dyDescent="0.2">
      <c r="B62" s="208" t="str">
        <f>'Header Info'!B62</f>
        <v>BODYCOTE THERMAL PROCESSING, INC.-McLEAN</v>
      </c>
      <c r="C62" s="208" t="s">
        <v>911</v>
      </c>
      <c r="D62" s="208" t="str">
        <f>'Header Info'!C62</f>
        <v>Vacuum Furnace No. 513</v>
      </c>
      <c r="E62" s="208" t="s">
        <v>915</v>
      </c>
      <c r="J62" s="208" t="s">
        <v>1382</v>
      </c>
      <c r="K62" s="208" t="s">
        <v>1381</v>
      </c>
      <c r="Q62" s="208" t="s">
        <v>511</v>
      </c>
      <c r="R62" s="208" t="s">
        <v>1733</v>
      </c>
      <c r="S62" s="208" t="s">
        <v>1726</v>
      </c>
      <c r="T62" s="208" t="s">
        <v>465</v>
      </c>
      <c r="U62" s="208" t="s">
        <v>512</v>
      </c>
      <c r="V62" s="208" t="s">
        <v>513</v>
      </c>
    </row>
    <row r="63" spans="2:22" x14ac:dyDescent="0.2">
      <c r="B63" s="208" t="str">
        <f>'Header Info'!B63</f>
        <v>BOMBARDIER AEROSPACE - LEARJET DIVISION</v>
      </c>
      <c r="C63" s="208" t="s">
        <v>917</v>
      </c>
      <c r="D63" s="208" t="str">
        <f>'Header Info'!C63</f>
        <v>Batch Oven OVE-128-A</v>
      </c>
      <c r="E63" s="208" t="s">
        <v>918</v>
      </c>
      <c r="J63" s="208" t="s">
        <v>1388</v>
      </c>
      <c r="K63" s="208" t="s">
        <v>1387</v>
      </c>
      <c r="Q63" s="208" t="s">
        <v>514</v>
      </c>
      <c r="R63" s="208" t="s">
        <v>1734</v>
      </c>
      <c r="S63" s="208" t="s">
        <v>1726</v>
      </c>
      <c r="T63" s="208" t="s">
        <v>465</v>
      </c>
      <c r="U63" s="208" t="s">
        <v>515</v>
      </c>
      <c r="V63" s="208" t="s">
        <v>516</v>
      </c>
    </row>
    <row r="64" spans="2:22" x14ac:dyDescent="0.2">
      <c r="B64" s="208" t="str">
        <f>'Header Info'!B64</f>
        <v>BOMBARDIER AEROSPACE - LEARJET DIVISION</v>
      </c>
      <c r="C64" s="208" t="s">
        <v>920</v>
      </c>
      <c r="D64" s="208" t="str">
        <f>'Header Info'!C64</f>
        <v>PRI-1383</v>
      </c>
      <c r="E64" s="208" t="s">
        <v>932</v>
      </c>
      <c r="J64" s="208" t="s">
        <v>1392</v>
      </c>
      <c r="K64" s="208" t="s">
        <v>1391</v>
      </c>
      <c r="Q64" s="208" t="s">
        <v>517</v>
      </c>
      <c r="R64" s="208" t="s">
        <v>1735</v>
      </c>
      <c r="S64" s="208" t="s">
        <v>1726</v>
      </c>
      <c r="T64" s="208" t="s">
        <v>465</v>
      </c>
      <c r="U64" s="208" t="s">
        <v>518</v>
      </c>
      <c r="V64" s="208" t="s">
        <v>519</v>
      </c>
    </row>
    <row r="65" spans="2:22" x14ac:dyDescent="0.2">
      <c r="B65" s="208" t="str">
        <f>'Header Info'!B65</f>
        <v>BURNHAM COMPOSITE STRUCTURES, INC.</v>
      </c>
      <c r="C65" s="208" t="s">
        <v>920</v>
      </c>
      <c r="D65" s="208" t="str">
        <f>'Header Info'!C65</f>
        <v>Autoclave No. 1 Cessna</v>
      </c>
      <c r="E65" s="208" t="s">
        <v>933</v>
      </c>
      <c r="J65" s="208" t="s">
        <v>1406</v>
      </c>
      <c r="K65" s="208" t="s">
        <v>1405</v>
      </c>
      <c r="Q65" s="208" t="s">
        <v>520</v>
      </c>
      <c r="R65" s="208" t="s">
        <v>1736</v>
      </c>
      <c r="S65" s="208" t="s">
        <v>1726</v>
      </c>
      <c r="T65" s="208" t="s">
        <v>465</v>
      </c>
      <c r="U65" s="208" t="s">
        <v>521</v>
      </c>
      <c r="V65" s="208" t="s">
        <v>522</v>
      </c>
    </row>
    <row r="66" spans="2:22" x14ac:dyDescent="0.2">
      <c r="B66" s="208" t="str">
        <f>'Header Info'!B66</f>
        <v>BURNHAM COMPOSITE STRUCTURES, INC.</v>
      </c>
      <c r="C66" s="208" t="s">
        <v>920</v>
      </c>
      <c r="D66" s="208" t="str">
        <f>'Header Info'!C66</f>
        <v>AUTOCLAVE NO. 2 CESSNA</v>
      </c>
      <c r="E66" s="208" t="s">
        <v>934</v>
      </c>
      <c r="J66" s="208" t="s">
        <v>1411</v>
      </c>
      <c r="K66" s="208" t="s">
        <v>1982</v>
      </c>
      <c r="Q66" s="208" t="s">
        <v>1740</v>
      </c>
      <c r="R66" s="208" t="s">
        <v>1741</v>
      </c>
      <c r="S66" s="208" t="s">
        <v>1726</v>
      </c>
      <c r="T66" s="208" t="s">
        <v>465</v>
      </c>
      <c r="V66" s="208" t="s">
        <v>1742</v>
      </c>
    </row>
    <row r="67" spans="2:22" x14ac:dyDescent="0.2">
      <c r="B67" s="208" t="str">
        <f>'Header Info'!B67</f>
        <v>BURNHAM COMPOSITE STRUCTURES, INC.</v>
      </c>
      <c r="C67" s="208" t="s">
        <v>920</v>
      </c>
      <c r="D67" s="208" t="str">
        <f>'Header Info'!C67</f>
        <v>CURING OVEN NO. 2</v>
      </c>
      <c r="E67" s="208" t="s">
        <v>935</v>
      </c>
      <c r="J67" s="208" t="s">
        <v>1587</v>
      </c>
      <c r="K67" s="208" t="s">
        <v>1983</v>
      </c>
      <c r="Q67" s="208" t="s">
        <v>523</v>
      </c>
      <c r="R67" s="208" t="s">
        <v>3903</v>
      </c>
      <c r="S67" s="208" t="s">
        <v>1737</v>
      </c>
      <c r="T67" s="208" t="s">
        <v>465</v>
      </c>
      <c r="U67" s="208" t="s">
        <v>524</v>
      </c>
      <c r="V67" s="208" t="s">
        <v>3904</v>
      </c>
    </row>
    <row r="68" spans="2:22" x14ac:dyDescent="0.2">
      <c r="B68" s="208" t="str">
        <f>'Header Info'!B68</f>
        <v>BURNHAM COMPOSITE STRUCTURES, INC.</v>
      </c>
      <c r="C68" s="208" t="s">
        <v>920</v>
      </c>
      <c r="D68" s="208" t="str">
        <f>'Header Info'!C68</f>
        <v>Oven No. 1A Cessna</v>
      </c>
      <c r="E68" s="208" t="s">
        <v>928</v>
      </c>
      <c r="J68" s="208" t="s">
        <v>1416</v>
      </c>
      <c r="K68" s="208" t="s">
        <v>1747</v>
      </c>
      <c r="Q68" s="208" t="s">
        <v>525</v>
      </c>
      <c r="R68" s="208" t="s">
        <v>1738</v>
      </c>
      <c r="S68" s="208" t="s">
        <v>1737</v>
      </c>
      <c r="T68" s="208" t="s">
        <v>465</v>
      </c>
      <c r="U68" s="208" t="s">
        <v>526</v>
      </c>
      <c r="V68" s="208" t="s">
        <v>527</v>
      </c>
    </row>
    <row r="69" spans="2:22" x14ac:dyDescent="0.2">
      <c r="B69" s="208" t="str">
        <f>'Header Info'!B69</f>
        <v>BURNHAM COMPOSITE STRUCTURES, INC.</v>
      </c>
      <c r="C69" s="208" t="s">
        <v>920</v>
      </c>
      <c r="D69" s="208" t="str">
        <f>'Header Info'!C69</f>
        <v>OVEN NO. 3</v>
      </c>
      <c r="E69" s="208" t="s">
        <v>929</v>
      </c>
      <c r="J69" s="208" t="s">
        <v>1419</v>
      </c>
      <c r="K69" s="208" t="s">
        <v>1418</v>
      </c>
      <c r="Q69" s="208" t="s">
        <v>528</v>
      </c>
      <c r="R69" s="208" t="s">
        <v>1739</v>
      </c>
      <c r="S69" s="208" t="s">
        <v>1737</v>
      </c>
      <c r="T69" s="208" t="s">
        <v>465</v>
      </c>
      <c r="U69" s="208" t="s">
        <v>529</v>
      </c>
      <c r="V69" s="208" t="s">
        <v>530</v>
      </c>
    </row>
    <row r="70" spans="2:22" x14ac:dyDescent="0.2">
      <c r="B70" s="208" t="str">
        <f>'Header Info'!B70</f>
        <v>BURNHAM COMPOSITE STRUCTURES, INC.</v>
      </c>
      <c r="C70" s="208" t="s">
        <v>920</v>
      </c>
      <c r="D70" s="208" t="str">
        <f>'Header Info'!C70</f>
        <v>OVEN NO. 4</v>
      </c>
      <c r="E70" s="208" t="s">
        <v>930</v>
      </c>
      <c r="J70" s="208" t="s">
        <v>1788</v>
      </c>
      <c r="K70" s="208" t="s">
        <v>1787</v>
      </c>
      <c r="Q70" s="208" t="s">
        <v>1743</v>
      </c>
      <c r="R70" s="208" t="s">
        <v>1744</v>
      </c>
      <c r="S70" s="208" t="s">
        <v>1737</v>
      </c>
      <c r="T70" s="208" t="s">
        <v>465</v>
      </c>
      <c r="V70" s="208" t="s">
        <v>1745</v>
      </c>
    </row>
    <row r="71" spans="2:22" x14ac:dyDescent="0.2">
      <c r="B71" s="208" t="str">
        <f>'Header Info'!B71</f>
        <v>BURNHAM COMPOSITE STRUCTURES, INC.</v>
      </c>
      <c r="C71" s="208" t="s">
        <v>920</v>
      </c>
      <c r="D71" s="208" t="str">
        <f>'Header Info'!C71</f>
        <v>OVEN NO. 6</v>
      </c>
      <c r="E71" s="208" t="s">
        <v>936</v>
      </c>
      <c r="J71" s="208" t="s">
        <v>1425</v>
      </c>
      <c r="K71" s="208" t="s">
        <v>1424</v>
      </c>
      <c r="Q71" s="208" t="s">
        <v>1837</v>
      </c>
      <c r="R71" s="208" t="s">
        <v>1838</v>
      </c>
      <c r="S71" s="208" t="s">
        <v>1839</v>
      </c>
      <c r="T71" s="208" t="s">
        <v>465</v>
      </c>
      <c r="V71" s="208" t="s">
        <v>1840</v>
      </c>
    </row>
    <row r="72" spans="2:22" x14ac:dyDescent="0.2">
      <c r="B72" s="208" t="str">
        <f>'Header Info'!B72</f>
        <v>CAPPS MANUFACTURING INC.</v>
      </c>
      <c r="C72" s="208" t="s">
        <v>920</v>
      </c>
      <c r="D72" s="208" t="str">
        <f>'Header Info'!C72</f>
        <v>AGE OVEN NO. 0</v>
      </c>
      <c r="E72" s="208" t="s">
        <v>931</v>
      </c>
      <c r="J72" s="208" t="s">
        <v>1435</v>
      </c>
      <c r="K72" s="208" t="s">
        <v>1434</v>
      </c>
      <c r="Q72" s="208" t="s">
        <v>531</v>
      </c>
      <c r="R72" s="208" t="s">
        <v>532</v>
      </c>
      <c r="S72" s="208" t="s">
        <v>533</v>
      </c>
      <c r="T72" s="208" t="s">
        <v>534</v>
      </c>
      <c r="U72" s="208" t="s">
        <v>111</v>
      </c>
    </row>
    <row r="73" spans="2:22" x14ac:dyDescent="0.2">
      <c r="B73" s="208" t="str">
        <f>'Header Info'!B73</f>
        <v>CAPPS MANUFACTURING INC.</v>
      </c>
      <c r="C73" s="208" t="s">
        <v>920</v>
      </c>
      <c r="D73" s="208" t="str">
        <f>'Header Info'!C73</f>
        <v>AGE OVEN NO. 1</v>
      </c>
      <c r="E73" s="208" t="s">
        <v>937</v>
      </c>
      <c r="J73" s="208" t="s">
        <v>1448</v>
      </c>
      <c r="K73" s="208" t="s">
        <v>1447</v>
      </c>
      <c r="Q73" s="208" t="s">
        <v>535</v>
      </c>
      <c r="R73" s="208" t="s">
        <v>536</v>
      </c>
      <c r="S73" s="208" t="s">
        <v>537</v>
      </c>
      <c r="T73" s="208" t="s">
        <v>534</v>
      </c>
      <c r="U73" s="208" t="s">
        <v>111</v>
      </c>
    </row>
    <row r="74" spans="2:22" x14ac:dyDescent="0.2">
      <c r="B74" s="208" t="str">
        <f>'Header Info'!B74</f>
        <v>CAPPS MANUFACTURING INC.</v>
      </c>
      <c r="C74" s="208" t="s">
        <v>920</v>
      </c>
      <c r="D74" s="208" t="str">
        <f>'Header Info'!C74</f>
        <v>AGE OVEN NO. 2</v>
      </c>
      <c r="E74" s="208" t="s">
        <v>938</v>
      </c>
      <c r="J74" s="208" t="s">
        <v>1452</v>
      </c>
      <c r="K74" s="208" t="s">
        <v>1451</v>
      </c>
      <c r="Q74" s="208" t="s">
        <v>538</v>
      </c>
      <c r="R74" s="208" t="s">
        <v>539</v>
      </c>
      <c r="S74" s="208" t="s">
        <v>540</v>
      </c>
      <c r="T74" s="208" t="s">
        <v>534</v>
      </c>
      <c r="U74" s="208" t="s">
        <v>111</v>
      </c>
    </row>
    <row r="75" spans="2:22" x14ac:dyDescent="0.2">
      <c r="B75" s="208" t="str">
        <f>'Header Info'!B75</f>
        <v>CAPPS MANUFACTURING INC.</v>
      </c>
      <c r="C75" s="208" t="s">
        <v>920</v>
      </c>
      <c r="D75" s="208" t="str">
        <f>'Header Info'!C75</f>
        <v>AGE OVEN NO. 3</v>
      </c>
      <c r="E75" s="208" t="s">
        <v>939</v>
      </c>
      <c r="J75" s="208" t="s">
        <v>1460</v>
      </c>
      <c r="K75" s="208" t="s">
        <v>1459</v>
      </c>
      <c r="Q75" s="208" t="s">
        <v>541</v>
      </c>
      <c r="R75" s="208" t="s">
        <v>542</v>
      </c>
      <c r="S75" s="208" t="s">
        <v>543</v>
      </c>
      <c r="T75" s="208" t="s">
        <v>534</v>
      </c>
      <c r="U75" s="208" t="s">
        <v>111</v>
      </c>
    </row>
    <row r="76" spans="2:22" x14ac:dyDescent="0.2">
      <c r="B76" s="208" t="str">
        <f>'Header Info'!B76</f>
        <v>CAPPS MANUFACTURING INC.</v>
      </c>
      <c r="C76" s="208" t="s">
        <v>920</v>
      </c>
      <c r="D76" s="208" t="str">
        <f>'Header Info'!C76</f>
        <v>AGE OVEN NO. 4</v>
      </c>
      <c r="E76" s="208" t="s">
        <v>940</v>
      </c>
      <c r="J76" s="208" t="s">
        <v>1062</v>
      </c>
      <c r="K76" s="208" t="s">
        <v>3873</v>
      </c>
      <c r="Q76" s="208" t="s">
        <v>544</v>
      </c>
      <c r="R76" s="208" t="s">
        <v>545</v>
      </c>
      <c r="S76" s="208" t="s">
        <v>546</v>
      </c>
      <c r="T76" s="208" t="s">
        <v>534</v>
      </c>
      <c r="U76" s="208" t="s">
        <v>111</v>
      </c>
    </row>
    <row r="77" spans="2:22" x14ac:dyDescent="0.2">
      <c r="B77" s="208" t="str">
        <f>'Header Info'!B77</f>
        <v>CAPPS MANUFACTURING INC.</v>
      </c>
      <c r="C77" s="208" t="s">
        <v>920</v>
      </c>
      <c r="D77" s="208" t="str">
        <f>'Header Info'!C77</f>
        <v>DD146046</v>
      </c>
      <c r="E77" s="208" t="s">
        <v>927</v>
      </c>
      <c r="J77" s="208" t="s">
        <v>1497</v>
      </c>
      <c r="K77" s="208" t="s">
        <v>1496</v>
      </c>
      <c r="Q77" s="208" t="s">
        <v>547</v>
      </c>
      <c r="R77" s="208" t="s">
        <v>548</v>
      </c>
      <c r="S77" s="208" t="s">
        <v>549</v>
      </c>
      <c r="T77" s="208" t="s">
        <v>534</v>
      </c>
    </row>
    <row r="78" spans="2:22" x14ac:dyDescent="0.2">
      <c r="B78" s="208" t="str">
        <f>'Header Info'!B78</f>
        <v>CAPPS MANUFACTURING INC.</v>
      </c>
      <c r="C78" s="208" t="s">
        <v>920</v>
      </c>
      <c r="D78" s="208" t="str">
        <f>'Header Info'!C78</f>
        <v>Drop Bottom Furnace No. 2</v>
      </c>
      <c r="E78" s="208" t="s">
        <v>926</v>
      </c>
      <c r="J78" s="208" t="s">
        <v>1834</v>
      </c>
      <c r="K78" s="208" t="s">
        <v>1833</v>
      </c>
      <c r="Q78" s="208" t="s">
        <v>551</v>
      </c>
      <c r="R78" s="208" t="s">
        <v>1877</v>
      </c>
      <c r="S78" s="208" t="s">
        <v>552</v>
      </c>
      <c r="T78" s="208" t="s">
        <v>550</v>
      </c>
      <c r="U78" s="208" t="s">
        <v>553</v>
      </c>
      <c r="V78" s="208" t="s">
        <v>1878</v>
      </c>
    </row>
    <row r="79" spans="2:22" x14ac:dyDescent="0.2">
      <c r="B79" s="208" t="str">
        <f>'Header Info'!B79</f>
        <v>CAPPS MANUFACTURING INC.</v>
      </c>
      <c r="C79" s="208" t="s">
        <v>920</v>
      </c>
      <c r="D79" s="208" t="str">
        <f>'Header Info'!C79</f>
        <v>TANK NO. 110</v>
      </c>
      <c r="E79" s="208" t="s">
        <v>925</v>
      </c>
      <c r="J79" s="208" t="s">
        <v>1537</v>
      </c>
      <c r="K79" s="208" t="s">
        <v>1536</v>
      </c>
      <c r="Q79" s="208" t="s">
        <v>810</v>
      </c>
      <c r="R79" s="208" t="s">
        <v>1879</v>
      </c>
      <c r="S79" s="208" t="s">
        <v>811</v>
      </c>
      <c r="T79" s="208" t="s">
        <v>550</v>
      </c>
      <c r="U79" s="208" t="s">
        <v>812</v>
      </c>
      <c r="V79" s="208" t="s">
        <v>1880</v>
      </c>
    </row>
    <row r="80" spans="2:22" x14ac:dyDescent="0.2">
      <c r="B80" s="208" t="str">
        <f>'Header Info'!B80</f>
        <v>CAPPS MANUFACTURING INC. - CUSTER</v>
      </c>
      <c r="C80" s="208" t="s">
        <v>920</v>
      </c>
      <c r="D80" s="208" t="str">
        <f>'Header Info'!C80</f>
        <v>C-CPI-6054</v>
      </c>
      <c r="E80" s="208" t="s">
        <v>921</v>
      </c>
      <c r="J80" s="208" t="s">
        <v>1558</v>
      </c>
      <c r="K80" s="208" t="s">
        <v>1557</v>
      </c>
      <c r="Q80" s="208" t="s">
        <v>813</v>
      </c>
      <c r="R80" s="208" t="s">
        <v>1881</v>
      </c>
      <c r="S80" s="208" t="s">
        <v>811</v>
      </c>
      <c r="T80" s="208" t="s">
        <v>550</v>
      </c>
      <c r="U80" s="208" t="s">
        <v>814</v>
      </c>
      <c r="V80" s="208" t="s">
        <v>1882</v>
      </c>
    </row>
    <row r="81" spans="2:22" x14ac:dyDescent="0.2">
      <c r="B81" s="208" t="str">
        <f>'Header Info'!B81</f>
        <v>CAPPS MANUFACTURING INC. - CUSTER</v>
      </c>
      <c r="C81" s="208" t="s">
        <v>920</v>
      </c>
      <c r="D81" s="208" t="str">
        <f>'Header Info'!C81</f>
        <v>CM00295 (OVEN NO. 2)</v>
      </c>
      <c r="E81" s="208" t="s">
        <v>924</v>
      </c>
      <c r="J81" s="208" t="s">
        <v>1543</v>
      </c>
      <c r="K81" s="208" t="s">
        <v>1795</v>
      </c>
      <c r="Q81" s="208" t="s">
        <v>554</v>
      </c>
      <c r="R81" s="208" t="s">
        <v>555</v>
      </c>
      <c r="S81" s="208" t="s">
        <v>556</v>
      </c>
      <c r="T81" s="208" t="s">
        <v>550</v>
      </c>
      <c r="U81" s="208" t="s">
        <v>557</v>
      </c>
      <c r="V81" s="208" t="s">
        <v>558</v>
      </c>
    </row>
    <row r="82" spans="2:22" x14ac:dyDescent="0.2">
      <c r="B82" s="208" t="str">
        <f>'Header Info'!B82</f>
        <v>CAPPS MANUFACTURING INC. - CUSTER</v>
      </c>
      <c r="C82" s="208" t="s">
        <v>920</v>
      </c>
      <c r="D82" s="208" t="str">
        <f>'Header Info'!C82</f>
        <v>CM00296</v>
      </c>
      <c r="E82" s="208" t="s">
        <v>923</v>
      </c>
      <c r="J82" s="208" t="s">
        <v>3879</v>
      </c>
      <c r="K82" s="208" t="s">
        <v>3878</v>
      </c>
    </row>
    <row r="83" spans="2:22" x14ac:dyDescent="0.2">
      <c r="B83" s="208" t="str">
        <f>'Header Info'!B83</f>
        <v>CAPPS MANUFACTURING INC. - CUSTER</v>
      </c>
      <c r="C83" s="208" t="s">
        <v>920</v>
      </c>
      <c r="D83" s="208" t="str">
        <f>'Header Info'!C83</f>
        <v>PAINT BAKE OVEN NO. 6</v>
      </c>
      <c r="E83" s="208" t="s">
        <v>922</v>
      </c>
      <c r="J83" s="208" t="s">
        <v>1566</v>
      </c>
      <c r="K83" s="208" t="s">
        <v>1565</v>
      </c>
    </row>
    <row r="84" spans="2:22" x14ac:dyDescent="0.2">
      <c r="B84" s="208" t="str">
        <f>'Header Info'!B84</f>
        <v>CAPPS MANUFACTURING INC. - CUSTER</v>
      </c>
      <c r="C84" s="208" t="s">
        <v>942</v>
      </c>
      <c r="D84" s="208" t="str">
        <f>'Header Info'!C84</f>
        <v>TANK NO. 101</v>
      </c>
      <c r="E84" s="208" t="s">
        <v>955</v>
      </c>
      <c r="J84" s="208" t="s">
        <v>1590</v>
      </c>
      <c r="K84" s="208" t="s">
        <v>1589</v>
      </c>
    </row>
    <row r="85" spans="2:22" x14ac:dyDescent="0.2">
      <c r="B85" s="208" t="str">
        <f>'Header Info'!B85</f>
        <v>CAPPS MANUFACTURING INC. - CUSTER</v>
      </c>
      <c r="C85" s="208" t="s">
        <v>942</v>
      </c>
      <c r="D85" s="208" t="str">
        <f>'Header Info'!C85</f>
        <v>TANK NO. 102</v>
      </c>
      <c r="E85" s="208" t="s">
        <v>946</v>
      </c>
      <c r="J85" s="208" t="s">
        <v>1624</v>
      </c>
      <c r="K85" s="208" t="s">
        <v>1623</v>
      </c>
    </row>
    <row r="86" spans="2:22" x14ac:dyDescent="0.2">
      <c r="B86" s="208" t="str">
        <f>'Header Info'!B86</f>
        <v>CAPPS MANUFACTURING INC. - CUSTER</v>
      </c>
      <c r="C86" s="208" t="s">
        <v>942</v>
      </c>
      <c r="D86" s="208" t="str">
        <f>'Header Info'!C86</f>
        <v>TANK NO. 103</v>
      </c>
      <c r="E86" s="208" t="s">
        <v>957</v>
      </c>
      <c r="J86" s="208" t="s">
        <v>1628</v>
      </c>
      <c r="K86" s="208" t="s">
        <v>1627</v>
      </c>
    </row>
    <row r="87" spans="2:22" x14ac:dyDescent="0.2">
      <c r="B87" s="208" t="str">
        <f>'Header Info'!B87</f>
        <v>CAPPS MANUFACTURING INC. - CUSTER</v>
      </c>
      <c r="C87" s="208" t="s">
        <v>942</v>
      </c>
      <c r="D87" s="208" t="str">
        <f>'Header Info'!C87</f>
        <v>TANK NO. 104</v>
      </c>
      <c r="E87" s="208" t="s">
        <v>958</v>
      </c>
    </row>
    <row r="88" spans="2:22" x14ac:dyDescent="0.2">
      <c r="B88" s="208" t="str">
        <f>'Header Info'!B88</f>
        <v>CAPPS MANUFACTURING INC. - CUSTER</v>
      </c>
      <c r="C88" s="208" t="s">
        <v>942</v>
      </c>
      <c r="D88" s="208" t="str">
        <f>'Header Info'!C88</f>
        <v>TANK NO. 109</v>
      </c>
      <c r="E88" s="208" t="s">
        <v>944</v>
      </c>
    </row>
    <row r="89" spans="2:22" x14ac:dyDescent="0.2">
      <c r="B89" s="208" t="str">
        <f>'Header Info'!B89</f>
        <v>CAPPS MANUFACTURING INC. - CUSTER</v>
      </c>
      <c r="C89" s="208" t="s">
        <v>942</v>
      </c>
      <c r="D89" s="208" t="str">
        <f>'Header Info'!C89</f>
        <v>TANK NO. 111</v>
      </c>
      <c r="E89" s="208" t="s">
        <v>954</v>
      </c>
    </row>
    <row r="90" spans="2:22" x14ac:dyDescent="0.2">
      <c r="B90" s="208" t="str">
        <f>'Header Info'!B90</f>
        <v>CAPPS MANUFACTURING INC. - CUSTER</v>
      </c>
      <c r="C90" s="208" t="s">
        <v>942</v>
      </c>
      <c r="D90" s="208" t="str">
        <f>'Header Info'!C90</f>
        <v>TANK NO. 117</v>
      </c>
      <c r="E90" s="208" t="s">
        <v>953</v>
      </c>
    </row>
    <row r="91" spans="2:22" x14ac:dyDescent="0.2">
      <c r="B91" s="208" t="str">
        <f>'Header Info'!B91</f>
        <v>CAPPS MANUFACTURING INC. - CUSTER</v>
      </c>
      <c r="C91" s="208" t="s">
        <v>942</v>
      </c>
      <c r="D91" s="208" t="str">
        <f>'Header Info'!C91</f>
        <v>TANK NO. 118</v>
      </c>
      <c r="E91" s="208" t="s">
        <v>952</v>
      </c>
    </row>
    <row r="92" spans="2:22" x14ac:dyDescent="0.2">
      <c r="B92" s="208" t="str">
        <f>'Header Info'!B92</f>
        <v>CAPPS MANUFACTURING INC. - CUSTER</v>
      </c>
      <c r="C92" s="208" t="s">
        <v>942</v>
      </c>
      <c r="D92" s="208" t="str">
        <f>'Header Info'!C92</f>
        <v>TANK NO. 119</v>
      </c>
      <c r="E92" s="208" t="s">
        <v>951</v>
      </c>
    </row>
    <row r="93" spans="2:22" x14ac:dyDescent="0.2">
      <c r="B93" s="208" t="str">
        <f>'Header Info'!B93</f>
        <v>CELCO</v>
      </c>
      <c r="C93" s="208" t="s">
        <v>942</v>
      </c>
      <c r="D93" s="208" t="str">
        <f>'Header Info'!C93</f>
        <v>OVEN NO. 1</v>
      </c>
      <c r="E93" s="208" t="s">
        <v>950</v>
      </c>
    </row>
    <row r="94" spans="2:22" x14ac:dyDescent="0.2">
      <c r="B94" s="208" t="str">
        <f>'Header Info'!B94</f>
        <v>CENTER INDUSTRIES CORP.</v>
      </c>
      <c r="C94" s="208" t="s">
        <v>942</v>
      </c>
      <c r="D94" s="208" t="str">
        <f>'Header Info'!C94</f>
        <v>CTR AGE OVEN NO. 1</v>
      </c>
      <c r="E94" s="208" t="s">
        <v>949</v>
      </c>
    </row>
    <row r="95" spans="2:22" x14ac:dyDescent="0.2">
      <c r="B95" s="208" t="str">
        <f>'Header Info'!B95</f>
        <v>CENTER INDUSTRIES CORP.</v>
      </c>
      <c r="C95" s="208" t="s">
        <v>942</v>
      </c>
      <c r="D95" s="208" t="str">
        <f>'Header Info'!C95</f>
        <v>CTR AGE OVEN NO. 2</v>
      </c>
      <c r="E95" s="208" t="s">
        <v>948</v>
      </c>
    </row>
    <row r="96" spans="2:22" x14ac:dyDescent="0.2">
      <c r="B96" s="208" t="str">
        <f>'Header Info'!B96</f>
        <v>CENTER INDUSTRIES CORP.</v>
      </c>
      <c r="C96" s="208" t="s">
        <v>942</v>
      </c>
      <c r="D96" s="208" t="str">
        <f>'Header Info'!C96</f>
        <v>CTR High Temp Furnace No. 1</v>
      </c>
      <c r="E96" s="208" t="s">
        <v>947</v>
      </c>
    </row>
    <row r="97" spans="2:5" x14ac:dyDescent="0.2">
      <c r="B97" s="208" t="str">
        <f>'Header Info'!B97</f>
        <v>CENTER INDUSTRIES CORP.</v>
      </c>
      <c r="C97" s="208" t="s">
        <v>942</v>
      </c>
      <c r="D97" s="208" t="str">
        <f>'Header Info'!C97</f>
        <v>CTR SALT BATH NO. 2</v>
      </c>
      <c r="E97" s="208" t="s">
        <v>943</v>
      </c>
    </row>
    <row r="98" spans="2:5" x14ac:dyDescent="0.2">
      <c r="B98" s="208" t="str">
        <f>'Header Info'!B98</f>
        <v>CHARLES ENGINEERING</v>
      </c>
      <c r="C98" s="208" t="s">
        <v>942</v>
      </c>
      <c r="D98" s="208" t="str">
        <f>'Header Info'!C98</f>
        <v>108582A0313</v>
      </c>
      <c r="E98" s="208" t="s">
        <v>959</v>
      </c>
    </row>
    <row r="99" spans="2:5" x14ac:dyDescent="0.2">
      <c r="B99" s="208" t="str">
        <f>'Header Info'!B99</f>
        <v>CHARLES ENGINEERING</v>
      </c>
      <c r="C99" s="208" t="s">
        <v>942</v>
      </c>
      <c r="D99" s="208">
        <f>'Header Info'!C99</f>
        <v>411623</v>
      </c>
      <c r="E99" s="208" t="s">
        <v>945</v>
      </c>
    </row>
    <row r="100" spans="2:5" x14ac:dyDescent="0.2">
      <c r="B100" s="208" t="str">
        <f>'Header Info'!B100</f>
        <v>CHROME PLUS INTERNATIONAL - WICHITA</v>
      </c>
      <c r="C100" s="208" t="s">
        <v>942</v>
      </c>
      <c r="D100" s="208" t="str">
        <f>'Header Info'!C100</f>
        <v>OVEN NO. 1</v>
      </c>
      <c r="E100" s="208" t="s">
        <v>956</v>
      </c>
    </row>
    <row r="101" spans="2:5" x14ac:dyDescent="0.2">
      <c r="B101" s="208" t="str">
        <f>'Header Info'!B101</f>
        <v>CHROME PLUS INTERNATIONAL - WICHITA</v>
      </c>
      <c r="C101" s="208" t="s">
        <v>961</v>
      </c>
      <c r="D101" s="208" t="str">
        <f>'Header Info'!C101</f>
        <v>OVEN NO. 2</v>
      </c>
      <c r="E101" s="208" t="s">
        <v>970</v>
      </c>
    </row>
    <row r="102" spans="2:5" x14ac:dyDescent="0.2">
      <c r="B102" s="208" t="str">
        <f>'Header Info'!B102</f>
        <v>CHROME PLUS INTERNATIONAL - WICHITA</v>
      </c>
      <c r="C102" s="208" t="s">
        <v>961</v>
      </c>
      <c r="D102" s="208" t="str">
        <f>'Header Info'!C102</f>
        <v>OVEN NO. 3</v>
      </c>
      <c r="E102" s="208" t="s">
        <v>973</v>
      </c>
    </row>
    <row r="103" spans="2:5" x14ac:dyDescent="0.2">
      <c r="B103" s="208" t="str">
        <f>'Header Info'!B103</f>
        <v>CHROME PLUS INTERNATIONAL - WICHITA</v>
      </c>
      <c r="C103" s="208" t="s">
        <v>961</v>
      </c>
      <c r="D103" s="208" t="str">
        <f>'Header Info'!C103</f>
        <v>OVEN NO. 4</v>
      </c>
      <c r="E103" s="208" t="s">
        <v>977</v>
      </c>
    </row>
    <row r="104" spans="2:5" x14ac:dyDescent="0.2">
      <c r="B104" s="208" t="str">
        <f>'Header Info'!B104</f>
        <v>CHROME PLUS INTERNATIONAL - WICHITA</v>
      </c>
      <c r="C104" s="208" t="s">
        <v>961</v>
      </c>
      <c r="D104" s="208" t="str">
        <f>'Header Info'!C104</f>
        <v>OVEN NO. 5 (W-CPI-0335)</v>
      </c>
      <c r="E104" s="208" t="s">
        <v>982</v>
      </c>
    </row>
    <row r="105" spans="2:5" x14ac:dyDescent="0.2">
      <c r="B105" s="208" t="str">
        <f>'Header Info'!B105</f>
        <v>CHROME PLUS INTERNATIONAL - WICHITA</v>
      </c>
      <c r="C105" s="208" t="s">
        <v>961</v>
      </c>
      <c r="D105" s="208" t="str">
        <f>'Header Info'!C105</f>
        <v>OVEN NO. 6</v>
      </c>
      <c r="E105" s="208" t="s">
        <v>988</v>
      </c>
    </row>
    <row r="106" spans="2:5" x14ac:dyDescent="0.2">
      <c r="B106" s="208" t="str">
        <f>'Header Info'!B106</f>
        <v>CHROME PLUS INTERNATIONAL - WICHITA</v>
      </c>
      <c r="C106" s="208" t="s">
        <v>961</v>
      </c>
      <c r="D106" s="208" t="str">
        <f>'Header Info'!C106</f>
        <v>OVEN NO. 9</v>
      </c>
      <c r="E106" s="208" t="s">
        <v>987</v>
      </c>
    </row>
    <row r="107" spans="2:5" x14ac:dyDescent="0.2">
      <c r="B107" s="208" t="str">
        <f>'Header Info'!B107</f>
        <v>CHROME PLUS INTERNATIONAL - WICHITA</v>
      </c>
      <c r="C107" s="208" t="s">
        <v>961</v>
      </c>
      <c r="D107" s="208" t="str">
        <f>'Header Info'!C107</f>
        <v>OVEN NO. 11 W-CPI-0304</v>
      </c>
      <c r="E107" s="208" t="s">
        <v>979</v>
      </c>
    </row>
    <row r="108" spans="2:5" x14ac:dyDescent="0.2">
      <c r="B108" s="208" t="str">
        <f>'Header Info'!B108</f>
        <v>CHROME PLUS INTERNATIONAL - WICHITA</v>
      </c>
      <c r="C108" s="208" t="s">
        <v>961</v>
      </c>
      <c r="D108" s="208" t="str">
        <f>'Header Info'!C108</f>
        <v>W-CPI-2163 (Oven No.12)</v>
      </c>
      <c r="E108" s="208" t="s">
        <v>1860</v>
      </c>
    </row>
    <row r="109" spans="2:5" x14ac:dyDescent="0.2">
      <c r="B109" s="208" t="str">
        <f>'Header Info'!B109</f>
        <v>CHROME PLUS INTERNATIONAL - WICHITA</v>
      </c>
      <c r="C109" s="208" t="s">
        <v>990</v>
      </c>
      <c r="D109" s="208" t="str">
        <f>'Header Info'!C109</f>
        <v>W-CPI-3046 (No. 7)</v>
      </c>
      <c r="E109" s="208" t="s">
        <v>999</v>
      </c>
    </row>
    <row r="110" spans="2:5" x14ac:dyDescent="0.2">
      <c r="B110" s="208" t="str">
        <f>'Header Info'!B110</f>
        <v>CHROME PLUS INTERNATIONAL - WICHITA</v>
      </c>
      <c r="C110" s="208" t="s">
        <v>990</v>
      </c>
      <c r="D110" s="208" t="str">
        <f>'Header Info'!C110</f>
        <v>W-CPI-3047 (NO. 8)</v>
      </c>
      <c r="E110" s="208" t="s">
        <v>1000</v>
      </c>
    </row>
    <row r="111" spans="2:5" x14ac:dyDescent="0.2">
      <c r="B111" s="208" t="str">
        <f>'Header Info'!B111</f>
        <v>CHROME PLUS INTERNATIONAL - WICHITA</v>
      </c>
      <c r="C111" s="208" t="s">
        <v>990</v>
      </c>
      <c r="D111" s="208" t="str">
        <f>'Header Info'!C111</f>
        <v>W-CPI-3049 (Oven 10)</v>
      </c>
      <c r="E111" s="208" t="s">
        <v>991</v>
      </c>
    </row>
    <row r="112" spans="2:5" x14ac:dyDescent="0.2">
      <c r="B112" s="208" t="str">
        <f>'Header Info'!B112</f>
        <v>CHROME PLUS INTERNATIONAL - WICHITA</v>
      </c>
      <c r="C112" s="208" t="s">
        <v>990</v>
      </c>
      <c r="D112" s="208" t="str">
        <f>'Header Info'!C112</f>
        <v>W-CPI-4143 (Oven 13)</v>
      </c>
      <c r="E112" s="208" t="s">
        <v>993</v>
      </c>
    </row>
    <row r="113" spans="2:5" x14ac:dyDescent="0.2">
      <c r="B113" s="208" t="str">
        <f>'Header Info'!B113</f>
        <v>CHROME PLUS INTERNATIONAL - WICHITA</v>
      </c>
      <c r="C113" s="208" t="s">
        <v>990</v>
      </c>
      <c r="D113" s="208" t="str">
        <f>'Header Info'!C113</f>
        <v>W-CPI-4144 (Oven 14)</v>
      </c>
      <c r="E113" s="208" t="s">
        <v>994</v>
      </c>
    </row>
    <row r="114" spans="2:5" x14ac:dyDescent="0.2">
      <c r="B114" s="208" t="str">
        <f>'Header Info'!B114</f>
        <v>CHROME PLUS INTERNATIONAL - WICHITA</v>
      </c>
      <c r="C114" s="208" t="s">
        <v>990</v>
      </c>
      <c r="D114" s="208" t="str">
        <f>'Header Info'!C114</f>
        <v>W-CPI-4988 (Oven 15)</v>
      </c>
      <c r="E114" s="208" t="s">
        <v>995</v>
      </c>
    </row>
    <row r="115" spans="2:5" x14ac:dyDescent="0.2">
      <c r="B115" s="208" t="str">
        <f>'Header Info'!B115</f>
        <v>CHROME PLUS INTERNATIONAL - WICHITA</v>
      </c>
      <c r="C115" s="208" t="s">
        <v>990</v>
      </c>
      <c r="D115" s="208" t="str">
        <f>'Header Info'!C115</f>
        <v>OVEN NO. 16 (W-CPI-1429)</v>
      </c>
      <c r="E115" s="208" t="s">
        <v>996</v>
      </c>
    </row>
    <row r="116" spans="2:5" x14ac:dyDescent="0.2">
      <c r="B116" s="208" t="str">
        <f>'Header Info'!B116</f>
        <v>CHROME PLUS INTERNATIONAL - WICHITA</v>
      </c>
      <c r="C116" s="208" t="s">
        <v>990</v>
      </c>
      <c r="D116" s="208" t="str">
        <f>'Header Info'!C116</f>
        <v>W-CPI-9173 (CURE OVEN 17)</v>
      </c>
      <c r="E116" s="208" t="s">
        <v>997</v>
      </c>
    </row>
    <row r="117" spans="2:5" x14ac:dyDescent="0.2">
      <c r="B117" s="208" t="str">
        <f>'Header Info'!B117</f>
        <v>CHROME PLUS INTERNATIONAL - WICHITA</v>
      </c>
      <c r="C117" s="208" t="s">
        <v>990</v>
      </c>
      <c r="D117" s="208" t="str">
        <f>'Header Info'!C117</f>
        <v>W-CPI-0112 (CURE OVEN 18)</v>
      </c>
      <c r="E117" s="208" t="s">
        <v>1925</v>
      </c>
    </row>
    <row r="118" spans="2:5" x14ac:dyDescent="0.2">
      <c r="B118" s="208" t="str">
        <f>'Header Info'!B118</f>
        <v>COX MACHINE, INC - HARPER DIVISION</v>
      </c>
      <c r="C118" s="208" t="s">
        <v>990</v>
      </c>
      <c r="D118" s="208" t="str">
        <f>'Header Info'!C118</f>
        <v>AGE OVEN NO. 4</v>
      </c>
      <c r="E118" s="208" t="s">
        <v>1928</v>
      </c>
    </row>
    <row r="119" spans="2:5" x14ac:dyDescent="0.2">
      <c r="B119" s="208" t="str">
        <f>'Header Info'!B119</f>
        <v>COX MACHINE, INC - HARPER DIVISION</v>
      </c>
      <c r="C119" s="208" t="s">
        <v>990</v>
      </c>
      <c r="D119" s="208" t="str">
        <f>'Header Info'!C119</f>
        <v>DROP BOTTOM 1</v>
      </c>
      <c r="E119" s="208" t="s">
        <v>1926</v>
      </c>
    </row>
    <row r="120" spans="2:5" x14ac:dyDescent="0.2">
      <c r="B120" s="208" t="str">
        <f>'Header Info'!B120</f>
        <v>COX MACHINE, INC - HARPER DIVISION</v>
      </c>
      <c r="C120" s="208" t="s">
        <v>990</v>
      </c>
      <c r="D120" s="208" t="str">
        <f>'Header Info'!C120</f>
        <v>OVEN NO. 3</v>
      </c>
      <c r="E120" s="208" t="s">
        <v>998</v>
      </c>
    </row>
    <row r="121" spans="2:5" x14ac:dyDescent="0.2">
      <c r="B121" s="208" t="str">
        <f>'Header Info'!B121</f>
        <v>COX MACHINE, INC - HARPER DIVISION</v>
      </c>
      <c r="C121" s="208" t="s">
        <v>990</v>
      </c>
      <c r="D121" s="208" t="str">
        <f>'Header Info'!C121</f>
        <v>OVEN NO. A1</v>
      </c>
      <c r="E121" s="208" t="s">
        <v>1002</v>
      </c>
    </row>
    <row r="122" spans="2:5" x14ac:dyDescent="0.2">
      <c r="B122" s="208" t="str">
        <f>'Header Info'!B122</f>
        <v>COX MACHINE, INC - HARPER DIVISION</v>
      </c>
      <c r="C122" s="208" t="s">
        <v>1003</v>
      </c>
      <c r="D122" s="208" t="str">
        <f>'Header Info'!C122</f>
        <v>OVEN NO. A2</v>
      </c>
      <c r="E122" s="208" t="s">
        <v>1772</v>
      </c>
    </row>
    <row r="123" spans="2:5" x14ac:dyDescent="0.2">
      <c r="B123" s="208" t="str">
        <f>'Header Info'!B123</f>
        <v>DIVERSIFIED SERVICES</v>
      </c>
      <c r="C123" s="208" t="s">
        <v>1003</v>
      </c>
      <c r="D123" s="208" t="str">
        <f>'Header Info'!C123</f>
        <v>BAKE OVEN</v>
      </c>
      <c r="E123" s="208" t="s">
        <v>1016</v>
      </c>
    </row>
    <row r="124" spans="2:5" x14ac:dyDescent="0.2">
      <c r="B124" s="208" t="str">
        <f>'Header Info'!B124</f>
        <v>DIVERSIFIED SERVICES</v>
      </c>
      <c r="C124" s="208" t="s">
        <v>1003</v>
      </c>
      <c r="D124" s="208" t="str">
        <f>'Header Info'!C124</f>
        <v>CURE OVEN, DSI Cal Record 313</v>
      </c>
      <c r="E124" s="208" t="s">
        <v>1022</v>
      </c>
    </row>
    <row r="125" spans="2:5" x14ac:dyDescent="0.2">
      <c r="B125" s="208" t="str">
        <f>'Header Info'!B125</f>
        <v>DIVERSIFIED SERVICES</v>
      </c>
      <c r="C125" s="208" t="s">
        <v>1003</v>
      </c>
      <c r="D125" s="208" t="str">
        <f>'Header Info'!C125</f>
        <v>DSI CAL RECORD:91</v>
      </c>
      <c r="E125" s="208" t="s">
        <v>1020</v>
      </c>
    </row>
    <row r="126" spans="2:5" x14ac:dyDescent="0.2">
      <c r="B126" s="208" t="str">
        <f>'Header Info'!B126</f>
        <v>DIVERSIFIED SERVICES</v>
      </c>
      <c r="C126" s="208" t="s">
        <v>1003</v>
      </c>
      <c r="D126" s="208" t="str">
        <f>'Header Info'!C126</f>
        <v>PAINT BAKE OVEN</v>
      </c>
      <c r="E126" s="208" t="s">
        <v>1019</v>
      </c>
    </row>
    <row r="127" spans="2:5" x14ac:dyDescent="0.2">
      <c r="B127" s="208" t="str">
        <f>'Header Info'!B127</f>
        <v>D-J ENGINEERING, INC.</v>
      </c>
      <c r="C127" s="208" t="s">
        <v>1003</v>
      </c>
      <c r="D127" s="208" t="str">
        <f>'Header Info'!C127</f>
        <v>AUTOCLAVE NO. 1</v>
      </c>
      <c r="E127" s="208" t="s">
        <v>1018</v>
      </c>
    </row>
    <row r="128" spans="2:5" x14ac:dyDescent="0.2">
      <c r="B128" s="208" t="str">
        <f>'Header Info'!B128</f>
        <v>D-J ENGINEERING, INC.</v>
      </c>
      <c r="C128" s="208" t="s">
        <v>1003</v>
      </c>
      <c r="D128" s="208" t="str">
        <f>'Header Info'!C128</f>
        <v>AUTOCLAVE NO. 2</v>
      </c>
      <c r="E128" s="208" t="s">
        <v>1004</v>
      </c>
    </row>
    <row r="129" spans="2:5" x14ac:dyDescent="0.2">
      <c r="B129" s="208" t="str">
        <f>'Header Info'!B129</f>
        <v>D-J ENGINEERING, INC.</v>
      </c>
      <c r="C129" s="208" t="s">
        <v>1003</v>
      </c>
      <c r="D129" s="208" t="str">
        <f>'Header Info'!C129</f>
        <v>BKE1</v>
      </c>
      <c r="E129" s="208" t="s">
        <v>1024</v>
      </c>
    </row>
    <row r="130" spans="2:5" x14ac:dyDescent="0.2">
      <c r="B130" s="208" t="str">
        <f>'Header Info'!B130</f>
        <v>D-J ENGINEERING, INC.</v>
      </c>
      <c r="C130" s="208" t="s">
        <v>1003</v>
      </c>
      <c r="D130" s="208" t="str">
        <f>'Header Info'!C130</f>
        <v>MIS458</v>
      </c>
      <c r="E130" s="208" t="s">
        <v>1014</v>
      </c>
    </row>
    <row r="131" spans="2:5" x14ac:dyDescent="0.2">
      <c r="B131" s="208" t="str">
        <f>'Header Info'!B131</f>
        <v>D-J ENGINEERING, INC.</v>
      </c>
      <c r="C131" s="208" t="s">
        <v>1003</v>
      </c>
      <c r="D131" s="208" t="str">
        <f>'Header Info'!C131</f>
        <v>OSI AGE OVEN</v>
      </c>
      <c r="E131" s="208" t="s">
        <v>1012</v>
      </c>
    </row>
    <row r="132" spans="2:5" x14ac:dyDescent="0.2">
      <c r="B132" s="208" t="str">
        <f>'Header Info'!B132</f>
        <v>D-J ENGINEERING, INC.</v>
      </c>
      <c r="C132" s="208" t="s">
        <v>1003</v>
      </c>
      <c r="D132" s="208" t="str">
        <f>'Header Info'!C132</f>
        <v>OVEN NO. 126912</v>
      </c>
      <c r="E132" s="208" t="s">
        <v>1010</v>
      </c>
    </row>
    <row r="133" spans="2:5" x14ac:dyDescent="0.2">
      <c r="B133" s="208" t="str">
        <f>'Header Info'!B133</f>
        <v>D-J EXTRUDING</v>
      </c>
      <c r="C133" s="208" t="s">
        <v>1003</v>
      </c>
      <c r="D133" s="208" t="str">
        <f>'Header Info'!C133</f>
        <v>ALG1</v>
      </c>
      <c r="E133" s="208" t="s">
        <v>1008</v>
      </c>
    </row>
    <row r="134" spans="2:5" x14ac:dyDescent="0.2">
      <c r="B134" s="208" t="str">
        <f>'Header Info'!B134</f>
        <v>D-J EXTRUDING</v>
      </c>
      <c r="C134" s="208" t="s">
        <v>1003</v>
      </c>
      <c r="D134" s="208" t="str">
        <f>'Header Info'!C134</f>
        <v>ALN1</v>
      </c>
      <c r="E134" s="208" t="s">
        <v>1006</v>
      </c>
    </row>
    <row r="135" spans="2:5" x14ac:dyDescent="0.2">
      <c r="B135" s="208" t="str">
        <f>'Header Info'!B135</f>
        <v>D-J EXTRUDING</v>
      </c>
      <c r="C135" s="208" t="s">
        <v>1003</v>
      </c>
      <c r="D135" s="208" t="str">
        <f>'Header Info'!C135</f>
        <v>ALH2</v>
      </c>
      <c r="E135" s="208" t="s">
        <v>1017</v>
      </c>
    </row>
    <row r="136" spans="2:5" x14ac:dyDescent="0.2">
      <c r="B136" s="208" t="str">
        <f>'Header Info'!B136</f>
        <v>D-J EXTRUDING</v>
      </c>
      <c r="C136" s="208" t="s">
        <v>1026</v>
      </c>
      <c r="D136" s="208" t="str">
        <f>'Header Info'!C136</f>
        <v>ALH1</v>
      </c>
      <c r="E136" s="208" t="s">
        <v>1049</v>
      </c>
    </row>
    <row r="137" spans="2:5" x14ac:dyDescent="0.2">
      <c r="B137" s="208" t="str">
        <f>'Header Info'!B137</f>
        <v>D-J EXTRUDING</v>
      </c>
      <c r="C137" s="208" t="s">
        <v>1026</v>
      </c>
      <c r="D137" s="208" t="str">
        <f>'Header Info'!C137</f>
        <v>STT1 (Monthly Test)</v>
      </c>
      <c r="E137" s="208" t="s">
        <v>1805</v>
      </c>
    </row>
    <row r="138" spans="2:5" x14ac:dyDescent="0.2">
      <c r="B138" s="208" t="str">
        <f>'Header Info'!B138</f>
        <v>D-J EXTRUDING</v>
      </c>
      <c r="C138" s="208" t="s">
        <v>1026</v>
      </c>
      <c r="D138" s="208" t="str">
        <f>'Header Info'!C138</f>
        <v>STT1 (Quarterly Test)</v>
      </c>
      <c r="E138" s="208" t="s">
        <v>1047</v>
      </c>
    </row>
    <row r="139" spans="2:5" x14ac:dyDescent="0.2">
      <c r="B139" s="208" t="str">
        <f>'Header Info'!B139</f>
        <v>D-J EXTRUDING</v>
      </c>
      <c r="C139" s="208" t="s">
        <v>1026</v>
      </c>
      <c r="D139" s="208" t="str">
        <f>'Header Info'!C139</f>
        <v>STT1 1400°F SA</v>
      </c>
      <c r="E139" s="208" t="s">
        <v>1028</v>
      </c>
    </row>
    <row r="140" spans="2:5" x14ac:dyDescent="0.2">
      <c r="B140" s="208" t="str">
        <f>'Header Info'!B140</f>
        <v>D-J EXTRUDING</v>
      </c>
      <c r="C140" s="208" t="s">
        <v>1026</v>
      </c>
      <c r="D140" s="208" t="str">
        <f>'Header Info'!C140</f>
        <v>STH1</v>
      </c>
      <c r="E140" s="208" t="s">
        <v>1030</v>
      </c>
    </row>
    <row r="141" spans="2:5" x14ac:dyDescent="0.2">
      <c r="B141" s="208" t="str">
        <f>'Header Info'!B141</f>
        <v>DUCOMMUN AEROSTRUCTURES, INC.</v>
      </c>
      <c r="C141" s="208" t="s">
        <v>1026</v>
      </c>
      <c r="D141" s="208" t="str">
        <f>'Header Info'!C141</f>
        <v>VAC-633</v>
      </c>
      <c r="E141" s="208" t="s">
        <v>1032</v>
      </c>
    </row>
    <row r="142" spans="2:5" x14ac:dyDescent="0.2">
      <c r="B142" s="208" t="str">
        <f>'Header Info'!B142</f>
        <v>DUCOMMUN AEROSTRUCTURES, INC.</v>
      </c>
      <c r="C142" s="208" t="s">
        <v>1026</v>
      </c>
      <c r="D142" s="208" t="str">
        <f>'Header Info'!C142</f>
        <v>VAC-438</v>
      </c>
      <c r="E142" s="208" t="s">
        <v>1034</v>
      </c>
    </row>
    <row r="143" spans="2:5" x14ac:dyDescent="0.2">
      <c r="B143" s="208" t="str">
        <f>'Header Info'!B143</f>
        <v>DUCOMMUN AEROSTRUCTURES, INC.</v>
      </c>
      <c r="C143" s="208" t="s">
        <v>1026</v>
      </c>
      <c r="D143" s="208" t="str">
        <f>'Header Info'!C143</f>
        <v>VAC-439</v>
      </c>
      <c r="E143" s="208" t="s">
        <v>1036</v>
      </c>
    </row>
    <row r="144" spans="2:5" x14ac:dyDescent="0.2">
      <c r="B144" s="208" t="str">
        <f>'Header Info'!B144</f>
        <v>DUCOMMUN AEROSTRUCTURES, INC.</v>
      </c>
      <c r="C144" s="208" t="s">
        <v>1026</v>
      </c>
      <c r="D144" s="208" t="str">
        <f>'Header Info'!C144</f>
        <v>VAC-440</v>
      </c>
      <c r="E144" s="208" t="s">
        <v>1038</v>
      </c>
    </row>
    <row r="145" spans="2:5" x14ac:dyDescent="0.2">
      <c r="B145" s="208" t="str">
        <f>'Header Info'!B145</f>
        <v>DUCOMMUN AEROSTRUCTURES, INC.</v>
      </c>
      <c r="C145" s="208" t="s">
        <v>1026</v>
      </c>
      <c r="D145" s="208" t="str">
        <f>'Header Info'!C145</f>
        <v>VAC-570</v>
      </c>
      <c r="E145" s="208" t="s">
        <v>1040</v>
      </c>
    </row>
    <row r="146" spans="2:5" x14ac:dyDescent="0.2">
      <c r="B146" s="208" t="str">
        <f>'Header Info'!B146</f>
        <v>DUCOMMUN AEROSTRUCTURES, INC.</v>
      </c>
      <c r="C146" s="208" t="s">
        <v>1026</v>
      </c>
      <c r="D146" s="208" t="str">
        <f>'Header Info'!C146</f>
        <v>VAC-579</v>
      </c>
      <c r="E146" s="208" t="s">
        <v>1041</v>
      </c>
    </row>
    <row r="147" spans="2:5" x14ac:dyDescent="0.2">
      <c r="B147" s="208" t="str">
        <f>'Header Info'!B147</f>
        <v>DUCOMMUN AEROSTRUCTURES, INC.</v>
      </c>
      <c r="C147" s="208" t="s">
        <v>1026</v>
      </c>
      <c r="D147" s="208" t="str">
        <f>'Header Info'!C147</f>
        <v>VAC-584</v>
      </c>
      <c r="E147" s="208" t="s">
        <v>1043</v>
      </c>
    </row>
    <row r="148" spans="2:5" x14ac:dyDescent="0.2">
      <c r="B148" s="208" t="str">
        <f>'Header Info'!B148</f>
        <v>DUCOMMUN AEROSTRUCTURES, INC.</v>
      </c>
      <c r="C148" s="208" t="s">
        <v>1026</v>
      </c>
      <c r="D148" s="208" t="str">
        <f>'Header Info'!C148</f>
        <v>VAC-629 Penetrant Oven</v>
      </c>
      <c r="E148" s="208" t="s">
        <v>1044</v>
      </c>
    </row>
    <row r="149" spans="2:5" x14ac:dyDescent="0.2">
      <c r="B149" s="208" t="str">
        <f>'Header Info'!B149</f>
        <v>DUCOMMUN AEROSTRUCTURES, INC.</v>
      </c>
      <c r="C149" s="208" t="s">
        <v>1026</v>
      </c>
      <c r="D149" s="208" t="str">
        <f>'Header Info'!C149</f>
        <v>VAC-634</v>
      </c>
      <c r="E149" s="208" t="s">
        <v>1045</v>
      </c>
    </row>
    <row r="150" spans="2:5" x14ac:dyDescent="0.2">
      <c r="B150" s="208" t="str">
        <f>'Header Info'!B150</f>
        <v>DUCOMMUN AEROSTRUCTURES, INC.</v>
      </c>
      <c r="C150" s="208" t="s">
        <v>1051</v>
      </c>
      <c r="D150" s="208" t="str">
        <f>'Header Info'!C150</f>
        <v>VAC-643</v>
      </c>
      <c r="E150" s="208" t="s">
        <v>1052</v>
      </c>
    </row>
    <row r="151" spans="2:5" x14ac:dyDescent="0.2">
      <c r="B151" s="208" t="str">
        <f>'Header Info'!B151</f>
        <v>DUCOMMUN AEROSTRUCTURES, INC.</v>
      </c>
      <c r="C151" s="208" t="s">
        <v>1054</v>
      </c>
      <c r="D151" s="208" t="str">
        <f>'Header Info'!C151</f>
        <v>VAC-644</v>
      </c>
      <c r="E151" s="208" t="s">
        <v>1056</v>
      </c>
    </row>
    <row r="152" spans="2:5" x14ac:dyDescent="0.2">
      <c r="B152" s="208" t="str">
        <f>'Header Info'!B152</f>
        <v>DUCOMMUN AEROSTRUCTURES, INC.</v>
      </c>
      <c r="C152" s="208" t="s">
        <v>1054</v>
      </c>
      <c r="D152" s="208" t="str">
        <f>'Header Info'!C152</f>
        <v>VAC-659</v>
      </c>
      <c r="E152" s="208" t="s">
        <v>1060</v>
      </c>
    </row>
    <row r="153" spans="2:5" x14ac:dyDescent="0.2">
      <c r="B153" s="208" t="str">
        <f>'Header Info'!B153</f>
        <v>DUCOMMUN AEROSTRUCTURES, INC.</v>
      </c>
      <c r="C153" s="208" t="s">
        <v>1054</v>
      </c>
      <c r="D153" s="208" t="str">
        <f>'Header Info'!C153</f>
        <v>VAC-963</v>
      </c>
      <c r="E153" s="208" t="s">
        <v>1058</v>
      </c>
    </row>
    <row r="154" spans="2:5" x14ac:dyDescent="0.2">
      <c r="B154" s="208" t="str">
        <f>'Header Info'!B154</f>
        <v>DUCOMMUN AEROSTRUCTURES, INC.</v>
      </c>
      <c r="C154" s="208" t="s">
        <v>1072</v>
      </c>
      <c r="D154" s="208" t="str">
        <f>'Header Info'!C154</f>
        <v>VAC-980</v>
      </c>
      <c r="E154" s="208" t="s">
        <v>1074</v>
      </c>
    </row>
    <row r="155" spans="2:5" x14ac:dyDescent="0.2">
      <c r="B155" s="208" t="str">
        <f>'Header Info'!B155</f>
        <v>DUCOMMUN AEROSTRUCTURES, INC.</v>
      </c>
      <c r="C155" s="208" t="s">
        <v>1072</v>
      </c>
      <c r="D155" s="208" t="str">
        <f>'Header Info'!C155</f>
        <v>VAC-983 2-1</v>
      </c>
      <c r="E155" s="208" t="s">
        <v>1075</v>
      </c>
    </row>
    <row r="156" spans="2:5" x14ac:dyDescent="0.2">
      <c r="B156" s="208" t="str">
        <f>'Header Info'!B156</f>
        <v>DUCOMMUN AEROSTRUCTURES, INC.</v>
      </c>
      <c r="C156" s="208" t="s">
        <v>1077</v>
      </c>
      <c r="D156" s="208" t="str">
        <f>'Header Info'!C156</f>
        <v>VAC-983 2-3</v>
      </c>
      <c r="E156" s="208" t="s">
        <v>1085</v>
      </c>
    </row>
    <row r="157" spans="2:5" x14ac:dyDescent="0.2">
      <c r="B157" s="208" t="str">
        <f>'Header Info'!B157</f>
        <v>DUCOMMUN AEROSTRUCTURES, INC.</v>
      </c>
      <c r="C157" s="208" t="s">
        <v>1077</v>
      </c>
      <c r="D157" s="208" t="str">
        <f>'Header Info'!C157</f>
        <v>VAC-983 2-6</v>
      </c>
      <c r="E157" s="208" t="s">
        <v>1086</v>
      </c>
    </row>
    <row r="158" spans="2:5" x14ac:dyDescent="0.2">
      <c r="B158" s="208" t="str">
        <f>'Header Info'!B158</f>
        <v>DUCOMMUN AEROSTRUCTURES, INC.</v>
      </c>
      <c r="C158" s="208" t="s">
        <v>1077</v>
      </c>
      <c r="D158" s="208" t="str">
        <f>'Header Info'!C158</f>
        <v>VAC-983 2-A</v>
      </c>
      <c r="E158" s="208" t="s">
        <v>1087</v>
      </c>
    </row>
    <row r="159" spans="2:5" x14ac:dyDescent="0.2">
      <c r="B159" s="208" t="str">
        <f>'Header Info'!B159</f>
        <v>DUCOMMUN AEROSTRUCTURES, INC.</v>
      </c>
      <c r="C159" s="208" t="s">
        <v>1077</v>
      </c>
      <c r="D159" s="208" t="str">
        <f>'Header Info'!C159</f>
        <v>VAC-989</v>
      </c>
      <c r="E159" s="208" t="s">
        <v>1089</v>
      </c>
    </row>
    <row r="160" spans="2:5" x14ac:dyDescent="0.2">
      <c r="B160" s="208" t="str">
        <f>'Header Info'!B160</f>
        <v>DUCOMMUN AEROSTRUCTURES, INC.</v>
      </c>
      <c r="C160" s="208" t="s">
        <v>1077</v>
      </c>
      <c r="D160" s="208" t="str">
        <f>'Header Info'!C160</f>
        <v>VAC-1005</v>
      </c>
      <c r="E160" s="208" t="s">
        <v>1090</v>
      </c>
    </row>
    <row r="161" spans="2:5" x14ac:dyDescent="0.2">
      <c r="B161" s="208" t="str">
        <f>'Header Info'!B161</f>
        <v>DUCOMMUN AEROSTRUCTURES, INC.</v>
      </c>
      <c r="C161" s="208" t="s">
        <v>1077</v>
      </c>
      <c r="D161" s="208" t="str">
        <f>'Header Info'!C161</f>
        <v>VAC-1077</v>
      </c>
      <c r="E161" s="208" t="s">
        <v>1091</v>
      </c>
    </row>
    <row r="162" spans="2:5" x14ac:dyDescent="0.2">
      <c r="B162" s="208" t="str">
        <f>'Header Info'!B162</f>
        <v>ELECTROMECH TECHNOLOGIES</v>
      </c>
      <c r="C162" s="208" t="s">
        <v>1077</v>
      </c>
      <c r="D162" s="208">
        <f>'Header Info'!C162</f>
        <v>588</v>
      </c>
      <c r="E162" s="208" t="s">
        <v>1094</v>
      </c>
    </row>
    <row r="163" spans="2:5" x14ac:dyDescent="0.2">
      <c r="B163" s="208" t="str">
        <f>'Header Info'!B163</f>
        <v>ELECTROMECH TECHNOLOGIES</v>
      </c>
      <c r="C163" s="208" t="s">
        <v>1077</v>
      </c>
      <c r="D163" s="208">
        <f>'Header Info'!C163</f>
        <v>12004</v>
      </c>
      <c r="E163" s="208" t="s">
        <v>3839</v>
      </c>
    </row>
    <row r="164" spans="2:5" x14ac:dyDescent="0.2">
      <c r="B164" s="208" t="str">
        <f>'Header Info'!B164</f>
        <v>ELECTROMECH TECHNOLOGIES</v>
      </c>
      <c r="C164" s="208" t="s">
        <v>1077</v>
      </c>
      <c r="D164" s="208" t="str">
        <f>'Header Info'!C164</f>
        <v>ASSET A000080</v>
      </c>
      <c r="E164" s="208" t="s">
        <v>1084</v>
      </c>
    </row>
    <row r="165" spans="2:5" x14ac:dyDescent="0.2">
      <c r="B165" s="208" t="str">
        <f>'Header Info'!B165</f>
        <v>ELECTROMECH TECHNOLOGIES</v>
      </c>
      <c r="C165" s="208" t="s">
        <v>1077</v>
      </c>
      <c r="D165" s="208" t="str">
        <f>'Header Info'!C165</f>
        <v>Blue M Oven 568</v>
      </c>
      <c r="E165" s="208" t="s">
        <v>1083</v>
      </c>
    </row>
    <row r="166" spans="2:5" x14ac:dyDescent="0.2">
      <c r="B166" s="208" t="str">
        <f>'Header Info'!B166</f>
        <v>ELECTROMECH TECHNOLOGIES</v>
      </c>
      <c r="C166" s="208" t="s">
        <v>1077</v>
      </c>
      <c r="D166" s="208" t="str">
        <f>'Header Info'!C166</f>
        <v>Cure Oven No. 15791</v>
      </c>
      <c r="E166" s="208" t="s">
        <v>1081</v>
      </c>
    </row>
    <row r="167" spans="2:5" x14ac:dyDescent="0.2">
      <c r="B167" s="208" t="str">
        <f>'Header Info'!B167</f>
        <v>ELECTROMECH TECHNOLOGIES</v>
      </c>
      <c r="C167" s="208" t="s">
        <v>1077</v>
      </c>
      <c r="D167" s="208" t="str">
        <f>'Header Info'!C167</f>
        <v>Cure Oven No. 187</v>
      </c>
      <c r="E167" s="208" t="s">
        <v>1079</v>
      </c>
    </row>
    <row r="168" spans="2:5" x14ac:dyDescent="0.2">
      <c r="B168" s="208" t="str">
        <f>'Header Info'!B168</f>
        <v>ELECTROMECH TECHNOLOGIES</v>
      </c>
      <c r="C168" s="208" t="s">
        <v>1077</v>
      </c>
      <c r="D168" s="208" t="str">
        <f>'Header Info'!C168</f>
        <v>Cure Oven No. 75143</v>
      </c>
      <c r="E168" s="208" t="s">
        <v>1658</v>
      </c>
    </row>
    <row r="169" spans="2:5" x14ac:dyDescent="0.2">
      <c r="B169" s="208" t="str">
        <f>'Header Info'!B169</f>
        <v>ELECTROMECH TECHNOLOGIES</v>
      </c>
      <c r="C169" s="208" t="s">
        <v>1077</v>
      </c>
      <c r="D169" s="208" t="str">
        <f>'Header Info'!C169</f>
        <v>Environmental Chamber 482</v>
      </c>
      <c r="E169" s="208" t="s">
        <v>3840</v>
      </c>
    </row>
    <row r="170" spans="2:5" x14ac:dyDescent="0.2">
      <c r="B170" s="208" t="str">
        <f>'Header Info'!B170</f>
        <v>ELECTROMECH TECHNOLOGIES</v>
      </c>
      <c r="C170" s="208" t="s">
        <v>1077</v>
      </c>
      <c r="D170" s="208" t="str">
        <f>'Header Info'!C170</f>
        <v>FT622</v>
      </c>
      <c r="E170" s="208" t="s">
        <v>1092</v>
      </c>
    </row>
    <row r="171" spans="2:5" x14ac:dyDescent="0.2">
      <c r="B171" s="208" t="str">
        <f>'Header Info'!B171</f>
        <v>ELECTROMECH TECHNOLOGIES</v>
      </c>
      <c r="C171" s="208" t="s">
        <v>1077</v>
      </c>
      <c r="D171" s="208" t="str">
        <f>'Header Info'!C171</f>
        <v>Oven No. 066</v>
      </c>
      <c r="E171" s="208" t="s">
        <v>1078</v>
      </c>
    </row>
    <row r="172" spans="2:5" x14ac:dyDescent="0.2">
      <c r="B172" s="208" t="str">
        <f>'Header Info'!B172</f>
        <v>ELECTROMECH TECHNOLOGIES</v>
      </c>
      <c r="C172" s="208" t="s">
        <v>1660</v>
      </c>
      <c r="D172" s="208" t="str">
        <f>'Header Info'!C172</f>
        <v>Oven No. 567</v>
      </c>
      <c r="E172" s="208" t="s">
        <v>1667</v>
      </c>
    </row>
    <row r="173" spans="2:5" x14ac:dyDescent="0.2">
      <c r="B173" s="208" t="str">
        <f>'Header Info'!B173</f>
        <v>ELECTROMECH TECHNOLOGIES</v>
      </c>
      <c r="C173" s="208" t="s">
        <v>1660</v>
      </c>
      <c r="D173" s="208" t="str">
        <f>'Header Info'!C173</f>
        <v>Oven No. 13271</v>
      </c>
      <c r="E173" s="208" t="s">
        <v>1669</v>
      </c>
    </row>
    <row r="174" spans="2:5" x14ac:dyDescent="0.2">
      <c r="B174" s="208" t="str">
        <f>'Header Info'!B174</f>
        <v>ELECTROMECH TECHNOLOGIES</v>
      </c>
      <c r="C174" s="208" t="s">
        <v>1660</v>
      </c>
      <c r="D174" s="208" t="str">
        <f>'Header Info'!C174</f>
        <v>Oven No. 14835</v>
      </c>
      <c r="E174" s="208" t="s">
        <v>1664</v>
      </c>
    </row>
    <row r="175" spans="2:5" x14ac:dyDescent="0.2">
      <c r="B175" s="208" t="str">
        <f>'Header Info'!B175</f>
        <v>ELECTROMECH TECHNOLOGIES</v>
      </c>
      <c r="C175" s="208" t="s">
        <v>1660</v>
      </c>
      <c r="D175" s="208" t="str">
        <f>'Header Info'!C175</f>
        <v>Oven No. 613853-231</v>
      </c>
      <c r="E175" s="208" t="s">
        <v>1666</v>
      </c>
    </row>
    <row r="176" spans="2:5" x14ac:dyDescent="0.2">
      <c r="B176" s="208" t="str">
        <f>'Header Info'!B176</f>
        <v>ELECTROMECH TECHNOLOGIES</v>
      </c>
      <c r="C176" s="208" t="s">
        <v>1660</v>
      </c>
      <c r="D176" s="208" t="str">
        <f>'Header Info'!C176</f>
        <v>Oven No. 851899</v>
      </c>
      <c r="E176" s="208" t="s">
        <v>1662</v>
      </c>
    </row>
    <row r="177" spans="2:5" x14ac:dyDescent="0.2">
      <c r="B177" s="208" t="str">
        <f>'Header Info'!B177</f>
        <v>ELECTROMECH TECHNOLOGIES</v>
      </c>
      <c r="C177" s="208" t="s">
        <v>1096</v>
      </c>
      <c r="D177" s="208" t="str">
        <f>'Header Info'!C177</f>
        <v>Thermal Shock Chamber</v>
      </c>
      <c r="E177" s="208" t="s">
        <v>1097</v>
      </c>
    </row>
    <row r="178" spans="2:5" x14ac:dyDescent="0.2">
      <c r="B178" s="208" t="str">
        <f>'Header Info'!B178</f>
        <v>EXACTA AEROSPACE, INC. SOUTH</v>
      </c>
      <c r="C178" s="208" t="s">
        <v>1099</v>
      </c>
      <c r="D178" s="208" t="str">
        <f>'Header Info'!C178</f>
        <v>Cure Oven</v>
      </c>
      <c r="E178" s="208" t="s">
        <v>1102</v>
      </c>
    </row>
    <row r="179" spans="2:5" x14ac:dyDescent="0.2">
      <c r="B179" s="208" t="str">
        <f>'Header Info'!B179</f>
        <v>EXACTA AEROSPACE, INC.</v>
      </c>
      <c r="C179" s="208" t="s">
        <v>1099</v>
      </c>
      <c r="D179" s="208" t="str">
        <f>'Header Info'!C179</f>
        <v>STRESS RELIEF OVEN</v>
      </c>
      <c r="E179" s="208" t="s">
        <v>1107</v>
      </c>
    </row>
    <row r="180" spans="2:5" x14ac:dyDescent="0.2">
      <c r="B180" s="208" t="str">
        <f>'Header Info'!B180</f>
        <v>FARRAR MANHATTAN DIV.</v>
      </c>
      <c r="C180" s="208" t="s">
        <v>1099</v>
      </c>
      <c r="D180" s="208" t="str">
        <f>'Header Info'!C180</f>
        <v>FURNACE NO. 1</v>
      </c>
      <c r="E180" s="208" t="s">
        <v>1108</v>
      </c>
    </row>
    <row r="181" spans="2:5" x14ac:dyDescent="0.2">
      <c r="B181" s="208" t="str">
        <f>'Header Info'!B181</f>
        <v>FARRAR MANHATTAN DIV.</v>
      </c>
      <c r="C181" s="208" t="s">
        <v>1099</v>
      </c>
      <c r="D181" s="208" t="str">
        <f>'Header Info'!C181</f>
        <v>FURNACE NO. 2</v>
      </c>
      <c r="E181" s="208" t="s">
        <v>1103</v>
      </c>
    </row>
    <row r="182" spans="2:5" x14ac:dyDescent="0.2">
      <c r="B182" s="208" t="str">
        <f>'Header Info'!B182</f>
        <v>FARRAR MANHATTAN DIV.</v>
      </c>
      <c r="C182" s="208" t="s">
        <v>1099</v>
      </c>
      <c r="D182" s="208" t="str">
        <f>'Header Info'!C182</f>
        <v>FURNACE NO. 3</v>
      </c>
      <c r="E182" s="208" t="s">
        <v>1105</v>
      </c>
    </row>
    <row r="183" spans="2:5" x14ac:dyDescent="0.2">
      <c r="B183" s="208" t="str">
        <f>'Header Info'!B183</f>
        <v>FIGEAC AERO</v>
      </c>
      <c r="C183" s="208" t="s">
        <v>1099</v>
      </c>
      <c r="D183" s="208" t="str">
        <f>'Header Info'!C183</f>
        <v>FW-801</v>
      </c>
      <c r="E183" s="208" t="s">
        <v>1101</v>
      </c>
    </row>
    <row r="184" spans="2:5" x14ac:dyDescent="0.2">
      <c r="B184" s="208" t="str">
        <f>'Header Info'!B184</f>
        <v>FIGEAC AERO</v>
      </c>
      <c r="C184" s="208" t="s">
        <v>1110</v>
      </c>
      <c r="D184" s="208" t="str">
        <f>'Header Info'!C184</f>
        <v>FW-802</v>
      </c>
      <c r="E184" s="208" t="s">
        <v>1113</v>
      </c>
    </row>
    <row r="185" spans="2:5" x14ac:dyDescent="0.2">
      <c r="B185" s="208" t="str">
        <f>'Header Info'!B185</f>
        <v>FIGEAC AERO</v>
      </c>
      <c r="C185" s="208" t="s">
        <v>1110</v>
      </c>
      <c r="D185" s="208" t="str">
        <f>'Header Info'!C185</f>
        <v>FW-803</v>
      </c>
      <c r="E185" s="208" t="s">
        <v>1117</v>
      </c>
    </row>
    <row r="186" spans="2:5" x14ac:dyDescent="0.2">
      <c r="B186" s="208" t="str">
        <f>'Header Info'!B186</f>
        <v>FIGEAC AERO</v>
      </c>
      <c r="C186" s="208" t="s">
        <v>1110</v>
      </c>
      <c r="D186" s="208" t="str">
        <f>'Header Info'!C186</f>
        <v>FW-804</v>
      </c>
      <c r="E186" s="208" t="s">
        <v>1116</v>
      </c>
    </row>
    <row r="187" spans="2:5" x14ac:dyDescent="0.2">
      <c r="B187" s="208" t="str">
        <f>'Header Info'!B187</f>
        <v>FIGEAC AERO</v>
      </c>
      <c r="C187" s="208" t="s">
        <v>1110</v>
      </c>
      <c r="D187" s="208" t="str">
        <f>'Header Info'!C187</f>
        <v>FW-805</v>
      </c>
      <c r="E187" s="208" t="s">
        <v>1114</v>
      </c>
    </row>
    <row r="188" spans="2:5" x14ac:dyDescent="0.2">
      <c r="B188" s="208" t="str">
        <f>'Header Info'!B188</f>
        <v>FIGEAC AERO</v>
      </c>
      <c r="C188" s="208" t="s">
        <v>1110</v>
      </c>
      <c r="D188" s="208" t="str">
        <f>'Header Info'!C188</f>
        <v>FW-806</v>
      </c>
      <c r="E188" s="208" t="s">
        <v>1111</v>
      </c>
    </row>
    <row r="189" spans="2:5" x14ac:dyDescent="0.2">
      <c r="B189" s="208" t="str">
        <f>'Header Info'!B189</f>
        <v>FIGEAC AERO</v>
      </c>
      <c r="C189" s="208" t="s">
        <v>1110</v>
      </c>
      <c r="D189" s="208" t="str">
        <f>'Header Info'!C189</f>
        <v>FW-808</v>
      </c>
      <c r="E189" s="208" t="s">
        <v>1112</v>
      </c>
    </row>
    <row r="190" spans="2:5" x14ac:dyDescent="0.2">
      <c r="B190" s="208" t="str">
        <f>'Header Info'!B190</f>
        <v>FIGEAC AERO</v>
      </c>
      <c r="C190" s="208" t="s">
        <v>1119</v>
      </c>
      <c r="D190" s="208" t="str">
        <f>'Header Info'!C190</f>
        <v>FW-809</v>
      </c>
      <c r="E190" s="208" t="s">
        <v>1124</v>
      </c>
    </row>
    <row r="191" spans="2:5" x14ac:dyDescent="0.2">
      <c r="B191" s="208" t="str">
        <f>'Header Info'!B191</f>
        <v>FIGEAC AERO</v>
      </c>
      <c r="C191" s="208" t="s">
        <v>1119</v>
      </c>
      <c r="D191" s="208" t="str">
        <f>'Header Info'!C191</f>
        <v>FW-810</v>
      </c>
      <c r="E191" s="208" t="s">
        <v>1961</v>
      </c>
    </row>
    <row r="192" spans="2:5" x14ac:dyDescent="0.2">
      <c r="B192" s="208" t="str">
        <f>'Header Info'!B192</f>
        <v>FIGEAC AERO</v>
      </c>
      <c r="C192" s="208" t="s">
        <v>1119</v>
      </c>
      <c r="D192" s="208" t="str">
        <f>'Header Info'!C192</f>
        <v>FW-NDT-013</v>
      </c>
      <c r="E192" s="208" t="s">
        <v>1121</v>
      </c>
    </row>
    <row r="193" spans="2:5" x14ac:dyDescent="0.2">
      <c r="B193" s="208" t="str">
        <f>'Header Info'!B193</f>
        <v>FIGEAC AERO</v>
      </c>
      <c r="C193" s="208" t="s">
        <v>1119</v>
      </c>
      <c r="D193" s="208" t="str">
        <f>'Header Info'!C193</f>
        <v>LAB OVEN FW-LAB-003</v>
      </c>
      <c r="E193" s="208" t="s">
        <v>1122</v>
      </c>
    </row>
    <row r="194" spans="2:5" x14ac:dyDescent="0.2">
      <c r="B194" s="208" t="str">
        <f>'Header Info'!B194</f>
        <v>FIGEAC AERO</v>
      </c>
      <c r="C194" s="208" t="s">
        <v>1126</v>
      </c>
      <c r="D194" s="208" t="str">
        <f>'Header Info'!C194</f>
        <v>SW-032</v>
      </c>
      <c r="E194" s="208" t="s">
        <v>1811</v>
      </c>
    </row>
    <row r="195" spans="2:5" x14ac:dyDescent="0.2">
      <c r="B195" s="208" t="str">
        <f>'Header Info'!B195</f>
        <v>FMI, INC.</v>
      </c>
      <c r="C195" s="208" t="s">
        <v>1126</v>
      </c>
      <c r="D195" s="208" t="str">
        <f>'Header Info'!C195</f>
        <v>OVEN NO. 2</v>
      </c>
      <c r="E195" s="208" t="s">
        <v>1813</v>
      </c>
    </row>
    <row r="196" spans="2:5" x14ac:dyDescent="0.2">
      <c r="B196" s="208" t="str">
        <f>'Header Info'!B196</f>
        <v>FMI, INC.</v>
      </c>
      <c r="C196" s="208" t="s">
        <v>1126</v>
      </c>
      <c r="D196" s="208" t="str">
        <f>'Header Info'!C196</f>
        <v>Freezer No. 19</v>
      </c>
      <c r="E196" s="208" t="s">
        <v>1907</v>
      </c>
    </row>
    <row r="197" spans="2:5" x14ac:dyDescent="0.2">
      <c r="B197" s="208" t="str">
        <f>'Header Info'!B197</f>
        <v>FTW COATINGS</v>
      </c>
      <c r="C197" s="208" t="s">
        <v>1126</v>
      </c>
      <c r="D197" s="208" t="str">
        <f>'Header Info'!C197</f>
        <v>JPW Oven</v>
      </c>
      <c r="E197" s="208" t="s">
        <v>1809</v>
      </c>
    </row>
    <row r="198" spans="2:5" x14ac:dyDescent="0.2">
      <c r="B198" s="208" t="str">
        <f>'Header Info'!B198</f>
        <v>GLOBAL ENGINEERING TECHNOLOGY</v>
      </c>
      <c r="C198" s="208" t="s">
        <v>1126</v>
      </c>
      <c r="D198" s="208" t="str">
        <f>'Header Info'!C198</f>
        <v>POWDER COAT OVEN</v>
      </c>
      <c r="E198" s="208" t="s">
        <v>1963</v>
      </c>
    </row>
    <row r="199" spans="2:5" x14ac:dyDescent="0.2">
      <c r="B199" s="208" t="str">
        <f>'Header Info'!B199</f>
        <v>GLOBAL PARTS AERO SERVICES, INC.</v>
      </c>
      <c r="C199" s="208" t="s">
        <v>1126</v>
      </c>
      <c r="D199" s="208" t="str">
        <f>'Header Info'!C199</f>
        <v>Knoxville Bake Oven</v>
      </c>
      <c r="E199" s="208" t="s">
        <v>1776</v>
      </c>
    </row>
    <row r="200" spans="2:5" x14ac:dyDescent="0.2">
      <c r="B200" s="208" t="str">
        <f>'Header Info'!B200</f>
        <v>GLOBAL PARTS AERO SERVICES, INC.</v>
      </c>
      <c r="C200" s="208" t="s">
        <v>1126</v>
      </c>
      <c r="D200" s="208" t="str">
        <f>'Header Info'!C200</f>
        <v>Steelman Bake Oven</v>
      </c>
      <c r="E200" s="208" t="s">
        <v>1807</v>
      </c>
    </row>
    <row r="201" spans="2:5" x14ac:dyDescent="0.2">
      <c r="B201" s="208" t="str">
        <f>'Header Info'!B201</f>
        <v>GLOBE ENGINEERING CO.</v>
      </c>
      <c r="C201" s="208" t="s">
        <v>1126</v>
      </c>
      <c r="D201" s="208" t="str">
        <f>'Header Info'!C201</f>
        <v>GEC AO1</v>
      </c>
      <c r="E201" s="208" t="s">
        <v>1135</v>
      </c>
    </row>
    <row r="202" spans="2:5" x14ac:dyDescent="0.2">
      <c r="B202" s="208" t="str">
        <f>'Header Info'!B202</f>
        <v>GLOBE ENGINEERING CO.</v>
      </c>
      <c r="C202" s="208" t="s">
        <v>1126</v>
      </c>
      <c r="D202" s="208" t="str">
        <f>'Header Info'!C202</f>
        <v>GEC AO2A</v>
      </c>
      <c r="E202" s="208" t="s">
        <v>1136</v>
      </c>
    </row>
    <row r="203" spans="2:5" x14ac:dyDescent="0.2">
      <c r="B203" s="208" t="str">
        <f>'Header Info'!B203</f>
        <v>GLOBE ENGINEERING CO.</v>
      </c>
      <c r="C203" s="208" t="s">
        <v>1126</v>
      </c>
      <c r="D203" s="208" t="str">
        <f>'Header Info'!C203</f>
        <v>DROP BOTTOM FURNACE NO. 1</v>
      </c>
      <c r="E203" s="208" t="s">
        <v>1138</v>
      </c>
    </row>
    <row r="204" spans="2:5" x14ac:dyDescent="0.2">
      <c r="B204" s="208" t="str">
        <f>'Header Info'!B204</f>
        <v>GLOBE ENGINEERING CO.</v>
      </c>
      <c r="C204" s="208" t="s">
        <v>1126</v>
      </c>
      <c r="D204" s="208" t="str">
        <f>'Header Info'!C204</f>
        <v>DROP BOTTOM NO. 2A</v>
      </c>
      <c r="E204" s="208" t="s">
        <v>1140</v>
      </c>
    </row>
    <row r="205" spans="2:5" x14ac:dyDescent="0.2">
      <c r="B205" s="208" t="str">
        <f>'Header Info'!B205</f>
        <v>GLOBE ENGINEERING CO.</v>
      </c>
      <c r="C205" s="208" t="s">
        <v>1126</v>
      </c>
      <c r="D205" s="208" t="str">
        <f>'Header Info'!C205</f>
        <v>GEC AO3A</v>
      </c>
      <c r="E205" s="208" t="s">
        <v>1144</v>
      </c>
    </row>
    <row r="206" spans="2:5" x14ac:dyDescent="0.2">
      <c r="B206" s="208" t="str">
        <f>'Header Info'!B206</f>
        <v>GLOBE ENGINEERING CO.</v>
      </c>
      <c r="C206" s="208" t="s">
        <v>1126</v>
      </c>
      <c r="D206" s="208" t="str">
        <f>'Header Info'!C206</f>
        <v>GEC AO4A</v>
      </c>
      <c r="E206" s="208" t="s">
        <v>1146</v>
      </c>
    </row>
    <row r="207" spans="2:5" x14ac:dyDescent="0.2">
      <c r="B207" s="208" t="str">
        <f>'Header Info'!B207</f>
        <v>GLOBE ENGINEERING CO.</v>
      </c>
      <c r="C207" s="208" t="s">
        <v>1126</v>
      </c>
      <c r="D207" s="208" t="str">
        <f>'Header Info'!C207</f>
        <v>GEC AO5</v>
      </c>
      <c r="E207" s="208" t="s">
        <v>1148</v>
      </c>
    </row>
    <row r="208" spans="2:5" x14ac:dyDescent="0.2">
      <c r="B208" s="208" t="str">
        <f>'Header Info'!B208</f>
        <v>GLOBE ENGINEERING CO.</v>
      </c>
      <c r="C208" s="208" t="s">
        <v>1126</v>
      </c>
      <c r="D208" s="208" t="str">
        <f>'Header Info'!C208</f>
        <v>GEC AO6</v>
      </c>
      <c r="E208" s="208" t="s">
        <v>1142</v>
      </c>
    </row>
    <row r="209" spans="2:5" x14ac:dyDescent="0.2">
      <c r="B209" s="208" t="str">
        <f>'Header Info'!B209</f>
        <v>GLOBE ENGINEERING CO.</v>
      </c>
      <c r="C209" s="208" t="s">
        <v>1126</v>
      </c>
      <c r="D209" s="208" t="str">
        <f>'Header Info'!C209</f>
        <v>GEC-AO7</v>
      </c>
      <c r="E209" s="208" t="s">
        <v>1128</v>
      </c>
    </row>
    <row r="210" spans="2:5" x14ac:dyDescent="0.2">
      <c r="B210" s="208" t="str">
        <f>'Header Info'!B210</f>
        <v>GLOBE ENGINEERING CO.</v>
      </c>
      <c r="C210" s="208" t="s">
        <v>1126</v>
      </c>
      <c r="D210" s="208" t="str">
        <f>'Header Info'!C210</f>
        <v>PENETRANT OVEN</v>
      </c>
      <c r="E210" s="208" t="s">
        <v>1130</v>
      </c>
    </row>
    <row r="211" spans="2:5" x14ac:dyDescent="0.2">
      <c r="B211" s="208" t="str">
        <f>'Header Info'!B211</f>
        <v>GLOBE ENGINEERING CO.</v>
      </c>
      <c r="C211" s="208" t="s">
        <v>1126</v>
      </c>
      <c r="D211" s="208" t="str">
        <f>'Header Info'!C211</f>
        <v>VACUUM FURNACE NO. 1 low range</v>
      </c>
      <c r="E211" s="208" t="s">
        <v>1815</v>
      </c>
    </row>
    <row r="212" spans="2:5" x14ac:dyDescent="0.2">
      <c r="B212" s="208" t="str">
        <f>'Header Info'!B212</f>
        <v>GLOBE ENGINEERING CO.</v>
      </c>
      <c r="C212" s="208" t="s">
        <v>1126</v>
      </c>
      <c r="D212" s="208" t="str">
        <f>'Header Info'!C212</f>
        <v>VACUUM FURNACE NO. 1 high range</v>
      </c>
      <c r="E212" s="208" t="s">
        <v>1134</v>
      </c>
    </row>
    <row r="213" spans="2:5" x14ac:dyDescent="0.2">
      <c r="B213" s="208" t="str">
        <f>'Header Info'!B213</f>
        <v>GLOBE ENGINEERING CO.</v>
      </c>
      <c r="C213" s="208" t="s">
        <v>1126</v>
      </c>
      <c r="D213" s="208" t="str">
        <f>'Header Info'!C213</f>
        <v>VACUUM NO. 2</v>
      </c>
      <c r="E213" s="208" t="s">
        <v>1132</v>
      </c>
    </row>
    <row r="214" spans="2:5" x14ac:dyDescent="0.2">
      <c r="B214" s="208" t="str">
        <f>'Header Info'!B214</f>
        <v>GOODRICH - FINANCIAL SHARED SRVCS</v>
      </c>
      <c r="C214" s="208" t="s">
        <v>1150</v>
      </c>
      <c r="D214" s="208" t="str">
        <f>'Header Info'!C214</f>
        <v>GR-34</v>
      </c>
      <c r="E214" s="208" t="s">
        <v>1151</v>
      </c>
    </row>
    <row r="215" spans="2:5" x14ac:dyDescent="0.2">
      <c r="B215" s="208" t="str">
        <f>'Header Info'!B215</f>
        <v>GOODRICH - FINANCIAL SHARED SRVCS</v>
      </c>
      <c r="C215" s="208" t="s">
        <v>1150</v>
      </c>
      <c r="D215" s="208" t="str">
        <f>'Header Info'!C215</f>
        <v>GR-186</v>
      </c>
      <c r="E215" s="208" t="s">
        <v>1861</v>
      </c>
    </row>
    <row r="216" spans="2:5" x14ac:dyDescent="0.2">
      <c r="B216" s="208" t="str">
        <f>'Header Info'!B216</f>
        <v>GOODRICH - FINANCIAL SHARED SRVCS</v>
      </c>
      <c r="C216" s="208" t="s">
        <v>1150</v>
      </c>
      <c r="D216" s="208" t="str">
        <f>'Header Info'!C216</f>
        <v>GR-223</v>
      </c>
      <c r="E216" s="208" t="s">
        <v>1154</v>
      </c>
    </row>
    <row r="217" spans="2:5" x14ac:dyDescent="0.2">
      <c r="B217" s="208" t="str">
        <f>'Header Info'!B217</f>
        <v>Great Plains Industries</v>
      </c>
      <c r="C217" s="208" t="s">
        <v>1150</v>
      </c>
      <c r="D217" s="208" t="str">
        <f>'Header Info'!C217</f>
        <v>Environmental Chamber III</v>
      </c>
      <c r="E217" s="208" t="s">
        <v>1155</v>
      </c>
    </row>
    <row r="218" spans="2:5" x14ac:dyDescent="0.2">
      <c r="B218" s="208" t="str">
        <f>'Header Info'!B218</f>
        <v>H.M. DUNN AEROSYSTEMS</v>
      </c>
      <c r="C218" s="208" t="s">
        <v>1150</v>
      </c>
      <c r="D218" s="208" t="str">
        <f>'Header Info'!C218</f>
        <v>Oven No. 46</v>
      </c>
      <c r="E218" s="208" t="s">
        <v>1156</v>
      </c>
    </row>
    <row r="219" spans="2:5" x14ac:dyDescent="0.2">
      <c r="B219" s="208" t="str">
        <f>'Header Info'!B219</f>
        <v>HARLOW AEROSTRUCTURES LLC</v>
      </c>
      <c r="C219" s="208" t="s">
        <v>1150</v>
      </c>
      <c r="D219" s="208" t="str">
        <f>'Header Info'!C219</f>
        <v>ASSEMBLY OVEN</v>
      </c>
      <c r="E219" s="208" t="s">
        <v>1157</v>
      </c>
    </row>
    <row r="220" spans="2:5" x14ac:dyDescent="0.2">
      <c r="B220" s="208" t="str">
        <f>'Header Info'!B220</f>
        <v>HARLOW AEROSTRUCTURES LLC</v>
      </c>
      <c r="C220" s="208" t="s">
        <v>1150</v>
      </c>
      <c r="D220" s="208" t="str">
        <f>'Header Info'!C220</f>
        <v>ASSEMBLY FREEZER</v>
      </c>
      <c r="E220" s="208" t="s">
        <v>1158</v>
      </c>
    </row>
    <row r="221" spans="2:5" x14ac:dyDescent="0.2">
      <c r="B221" s="208" t="str">
        <f>'Header Info'!B221</f>
        <v>HARLOW AEROSTRUCTURES LLC</v>
      </c>
      <c r="C221" s="208" t="s">
        <v>1150</v>
      </c>
      <c r="D221" s="208" t="str">
        <f>'Header Info'!C221</f>
        <v>PA-1000</v>
      </c>
      <c r="E221" s="208" t="s">
        <v>1159</v>
      </c>
    </row>
    <row r="222" spans="2:5" x14ac:dyDescent="0.2">
      <c r="B222" s="208" t="str">
        <f>'Header Info'!B222</f>
        <v>HARLOW AEROSTRUCTURES LLC</v>
      </c>
      <c r="C222" s="208" t="s">
        <v>1150</v>
      </c>
      <c r="D222" s="208" t="str">
        <f>'Header Info'!C222</f>
        <v>PENETRANT DRYING OVEN</v>
      </c>
      <c r="E222" s="208" t="s">
        <v>1160</v>
      </c>
    </row>
    <row r="223" spans="2:5" x14ac:dyDescent="0.2">
      <c r="B223" s="208" t="str">
        <f>'Header Info'!B223</f>
        <v>HEARTLAND PRECISION FASTENERS INC.</v>
      </c>
      <c r="C223" s="208" t="s">
        <v>1150</v>
      </c>
      <c r="D223" s="208" t="str">
        <f>'Header Info'!C223</f>
        <v>VACUUM NO. 1</v>
      </c>
      <c r="E223" s="208" t="s">
        <v>1161</v>
      </c>
    </row>
    <row r="224" spans="2:5" x14ac:dyDescent="0.2">
      <c r="B224" s="208" t="str">
        <f>'Header Info'!B224</f>
        <v>HI-TECH METAL FINISHING</v>
      </c>
      <c r="C224" s="208" t="s">
        <v>1150</v>
      </c>
      <c r="D224" s="208" t="str">
        <f>'Header Info'!C224</f>
        <v>OVEN NO. 1</v>
      </c>
      <c r="E224" s="208" t="s">
        <v>1162</v>
      </c>
    </row>
    <row r="225" spans="2:5" x14ac:dyDescent="0.2">
      <c r="B225" s="208" t="str">
        <f>'Header Info'!B225</f>
        <v>JOHNSON GAGE &amp; INSPECTION, INC.</v>
      </c>
      <c r="C225" s="208" t="s">
        <v>1150</v>
      </c>
      <c r="D225" s="208" t="str">
        <f>'Header Info'!C225</f>
        <v>ENV01</v>
      </c>
      <c r="E225" s="208" t="s">
        <v>1164</v>
      </c>
    </row>
    <row r="226" spans="2:5" x14ac:dyDescent="0.2">
      <c r="B226" s="208" t="str">
        <f>'Header Info'!B226</f>
        <v>KAMAN COMPOSITES - WICHITA, INC.</v>
      </c>
      <c r="C226" s="208" t="s">
        <v>1150</v>
      </c>
      <c r="D226" s="208" t="str">
        <f>'Header Info'!C226</f>
        <v>Ney Furnace</v>
      </c>
      <c r="E226" s="208" t="s">
        <v>1166</v>
      </c>
    </row>
    <row r="227" spans="2:5" x14ac:dyDescent="0.2">
      <c r="B227" s="208" t="str">
        <f>'Header Info'!B227</f>
        <v>LEADING TECHNOLOGY COMPOSITES</v>
      </c>
      <c r="C227" s="208" t="s">
        <v>1150</v>
      </c>
      <c r="D227" s="208">
        <f>'Header Info'!C227</f>
        <v>1209</v>
      </c>
      <c r="E227" s="208" t="s">
        <v>1167</v>
      </c>
    </row>
    <row r="228" spans="2:5" x14ac:dyDescent="0.2">
      <c r="B228" s="208" t="str">
        <f>'Header Info'!B228</f>
        <v>LEADING TECHNOLOGY COMPOSITES</v>
      </c>
      <c r="C228" s="208" t="s">
        <v>1150</v>
      </c>
      <c r="D228" s="208" t="str">
        <f>'Header Info'!C228</f>
        <v>AEROSPACE PART CURE OVEN NO. 2</v>
      </c>
      <c r="E228" s="208" t="s">
        <v>1153</v>
      </c>
    </row>
    <row r="229" spans="2:5" x14ac:dyDescent="0.2">
      <c r="B229" s="208" t="str">
        <f>'Header Info'!B229</f>
        <v>LEADING TECHNOLOGY COMPOSITES</v>
      </c>
      <c r="C229" s="208" t="s">
        <v>1150</v>
      </c>
      <c r="D229" s="208" t="str">
        <f>'Header Info'!C229</f>
        <v>AUTOCLAVE NO. 1</v>
      </c>
      <c r="E229" s="208" t="s">
        <v>1152</v>
      </c>
    </row>
    <row r="230" spans="2:5" x14ac:dyDescent="0.2">
      <c r="B230" s="208" t="str">
        <f>'Header Info'!B230</f>
        <v>LEADING TECHNOLOGY COMPOSITES</v>
      </c>
      <c r="C230" s="208" t="s">
        <v>1150</v>
      </c>
      <c r="D230" s="208" t="str">
        <f>'Header Info'!C230</f>
        <v>AUTOCLAVE NO. 2 (LTC# 1374)</v>
      </c>
      <c r="E230" s="208" t="s">
        <v>1965</v>
      </c>
    </row>
    <row r="231" spans="2:5" x14ac:dyDescent="0.2">
      <c r="B231" s="208" t="str">
        <f>'Header Info'!B231</f>
        <v>LEADING TECHNOLOGY COMPOSITES</v>
      </c>
      <c r="C231" s="208" t="s">
        <v>1169</v>
      </c>
      <c r="D231" s="208" t="str">
        <f>'Header Info'!C231</f>
        <v>AUTOCLAVE NO. 3 (LTC#1387-0)</v>
      </c>
      <c r="E231" s="208" t="s">
        <v>1172</v>
      </c>
    </row>
    <row r="232" spans="2:5" x14ac:dyDescent="0.2">
      <c r="B232" s="208" t="str">
        <f>'Header Info'!B232</f>
        <v>LEADING TECHNOLOGY COMPOSITES</v>
      </c>
      <c r="C232" s="208" t="s">
        <v>1169</v>
      </c>
      <c r="D232" s="208" t="str">
        <f>'Header Info'!C232</f>
        <v>AUTOCLAVE NO. 4 LTC# 1380</v>
      </c>
      <c r="E232" s="208" t="s">
        <v>1170</v>
      </c>
    </row>
    <row r="233" spans="2:5" x14ac:dyDescent="0.2">
      <c r="B233" s="208" t="str">
        <f>'Header Info'!B233</f>
        <v>LEADING TECHNOLOGY COMPOSITES</v>
      </c>
      <c r="C233" s="208" t="s">
        <v>1847</v>
      </c>
      <c r="D233" s="208" t="str">
        <f>'Header Info'!C233</f>
        <v>AUTOCLAVE NO. 5 LTC# 1259</v>
      </c>
      <c r="E233" s="208" t="s">
        <v>1849</v>
      </c>
    </row>
    <row r="234" spans="2:5" x14ac:dyDescent="0.2">
      <c r="B234" s="208" t="str">
        <f>'Header Info'!B234</f>
        <v>LEADING TECHNOLOGY COMPOSITES</v>
      </c>
      <c r="C234" s="208" t="s">
        <v>1174</v>
      </c>
      <c r="D234" s="208" t="str">
        <f>'Header Info'!C234</f>
        <v>LTC NO. 1519</v>
      </c>
      <c r="E234" s="208" t="s">
        <v>1176</v>
      </c>
    </row>
    <row r="235" spans="2:5" x14ac:dyDescent="0.2">
      <c r="B235" s="208" t="str">
        <f>'Header Info'!B235</f>
        <v>LEADING TECHNOLOGY COMPOSITES</v>
      </c>
      <c r="C235" s="208" t="s">
        <v>1174</v>
      </c>
      <c r="D235" s="208" t="str">
        <f>'Header Info'!C235</f>
        <v>LTC NO. 1520</v>
      </c>
      <c r="E235" s="208" t="s">
        <v>1178</v>
      </c>
    </row>
    <row r="236" spans="2:5" x14ac:dyDescent="0.2">
      <c r="B236" s="208" t="str">
        <f>'Header Info'!B236</f>
        <v>LEADING TECHNOLOGY COMPOSITES</v>
      </c>
      <c r="C236" s="208" t="s">
        <v>1174</v>
      </c>
      <c r="D236" s="208" t="str">
        <f>'Header Info'!C236</f>
        <v>PAINT OVEN NO. 2</v>
      </c>
      <c r="E236" s="208" t="s">
        <v>1180</v>
      </c>
    </row>
    <row r="237" spans="2:5" x14ac:dyDescent="0.2">
      <c r="B237" s="208" t="str">
        <f>'Header Info'!B237</f>
        <v>LEADING TECHNOLOGY COMPOSITES</v>
      </c>
      <c r="C237" s="208" t="s">
        <v>1174</v>
      </c>
      <c r="D237" s="208" t="str">
        <f>'Header Info'!C237</f>
        <v>Oven No. 12</v>
      </c>
      <c r="E237" s="208" t="s">
        <v>1182</v>
      </c>
    </row>
    <row r="238" spans="2:5" x14ac:dyDescent="0.2">
      <c r="B238" s="208" t="str">
        <f>'Header Info'!B238</f>
        <v>LEADING TECHNOLOGY COMPOSITES</v>
      </c>
      <c r="C238" s="208" t="s">
        <v>1174</v>
      </c>
      <c r="D238" s="208" t="str">
        <f>'Header Info'!C238</f>
        <v>OVEN NO. 1414</v>
      </c>
      <c r="E238" s="208" t="s">
        <v>1184</v>
      </c>
    </row>
    <row r="239" spans="2:5" x14ac:dyDescent="0.2">
      <c r="B239" s="208" t="str">
        <f>'Header Info'!B239</f>
        <v>LEADING TECHNOLOGY COMPOSITES</v>
      </c>
      <c r="C239" s="208" t="s">
        <v>1174</v>
      </c>
      <c r="D239" s="208" t="str">
        <f>'Header Info'!C239</f>
        <v>Part Cure Oven No. 1, LTC2015</v>
      </c>
      <c r="E239" s="208" t="s">
        <v>1186</v>
      </c>
    </row>
    <row r="240" spans="2:5" x14ac:dyDescent="0.2">
      <c r="B240" s="208" t="str">
        <f>'Header Info'!B240</f>
        <v>LEADING TECHNOLOGY COMPOSITES</v>
      </c>
      <c r="C240" s="208" t="s">
        <v>1174</v>
      </c>
      <c r="D240" s="208" t="str">
        <f>'Header Info'!C240</f>
        <v>Freezer No. 1</v>
      </c>
      <c r="E240" s="208" t="s">
        <v>1187</v>
      </c>
    </row>
    <row r="241" spans="2:5" x14ac:dyDescent="0.2">
      <c r="B241" s="208" t="str">
        <f>'Header Info'!B241</f>
        <v>LEADING TECHNOLOGY COMPOSITES</v>
      </c>
      <c r="C241" s="208" t="s">
        <v>1174</v>
      </c>
      <c r="D241" s="208" t="str">
        <f>'Header Info'!C241</f>
        <v>Freezer No. 2</v>
      </c>
      <c r="E241" s="208" t="s">
        <v>1189</v>
      </c>
    </row>
    <row r="242" spans="2:5" x14ac:dyDescent="0.2">
      <c r="B242" s="208" t="str">
        <f>'Header Info'!B242</f>
        <v>LEADING TECHNOLOGY COMPOSITES</v>
      </c>
      <c r="C242" s="208" t="s">
        <v>1191</v>
      </c>
      <c r="D242" s="208" t="str">
        <f>'Header Info'!C242</f>
        <v>Freezer No. 3</v>
      </c>
      <c r="E242" s="208" t="s">
        <v>1192</v>
      </c>
    </row>
    <row r="243" spans="2:5" x14ac:dyDescent="0.2">
      <c r="B243" s="208" t="str">
        <f>'Header Info'!B243</f>
        <v>LEE AEROSPACE, INC.</v>
      </c>
      <c r="C243" s="208" t="s">
        <v>1191</v>
      </c>
      <c r="D243" s="208" t="str">
        <f>'Header Info'!C243</f>
        <v>PLATEN PRESS ASSET 001451</v>
      </c>
      <c r="E243" s="208" t="s">
        <v>1193</v>
      </c>
    </row>
    <row r="244" spans="2:5" x14ac:dyDescent="0.2">
      <c r="B244" s="208" t="str">
        <f>'Header Info'!B244</f>
        <v>LMI AEROSPACE ESTHNER</v>
      </c>
      <c r="C244" s="208" t="s">
        <v>1191</v>
      </c>
      <c r="D244" s="208" t="str">
        <f>'Header Info'!C244</f>
        <v>Cure Oven</v>
      </c>
      <c r="E244" s="208" t="s">
        <v>1794</v>
      </c>
    </row>
    <row r="245" spans="2:5" x14ac:dyDescent="0.2">
      <c r="B245" s="208" t="str">
        <f>'Header Info'!B245</f>
        <v>LMI AEROSPACE ESTHNER</v>
      </c>
      <c r="C245" s="208" t="s">
        <v>1195</v>
      </c>
      <c r="D245" s="208" t="str">
        <f>'Header Info'!C245</f>
        <v>S-6886</v>
      </c>
      <c r="E245" s="208" t="s">
        <v>1196</v>
      </c>
    </row>
    <row r="246" spans="2:5" x14ac:dyDescent="0.2">
      <c r="B246" s="208" t="str">
        <f>'Header Info'!B246</f>
        <v>LMI AEROSPACE FREDONIA</v>
      </c>
      <c r="C246" s="208" t="s">
        <v>1195</v>
      </c>
      <c r="D246" s="208" t="str">
        <f>'Header Info'!C246</f>
        <v>Cure Oven 17091325</v>
      </c>
      <c r="E246" s="208" t="s">
        <v>1197</v>
      </c>
    </row>
    <row r="247" spans="2:5" x14ac:dyDescent="0.2">
      <c r="B247" s="208" t="str">
        <f>'Header Info'!B247</f>
        <v>LMI COTTONWOOD FALLS</v>
      </c>
      <c r="C247" s="208" t="s">
        <v>1199</v>
      </c>
      <c r="D247" s="208" t="str">
        <f>'Header Info'!C247</f>
        <v>PAINT BAKE 1</v>
      </c>
      <c r="E247" s="208" t="s">
        <v>1201</v>
      </c>
    </row>
    <row r="248" spans="2:5" x14ac:dyDescent="0.2">
      <c r="B248" s="208" t="str">
        <f>'Header Info'!B248</f>
        <v>LMI FINISHING INC</v>
      </c>
      <c r="C248" s="208" t="s">
        <v>1203</v>
      </c>
      <c r="D248" s="208" t="str">
        <f>'Header Info'!C248</f>
        <v>BAY 3 PAINT OVEN 284A</v>
      </c>
      <c r="E248" s="208" t="s">
        <v>1204</v>
      </c>
    </row>
    <row r="249" spans="2:5" x14ac:dyDescent="0.2">
      <c r="B249" s="208" t="str">
        <f>'Header Info'!B249</f>
        <v>LMI FINISHING INC</v>
      </c>
      <c r="C249" s="208" t="s">
        <v>1967</v>
      </c>
      <c r="D249" s="208" t="str">
        <f>'Header Info'!C249</f>
        <v>Cure Oven 3</v>
      </c>
      <c r="E249" s="208" t="s">
        <v>1971</v>
      </c>
    </row>
    <row r="250" spans="2:5" x14ac:dyDescent="0.2">
      <c r="B250" s="208" t="str">
        <f>'Header Info'!B250</f>
        <v>LMI FINISHING INC</v>
      </c>
      <c r="C250" s="208" t="s">
        <v>1967</v>
      </c>
      <c r="D250" s="208" t="str">
        <f>'Header Info'!C250</f>
        <v>Flash Oven 3 (#805)</v>
      </c>
      <c r="E250" s="208" t="s">
        <v>1969</v>
      </c>
    </row>
    <row r="251" spans="2:5" x14ac:dyDescent="0.2">
      <c r="B251" s="208" t="str">
        <f>'Header Info'!B251</f>
        <v>LMI FINISHING INC</v>
      </c>
      <c r="C251" s="208" t="s">
        <v>1206</v>
      </c>
      <c r="D251" s="208" t="str">
        <f>'Header Info'!C251</f>
        <v>MASK OVEN NO. 54</v>
      </c>
      <c r="E251" s="208" t="s">
        <v>1212</v>
      </c>
    </row>
    <row r="252" spans="2:5" x14ac:dyDescent="0.2">
      <c r="B252" s="208" t="str">
        <f>'Header Info'!B252</f>
        <v>LMI FINISHING INC</v>
      </c>
      <c r="C252" s="208" t="s">
        <v>1206</v>
      </c>
      <c r="D252" s="208" t="str">
        <f>'Header Info'!C252</f>
        <v>OVEN NO. 260</v>
      </c>
      <c r="E252" s="208" t="s">
        <v>1210</v>
      </c>
    </row>
    <row r="253" spans="2:5" x14ac:dyDescent="0.2">
      <c r="B253" s="208" t="str">
        <f>'Header Info'!B253</f>
        <v>LMI FINISHING INC</v>
      </c>
      <c r="C253" s="208" t="s">
        <v>1206</v>
      </c>
      <c r="D253" s="208" t="str">
        <f>'Header Info'!C253</f>
        <v>PAINT BAKE NO. 98</v>
      </c>
      <c r="E253" s="208" t="s">
        <v>1213</v>
      </c>
    </row>
    <row r="254" spans="2:5" x14ac:dyDescent="0.2">
      <c r="B254" s="208" t="str">
        <f>'Header Info'!B254</f>
        <v>LMI FINISHING INC</v>
      </c>
      <c r="C254" s="208" t="s">
        <v>1206</v>
      </c>
      <c r="D254" s="208" t="str">
        <f>'Header Info'!C254</f>
        <v>PAINT OVEN 3 (#1086)</v>
      </c>
      <c r="E254" s="208" t="s">
        <v>1215</v>
      </c>
    </row>
    <row r="255" spans="2:5" x14ac:dyDescent="0.2">
      <c r="B255" s="208" t="str">
        <f>'Header Info'!B255</f>
        <v>LMI FINISHING INC</v>
      </c>
      <c r="C255" s="208" t="s">
        <v>1206</v>
      </c>
      <c r="D255" s="208" t="str">
        <f>'Header Info'!C255</f>
        <v>MASK OVEN NO. 22</v>
      </c>
      <c r="E255" s="208" t="s">
        <v>1208</v>
      </c>
    </row>
    <row r="256" spans="2:5" x14ac:dyDescent="0.2">
      <c r="B256" s="208" t="str">
        <f>'Header Info'!B256</f>
        <v>LMI FINISHING INC</v>
      </c>
      <c r="C256" s="208" t="s">
        <v>1206</v>
      </c>
      <c r="D256" s="208" t="str">
        <f>'Header Info'!C256</f>
        <v>Penetrant Oven 2</v>
      </c>
      <c r="E256" s="208" t="s">
        <v>1217</v>
      </c>
    </row>
    <row r="257" spans="2:5" x14ac:dyDescent="0.2">
      <c r="B257" s="208" t="str">
        <f>'Header Info'!B257</f>
        <v>LMI FINISHING INC</v>
      </c>
      <c r="C257" s="208" t="s">
        <v>1206</v>
      </c>
      <c r="D257" s="208" t="str">
        <f>'Header Info'!C257</f>
        <v>TANK B1 (# 156)</v>
      </c>
      <c r="E257" s="208" t="s">
        <v>1219</v>
      </c>
    </row>
    <row r="258" spans="2:5" x14ac:dyDescent="0.2">
      <c r="B258" s="208" t="str">
        <f>'Header Info'!B258</f>
        <v>LMI FINISHING INC</v>
      </c>
      <c r="C258" s="208" t="s">
        <v>1206</v>
      </c>
      <c r="D258" s="208" t="str">
        <f>'Header Info'!C258</f>
        <v>TANK NO. A8</v>
      </c>
      <c r="E258" s="208" t="s">
        <v>1221</v>
      </c>
    </row>
    <row r="259" spans="2:5" x14ac:dyDescent="0.2">
      <c r="B259" s="208" t="str">
        <f>'Header Info'!B259</f>
        <v>LMI FINISHING INC</v>
      </c>
      <c r="C259" s="208" t="s">
        <v>1206</v>
      </c>
      <c r="D259" s="208" t="str">
        <f>'Header Info'!C259</f>
        <v>CHEM MILL TANK D8</v>
      </c>
      <c r="E259" s="208" t="s">
        <v>1222</v>
      </c>
    </row>
    <row r="260" spans="2:5" x14ac:dyDescent="0.2">
      <c r="B260" s="208" t="str">
        <f>'Header Info'!B260</f>
        <v>LMI FINISHING INC</v>
      </c>
      <c r="C260" s="208" t="s">
        <v>1206</v>
      </c>
      <c r="D260" s="208" t="str">
        <f>'Header Info'!C260</f>
        <v>CHEM MILL TANK D10</v>
      </c>
      <c r="E260" s="208" t="s">
        <v>1224</v>
      </c>
    </row>
    <row r="261" spans="2:5" x14ac:dyDescent="0.2">
      <c r="B261" s="208" t="str">
        <f>'Header Info'!B261</f>
        <v>LORAC CO. INC</v>
      </c>
      <c r="C261" s="208" t="s">
        <v>1206</v>
      </c>
      <c r="D261" s="208" t="str">
        <f>'Header Info'!C261</f>
        <v>I.R. BAKE OVEN</v>
      </c>
      <c r="E261" s="208" t="s">
        <v>1226</v>
      </c>
    </row>
    <row r="262" spans="2:5" x14ac:dyDescent="0.2">
      <c r="B262" s="208" t="str">
        <f>'Header Info'!B262</f>
        <v>LTC INC. - PLANT 3</v>
      </c>
      <c r="C262" s="208" t="s">
        <v>1206</v>
      </c>
      <c r="D262" s="208" t="str">
        <f>'Header Info'!C262</f>
        <v>Oven No. 1</v>
      </c>
      <c r="E262" s="208" t="s">
        <v>1227</v>
      </c>
    </row>
    <row r="263" spans="2:5" x14ac:dyDescent="0.2">
      <c r="B263" s="208" t="str">
        <f>'Header Info'!B263</f>
        <v>LTC INC. - PLANT 3</v>
      </c>
      <c r="C263" s="208" t="s">
        <v>1206</v>
      </c>
      <c r="D263" s="208" t="str">
        <f>'Header Info'!C263</f>
        <v>Oven No. 1 TP2816A</v>
      </c>
      <c r="E263" s="208" t="s">
        <v>1229</v>
      </c>
    </row>
    <row r="264" spans="2:5" x14ac:dyDescent="0.2">
      <c r="B264" s="208" t="str">
        <f>'Header Info'!B264</f>
        <v>LTC INC. - PLANT 3</v>
      </c>
      <c r="C264" s="208" t="s">
        <v>1231</v>
      </c>
      <c r="D264" s="208" t="str">
        <f>'Header Info'!C264</f>
        <v>Autoclave No. 1 Cessna</v>
      </c>
      <c r="E264" s="208" t="s">
        <v>1233</v>
      </c>
    </row>
    <row r="265" spans="2:5" x14ac:dyDescent="0.2">
      <c r="B265" s="208" t="str">
        <f>'Header Info'!B265</f>
        <v>LTC INC. - PLANT 3</v>
      </c>
      <c r="C265" s="208" t="s">
        <v>1231</v>
      </c>
      <c r="D265" s="208" t="str">
        <f>'Header Info'!C265</f>
        <v>AUTOCLAVE NO. 1</v>
      </c>
      <c r="E265" s="208" t="s">
        <v>1973</v>
      </c>
    </row>
    <row r="266" spans="2:5" x14ac:dyDescent="0.2">
      <c r="B266" s="208" t="str">
        <f>'Header Info'!B266</f>
        <v>LTC INC. - PLANT 3</v>
      </c>
      <c r="C266" s="208" t="s">
        <v>1231</v>
      </c>
      <c r="D266" s="208" t="str">
        <f>'Header Info'!C266</f>
        <v>Autoclave No. 2 Cessna</v>
      </c>
      <c r="E266" s="208" t="s">
        <v>1235</v>
      </c>
    </row>
    <row r="267" spans="2:5" x14ac:dyDescent="0.2">
      <c r="B267" s="208" t="str">
        <f>'Header Info'!B267</f>
        <v>LTC INC. - PLANT 3</v>
      </c>
      <c r="C267" s="208" t="s">
        <v>1237</v>
      </c>
      <c r="D267" s="208" t="str">
        <f>'Header Info'!C267</f>
        <v>AUTOCLAVE NO. 2</v>
      </c>
      <c r="E267" s="208" t="s">
        <v>1238</v>
      </c>
    </row>
    <row r="268" spans="2:5" x14ac:dyDescent="0.2">
      <c r="B268" s="208" t="str">
        <f>'Header Info'!B268</f>
        <v>LTC INC. - PLANT 3</v>
      </c>
      <c r="C268" s="208" t="s">
        <v>1778</v>
      </c>
      <c r="D268" s="208" t="str">
        <f>'Header Info'!C268</f>
        <v>AUTOCLAVE NO. 3</v>
      </c>
      <c r="E268" s="208" t="s">
        <v>1780</v>
      </c>
    </row>
    <row r="269" spans="2:5" x14ac:dyDescent="0.2">
      <c r="B269" s="208" t="str">
        <f>'Header Info'!B269</f>
        <v>LTC INC. - PLANT 3</v>
      </c>
      <c r="C269" s="208" t="s">
        <v>1240</v>
      </c>
      <c r="D269" s="208" t="str">
        <f>'Header Info'!C269</f>
        <v>AUTOCLAVE NO. 3 TP</v>
      </c>
      <c r="E269" s="208" t="s">
        <v>1242</v>
      </c>
    </row>
    <row r="270" spans="2:5" x14ac:dyDescent="0.2">
      <c r="B270" s="208" t="str">
        <f>'Header Info'!B270</f>
        <v>LTC INC. - PLANT 3</v>
      </c>
      <c r="C270" s="208" t="s">
        <v>1240</v>
      </c>
      <c r="D270" s="208" t="str">
        <f>'Header Info'!C270</f>
        <v>AUTOCLAVE NO. 4</v>
      </c>
      <c r="E270" s="208" t="s">
        <v>1244</v>
      </c>
    </row>
    <row r="271" spans="2:5" x14ac:dyDescent="0.2">
      <c r="B271" s="208" t="str">
        <f>'Header Info'!B271</f>
        <v>LTC INC. - PLANT 3</v>
      </c>
      <c r="C271" s="208" t="s">
        <v>1246</v>
      </c>
      <c r="D271" s="208" t="str">
        <f>'Header Info'!C271</f>
        <v>AUTOCLAVE NO. 4 TP2816A</v>
      </c>
      <c r="E271" s="208" t="s">
        <v>1248</v>
      </c>
    </row>
    <row r="272" spans="2:5" x14ac:dyDescent="0.2">
      <c r="B272" s="208" t="str">
        <f>'Header Info'!B272</f>
        <v>LTC INC. - PLANT 3</v>
      </c>
      <c r="C272" s="208" t="s">
        <v>1250</v>
      </c>
      <c r="D272" s="208" t="str">
        <f>'Header Info'!C272</f>
        <v>AUTOCLAVE NO. 5</v>
      </c>
      <c r="E272" s="208" t="s">
        <v>1251</v>
      </c>
    </row>
    <row r="273" spans="2:5" x14ac:dyDescent="0.2">
      <c r="B273" s="208" t="str">
        <f>'Header Info'!B273</f>
        <v>LTC INC. - PLANT 3</v>
      </c>
      <c r="C273" s="208" t="s">
        <v>1253</v>
      </c>
      <c r="D273" s="208" t="str">
        <f>'Header Info'!C273</f>
        <v>CORE OVEN</v>
      </c>
      <c r="E273" s="208" t="s">
        <v>1255</v>
      </c>
    </row>
    <row r="274" spans="2:5" x14ac:dyDescent="0.2">
      <c r="B274" s="208" t="str">
        <f>'Header Info'!B274</f>
        <v>LTC INC. - PLANT 3</v>
      </c>
      <c r="C274" s="208" t="s">
        <v>1253</v>
      </c>
      <c r="D274" s="208" t="str">
        <f>'Header Info'!C274</f>
        <v>EVC3,LTC #1399</v>
      </c>
      <c r="E274" s="208" t="s">
        <v>1256</v>
      </c>
    </row>
    <row r="275" spans="2:5" x14ac:dyDescent="0.2">
      <c r="B275" s="208" t="str">
        <f>'Header Info'!B275</f>
        <v>LTC INC. - PLANT 3</v>
      </c>
      <c r="C275" s="208" t="s">
        <v>1863</v>
      </c>
      <c r="D275" s="208" t="str">
        <f>'Header Info'!C275</f>
        <v>Freezer 1B</v>
      </c>
      <c r="E275" s="208" t="s">
        <v>1865</v>
      </c>
    </row>
    <row r="276" spans="2:5" x14ac:dyDescent="0.2">
      <c r="B276" s="208" t="str">
        <f>'Header Info'!B276</f>
        <v>LTC INC. - PLANT 3</v>
      </c>
      <c r="C276" s="208" t="s">
        <v>1258</v>
      </c>
      <c r="D276" s="208" t="str">
        <f>'Header Info'!C276</f>
        <v>FREEZER NO. 1</v>
      </c>
      <c r="E276" s="208" t="s">
        <v>1817</v>
      </c>
    </row>
    <row r="277" spans="2:5" x14ac:dyDescent="0.2">
      <c r="B277" s="208" t="str">
        <f>'Header Info'!B277</f>
        <v>LTC INC. - PLANT 3</v>
      </c>
      <c r="C277" s="208" t="s">
        <v>1258</v>
      </c>
      <c r="D277" s="208" t="str">
        <f>'Header Info'!C277</f>
        <v>FREEZER NO. 3</v>
      </c>
      <c r="E277" s="208" t="s">
        <v>1272</v>
      </c>
    </row>
    <row r="278" spans="2:5" x14ac:dyDescent="0.2">
      <c r="B278" s="208" t="str">
        <f>'Header Info'!B278</f>
        <v>LTC INC. - PLANT 3</v>
      </c>
      <c r="C278" s="208" t="s">
        <v>1258</v>
      </c>
      <c r="D278" s="208" t="str">
        <f>'Header Info'!C278</f>
        <v>LAB FURNACE</v>
      </c>
      <c r="E278" s="208" t="s">
        <v>3842</v>
      </c>
    </row>
    <row r="279" spans="2:5" x14ac:dyDescent="0.2">
      <c r="B279" s="208" t="str">
        <f>'Header Info'!B279</f>
        <v>LTC INC. - PLANT 3</v>
      </c>
      <c r="C279" s="208" t="s">
        <v>1258</v>
      </c>
      <c r="D279" s="208" t="str">
        <f>'Header Info'!C279</f>
        <v>LAB OVEN</v>
      </c>
      <c r="E279" s="208" t="s">
        <v>1282</v>
      </c>
    </row>
    <row r="280" spans="2:5" x14ac:dyDescent="0.2">
      <c r="B280" s="208" t="str">
        <f>'Header Info'!B280</f>
        <v>LTC INC. - PLANT 3</v>
      </c>
      <c r="C280" s="208" t="s">
        <v>1258</v>
      </c>
      <c r="D280" s="208" t="str">
        <f>'Header Info'!C280</f>
        <v>Freezer No. 4</v>
      </c>
      <c r="E280" s="208" t="s">
        <v>1280</v>
      </c>
    </row>
    <row r="281" spans="2:5" x14ac:dyDescent="0.2">
      <c r="B281" s="208" t="str">
        <f>'Header Info'!B281</f>
        <v>LTC INC. - PLANT 3</v>
      </c>
      <c r="C281" s="208" t="s">
        <v>1258</v>
      </c>
      <c r="D281" s="208" t="str">
        <f>'Header Info'!C281</f>
        <v>OVEN NO. 1B Cessna</v>
      </c>
      <c r="E281" s="208" t="s">
        <v>1278</v>
      </c>
    </row>
    <row r="282" spans="2:5" x14ac:dyDescent="0.2">
      <c r="B282" s="208" t="str">
        <f>'Header Info'!B282</f>
        <v>LTC INC. - PLANT 3</v>
      </c>
      <c r="C282" s="208" t="s">
        <v>1258</v>
      </c>
      <c r="D282" s="208" t="str">
        <f>'Header Info'!C282</f>
        <v>OVEN NO. 1B</v>
      </c>
      <c r="E282" s="208" t="s">
        <v>1277</v>
      </c>
    </row>
    <row r="283" spans="2:5" x14ac:dyDescent="0.2">
      <c r="B283" s="208" t="str">
        <f>'Header Info'!B283</f>
        <v>LTC INC. - PLANT 3</v>
      </c>
      <c r="C283" s="208" t="s">
        <v>1258</v>
      </c>
      <c r="D283" s="208" t="str">
        <f>'Header Info'!C283</f>
        <v>OVEN NO. 2</v>
      </c>
      <c r="E283" s="208" t="s">
        <v>1276</v>
      </c>
    </row>
    <row r="284" spans="2:5" x14ac:dyDescent="0.2">
      <c r="B284" s="208" t="str">
        <f>'Header Info'!B284</f>
        <v>LTC INC. - PLANT 3</v>
      </c>
      <c r="C284" s="208" t="s">
        <v>1258</v>
      </c>
      <c r="D284" s="208" t="str">
        <f>'Header Info'!C284</f>
        <v>OVEN NO. 3</v>
      </c>
      <c r="E284" s="208" t="s">
        <v>1275</v>
      </c>
    </row>
    <row r="285" spans="2:5" x14ac:dyDescent="0.2">
      <c r="B285" s="208" t="str">
        <f>'Header Info'!B285</f>
        <v>LTC INC. - PLANT 3</v>
      </c>
      <c r="C285" s="208" t="s">
        <v>1258</v>
      </c>
      <c r="D285" s="208" t="str">
        <f>'Header Info'!C285</f>
        <v>Oven No. 4 Cessna</v>
      </c>
      <c r="E285" s="208" t="s">
        <v>1274</v>
      </c>
    </row>
    <row r="286" spans="2:5" x14ac:dyDescent="0.2">
      <c r="B286" s="208" t="str">
        <f>'Header Info'!B286</f>
        <v>LTC INC. - PLANT 3</v>
      </c>
      <c r="C286" s="208" t="s">
        <v>1258</v>
      </c>
      <c r="D286" s="208" t="str">
        <f>'Header Info'!C286</f>
        <v>OVEN NO. 4</v>
      </c>
      <c r="E286" s="208" t="s">
        <v>3843</v>
      </c>
    </row>
    <row r="287" spans="2:5" x14ac:dyDescent="0.2">
      <c r="B287" s="208" t="str">
        <f>'Header Info'!B287</f>
        <v>LTC INC. - PLANT 3</v>
      </c>
      <c r="C287" s="208" t="s">
        <v>1258</v>
      </c>
      <c r="D287" s="208" t="str">
        <f>'Header Info'!C287</f>
        <v>OVEN NO. 5</v>
      </c>
      <c r="E287" s="208" t="s">
        <v>1269</v>
      </c>
    </row>
    <row r="288" spans="2:5" x14ac:dyDescent="0.2">
      <c r="B288" s="208" t="str">
        <f>'Header Info'!B288</f>
        <v>LTC INC. - PLANT 3</v>
      </c>
      <c r="C288" s="208" t="s">
        <v>1258</v>
      </c>
      <c r="D288" s="208" t="str">
        <f>'Header Info'!C288</f>
        <v>OVEN NO. 6</v>
      </c>
      <c r="E288" s="208" t="s">
        <v>1268</v>
      </c>
    </row>
    <row r="289" spans="2:5" x14ac:dyDescent="0.2">
      <c r="B289" s="208" t="str">
        <f>'Header Info'!B289</f>
        <v>LTC INC. - PLANT 3</v>
      </c>
      <c r="C289" s="208" t="s">
        <v>1258</v>
      </c>
      <c r="D289" s="208" t="str">
        <f>'Header Info'!C289</f>
        <v>OVEN NO. 6B</v>
      </c>
      <c r="E289" s="208" t="s">
        <v>1259</v>
      </c>
    </row>
    <row r="290" spans="2:5" x14ac:dyDescent="0.2">
      <c r="B290" s="208" t="str">
        <f>'Header Info'!B290</f>
        <v>LTC INC. - PLANT 3</v>
      </c>
      <c r="C290" s="208" t="s">
        <v>1258</v>
      </c>
      <c r="D290" s="208" t="str">
        <f>'Header Info'!C290</f>
        <v>OVEN NO. 7</v>
      </c>
      <c r="E290" s="208" t="s">
        <v>1261</v>
      </c>
    </row>
    <row r="291" spans="2:5" x14ac:dyDescent="0.2">
      <c r="B291" s="208" t="str">
        <f>'Header Info'!B291</f>
        <v>LTC INC. - PLANT 3</v>
      </c>
      <c r="C291" s="208" t="s">
        <v>1258</v>
      </c>
      <c r="D291" s="208" t="str">
        <f>'Header Info'!C291</f>
        <v>OVEN NO. 7B</v>
      </c>
      <c r="E291" s="208" t="s">
        <v>1262</v>
      </c>
    </row>
    <row r="292" spans="2:5" x14ac:dyDescent="0.2">
      <c r="B292" s="208" t="str">
        <f>'Header Info'!B292</f>
        <v>LTC INC. - PLANT 3</v>
      </c>
      <c r="C292" s="208" t="s">
        <v>1258</v>
      </c>
      <c r="D292" s="208" t="str">
        <f>'Header Info'!C292</f>
        <v>OVEN NO. 7B TP2816A</v>
      </c>
      <c r="E292" s="208" t="s">
        <v>1263</v>
      </c>
    </row>
    <row r="293" spans="2:5" x14ac:dyDescent="0.2">
      <c r="B293" s="208" t="str">
        <f>'Header Info'!B293</f>
        <v>LTC INC. - PLANT 3</v>
      </c>
      <c r="C293" s="208" t="s">
        <v>1258</v>
      </c>
      <c r="D293" s="208" t="str">
        <f>'Header Info'!C293</f>
        <v>OVEN NO. 8</v>
      </c>
      <c r="E293" s="208" t="s">
        <v>1264</v>
      </c>
    </row>
    <row r="294" spans="2:5" x14ac:dyDescent="0.2">
      <c r="B294" s="208" t="str">
        <f>'Header Info'!B294</f>
        <v>LTC INC. - PLANT 3</v>
      </c>
      <c r="C294" s="208" t="s">
        <v>1258</v>
      </c>
      <c r="D294" s="208" t="str">
        <f>'Header Info'!C294</f>
        <v>OVEN NO. 9 - Cessna</v>
      </c>
      <c r="E294" s="208" t="s">
        <v>1266</v>
      </c>
    </row>
    <row r="295" spans="2:5" x14ac:dyDescent="0.2">
      <c r="B295" s="208" t="str">
        <f>'Header Info'!B295</f>
        <v>LTC INC. - PLANT 3</v>
      </c>
      <c r="C295" s="208" t="s">
        <v>1284</v>
      </c>
      <c r="D295" s="208" t="str">
        <f>'Header Info'!C295</f>
        <v>OVEN NO. 9</v>
      </c>
      <c r="E295" s="208" t="s">
        <v>1286</v>
      </c>
    </row>
    <row r="296" spans="2:5" x14ac:dyDescent="0.2">
      <c r="B296" s="208" t="str">
        <f>'Header Info'!B296</f>
        <v>LTC INC. - PLANT 3</v>
      </c>
      <c r="C296" s="208" t="s">
        <v>1288</v>
      </c>
      <c r="D296" s="208" t="str">
        <f>'Header Info'!C296</f>
        <v>Oven No. 10- Cessna</v>
      </c>
      <c r="E296" s="208" t="s">
        <v>1291</v>
      </c>
    </row>
    <row r="297" spans="2:5" x14ac:dyDescent="0.2">
      <c r="B297" s="208" t="str">
        <f>'Header Info'!B297</f>
        <v>LTC INC. - PLANT 3</v>
      </c>
      <c r="C297" s="208" t="s">
        <v>1288</v>
      </c>
      <c r="D297" s="208" t="str">
        <f>'Header Info'!C297</f>
        <v>OVEN NO. 10</v>
      </c>
      <c r="E297" s="208" t="s">
        <v>1292</v>
      </c>
    </row>
    <row r="298" spans="2:5" x14ac:dyDescent="0.2">
      <c r="B298" s="208" t="str">
        <f>'Header Info'!B298</f>
        <v>LTC INC. - PLANT 3</v>
      </c>
      <c r="C298" s="208" t="s">
        <v>1288</v>
      </c>
      <c r="D298" s="208" t="str">
        <f>'Header Info'!C298</f>
        <v>OVEN NO. 21</v>
      </c>
      <c r="E298" s="208" t="s">
        <v>1293</v>
      </c>
    </row>
    <row r="299" spans="2:5" x14ac:dyDescent="0.2">
      <c r="B299" s="208" t="str">
        <f>'Header Info'!B299</f>
        <v>LTC INC. - PLANT 3</v>
      </c>
      <c r="C299" s="208" t="s">
        <v>1288</v>
      </c>
      <c r="D299" s="208" t="str">
        <f>'Header Info'!C299</f>
        <v>OVEN NO. 21 TP2816</v>
      </c>
      <c r="E299" s="208" t="s">
        <v>1295</v>
      </c>
    </row>
    <row r="300" spans="2:5" x14ac:dyDescent="0.2">
      <c r="B300" s="208" t="str">
        <f>'Header Info'!B300</f>
        <v>LTC INC. - PLANT 3</v>
      </c>
      <c r="C300" s="208" t="s">
        <v>1288</v>
      </c>
      <c r="D300" s="208" t="str">
        <f>'Header Info'!C300</f>
        <v>OVEN NO. 11 - Cessna</v>
      </c>
      <c r="E300" s="208" t="s">
        <v>1294</v>
      </c>
    </row>
    <row r="301" spans="2:5" x14ac:dyDescent="0.2">
      <c r="B301" s="208" t="str">
        <f>'Header Info'!B301</f>
        <v>LTC INC. - PLANT 3</v>
      </c>
      <c r="C301" s="208" t="s">
        <v>1288</v>
      </c>
      <c r="D301" s="208" t="str">
        <f>'Header Info'!C301</f>
        <v>Oven 12 AMS</v>
      </c>
      <c r="E301" s="208" t="s">
        <v>1289</v>
      </c>
    </row>
    <row r="302" spans="2:5" x14ac:dyDescent="0.2">
      <c r="B302" s="208" t="str">
        <f>'Header Info'!B302</f>
        <v>LTC INC. - PLANT 3</v>
      </c>
      <c r="C302" s="208" t="s">
        <v>1288</v>
      </c>
      <c r="D302" s="208" t="str">
        <f>'Header Info'!C302</f>
        <v>Oven 12 Cessna</v>
      </c>
      <c r="E302" s="208" t="s">
        <v>1290</v>
      </c>
    </row>
    <row r="303" spans="2:5" x14ac:dyDescent="0.2">
      <c r="B303" s="208" t="str">
        <f>'Header Info'!B303</f>
        <v>LTC INC. - PLANT 3</v>
      </c>
      <c r="C303" s="208" t="s">
        <v>1909</v>
      </c>
      <c r="D303" s="208" t="str">
        <f>'Header Info'!C303</f>
        <v>OVEN NO. 13</v>
      </c>
      <c r="E303" s="208" t="s">
        <v>1911</v>
      </c>
    </row>
    <row r="304" spans="2:5" x14ac:dyDescent="0.2">
      <c r="B304" s="208" t="str">
        <f>'Header Info'!B304</f>
        <v>LTC INC. - PLANT 3</v>
      </c>
      <c r="C304" s="208" t="s">
        <v>1909</v>
      </c>
      <c r="D304" s="208" t="str">
        <f>'Header Info'!C304</f>
        <v>OVEN NO. 13 - Cessna</v>
      </c>
      <c r="E304" s="208" t="s">
        <v>1300</v>
      </c>
    </row>
    <row r="305" spans="2:5" x14ac:dyDescent="0.2">
      <c r="B305" s="208" t="str">
        <f>'Header Info'!B305</f>
        <v>LTC INC. - PLANT 3</v>
      </c>
      <c r="C305" s="208" t="s">
        <v>3845</v>
      </c>
      <c r="D305" s="208" t="str">
        <f>'Header Info'!C305</f>
        <v>OVEN NO. 14 - Cessna</v>
      </c>
      <c r="E305" s="208" t="s">
        <v>3847</v>
      </c>
    </row>
    <row r="306" spans="2:5" x14ac:dyDescent="0.2">
      <c r="B306" s="208" t="str">
        <f>'Header Info'!B306</f>
        <v>LTC INC. - PLANT 3</v>
      </c>
      <c r="C306" s="208" t="s">
        <v>1297</v>
      </c>
      <c r="D306" s="208" t="str">
        <f>'Header Info'!C306</f>
        <v>OVEN NO. 14</v>
      </c>
      <c r="E306" s="208" t="s">
        <v>1298</v>
      </c>
    </row>
    <row r="307" spans="2:5" x14ac:dyDescent="0.2">
      <c r="B307" s="208" t="str">
        <f>'Header Info'!B307</f>
        <v>LTC INC. - PLANT 3</v>
      </c>
      <c r="C307" s="208" t="s">
        <v>1303</v>
      </c>
      <c r="D307" s="208">
        <f>'Header Info'!C307</f>
        <v>11303</v>
      </c>
      <c r="E307" s="208" t="s">
        <v>3848</v>
      </c>
    </row>
    <row r="308" spans="2:5" x14ac:dyDescent="0.2">
      <c r="B308" s="208" t="str">
        <f>'Header Info'!B308</f>
        <v>LTC INC. - PLANT 3</v>
      </c>
      <c r="C308" s="208" t="s">
        <v>1303</v>
      </c>
      <c r="D308" s="208" t="str">
        <f>'Header Info'!C308</f>
        <v>OVEN NO. 15 (TP2816)</v>
      </c>
      <c r="E308" s="208" t="s">
        <v>1317</v>
      </c>
    </row>
    <row r="309" spans="2:5" x14ac:dyDescent="0.2">
      <c r="B309" s="208" t="str">
        <f>'Header Info'!B309</f>
        <v>LTC INC. - PLANT 3</v>
      </c>
      <c r="C309" s="208" t="s">
        <v>1303</v>
      </c>
      <c r="D309" s="208" t="str">
        <f>'Header Info'!C309</f>
        <v>OVEN NO. 16 (TP2816)</v>
      </c>
      <c r="E309" s="208" t="s">
        <v>1319</v>
      </c>
    </row>
    <row r="310" spans="2:5" x14ac:dyDescent="0.2">
      <c r="B310" s="208" t="str">
        <f>'Header Info'!B310</f>
        <v>LTC INC. - PLANT 3</v>
      </c>
      <c r="C310" s="208" t="s">
        <v>1303</v>
      </c>
      <c r="D310" s="208" t="str">
        <f>'Header Info'!C310</f>
        <v>OVEN NO. 16</v>
      </c>
      <c r="E310" s="208" t="s">
        <v>1320</v>
      </c>
    </row>
    <row r="311" spans="2:5" x14ac:dyDescent="0.2">
      <c r="B311" s="208" t="str">
        <f>'Header Info'!B311</f>
        <v>LTC INC. - PLANT 3</v>
      </c>
      <c r="C311" s="208" t="s">
        <v>1303</v>
      </c>
      <c r="D311" s="208" t="str">
        <f>'Header Info'!C311</f>
        <v>OVEN NO. 17 AMS</v>
      </c>
      <c r="E311" s="208" t="s">
        <v>1314</v>
      </c>
    </row>
    <row r="312" spans="2:5" x14ac:dyDescent="0.2">
      <c r="B312" s="208" t="str">
        <f>'Header Info'!B312</f>
        <v>LTC INC. - PLANT 3</v>
      </c>
      <c r="C312" s="208" t="s">
        <v>1303</v>
      </c>
      <c r="D312" s="208" t="str">
        <f>'Header Info'!C312</f>
        <v>OVEN NO. 17 CESSNA</v>
      </c>
      <c r="E312" s="208" t="s">
        <v>1315</v>
      </c>
    </row>
    <row r="313" spans="2:5" x14ac:dyDescent="0.2">
      <c r="B313" s="208" t="str">
        <f>'Header Info'!B313</f>
        <v>LTC INC. - PLANT 3</v>
      </c>
      <c r="C313" s="208" t="s">
        <v>1303</v>
      </c>
      <c r="D313" s="208" t="str">
        <f>'Header Info'!C313</f>
        <v>OVEN NO. 18 CESSNA</v>
      </c>
      <c r="E313" s="208" t="s">
        <v>1312</v>
      </c>
    </row>
    <row r="314" spans="2:5" x14ac:dyDescent="0.2">
      <c r="B314" s="208" t="str">
        <f>'Header Info'!B314</f>
        <v>LTC INC. - PLANT 3</v>
      </c>
      <c r="C314" s="208" t="s">
        <v>1303</v>
      </c>
      <c r="D314" s="208" t="str">
        <f>'Header Info'!C314</f>
        <v>OVEN NO. 19 CESSNA</v>
      </c>
      <c r="E314" s="208" t="s">
        <v>1310</v>
      </c>
    </row>
    <row r="315" spans="2:5" x14ac:dyDescent="0.2">
      <c r="B315" s="208" t="str">
        <f>'Header Info'!B315</f>
        <v>LTC INC. - PLANT 3</v>
      </c>
      <c r="C315" s="208" t="s">
        <v>1303</v>
      </c>
      <c r="D315" s="208" t="str">
        <f>'Header Info'!C315</f>
        <v>Oven No. 20 TP2816</v>
      </c>
      <c r="E315" s="208" t="s">
        <v>1305</v>
      </c>
    </row>
    <row r="316" spans="2:5" x14ac:dyDescent="0.2">
      <c r="B316" s="208" t="str">
        <f>'Header Info'!B316</f>
        <v>LTC INC. - PLANT 3</v>
      </c>
      <c r="C316" s="208" t="s">
        <v>1303</v>
      </c>
      <c r="D316" s="208" t="str">
        <f>'Header Info'!C316</f>
        <v>Oven No. 20</v>
      </c>
      <c r="E316" s="208" t="s">
        <v>1306</v>
      </c>
    </row>
    <row r="317" spans="2:5" x14ac:dyDescent="0.2">
      <c r="B317" s="208" t="str">
        <f>'Header Info'!B317</f>
        <v>LTC INC. - PLANT 3</v>
      </c>
      <c r="C317" s="208" t="s">
        <v>1303</v>
      </c>
      <c r="D317" s="208" t="str">
        <f>'Header Info'!C317</f>
        <v>Oven No. 24</v>
      </c>
      <c r="E317" s="208" t="s">
        <v>1308</v>
      </c>
    </row>
    <row r="318" spans="2:5" x14ac:dyDescent="0.2">
      <c r="B318" s="208" t="str">
        <f>'Header Info'!B318</f>
        <v>MANUFACTURING DEVELOPMENT, INC.</v>
      </c>
      <c r="C318" s="208" t="s">
        <v>1303</v>
      </c>
      <c r="D318" s="208" t="str">
        <f>'Header Info'!C318</f>
        <v>Amaco Oven</v>
      </c>
      <c r="E318" s="208" t="s">
        <v>3849</v>
      </c>
    </row>
    <row r="319" spans="2:5" x14ac:dyDescent="0.2">
      <c r="B319" s="208" t="str">
        <f>'Header Info'!B319</f>
        <v>MANUFACTURING DEVELOPMENT, INC.</v>
      </c>
      <c r="C319" s="208" t="s">
        <v>1321</v>
      </c>
      <c r="D319" s="208" t="str">
        <f>'Header Info'!C319</f>
        <v>FURNACE NO. 2</v>
      </c>
      <c r="E319" s="208" t="s">
        <v>3850</v>
      </c>
    </row>
    <row r="320" spans="2:5" x14ac:dyDescent="0.2">
      <c r="B320" s="208" t="str">
        <f>'Header Info'!B320</f>
        <v>MANUFACTURING DEVELOPMENT, INC.</v>
      </c>
      <c r="C320" s="208" t="s">
        <v>1321</v>
      </c>
      <c r="D320" s="208" t="str">
        <f>'Header Info'!C320</f>
        <v>OVEN NO. 3</v>
      </c>
      <c r="E320" s="208" t="s">
        <v>3851</v>
      </c>
    </row>
    <row r="321" spans="2:5" x14ac:dyDescent="0.2">
      <c r="B321" s="208" t="str">
        <f>'Header Info'!B321</f>
        <v>MAX AEROSTRUCTURES, LLC</v>
      </c>
      <c r="C321" s="208" t="s">
        <v>1321</v>
      </c>
      <c r="D321" s="208" t="str">
        <f>'Header Info'!C321</f>
        <v>ARDROX OVEN</v>
      </c>
      <c r="E321" s="208" t="s">
        <v>3852</v>
      </c>
    </row>
    <row r="322" spans="2:5" x14ac:dyDescent="0.2">
      <c r="B322" s="208" t="str">
        <f>'Header Info'!B322</f>
        <v>MAX AEROSTRUCTURES, LLC</v>
      </c>
      <c r="C322" s="208" t="s">
        <v>1321</v>
      </c>
      <c r="D322" s="208" t="str">
        <f>'Header Info'!C322</f>
        <v>BOO-102-A</v>
      </c>
      <c r="E322" s="208" t="s">
        <v>3853</v>
      </c>
    </row>
    <row r="323" spans="2:5" x14ac:dyDescent="0.2">
      <c r="B323" s="208" t="str">
        <f>'Header Info'!B323</f>
        <v>MAX AEROSTRUCTURES, LLC</v>
      </c>
      <c r="C323" s="208" t="s">
        <v>1321</v>
      </c>
      <c r="D323" s="208" t="str">
        <f>'Header Info'!C323</f>
        <v>LARGE AGE OVEN</v>
      </c>
      <c r="E323" s="208" t="s">
        <v>1975</v>
      </c>
    </row>
    <row r="324" spans="2:5" x14ac:dyDescent="0.2">
      <c r="B324" s="208" t="str">
        <f>'Header Info'!B324</f>
        <v>MAX AEROSTRUCTURES, LLC</v>
      </c>
      <c r="C324" s="208" t="s">
        <v>1321</v>
      </c>
      <c r="D324" s="208" t="str">
        <f>'Header Info'!C324</f>
        <v>OVE-112-A DROP BOTTOM</v>
      </c>
      <c r="E324" s="208" t="s">
        <v>3854</v>
      </c>
    </row>
    <row r="325" spans="2:5" x14ac:dyDescent="0.2">
      <c r="B325" s="208" t="str">
        <f>'Header Info'!B325</f>
        <v>MAX AEROSTRUCTURES, LLC</v>
      </c>
      <c r="C325" s="208" t="s">
        <v>1321</v>
      </c>
      <c r="D325" s="208" t="str">
        <f>'Header Info'!C325</f>
        <v>OVE-113-A</v>
      </c>
      <c r="E325" s="208" t="s">
        <v>1915</v>
      </c>
    </row>
    <row r="326" spans="2:5" x14ac:dyDescent="0.2">
      <c r="B326" s="208" t="str">
        <f>'Header Info'!B326</f>
        <v>MAX AEROSTRUCTURES, LLC</v>
      </c>
      <c r="C326" s="208" t="s">
        <v>1321</v>
      </c>
      <c r="D326" s="208" t="str">
        <f>'Header Info'!C326</f>
        <v>OVE-113-B</v>
      </c>
      <c r="E326" s="208" t="s">
        <v>1335</v>
      </c>
    </row>
    <row r="327" spans="2:5" x14ac:dyDescent="0.2">
      <c r="B327" s="208" t="str">
        <f>'Header Info'!B327</f>
        <v>MAX AEROSTRUCTURES, LLC</v>
      </c>
      <c r="C327" s="208" t="s">
        <v>1321</v>
      </c>
      <c r="D327" s="208" t="str">
        <f>'Header Info'!C327</f>
        <v>OVE-114-A</v>
      </c>
      <c r="E327" s="208" t="s">
        <v>1336</v>
      </c>
    </row>
    <row r="328" spans="2:5" x14ac:dyDescent="0.2">
      <c r="B328" s="208" t="str">
        <f>'Header Info'!B328</f>
        <v>MAX AEROSTRUCTURES, LLC</v>
      </c>
      <c r="C328" s="208" t="s">
        <v>1321</v>
      </c>
      <c r="D328" s="208" t="str">
        <f>'Header Info'!C328</f>
        <v>OVE-127-A</v>
      </c>
      <c r="E328" s="208" t="s">
        <v>1323</v>
      </c>
    </row>
    <row r="329" spans="2:5" x14ac:dyDescent="0.2">
      <c r="B329" s="208" t="str">
        <f>'Header Info'!B329</f>
        <v>MAX AEROSTRUCTURES, LLC</v>
      </c>
      <c r="C329" s="208" t="s">
        <v>1321</v>
      </c>
      <c r="D329" s="208" t="str">
        <f>'Header Info'!C329</f>
        <v>T-10</v>
      </c>
      <c r="E329" s="208" t="s">
        <v>1339</v>
      </c>
    </row>
    <row r="330" spans="2:5" x14ac:dyDescent="0.2">
      <c r="B330" s="208" t="str">
        <f>'Header Info'!B330</f>
        <v>MAX AEROSTRUCTURES, LLC</v>
      </c>
      <c r="C330" s="208" t="s">
        <v>1321</v>
      </c>
      <c r="D330" s="208" t="str">
        <f>'Header Info'!C330</f>
        <v>T-14</v>
      </c>
      <c r="E330" s="208" t="s">
        <v>1338</v>
      </c>
    </row>
    <row r="331" spans="2:5" x14ac:dyDescent="0.2">
      <c r="B331" s="208" t="str">
        <f>'Header Info'!B331</f>
        <v>MAX AEROSTRUCTURES, LLC</v>
      </c>
      <c r="C331" s="208" t="s">
        <v>1321</v>
      </c>
      <c r="D331" s="208" t="str">
        <f>'Header Info'!C331</f>
        <v>T-16</v>
      </c>
      <c r="E331" s="208" t="s">
        <v>1337</v>
      </c>
    </row>
    <row r="332" spans="2:5" x14ac:dyDescent="0.2">
      <c r="B332" s="208" t="str">
        <f>'Header Info'!B332</f>
        <v>MAX AEROSTRUCTURES, LLC</v>
      </c>
      <c r="C332" s="208" t="s">
        <v>1321</v>
      </c>
      <c r="D332" s="208" t="str">
        <f>'Header Info'!C332</f>
        <v>TAN-137-C</v>
      </c>
      <c r="E332" s="208" t="s">
        <v>1322</v>
      </c>
    </row>
    <row r="333" spans="2:5" x14ac:dyDescent="0.2">
      <c r="B333" s="208" t="str">
        <f>'Header Info'!B333</f>
        <v>MAX AEROSTRUCTURES, LLC</v>
      </c>
      <c r="C333" s="208" t="s">
        <v>1321</v>
      </c>
      <c r="D333" s="208" t="str">
        <f>'Header Info'!C333</f>
        <v>TAN-137-E</v>
      </c>
      <c r="E333" s="208" t="s">
        <v>1340</v>
      </c>
    </row>
    <row r="334" spans="2:5" x14ac:dyDescent="0.2">
      <c r="B334" s="208" t="str">
        <f>'Header Info'!B334</f>
        <v>MAYNARD INC.</v>
      </c>
      <c r="C334" s="208" t="s">
        <v>1321</v>
      </c>
      <c r="D334" s="208">
        <f>'Header Info'!C334</f>
        <v>3037</v>
      </c>
      <c r="E334" s="208" t="s">
        <v>1324</v>
      </c>
    </row>
    <row r="335" spans="2:5" x14ac:dyDescent="0.2">
      <c r="B335" s="208" t="str">
        <f>'Header Info'!B335</f>
        <v>MAYNARD INC.</v>
      </c>
      <c r="C335" s="208" t="s">
        <v>1321</v>
      </c>
      <c r="D335" s="208" t="str">
        <f>'Header Info'!C335</f>
        <v>OVEN NO. 3142</v>
      </c>
      <c r="E335" s="208" t="s">
        <v>1325</v>
      </c>
    </row>
    <row r="336" spans="2:5" x14ac:dyDescent="0.2">
      <c r="B336" s="208" t="str">
        <f>'Header Info'!B336</f>
        <v>METAL FINISHING CO. - MURDOCK LOCATION</v>
      </c>
      <c r="C336" s="208" t="s">
        <v>1321</v>
      </c>
      <c r="D336" s="208" t="str">
        <f>'Header Info'!C336</f>
        <v>OVEN NO. 22</v>
      </c>
      <c r="E336" s="208" t="s">
        <v>1326</v>
      </c>
    </row>
    <row r="337" spans="2:5" x14ac:dyDescent="0.2">
      <c r="B337" s="208" t="str">
        <f>'Header Info'!B337</f>
        <v>METAL FINISHING CO. - MURDOCK LOCATION</v>
      </c>
      <c r="C337" s="208" t="s">
        <v>1321</v>
      </c>
      <c r="D337" s="208" t="str">
        <f>'Header Info'!C337</f>
        <v>Oven No.23</v>
      </c>
      <c r="E337" s="208" t="s">
        <v>1327</v>
      </c>
    </row>
    <row r="338" spans="2:5" x14ac:dyDescent="0.2">
      <c r="B338" s="208" t="str">
        <f>'Header Info'!B338</f>
        <v>METAL FINISHING CO. - MURDOCK LOCATION</v>
      </c>
      <c r="C338" s="208" t="s">
        <v>1321</v>
      </c>
      <c r="D338" s="208" t="str">
        <f>'Header Info'!C338</f>
        <v>PAINT BAKE NO. 21</v>
      </c>
      <c r="E338" s="208" t="s">
        <v>1328</v>
      </c>
    </row>
    <row r="339" spans="2:5" x14ac:dyDescent="0.2">
      <c r="B339" s="208" t="str">
        <f>'Header Info'!B339</f>
        <v>METAL FINISHING CO.</v>
      </c>
      <c r="C339" s="208" t="s">
        <v>1321</v>
      </c>
      <c r="D339" s="208" t="str">
        <f>'Header Info'!C339</f>
        <v>FS01</v>
      </c>
      <c r="E339" s="208" t="s">
        <v>1330</v>
      </c>
    </row>
    <row r="340" spans="2:5" x14ac:dyDescent="0.2">
      <c r="B340" s="208" t="str">
        <f>'Header Info'!B340</f>
        <v>METAL FINISHING CO.</v>
      </c>
      <c r="C340" s="208" t="s">
        <v>1321</v>
      </c>
      <c r="D340" s="208" t="str">
        <f>'Header Info'!C340</f>
        <v>MF NO. 1</v>
      </c>
      <c r="E340" s="208" t="s">
        <v>1331</v>
      </c>
    </row>
    <row r="341" spans="2:5" x14ac:dyDescent="0.2">
      <c r="B341" s="208" t="str">
        <f>'Header Info'!B341</f>
        <v>METAL FINISHING CO.</v>
      </c>
      <c r="C341" s="208" t="s">
        <v>1321</v>
      </c>
      <c r="D341" s="208" t="str">
        <f>'Header Info'!C341</f>
        <v>MF NO. 2</v>
      </c>
      <c r="E341" s="208" t="s">
        <v>1332</v>
      </c>
    </row>
    <row r="342" spans="2:5" x14ac:dyDescent="0.2">
      <c r="B342" s="208" t="str">
        <f>'Header Info'!B342</f>
        <v>METAL FINISHING CO.</v>
      </c>
      <c r="C342" s="208" t="s">
        <v>1321</v>
      </c>
      <c r="D342" s="208" t="str">
        <f>'Header Info'!C342</f>
        <v>MF NO. 4</v>
      </c>
      <c r="E342" s="208" t="s">
        <v>1333</v>
      </c>
    </row>
    <row r="343" spans="2:5" x14ac:dyDescent="0.2">
      <c r="B343" s="208" t="str">
        <f>'Header Info'!B343</f>
        <v>METAL FINISHING CO.</v>
      </c>
      <c r="C343" s="208" t="s">
        <v>1321</v>
      </c>
      <c r="D343" s="208" t="str">
        <f>'Header Info'!C343</f>
        <v>MF NO. 7</v>
      </c>
      <c r="E343" s="208" t="s">
        <v>1260</v>
      </c>
    </row>
    <row r="344" spans="2:5" x14ac:dyDescent="0.2">
      <c r="B344" s="208" t="str">
        <f>'Header Info'!B344</f>
        <v>METAL FINISHING CO.</v>
      </c>
      <c r="C344" s="208" t="s">
        <v>1321</v>
      </c>
      <c r="D344" s="208" t="str">
        <f>'Header Info'!C344</f>
        <v>MF NO. 8</v>
      </c>
      <c r="E344" s="208" t="s">
        <v>1270</v>
      </c>
    </row>
    <row r="345" spans="2:5" x14ac:dyDescent="0.2">
      <c r="B345" s="208" t="str">
        <f>'Header Info'!B345</f>
        <v>METAL FINISHING CO.</v>
      </c>
      <c r="C345" s="208" t="s">
        <v>1321</v>
      </c>
      <c r="D345" s="208" t="str">
        <f>'Header Info'!C345</f>
        <v>MF NO. 9</v>
      </c>
      <c r="E345" s="208" t="s">
        <v>1334</v>
      </c>
    </row>
    <row r="346" spans="2:5" x14ac:dyDescent="0.2">
      <c r="B346" s="208" t="str">
        <f>'Header Info'!B346</f>
        <v>METAL FINISHING CO.</v>
      </c>
      <c r="C346" s="208" t="s">
        <v>1321</v>
      </c>
      <c r="D346" s="208" t="str">
        <f>'Header Info'!C346</f>
        <v>MF NO. 10</v>
      </c>
      <c r="E346" s="208" t="s">
        <v>3857</v>
      </c>
    </row>
    <row r="347" spans="2:5" x14ac:dyDescent="0.2">
      <c r="B347" s="208" t="str">
        <f>'Header Info'!B347</f>
        <v>METAL FINISHING CO.</v>
      </c>
      <c r="C347" s="208" t="s">
        <v>1321</v>
      </c>
      <c r="D347" s="208" t="str">
        <f>'Header Info'!C347</f>
        <v>MF NO. 11</v>
      </c>
      <c r="E347" s="208" t="s">
        <v>1929</v>
      </c>
    </row>
    <row r="348" spans="2:5" x14ac:dyDescent="0.2">
      <c r="B348" s="208" t="str">
        <f>'Header Info'!B348</f>
        <v>METAL FINISHING CO.</v>
      </c>
      <c r="C348" s="208" t="s">
        <v>1321</v>
      </c>
      <c r="D348" s="208" t="str">
        <f>'Header Info'!C348</f>
        <v>MF NO. 12</v>
      </c>
      <c r="E348" s="208" t="s">
        <v>1913</v>
      </c>
    </row>
    <row r="349" spans="2:5" x14ac:dyDescent="0.2">
      <c r="B349" s="208" t="str">
        <f>'Header Info'!B349</f>
        <v>METAL FINISHING CO.</v>
      </c>
      <c r="C349" s="208" t="s">
        <v>1321</v>
      </c>
      <c r="D349" s="208" t="str">
        <f>'Header Info'!C349</f>
        <v>MF NO. 25</v>
      </c>
      <c r="E349" s="208" t="s">
        <v>3858</v>
      </c>
    </row>
    <row r="350" spans="2:5" x14ac:dyDescent="0.2">
      <c r="B350" s="208" t="str">
        <f>'Header Info'!B350</f>
        <v>METAL FINISHING CO.</v>
      </c>
      <c r="C350" s="208" t="s">
        <v>1321</v>
      </c>
      <c r="D350" s="208" t="str">
        <f>'Header Info'!C350</f>
        <v>OVEN #17</v>
      </c>
      <c r="E350" s="208" t="s">
        <v>3859</v>
      </c>
    </row>
    <row r="351" spans="2:5" x14ac:dyDescent="0.2">
      <c r="B351" s="208" t="str">
        <f>'Header Info'!B351</f>
        <v>METAL FINISHING CO.</v>
      </c>
      <c r="C351" s="208" t="s">
        <v>1342</v>
      </c>
      <c r="D351" s="208" t="str">
        <f>'Header Info'!C351</f>
        <v>Oven No. 5</v>
      </c>
      <c r="E351" s="208" t="s">
        <v>1345</v>
      </c>
    </row>
    <row r="352" spans="2:5" x14ac:dyDescent="0.2">
      <c r="B352" s="208" t="str">
        <f>'Header Info'!B352</f>
        <v>METAL FINISHING CO.</v>
      </c>
      <c r="C352" s="208" t="s">
        <v>1342</v>
      </c>
      <c r="D352" s="208" t="str">
        <f>'Header Info'!C352</f>
        <v>OVEN NO. 6</v>
      </c>
      <c r="E352" s="208" t="s">
        <v>3860</v>
      </c>
    </row>
    <row r="353" spans="2:5" x14ac:dyDescent="0.2">
      <c r="B353" s="208" t="str">
        <f>'Header Info'!B353</f>
        <v>METAL FINISHING CO.</v>
      </c>
      <c r="C353" s="208" t="s">
        <v>1342</v>
      </c>
      <c r="D353" s="208" t="str">
        <f>'Header Info'!C353</f>
        <v>PAINT BAKE OVEN NO. 14</v>
      </c>
      <c r="E353" s="208" t="s">
        <v>1977</v>
      </c>
    </row>
    <row r="354" spans="2:5" x14ac:dyDescent="0.2">
      <c r="B354" s="208" t="str">
        <f>'Header Info'!B354</f>
        <v>METAL FINISHING CO.</v>
      </c>
      <c r="C354" s="208" t="s">
        <v>1342</v>
      </c>
      <c r="D354" s="208" t="str">
        <f>'Header Info'!C354</f>
        <v>PAINT BAKE 15A</v>
      </c>
      <c r="E354" s="208" t="s">
        <v>1344</v>
      </c>
    </row>
    <row r="355" spans="2:5" x14ac:dyDescent="0.2">
      <c r="B355" s="208" t="str">
        <f>'Header Info'!B355</f>
        <v>METAL FINISHING CO.</v>
      </c>
      <c r="C355" s="208" t="s">
        <v>1782</v>
      </c>
      <c r="D355" s="208" t="str">
        <f>'Header Info'!C355</f>
        <v>OVEN NO. 3</v>
      </c>
      <c r="E355" s="208" t="s">
        <v>969</v>
      </c>
    </row>
    <row r="356" spans="2:5" x14ac:dyDescent="0.2">
      <c r="B356" s="208" t="str">
        <f>'Header Info'!B356</f>
        <v>MILLENNIUM CONCEPTS, INC.</v>
      </c>
      <c r="C356" s="208" t="s">
        <v>1782</v>
      </c>
      <c r="D356" s="208" t="str">
        <f>'Header Info'!C356</f>
        <v>CURE OVEN NO. 1</v>
      </c>
      <c r="E356" s="208" t="s">
        <v>986</v>
      </c>
    </row>
    <row r="357" spans="2:5" x14ac:dyDescent="0.2">
      <c r="B357" s="208" t="str">
        <f>'Header Info'!B357</f>
        <v>MILLENNIUM CONCEPTS, INC.</v>
      </c>
      <c r="C357" s="208" t="s">
        <v>1782</v>
      </c>
      <c r="D357" s="208" t="str">
        <f>'Header Info'!C357</f>
        <v>CURE OVEN NO. 1 Cessna</v>
      </c>
      <c r="E357" s="208" t="s">
        <v>984</v>
      </c>
    </row>
    <row r="358" spans="2:5" x14ac:dyDescent="0.2">
      <c r="B358" s="208" t="str">
        <f>'Header Info'!B358</f>
        <v>MILLENNIUM CONCEPTS, INC.</v>
      </c>
      <c r="C358" s="208" t="s">
        <v>1782</v>
      </c>
      <c r="D358" s="208" t="str">
        <f>'Header Info'!C358</f>
        <v>MCI-0169</v>
      </c>
      <c r="E358" s="208" t="s">
        <v>981</v>
      </c>
    </row>
    <row r="359" spans="2:5" x14ac:dyDescent="0.2">
      <c r="B359" s="208" t="str">
        <f>'Header Info'!B359</f>
        <v>MILLENNIUM CONCEPTS, INC.</v>
      </c>
      <c r="C359" s="208" t="s">
        <v>1782</v>
      </c>
      <c r="D359" s="208" t="str">
        <f>'Header Info'!C359</f>
        <v>MCI-0180</v>
      </c>
      <c r="E359" s="208" t="s">
        <v>975</v>
      </c>
    </row>
    <row r="360" spans="2:5" x14ac:dyDescent="0.2">
      <c r="B360" s="208" t="str">
        <f>'Header Info'!B360</f>
        <v>MILLENNIUM CONCEPTS, INC.</v>
      </c>
      <c r="C360" s="208" t="s">
        <v>1782</v>
      </c>
      <c r="D360" s="208" t="str">
        <f>'Header Info'!C360</f>
        <v>Wisconsin Oven MCI-0262</v>
      </c>
      <c r="E360" s="208" t="s">
        <v>972</v>
      </c>
    </row>
    <row r="361" spans="2:5" x14ac:dyDescent="0.2">
      <c r="B361" s="208" t="str">
        <f>'Header Info'!B361</f>
        <v>NATIONAL INSTITUTE FOR AVIATION RESEARCH</v>
      </c>
      <c r="C361" s="208" t="s">
        <v>1782</v>
      </c>
      <c r="D361" s="208" t="str">
        <f>'Header Info'!C361</f>
        <v>AUTOCLAVE NO. 1</v>
      </c>
      <c r="E361" s="208" t="s">
        <v>1931</v>
      </c>
    </row>
    <row r="362" spans="2:5" x14ac:dyDescent="0.2">
      <c r="B362" s="208" t="str">
        <f>'Header Info'!B362</f>
        <v>NATIONAL INSTITUTE FOR AVIATION RESEARCH</v>
      </c>
      <c r="C362" s="208" t="s">
        <v>1782</v>
      </c>
      <c r="D362" s="208" t="str">
        <f>'Header Info'!C362</f>
        <v>Autoclave No. 3</v>
      </c>
      <c r="E362" s="208" t="s">
        <v>1783</v>
      </c>
    </row>
    <row r="363" spans="2:5" x14ac:dyDescent="0.2">
      <c r="B363" s="208" t="str">
        <f>'Header Info'!B363</f>
        <v>NATIONAL INSTITUTE FOR AVIATION RESEARCH</v>
      </c>
      <c r="C363" s="208" t="s">
        <v>1782</v>
      </c>
      <c r="D363" s="208" t="str">
        <f>'Header Info'!C363</f>
        <v>D043039</v>
      </c>
      <c r="E363" s="208" t="s">
        <v>1784</v>
      </c>
    </row>
    <row r="364" spans="2:5" x14ac:dyDescent="0.2">
      <c r="B364" s="208" t="str">
        <f>'Header Info'!B364</f>
        <v>NATIONAL INSTITUTE FOR AVIATION RESEARCH</v>
      </c>
      <c r="C364" s="208" t="s">
        <v>1782</v>
      </c>
      <c r="D364" s="208" t="str">
        <f>'Header Info'!C364</f>
        <v>GRIEVE BACK OVEN</v>
      </c>
      <c r="E364" s="208" t="s">
        <v>3862</v>
      </c>
    </row>
    <row r="365" spans="2:5" x14ac:dyDescent="0.2">
      <c r="B365" s="208" t="str">
        <f>'Header Info'!B365</f>
        <v>NATIONAL INSTITUTE FOR AVIATION RESEARCH</v>
      </c>
      <c r="C365" s="208" t="s">
        <v>1782</v>
      </c>
      <c r="D365" s="208" t="str">
        <f>'Header Info'!C365</f>
        <v>GRIEVE OVEN NO. 1</v>
      </c>
      <c r="E365" s="208" t="s">
        <v>1785</v>
      </c>
    </row>
    <row r="366" spans="2:5" x14ac:dyDescent="0.2">
      <c r="B366" s="208" t="str">
        <f>'Header Info'!B366</f>
        <v>NATIONAL INSTITUTE FOR AVIATION RESEARCH</v>
      </c>
      <c r="C366" s="208" t="s">
        <v>1782</v>
      </c>
      <c r="D366" s="208" t="str">
        <f>'Header Info'!C366</f>
        <v>GRIEVE OVEN NO. 2</v>
      </c>
      <c r="E366" s="208" t="s">
        <v>963</v>
      </c>
    </row>
    <row r="367" spans="2:5" x14ac:dyDescent="0.2">
      <c r="B367" s="208" t="str">
        <f>'Header Info'!B367</f>
        <v>NATIONAL INSTITUTE FOR AVIATION RESEARCH</v>
      </c>
      <c r="C367" s="208" t="s">
        <v>1782</v>
      </c>
      <c r="D367" s="208" t="str">
        <f>'Header Info'!C367</f>
        <v>Outdoor Freezer</v>
      </c>
      <c r="E367" s="208" t="s">
        <v>965</v>
      </c>
    </row>
    <row r="368" spans="2:5" x14ac:dyDescent="0.2">
      <c r="B368" s="208" t="str">
        <f>'Header Info'!B368</f>
        <v>NATIONAL INSTITUTE FOR AVIATION RESEARCH</v>
      </c>
      <c r="C368" s="208" t="s">
        <v>1782</v>
      </c>
      <c r="D368" s="208" t="str">
        <f>'Header Info'!C368</f>
        <v>SMALL AUTOCLAVE</v>
      </c>
      <c r="E368" s="208" t="s">
        <v>3864</v>
      </c>
    </row>
    <row r="369" spans="2:5" x14ac:dyDescent="0.2">
      <c r="B369" s="208" t="str">
        <f>'Header Info'!B369</f>
        <v>NIAR ASTEC</v>
      </c>
      <c r="C369" s="208" t="s">
        <v>1782</v>
      </c>
      <c r="D369" s="208" t="str">
        <f>'Header Info'!C369</f>
        <v>Sector A Freezer</v>
      </c>
      <c r="E369" s="208" t="s">
        <v>968</v>
      </c>
    </row>
    <row r="370" spans="2:5" x14ac:dyDescent="0.2">
      <c r="B370" s="208" t="str">
        <f>'Header Info'!B370</f>
        <v>NIAR - QUALITY CONTROL &amp; STRAIN GAGE LAB</v>
      </c>
      <c r="C370" s="208" t="s">
        <v>1782</v>
      </c>
      <c r="D370" s="208" t="str">
        <f>'Header Info'!C370</f>
        <v>3x5 Autoclave</v>
      </c>
      <c r="E370" s="208" t="s">
        <v>967</v>
      </c>
    </row>
    <row r="371" spans="2:5" x14ac:dyDescent="0.2">
      <c r="B371" s="208" t="str">
        <f>'Header Info'!B371</f>
        <v>NIAR - QUALITY CONTROL &amp; STRAIN GAGE LAB</v>
      </c>
      <c r="C371" s="208" t="s">
        <v>1347</v>
      </c>
      <c r="D371" s="208" t="str">
        <f>'Header Info'!C371</f>
        <v>303N0018</v>
      </c>
      <c r="E371" s="208" t="s">
        <v>1348</v>
      </c>
    </row>
    <row r="372" spans="2:5" x14ac:dyDescent="0.2">
      <c r="B372" s="208" t="str">
        <f>'Header Info'!B372</f>
        <v>NIAR - QUALITY CONTROL &amp; STRAIN GAGE LAB</v>
      </c>
      <c r="C372" s="208" t="s">
        <v>1347</v>
      </c>
      <c r="D372" s="208">
        <f>'Header Info'!C372</f>
        <v>411462</v>
      </c>
      <c r="E372" s="208" t="s">
        <v>1350</v>
      </c>
    </row>
    <row r="373" spans="2:5" x14ac:dyDescent="0.2">
      <c r="B373" s="208" t="str">
        <f>'Header Info'!B373</f>
        <v>NIAR - QUALITY CONTROL &amp; STRAIN GAGE LAB</v>
      </c>
      <c r="C373" s="208" t="s">
        <v>1352</v>
      </c>
      <c r="D373" s="208" t="str">
        <f>'Header Info'!C373</f>
        <v>B9X00187</v>
      </c>
      <c r="E373" s="208" t="s">
        <v>1355</v>
      </c>
    </row>
    <row r="374" spans="2:5" x14ac:dyDescent="0.2">
      <c r="B374" s="208" t="str">
        <f>'Header Info'!B374</f>
        <v>NWI KANSAS CITY LLC</v>
      </c>
      <c r="C374" s="208" t="s">
        <v>1352</v>
      </c>
      <c r="D374" s="208" t="str">
        <f>'Header Info'!C374</f>
        <v>OVEN NO. 1</v>
      </c>
      <c r="E374" s="208" t="s">
        <v>1380</v>
      </c>
    </row>
    <row r="375" spans="2:5" x14ac:dyDescent="0.2">
      <c r="B375" s="208" t="str">
        <f>'Header Info'!B375</f>
        <v>NWI KANSAS CITY LLC</v>
      </c>
      <c r="C375" s="208" t="s">
        <v>1352</v>
      </c>
      <c r="D375" s="208" t="str">
        <f>'Header Info'!C375</f>
        <v>OVEN NO. 2</v>
      </c>
      <c r="E375" s="208" t="s">
        <v>3865</v>
      </c>
    </row>
    <row r="376" spans="2:5" x14ac:dyDescent="0.2">
      <c r="B376" s="208" t="str">
        <f>'Header Info'!B376</f>
        <v>ORIZON AEROSTRUCTURES ASSEMBLY</v>
      </c>
      <c r="C376" s="208" t="s">
        <v>1352</v>
      </c>
      <c r="D376" s="208" t="str">
        <f>'Header Info'!C376</f>
        <v>Spoven</v>
      </c>
      <c r="E376" s="208" t="s">
        <v>1866</v>
      </c>
    </row>
    <row r="377" spans="2:5" x14ac:dyDescent="0.2">
      <c r="B377" s="208" t="str">
        <f>'Header Info'!B377</f>
        <v>ORIZON AEROSTRUCTURES PROCESSING</v>
      </c>
      <c r="C377" s="208" t="s">
        <v>1352</v>
      </c>
      <c r="D377" s="208" t="str">
        <f>'Header Info'!C377</f>
        <v>A-23</v>
      </c>
      <c r="E377" s="208" t="s">
        <v>1377</v>
      </c>
    </row>
    <row r="378" spans="2:5" x14ac:dyDescent="0.2">
      <c r="B378" s="208" t="str">
        <f>'Header Info'!B378</f>
        <v>ORIZON AEROSTRUCTURES PROCESSING</v>
      </c>
      <c r="C378" s="208" t="s">
        <v>1352</v>
      </c>
      <c r="D378" s="208" t="str">
        <f>'Header Info'!C378</f>
        <v>OP-090</v>
      </c>
      <c r="E378" s="208" t="s">
        <v>1376</v>
      </c>
    </row>
    <row r="379" spans="2:5" x14ac:dyDescent="0.2">
      <c r="B379" s="208" t="str">
        <f>'Header Info'!B379</f>
        <v>ORIZON AEROSTRUCTURES PROCESSING</v>
      </c>
      <c r="C379" s="208" t="s">
        <v>1352</v>
      </c>
      <c r="D379" s="208" t="str">
        <f>'Header Info'!C379</f>
        <v>OP-107</v>
      </c>
      <c r="E379" s="208" t="s">
        <v>1375</v>
      </c>
    </row>
    <row r="380" spans="2:5" x14ac:dyDescent="0.2">
      <c r="B380" s="208" t="str">
        <f>'Header Info'!B380</f>
        <v>ORIZON AEROSTRUCTURES PROCESSING</v>
      </c>
      <c r="C380" s="208" t="s">
        <v>1352</v>
      </c>
      <c r="D380" s="208" t="str">
        <f>'Header Info'!C380</f>
        <v>Oven OV-1</v>
      </c>
      <c r="E380" s="208" t="s">
        <v>1353</v>
      </c>
    </row>
    <row r="381" spans="2:5" x14ac:dyDescent="0.2">
      <c r="B381" s="208" t="str">
        <f>'Header Info'!B381</f>
        <v>ORIZON AEROSTRUCTURES PROCESSING</v>
      </c>
      <c r="C381" s="208" t="s">
        <v>1352</v>
      </c>
      <c r="D381" s="208" t="str">
        <f>'Header Info'!C381</f>
        <v>Oven OV-2</v>
      </c>
      <c r="E381" s="208" t="s">
        <v>1378</v>
      </c>
    </row>
    <row r="382" spans="2:5" x14ac:dyDescent="0.2">
      <c r="B382" s="208" t="str">
        <f>'Header Info'!B382</f>
        <v>ORIZON AEROSTRUCTURES PROCESSING</v>
      </c>
      <c r="C382" s="208" t="s">
        <v>1352</v>
      </c>
      <c r="D382" s="208" t="str">
        <f>'Header Info'!C382</f>
        <v>Oven OV-3</v>
      </c>
      <c r="E382" s="208" t="s">
        <v>1357</v>
      </c>
    </row>
    <row r="383" spans="2:5" x14ac:dyDescent="0.2">
      <c r="B383" s="208" t="str">
        <f>'Header Info'!B383</f>
        <v>ORIZON AEROSTRUCTURES PROCESSING</v>
      </c>
      <c r="C383" s="208" t="s">
        <v>1352</v>
      </c>
      <c r="D383" s="208" t="str">
        <f>'Header Info'!C383</f>
        <v>PENETERANT DRYING OVEN OV-5</v>
      </c>
      <c r="E383" s="208" t="s">
        <v>1358</v>
      </c>
    </row>
    <row r="384" spans="2:5" x14ac:dyDescent="0.2">
      <c r="B384" s="208" t="str">
        <f>'Header Info'!B384</f>
        <v>ORIZON AEROSTRUCTURES PROCESSING</v>
      </c>
      <c r="C384" s="208" t="s">
        <v>1352</v>
      </c>
      <c r="D384" s="208" t="str">
        <f>'Header Info'!C384</f>
        <v>OV-6</v>
      </c>
      <c r="E384" s="208" t="s">
        <v>1360</v>
      </c>
    </row>
    <row r="385" spans="2:5" x14ac:dyDescent="0.2">
      <c r="B385" s="208" t="str">
        <f>'Header Info'!B385</f>
        <v>ORIZON AEROSTRUCTURES PROCESSING</v>
      </c>
      <c r="C385" s="208" t="s">
        <v>1352</v>
      </c>
      <c r="D385" s="208" t="str">
        <f>'Header Info'!C385</f>
        <v>Tank A16 Chem Film</v>
      </c>
      <c r="E385" s="208" t="s">
        <v>1362</v>
      </c>
    </row>
    <row r="386" spans="2:5" x14ac:dyDescent="0.2">
      <c r="B386" s="208" t="str">
        <f>'Header Info'!B386</f>
        <v>ORIZON AEROSTRUCTURES PROCESSING</v>
      </c>
      <c r="C386" s="208" t="s">
        <v>1352</v>
      </c>
      <c r="D386" s="208" t="str">
        <f>'Header Info'!C386</f>
        <v>Tank A25</v>
      </c>
      <c r="E386" s="208" t="s">
        <v>1364</v>
      </c>
    </row>
    <row r="387" spans="2:5" x14ac:dyDescent="0.2">
      <c r="B387" s="208" t="str">
        <f>'Header Info'!B387</f>
        <v>OXWELL, INC.</v>
      </c>
      <c r="C387" s="208" t="s">
        <v>1352</v>
      </c>
      <c r="D387" s="208" t="str">
        <f>'Header Info'!C387</f>
        <v>AGING OVEN NO. 1</v>
      </c>
      <c r="E387" s="208" t="s">
        <v>1366</v>
      </c>
    </row>
    <row r="388" spans="2:5" x14ac:dyDescent="0.2">
      <c r="B388" s="208" t="str">
        <f>'Header Info'!B388</f>
        <v>OXWELL, INC.</v>
      </c>
      <c r="C388" s="208" t="s">
        <v>1352</v>
      </c>
      <c r="D388" s="208" t="str">
        <f>'Header Info'!C388</f>
        <v>SALT BATH</v>
      </c>
      <c r="E388" s="208" t="s">
        <v>1368</v>
      </c>
    </row>
    <row r="389" spans="2:5" x14ac:dyDescent="0.2">
      <c r="B389" s="208" t="str">
        <f>'Header Info'!B389</f>
        <v>PARAGON NDT</v>
      </c>
      <c r="C389" s="208" t="s">
        <v>1352</v>
      </c>
      <c r="D389" s="208" t="str">
        <f>'Header Info'!C389</f>
        <v>Drying Oven No. 5</v>
      </c>
      <c r="E389" s="208" t="s">
        <v>1370</v>
      </c>
    </row>
    <row r="390" spans="2:5" x14ac:dyDescent="0.2">
      <c r="B390" s="208" t="str">
        <f>'Header Info'!B390</f>
        <v>PARAGON NDT</v>
      </c>
      <c r="C390" s="208" t="s">
        <v>1352</v>
      </c>
      <c r="D390" s="208" t="str">
        <f>'Header Info'!C390</f>
        <v>PT Oven No. 1</v>
      </c>
      <c r="E390" s="208" t="s">
        <v>1371</v>
      </c>
    </row>
    <row r="391" spans="2:5" x14ac:dyDescent="0.2">
      <c r="B391" s="208" t="str">
        <f>'Header Info'!B391</f>
        <v>PARAGON SERVICES, INC.</v>
      </c>
      <c r="C391" s="208" t="s">
        <v>1352</v>
      </c>
      <c r="D391" s="208" t="str">
        <f>'Header Info'!C391</f>
        <v>CURING OVEN NO. 1</v>
      </c>
      <c r="E391" s="208" t="s">
        <v>1373</v>
      </c>
    </row>
    <row r="392" spans="2:5" x14ac:dyDescent="0.2">
      <c r="B392" s="208" t="str">
        <f>'Header Info'!B392</f>
        <v>PARAGON SERVICES, INC.</v>
      </c>
      <c r="C392" s="208" t="s">
        <v>1382</v>
      </c>
      <c r="D392" s="208" t="str">
        <f>'Header Info'!C392</f>
        <v>CURING OVEN NO. 2</v>
      </c>
      <c r="E392" s="208" t="s">
        <v>1384</v>
      </c>
    </row>
    <row r="393" spans="2:5" x14ac:dyDescent="0.2">
      <c r="B393" s="208" t="str">
        <f>'Header Info'!B393</f>
        <v>PARAGON SERVICES, INC.</v>
      </c>
      <c r="C393" s="208" t="s">
        <v>1382</v>
      </c>
      <c r="D393" s="208" t="str">
        <f>'Header Info'!C393</f>
        <v>CURING OVEN NO. 3</v>
      </c>
      <c r="E393" s="208" t="s">
        <v>1386</v>
      </c>
    </row>
    <row r="394" spans="2:5" x14ac:dyDescent="0.2">
      <c r="B394" s="208" t="str">
        <f>'Header Info'!B394</f>
        <v>PARAGON SERVICES, INC.</v>
      </c>
      <c r="C394" s="208" t="s">
        <v>1382</v>
      </c>
      <c r="D394" s="208" t="str">
        <f>'Header Info'!C394</f>
        <v>CURING OVEN NO. 4</v>
      </c>
      <c r="E394" s="208" t="s">
        <v>1868</v>
      </c>
    </row>
    <row r="395" spans="2:5" x14ac:dyDescent="0.2">
      <c r="B395" s="208" t="str">
        <f>'Header Info'!B395</f>
        <v>PARAGON SERVICES, INC.</v>
      </c>
      <c r="C395" s="208" t="s">
        <v>1388</v>
      </c>
      <c r="D395" s="208" t="str">
        <f>'Header Info'!C395</f>
        <v>L11</v>
      </c>
      <c r="E395" s="208" t="s">
        <v>1917</v>
      </c>
    </row>
    <row r="396" spans="2:5" x14ac:dyDescent="0.2">
      <c r="B396" s="208" t="str">
        <f>'Header Info'!B396</f>
        <v>PARAGON SERVICES, INC.</v>
      </c>
      <c r="C396" s="208" t="s">
        <v>1388</v>
      </c>
      <c r="D396" s="208" t="str">
        <f>'Header Info'!C396</f>
        <v>PENETRANT DRYING OVEN</v>
      </c>
      <c r="E396" s="208" t="s">
        <v>1979</v>
      </c>
    </row>
    <row r="397" spans="2:5" x14ac:dyDescent="0.2">
      <c r="B397" s="208" t="str">
        <f>'Header Info'!B397</f>
        <v>PARAGON SERVICES, INC.</v>
      </c>
      <c r="C397" s="208" t="s">
        <v>1388</v>
      </c>
      <c r="D397" s="208" t="str">
        <f>'Header Info'!C397</f>
        <v>Tank L2</v>
      </c>
      <c r="E397" s="208" t="s">
        <v>1390</v>
      </c>
    </row>
    <row r="398" spans="2:5" x14ac:dyDescent="0.2">
      <c r="B398" s="208" t="str">
        <f>'Header Info'!B398</f>
        <v>PARAGON SERVICES, INC.</v>
      </c>
      <c r="C398" s="208" t="s">
        <v>1392</v>
      </c>
      <c r="D398" s="208" t="str">
        <f>'Header Info'!C398</f>
        <v>Tank L8</v>
      </c>
      <c r="E398" s="208" t="s">
        <v>1393</v>
      </c>
    </row>
    <row r="399" spans="2:5" x14ac:dyDescent="0.2">
      <c r="B399" s="208" t="str">
        <f>'Header Info'!B399</f>
        <v>PARAGON SERVICES, INC.</v>
      </c>
      <c r="C399" s="208" t="s">
        <v>1392</v>
      </c>
      <c r="D399" s="208" t="str">
        <f>'Header Info'!C399</f>
        <v>Tank L11</v>
      </c>
      <c r="E399" s="208" t="s">
        <v>1933</v>
      </c>
    </row>
    <row r="400" spans="2:5" x14ac:dyDescent="0.2">
      <c r="B400" s="208" t="str">
        <f>'Header Info'!B400</f>
        <v>PARAGON SERVICES, INC.</v>
      </c>
      <c r="C400" s="208" t="s">
        <v>1392</v>
      </c>
      <c r="D400" s="208" t="str">
        <f>'Header Info'!C400</f>
        <v>Tank L13</v>
      </c>
      <c r="E400" s="208" t="s">
        <v>1395</v>
      </c>
    </row>
    <row r="401" spans="2:5" x14ac:dyDescent="0.2">
      <c r="B401" s="208" t="str">
        <f>'Header Info'!B401</f>
        <v>PARAGON SERVICES, INC.</v>
      </c>
      <c r="C401" s="208" t="s">
        <v>1392</v>
      </c>
      <c r="D401" s="208" t="str">
        <f>'Header Info'!C401</f>
        <v>Tank L14</v>
      </c>
      <c r="E401" s="208" t="s">
        <v>1396</v>
      </c>
    </row>
    <row r="402" spans="2:5" x14ac:dyDescent="0.2">
      <c r="B402" s="208" t="str">
        <f>'Header Info'!B402</f>
        <v>PARAGON SERVICES, INC.-Sheridan</v>
      </c>
      <c r="C402" s="208" t="s">
        <v>1392</v>
      </c>
      <c r="D402" s="208" t="str">
        <f>'Header Info'!C402</f>
        <v>Tank No.S1</v>
      </c>
      <c r="E402" s="208" t="s">
        <v>1398</v>
      </c>
    </row>
    <row r="403" spans="2:5" x14ac:dyDescent="0.2">
      <c r="B403" s="208" t="str">
        <f>'Header Info'!B403</f>
        <v>PARAGON SERVICES, INC.-Sheridan</v>
      </c>
      <c r="C403" s="208" t="s">
        <v>1392</v>
      </c>
      <c r="D403" s="208" t="str">
        <f>'Header Info'!C403</f>
        <v>Tank No.S9</v>
      </c>
      <c r="E403" s="208" t="s">
        <v>1400</v>
      </c>
    </row>
    <row r="404" spans="2:5" x14ac:dyDescent="0.2">
      <c r="B404" s="208" t="str">
        <f>'Header Info'!B404</f>
        <v>PARK AEROSPACE TECHNOLOGIES CORP.</v>
      </c>
      <c r="C404" s="208" t="s">
        <v>1392</v>
      </c>
      <c r="D404" s="208" t="str">
        <f>'Header Info'!C404</f>
        <v>AUTOCLAVE NO. 2 per PS23401</v>
      </c>
      <c r="E404" s="208" t="s">
        <v>1402</v>
      </c>
    </row>
    <row r="405" spans="2:5" x14ac:dyDescent="0.2">
      <c r="B405" s="208" t="str">
        <f>'Header Info'!B405</f>
        <v>PARK AEROSPACE TECHNOLOGIES CORP.</v>
      </c>
      <c r="C405" s="208" t="s">
        <v>1392</v>
      </c>
      <c r="D405" s="208" t="str">
        <f>'Header Info'!C405</f>
        <v>AUTOCLAVE NO. 3</v>
      </c>
      <c r="E405" s="208" t="s">
        <v>1404</v>
      </c>
    </row>
    <row r="406" spans="2:5" x14ac:dyDescent="0.2">
      <c r="B406" s="208" t="str">
        <f>'Header Info'!B406</f>
        <v>PARK AEROSPACE TECHNOLOGIES CORP.</v>
      </c>
      <c r="C406" s="208" t="s">
        <v>1406</v>
      </c>
      <c r="D406" s="208" t="str">
        <f>'Header Info'!C406</f>
        <v>AUTOCLAVE NO. 3 per PS24301</v>
      </c>
      <c r="E406" s="208" t="s">
        <v>1410</v>
      </c>
    </row>
    <row r="407" spans="2:5" x14ac:dyDescent="0.2">
      <c r="B407" s="208" t="str">
        <f>'Header Info'!B407</f>
        <v>PARK AEROSPACE TECHNOLOGIES CORP.</v>
      </c>
      <c r="C407" s="208" t="s">
        <v>1406</v>
      </c>
      <c r="D407" s="208" t="str">
        <f>'Header Info'!C407</f>
        <v>Espec Env. Chamber BTL-433</v>
      </c>
      <c r="E407" s="208" t="s">
        <v>1981</v>
      </c>
    </row>
    <row r="408" spans="2:5" x14ac:dyDescent="0.2">
      <c r="B408" s="208" t="str">
        <f>'Header Info'!B408</f>
        <v>PARK AEROSPACE TECHNOLOGIES CORP.</v>
      </c>
      <c r="C408" s="208" t="s">
        <v>1406</v>
      </c>
      <c r="D408" s="208" t="str">
        <f>'Header Info'!C408</f>
        <v>MTS Environmental Chamber 1</v>
      </c>
      <c r="E408" s="208" t="s">
        <v>1408</v>
      </c>
    </row>
    <row r="409" spans="2:5" x14ac:dyDescent="0.2">
      <c r="B409" s="208" t="str">
        <f>'Header Info'!B409</f>
        <v>PARK AEROSPACE TECHNOLOGIES CORP.</v>
      </c>
      <c r="C409" s="208" t="s">
        <v>1411</v>
      </c>
      <c r="D409" s="208" t="str">
        <f>'Header Info'!C409</f>
        <v>MTS Environmental Chamber 2</v>
      </c>
      <c r="E409" s="208" t="s">
        <v>1413</v>
      </c>
    </row>
    <row r="410" spans="2:5" x14ac:dyDescent="0.2">
      <c r="B410" s="208" t="str">
        <f>'Header Info'!B410</f>
        <v>PARK AEROSPACE TECHNOLOGIES CORP.</v>
      </c>
      <c r="C410" s="208" t="s">
        <v>1411</v>
      </c>
      <c r="D410" s="208" t="str">
        <f>'Header Info'!C410</f>
        <v>OV1200</v>
      </c>
      <c r="E410" s="208" t="s">
        <v>1414</v>
      </c>
    </row>
    <row r="411" spans="2:5" x14ac:dyDescent="0.2">
      <c r="B411" s="208" t="str">
        <f>'Header Info'!B411</f>
        <v>PARK AEROSPACE TECHNOLOGIES CORP.</v>
      </c>
      <c r="C411" s="208" t="s">
        <v>1411</v>
      </c>
      <c r="D411" s="208" t="str">
        <f>'Header Info'!C411</f>
        <v>OV1300</v>
      </c>
      <c r="E411" s="208" t="s">
        <v>1415</v>
      </c>
    </row>
    <row r="412" spans="2:5" x14ac:dyDescent="0.2">
      <c r="B412" s="208" t="str">
        <f>'Header Info'!B412</f>
        <v>PARK AEROSPACE TECHNOLOGIES CORP.</v>
      </c>
      <c r="C412" s="208" t="s">
        <v>1411</v>
      </c>
      <c r="D412" s="208" t="str">
        <f>'Header Info'!C412</f>
        <v>Oven 13 160</v>
      </c>
      <c r="E412" s="208" t="s">
        <v>1786</v>
      </c>
    </row>
    <row r="413" spans="2:5" x14ac:dyDescent="0.2">
      <c r="B413" s="208" t="str">
        <f>'Header Info'!B413</f>
        <v>PARK AEROSPACE TECHNOLOGIES CORP.</v>
      </c>
      <c r="C413" s="208" t="s">
        <v>1411</v>
      </c>
      <c r="D413" s="208" t="str">
        <f>'Header Info'!C413</f>
        <v>Oven 19008</v>
      </c>
      <c r="E413" s="208" t="s">
        <v>1412</v>
      </c>
    </row>
    <row r="414" spans="2:5" x14ac:dyDescent="0.2">
      <c r="B414" s="208" t="str">
        <f>'Header Info'!B414</f>
        <v>PARK AEROSPACE TECHNOLOGIES CORP.</v>
      </c>
      <c r="C414" s="208" t="s">
        <v>1587</v>
      </c>
      <c r="D414" s="208" t="str">
        <f>'Header Info'!C414</f>
        <v>Oven No. 5316-1</v>
      </c>
      <c r="E414" s="208" t="s">
        <v>1588</v>
      </c>
    </row>
    <row r="415" spans="2:5" x14ac:dyDescent="0.2">
      <c r="B415" s="208" t="str">
        <f>'Header Info'!B415</f>
        <v>PARK AEROSPACE TECHNOLOGIES CORP.</v>
      </c>
      <c r="C415" s="208" t="s">
        <v>1587</v>
      </c>
      <c r="D415" s="208" t="str">
        <f>'Header Info'!C415</f>
        <v>Oven No. 5316-2</v>
      </c>
      <c r="E415" s="208" t="s">
        <v>1984</v>
      </c>
    </row>
    <row r="416" spans="2:5" x14ac:dyDescent="0.2">
      <c r="B416" s="208" t="str">
        <f>'Header Info'!B416</f>
        <v>PARK AEROSPACE TECHNOLOGIES CORP.</v>
      </c>
      <c r="C416" s="208" t="s">
        <v>1416</v>
      </c>
      <c r="D416" s="208" t="str">
        <f>'Header Info'!C416</f>
        <v>SMALL WISCONSIN</v>
      </c>
      <c r="E416" s="208" t="s">
        <v>1417</v>
      </c>
    </row>
    <row r="417" spans="2:5" x14ac:dyDescent="0.2">
      <c r="B417" s="208" t="str">
        <f>'Header Info'!B417</f>
        <v>PARK AEROSPACE TECHNOLOGIES CORP.</v>
      </c>
      <c r="C417" s="208" t="s">
        <v>1416</v>
      </c>
      <c r="D417" s="208" t="str">
        <f>'Header Info'!C417</f>
        <v>WISCONSIN OVEN ZONE 1 &amp; 2</v>
      </c>
      <c r="E417" s="208" t="s">
        <v>1919</v>
      </c>
    </row>
    <row r="418" spans="2:5" x14ac:dyDescent="0.2">
      <c r="B418" s="208" t="str">
        <f>'Header Info'!B418</f>
        <v>PARK AEROSPACE TECHNOLOGIES CORP.</v>
      </c>
      <c r="C418" s="208" t="s">
        <v>1416</v>
      </c>
      <c r="D418" s="208" t="str">
        <f>'Header Info'!C418</f>
        <v>WISCONSIN OVEN ZONE 1</v>
      </c>
      <c r="E418" s="208" t="s">
        <v>1821</v>
      </c>
    </row>
    <row r="419" spans="2:5" x14ac:dyDescent="0.2">
      <c r="B419" s="208" t="str">
        <f>'Header Info'!B419</f>
        <v>PARK AEROSPACE TECHNOLOGIES CORP.</v>
      </c>
      <c r="C419" s="208" t="s">
        <v>1416</v>
      </c>
      <c r="D419" s="208" t="str">
        <f>'Header Info'!C419</f>
        <v>WISCONSIN OVEN ZONE 2</v>
      </c>
      <c r="E419" s="208" t="s">
        <v>3867</v>
      </c>
    </row>
    <row r="420" spans="2:5" x14ac:dyDescent="0.2">
      <c r="B420" s="208" t="str">
        <f>'Header Info'!B420</f>
        <v>PERFEKTA, INC.</v>
      </c>
      <c r="C420" s="208" t="s">
        <v>1416</v>
      </c>
      <c r="D420" s="208" t="str">
        <f>'Header Info'!C420</f>
        <v>FURNACE NO. 1 (OVEN 0503)</v>
      </c>
      <c r="E420" s="208" t="s">
        <v>1832</v>
      </c>
    </row>
    <row r="421" spans="2:5" x14ac:dyDescent="0.2">
      <c r="B421" s="208" t="str">
        <f>'Header Info'!B421</f>
        <v>PREMIER PROCESSING</v>
      </c>
      <c r="C421" s="208" t="s">
        <v>1416</v>
      </c>
      <c r="D421" s="208" t="str">
        <f>'Header Info'!C421</f>
        <v>CURING OVEN</v>
      </c>
      <c r="E421" s="208" t="s">
        <v>1819</v>
      </c>
    </row>
    <row r="422" spans="2:5" x14ac:dyDescent="0.2">
      <c r="B422" s="208" t="str">
        <f>'Header Info'!B422</f>
        <v>PREMIER PROCESSING</v>
      </c>
      <c r="C422" s="208" t="s">
        <v>1416</v>
      </c>
      <c r="D422" s="208" t="str">
        <f>'Header Info'!C422</f>
        <v>OVB100</v>
      </c>
      <c r="E422" s="208" t="s">
        <v>1830</v>
      </c>
    </row>
    <row r="423" spans="2:5" x14ac:dyDescent="0.2">
      <c r="B423" s="208" t="str">
        <f>'Header Info'!B423</f>
        <v>PREMIER PROCESSING</v>
      </c>
      <c r="C423" s="208" t="s">
        <v>1416</v>
      </c>
      <c r="D423" s="208" t="str">
        <f>'Header Info'!C423</f>
        <v>PBA200</v>
      </c>
      <c r="E423" s="208" t="s">
        <v>1827</v>
      </c>
    </row>
    <row r="424" spans="2:5" x14ac:dyDescent="0.2">
      <c r="B424" s="208" t="str">
        <f>'Header Info'!B424</f>
        <v>PREMIER PROCESSING</v>
      </c>
      <c r="C424" s="208" t="s">
        <v>1416</v>
      </c>
      <c r="D424" s="208" t="str">
        <f>'Header Info'!C424</f>
        <v>PENETRANT OVEN 1</v>
      </c>
      <c r="E424" s="208" t="s">
        <v>1825</v>
      </c>
    </row>
    <row r="425" spans="2:5" x14ac:dyDescent="0.2">
      <c r="B425" s="208" t="str">
        <f>'Header Info'!B425</f>
        <v>PREMIER PROCESSING</v>
      </c>
      <c r="C425" s="208" t="s">
        <v>1416</v>
      </c>
      <c r="D425" s="208" t="str">
        <f>'Header Info'!C425</f>
        <v>PT2E200</v>
      </c>
      <c r="E425" s="208" t="s">
        <v>1823</v>
      </c>
    </row>
    <row r="426" spans="2:5" x14ac:dyDescent="0.2">
      <c r="B426" s="208" t="str">
        <f>'Header Info'!B426</f>
        <v>PREMIER PROCESSING</v>
      </c>
      <c r="C426" s="208" t="s">
        <v>1419</v>
      </c>
      <c r="D426" s="208" t="str">
        <f>'Header Info'!C426</f>
        <v>WISCONSIN OVEN OVC-100</v>
      </c>
      <c r="E426" s="208" t="s">
        <v>1421</v>
      </c>
    </row>
    <row r="427" spans="2:5" x14ac:dyDescent="0.2">
      <c r="B427" s="208" t="str">
        <f>'Header Info'!B427</f>
        <v>PREMIER PROCESSING</v>
      </c>
      <c r="C427" s="208" t="s">
        <v>1419</v>
      </c>
      <c r="D427" s="208" t="str">
        <f>'Header Info'!C427</f>
        <v>Tank No. 103</v>
      </c>
      <c r="E427" s="208" t="s">
        <v>1423</v>
      </c>
    </row>
    <row r="428" spans="2:5" x14ac:dyDescent="0.2">
      <c r="B428" s="208" t="str">
        <f>'Header Info'!B428</f>
        <v>PREMIER PROCESSING</v>
      </c>
      <c r="C428" s="208" t="s">
        <v>1788</v>
      </c>
      <c r="D428" s="208" t="str">
        <f>'Header Info'!C428</f>
        <v>Tank No. 104</v>
      </c>
      <c r="E428" s="208" t="s">
        <v>1790</v>
      </c>
    </row>
    <row r="429" spans="2:5" x14ac:dyDescent="0.2">
      <c r="B429" s="208" t="str">
        <f>'Header Info'!B429</f>
        <v>PREMIER PROCESSING</v>
      </c>
      <c r="C429" s="208" t="s">
        <v>1425</v>
      </c>
      <c r="D429" s="208" t="str">
        <f>'Header Info'!C429</f>
        <v>Tank No. 107</v>
      </c>
      <c r="E429" s="208" t="s">
        <v>1427</v>
      </c>
    </row>
    <row r="430" spans="2:5" x14ac:dyDescent="0.2">
      <c r="B430" s="208" t="str">
        <f>'Header Info'!B430</f>
        <v>PREMIER PROCESSING</v>
      </c>
      <c r="C430" s="208" t="s">
        <v>1425</v>
      </c>
      <c r="D430" s="208" t="str">
        <f>'Header Info'!C430</f>
        <v>Tank No. 108</v>
      </c>
      <c r="E430" s="208" t="s">
        <v>1428</v>
      </c>
    </row>
    <row r="431" spans="2:5" x14ac:dyDescent="0.2">
      <c r="B431" s="208" t="str">
        <f>'Header Info'!B431</f>
        <v>PREMIER PROCESSING</v>
      </c>
      <c r="C431" s="208" t="s">
        <v>1425</v>
      </c>
      <c r="D431" s="208" t="str">
        <f>'Header Info'!C431</f>
        <v>Tank No. 111</v>
      </c>
      <c r="E431" s="208" t="s">
        <v>1431</v>
      </c>
    </row>
    <row r="432" spans="2:5" x14ac:dyDescent="0.2">
      <c r="B432" s="208" t="str">
        <f>'Header Info'!B432</f>
        <v>PREMIER PROCESSING</v>
      </c>
      <c r="C432" s="208" t="s">
        <v>1425</v>
      </c>
      <c r="D432" s="208" t="str">
        <f>'Header Info'!C432</f>
        <v>Tank No. 114</v>
      </c>
      <c r="E432" s="208" t="s">
        <v>1433</v>
      </c>
    </row>
    <row r="433" spans="2:5" x14ac:dyDescent="0.2">
      <c r="B433" s="208" t="str">
        <f>'Header Info'!B433</f>
        <v>PREMIER PROCESSING</v>
      </c>
      <c r="C433" s="208" t="s">
        <v>1425</v>
      </c>
      <c r="D433" s="208" t="str">
        <f>'Header Info'!C433</f>
        <v>Tank No. 117</v>
      </c>
      <c r="E433" s="208" t="s">
        <v>1429</v>
      </c>
    </row>
    <row r="434" spans="2:5" x14ac:dyDescent="0.2">
      <c r="B434" s="208" t="str">
        <f>'Header Info'!B434</f>
        <v>PREMIER PROCESSING</v>
      </c>
      <c r="C434" s="208" t="s">
        <v>1435</v>
      </c>
      <c r="D434" s="208" t="str">
        <f>'Header Info'!C434</f>
        <v>Tank No. 203</v>
      </c>
      <c r="E434" s="208" t="s">
        <v>3868</v>
      </c>
    </row>
    <row r="435" spans="2:5" x14ac:dyDescent="0.2">
      <c r="B435" s="208" t="str">
        <f>'Header Info'!B435</f>
        <v>PREMIER PROCESSING</v>
      </c>
      <c r="C435" s="208" t="s">
        <v>1435</v>
      </c>
      <c r="D435" s="208" t="str">
        <f>'Header Info'!C435</f>
        <v>Tank No. 204</v>
      </c>
      <c r="E435" s="208" t="s">
        <v>1438</v>
      </c>
    </row>
    <row r="436" spans="2:5" x14ac:dyDescent="0.2">
      <c r="B436" s="208" t="str">
        <f>'Header Info'!B436</f>
        <v>PREMIER PROCESSING</v>
      </c>
      <c r="C436" s="208" t="s">
        <v>1435</v>
      </c>
      <c r="D436" s="208" t="str">
        <f>'Header Info'!C436</f>
        <v>Tank No. 207</v>
      </c>
      <c r="E436" s="208" t="s">
        <v>1437</v>
      </c>
    </row>
    <row r="437" spans="2:5" x14ac:dyDescent="0.2">
      <c r="B437" s="208" t="str">
        <f>'Header Info'!B437</f>
        <v>PREMIER PROCESSING</v>
      </c>
      <c r="C437" s="208" t="s">
        <v>1435</v>
      </c>
      <c r="D437" s="208" t="str">
        <f>'Header Info'!C437</f>
        <v>Tank No. 210</v>
      </c>
      <c r="E437" s="208" t="s">
        <v>1436</v>
      </c>
    </row>
    <row r="438" spans="2:5" x14ac:dyDescent="0.2">
      <c r="B438" s="208" t="str">
        <f>'Header Info'!B438</f>
        <v>PREMIER PROCESSING</v>
      </c>
      <c r="C438" s="208" t="s">
        <v>1435</v>
      </c>
      <c r="D438" s="208" t="str">
        <f>'Header Info'!C438</f>
        <v>Tank No. 211</v>
      </c>
      <c r="E438" s="208" t="s">
        <v>1792</v>
      </c>
    </row>
    <row r="439" spans="2:5" x14ac:dyDescent="0.2">
      <c r="B439" s="208" t="str">
        <f>'Header Info'!B439</f>
        <v>PREMIER PROCESSING</v>
      </c>
      <c r="C439" s="208" t="s">
        <v>1435</v>
      </c>
      <c r="D439" s="208" t="str">
        <f>'Header Info'!C439</f>
        <v>Tank No. 214</v>
      </c>
      <c r="E439" s="208" t="s">
        <v>1870</v>
      </c>
    </row>
    <row r="440" spans="2:5" x14ac:dyDescent="0.2">
      <c r="B440" s="208" t="str">
        <f>'Header Info'!B440</f>
        <v>PREMIER PROCESSING</v>
      </c>
      <c r="C440" s="208" t="s">
        <v>1435</v>
      </c>
      <c r="D440" s="208" t="str">
        <f>'Header Info'!C440</f>
        <v>Tank No. 217</v>
      </c>
      <c r="E440" s="208" t="s">
        <v>3869</v>
      </c>
    </row>
    <row r="441" spans="2:5" x14ac:dyDescent="0.2">
      <c r="B441" s="208" t="str">
        <f>'Header Info'!B441</f>
        <v>PRODUCT MANUFACTURING CORPORATION</v>
      </c>
      <c r="C441" s="208" t="s">
        <v>1435</v>
      </c>
      <c r="D441" s="208">
        <f>'Header Info'!C441</f>
        <v>330735</v>
      </c>
      <c r="E441" s="208" t="s">
        <v>1791</v>
      </c>
    </row>
    <row r="442" spans="2:5" x14ac:dyDescent="0.2">
      <c r="B442" s="208" t="str">
        <f>'Header Info'!B442</f>
        <v>PRODUCT MANUFACTURING CORPORATION</v>
      </c>
      <c r="C442" s="208" t="s">
        <v>1435</v>
      </c>
      <c r="D442" s="208" t="str">
        <f>'Header Info'!C442</f>
        <v>Cure Oven No. 1</v>
      </c>
      <c r="E442" s="208" t="s">
        <v>1987</v>
      </c>
    </row>
    <row r="443" spans="2:5" x14ac:dyDescent="0.2">
      <c r="B443" s="208" t="str">
        <f>'Header Info'!B443</f>
        <v>PRODUCT MANUFACTURING CORPORATION</v>
      </c>
      <c r="C443" s="208" t="s">
        <v>1435</v>
      </c>
      <c r="D443" s="208" t="str">
        <f>'Header Info'!C443</f>
        <v>CHEST FREEZER</v>
      </c>
      <c r="E443" s="208" t="s">
        <v>1446</v>
      </c>
    </row>
    <row r="444" spans="2:5" x14ac:dyDescent="0.2">
      <c r="B444" s="208" t="str">
        <f>'Header Info'!B444</f>
        <v>PRODUCT MANUFACTURING CORPORATION</v>
      </c>
      <c r="C444" s="208" t="s">
        <v>1435</v>
      </c>
      <c r="D444" s="208" t="str">
        <f>'Header Info'!C444</f>
        <v>FREEZER 31953581</v>
      </c>
      <c r="E444" s="208" t="s">
        <v>1440</v>
      </c>
    </row>
    <row r="445" spans="2:5" x14ac:dyDescent="0.2">
      <c r="B445" s="208" t="str">
        <f>'Header Info'!B445</f>
        <v>PRODUCT MANUFACTURING CORPORATION</v>
      </c>
      <c r="C445" s="208" t="s">
        <v>1435</v>
      </c>
      <c r="D445" s="208" t="str">
        <f>'Header Info'!C445</f>
        <v>FREEZER CHE221023</v>
      </c>
      <c r="E445" s="208" t="s">
        <v>1937</v>
      </c>
    </row>
    <row r="446" spans="2:5" x14ac:dyDescent="0.2">
      <c r="B446" s="208" t="str">
        <f>'Header Info'!B446</f>
        <v>PRODUCT MANUFACTURING CORPORATION</v>
      </c>
      <c r="C446" s="208" t="s">
        <v>1435</v>
      </c>
      <c r="D446" s="208" t="str">
        <f>'Header Info'!C446</f>
        <v>FREEZER NO. 3</v>
      </c>
      <c r="E446" s="208" t="s">
        <v>1444</v>
      </c>
    </row>
    <row r="447" spans="2:5" x14ac:dyDescent="0.2">
      <c r="B447" s="208" t="str">
        <f>'Header Info'!B447</f>
        <v>PRODUCT MANUFACTURING CORPORATION</v>
      </c>
      <c r="C447" s="208" t="s">
        <v>1435</v>
      </c>
      <c r="D447" s="208" t="str">
        <f>'Header Info'!C447</f>
        <v>FREEZER NO. 4</v>
      </c>
      <c r="E447" s="208" t="s">
        <v>1442</v>
      </c>
    </row>
    <row r="448" spans="2:5" x14ac:dyDescent="0.2">
      <c r="B448" s="208" t="str">
        <f>'Header Info'!B448</f>
        <v>PRODUCT MANUFACTURING CORPORATION</v>
      </c>
      <c r="C448" s="208" t="s">
        <v>1435</v>
      </c>
      <c r="D448" s="208" t="str">
        <f>'Header Info'!C448</f>
        <v>FREEZER NO. 5</v>
      </c>
      <c r="E448" s="208" t="s">
        <v>1935</v>
      </c>
    </row>
    <row r="449" spans="2:5" x14ac:dyDescent="0.2">
      <c r="B449" s="208" t="str">
        <f>'Header Info'!B449</f>
        <v>PRODUCT MANUFACTURING CORPORATION</v>
      </c>
      <c r="C449" s="208" t="s">
        <v>1435</v>
      </c>
      <c r="D449" s="208" t="str">
        <f>'Header Info'!C449</f>
        <v>CHEST FREEZER NO. 7</v>
      </c>
      <c r="E449" s="208" t="s">
        <v>3870</v>
      </c>
    </row>
    <row r="450" spans="2:5" x14ac:dyDescent="0.2">
      <c r="B450" s="208" t="str">
        <f>'Header Info'!B450</f>
        <v>PRODUCT MANUFACTURING CORPORATION</v>
      </c>
      <c r="C450" s="208" t="s">
        <v>1448</v>
      </c>
      <c r="D450" s="208" t="str">
        <f>'Header Info'!C450</f>
        <v>FREEZER NO. 8</v>
      </c>
      <c r="E450" s="208" t="s">
        <v>1450</v>
      </c>
    </row>
    <row r="451" spans="2:5" x14ac:dyDescent="0.2">
      <c r="B451" s="208" t="str">
        <f>'Header Info'!B451</f>
        <v>PRODUCT MANUFACTURING CORPORATION</v>
      </c>
      <c r="C451" s="208" t="s">
        <v>1452</v>
      </c>
      <c r="D451" s="208" t="str">
        <f>'Header Info'!C451</f>
        <v>FREEZER NO. 11</v>
      </c>
      <c r="E451" s="208" t="s">
        <v>1454</v>
      </c>
    </row>
    <row r="452" spans="2:5" x14ac:dyDescent="0.2">
      <c r="B452" s="208" t="str">
        <f>'Header Info'!B452</f>
        <v>PRODUCT MANUFACTURING CORPORATION</v>
      </c>
      <c r="C452" s="208" t="s">
        <v>1452</v>
      </c>
      <c r="D452" s="208" t="str">
        <f>'Header Info'!C452</f>
        <v>FREEZER NO. 13</v>
      </c>
      <c r="E452" s="208" t="s">
        <v>1456</v>
      </c>
    </row>
    <row r="453" spans="2:5" x14ac:dyDescent="0.2">
      <c r="B453" s="208" t="str">
        <f>'Header Info'!B453</f>
        <v>PRODUCT MANUFACTURING CORPORATION</v>
      </c>
      <c r="C453" s="208" t="s">
        <v>1452</v>
      </c>
      <c r="D453" s="208" t="str">
        <f>'Header Info'!C453</f>
        <v>HONDA NO. 1 FREEZER</v>
      </c>
      <c r="E453" s="208" t="s">
        <v>1458</v>
      </c>
    </row>
    <row r="454" spans="2:5" x14ac:dyDescent="0.2">
      <c r="B454" s="208" t="str">
        <f>'Header Info'!B454</f>
        <v>PRODUCT MANUFACTURING CORPORATION</v>
      </c>
      <c r="C454" s="208" t="s">
        <v>1452</v>
      </c>
      <c r="D454" s="208" t="str">
        <f>'Header Info'!C454</f>
        <v>OVEN NO. 157157</v>
      </c>
      <c r="E454" s="208" t="s">
        <v>1989</v>
      </c>
    </row>
    <row r="455" spans="2:5" x14ac:dyDescent="0.2">
      <c r="B455" s="208" t="str">
        <f>'Header Info'!B455</f>
        <v>PRODUCT MANUFACTURING CORPORATION</v>
      </c>
      <c r="C455" s="208" t="s">
        <v>1460</v>
      </c>
      <c r="D455" s="208" t="str">
        <f>'Header Info'!C455</f>
        <v>OVEN NO. 09150004</v>
      </c>
      <c r="E455" s="208" t="s">
        <v>1872</v>
      </c>
    </row>
    <row r="456" spans="2:5" x14ac:dyDescent="0.2">
      <c r="B456" s="208" t="str">
        <f>'Header Info'!B456</f>
        <v>PRODUCT MANUFACTURING CORPORATION</v>
      </c>
      <c r="C456" s="208" t="s">
        <v>1460</v>
      </c>
      <c r="D456" s="208" t="str">
        <f>'Header Info'!C456</f>
        <v>OVEN NO.14-0581433</v>
      </c>
      <c r="E456" s="208" t="s">
        <v>1940</v>
      </c>
    </row>
    <row r="457" spans="2:5" x14ac:dyDescent="0.2">
      <c r="B457" s="208" t="str">
        <f>'Header Info'!B457</f>
        <v>PRODUCT MANUFACTURING CORPORATION</v>
      </c>
      <c r="C457" s="208" t="s">
        <v>1460</v>
      </c>
      <c r="D457" s="208" t="str">
        <f>'Header Info'!C457</f>
        <v>Oven No. 142142</v>
      </c>
      <c r="E457" s="208" t="s">
        <v>1938</v>
      </c>
    </row>
    <row r="458" spans="2:5" x14ac:dyDescent="0.2">
      <c r="B458" s="208" t="str">
        <f>'Header Info'!B458</f>
        <v>PRODUCT MANUFACTURING CORPORATION</v>
      </c>
      <c r="C458" s="208" t="s">
        <v>1460</v>
      </c>
      <c r="D458" s="208" t="str">
        <f>'Header Info'!C458</f>
        <v>Upright Freezer #2</v>
      </c>
      <c r="E458" s="208" t="s">
        <v>3871</v>
      </c>
    </row>
    <row r="459" spans="2:5" x14ac:dyDescent="0.2">
      <c r="B459" s="208" t="str">
        <f>'Header Info'!B459</f>
        <v>PRODUCT MANUFACTURING CORPORATION</v>
      </c>
      <c r="C459" s="208" t="s">
        <v>1460</v>
      </c>
      <c r="D459" s="208" t="str">
        <f>'Header Info'!C459</f>
        <v>Upright Freezer #12</v>
      </c>
      <c r="E459" s="208" t="s">
        <v>1491</v>
      </c>
    </row>
    <row r="460" spans="2:5" x14ac:dyDescent="0.2">
      <c r="B460" s="208" t="str">
        <f>'Header Info'!B460</f>
        <v>PRODUCT MANUFACTURING CORPORATION</v>
      </c>
      <c r="C460" s="208" t="s">
        <v>1460</v>
      </c>
      <c r="D460" s="208" t="str">
        <f>'Header Info'!C460</f>
        <v>Upright Freezer #15</v>
      </c>
      <c r="E460" s="208" t="s">
        <v>1466</v>
      </c>
    </row>
    <row r="461" spans="2:5" x14ac:dyDescent="0.2">
      <c r="B461" s="208" t="str">
        <f>'Header Info'!B461</f>
        <v>PRODUCT MANUFACTURING CORPORATION</v>
      </c>
      <c r="C461" s="208" t="s">
        <v>1460</v>
      </c>
      <c r="D461" s="208" t="str">
        <f>'Header Info'!C461</f>
        <v>Upright Freezer #20</v>
      </c>
      <c r="E461" s="208" t="s">
        <v>1464</v>
      </c>
    </row>
    <row r="462" spans="2:5" x14ac:dyDescent="0.2">
      <c r="B462" s="208" t="str">
        <f>'Header Info'!B462</f>
        <v>PRODUCT MANUFACTURING CORPORATION</v>
      </c>
      <c r="C462" s="208" t="s">
        <v>1460</v>
      </c>
      <c r="D462" s="208" t="str">
        <f>'Header Info'!C462</f>
        <v>Upright Freezer 300072009</v>
      </c>
      <c r="E462" s="208" t="s">
        <v>1462</v>
      </c>
    </row>
    <row r="463" spans="2:5" x14ac:dyDescent="0.2">
      <c r="B463" s="208" t="str">
        <f>'Header Info'!B463</f>
        <v>PRODUCT MANUFACTURING CORPORATION</v>
      </c>
      <c r="C463" s="208" t="s">
        <v>1460</v>
      </c>
      <c r="D463" s="208" t="str">
        <f>'Header Info'!C463</f>
        <v>UPRIGHT FREEZER NO. 16</v>
      </c>
      <c r="E463" s="208" t="s">
        <v>1468</v>
      </c>
    </row>
    <row r="464" spans="2:5" x14ac:dyDescent="0.2">
      <c r="B464" s="208" t="str">
        <f>'Header Info'!B464</f>
        <v>PRODUCT MANUFACTURING CORPORATION</v>
      </c>
      <c r="C464" s="208" t="s">
        <v>1460</v>
      </c>
      <c r="D464" s="208" t="str">
        <f>'Header Info'!C464</f>
        <v>Upright Freezer No. 17</v>
      </c>
      <c r="E464" s="208" t="s">
        <v>1470</v>
      </c>
    </row>
    <row r="465" spans="2:5" x14ac:dyDescent="0.2">
      <c r="B465" s="208" t="str">
        <f>'Header Info'!B465</f>
        <v>PRODUCT MANUFACTURING CORPORATION</v>
      </c>
      <c r="C465" s="208" t="s">
        <v>1460</v>
      </c>
      <c r="D465" s="208" t="str">
        <f>'Header Info'!C465</f>
        <v>Walk-in Freezer No. 19</v>
      </c>
      <c r="E465" s="208" t="s">
        <v>1471</v>
      </c>
    </row>
    <row r="466" spans="2:5" x14ac:dyDescent="0.2">
      <c r="B466" s="208" t="str">
        <f>'Header Info'!B466</f>
        <v>PRODUCT MANUFACTURING CORPORATION</v>
      </c>
      <c r="C466" s="208" t="s">
        <v>1460</v>
      </c>
      <c r="D466" s="208" t="str">
        <f>'Header Info'!C466</f>
        <v>Upright Freezer NEW</v>
      </c>
      <c r="E466" s="208" t="s">
        <v>1472</v>
      </c>
    </row>
    <row r="467" spans="2:5" x14ac:dyDescent="0.2">
      <c r="B467" s="208" t="str">
        <f>'Header Info'!B467</f>
        <v>RAPID PROCESSING SOLUTIONS</v>
      </c>
      <c r="C467" s="208" t="s">
        <v>1460</v>
      </c>
      <c r="D467" s="208" t="str">
        <f>'Header Info'!C467</f>
        <v>K10815</v>
      </c>
      <c r="E467" s="208" t="s">
        <v>1474</v>
      </c>
    </row>
    <row r="468" spans="2:5" x14ac:dyDescent="0.2">
      <c r="B468" s="208" t="str">
        <f>'Header Info'!B468</f>
        <v>RAPID PROCESSING SOLUTIONS</v>
      </c>
      <c r="C468" s="208" t="s">
        <v>1460</v>
      </c>
      <c r="D468" s="208" t="str">
        <f>'Header Info'!C468</f>
        <v>L2050</v>
      </c>
      <c r="E468" s="208" t="s">
        <v>1476</v>
      </c>
    </row>
    <row r="469" spans="2:5" x14ac:dyDescent="0.2">
      <c r="B469" s="208" t="str">
        <f>'Header Info'!B469</f>
        <v>RAPID PROCESSING SOLUTIONS</v>
      </c>
      <c r="C469" s="208" t="s">
        <v>1460</v>
      </c>
      <c r="D469" s="208" t="str">
        <f>'Header Info'!C469</f>
        <v>L0094</v>
      </c>
      <c r="E469" s="208" t="s">
        <v>1478</v>
      </c>
    </row>
    <row r="470" spans="2:5" x14ac:dyDescent="0.2">
      <c r="B470" s="208" t="str">
        <f>'Header Info'!B470</f>
        <v>RAPID PROCESSING SOLUTIONS</v>
      </c>
      <c r="C470" s="208" t="s">
        <v>1460</v>
      </c>
      <c r="D470" s="208" t="str">
        <f>'Header Info'!C470</f>
        <v>L0236</v>
      </c>
      <c r="E470" s="208" t="s">
        <v>1480</v>
      </c>
    </row>
    <row r="471" spans="2:5" x14ac:dyDescent="0.2">
      <c r="B471" s="208" t="str">
        <f>'Header Info'!B471</f>
        <v>RAPID PROCESSING SOLUTIONS</v>
      </c>
      <c r="C471" s="208" t="s">
        <v>1460</v>
      </c>
      <c r="D471" s="208" t="str">
        <f>'Header Info'!C471</f>
        <v>L0275</v>
      </c>
      <c r="E471" s="208" t="s">
        <v>1481</v>
      </c>
    </row>
    <row r="472" spans="2:5" x14ac:dyDescent="0.2">
      <c r="B472" s="208" t="str">
        <f>'Header Info'!B472</f>
        <v>RAPID PROCESSING SOLUTIONS</v>
      </c>
      <c r="C472" s="208" t="s">
        <v>1460</v>
      </c>
      <c r="D472" s="208" t="str">
        <f>'Header Info'!C472</f>
        <v>L0327</v>
      </c>
      <c r="E472" s="208" t="s">
        <v>1482</v>
      </c>
    </row>
    <row r="473" spans="2:5" x14ac:dyDescent="0.2">
      <c r="B473" s="208" t="str">
        <f>'Header Info'!B473</f>
        <v>RAPID PROCESSING SOLUTIONS</v>
      </c>
      <c r="C473" s="208" t="s">
        <v>1460</v>
      </c>
      <c r="D473" s="208" t="str">
        <f>'Header Info'!C473</f>
        <v>L0343</v>
      </c>
      <c r="E473" s="208" t="s">
        <v>1484</v>
      </c>
    </row>
    <row r="474" spans="2:5" x14ac:dyDescent="0.2">
      <c r="B474" s="208" t="str">
        <f>'Header Info'!B474</f>
        <v>RAPID PROCESSING SOLUTIONS</v>
      </c>
      <c r="C474" s="208" t="s">
        <v>1460</v>
      </c>
      <c r="D474" s="208" t="str">
        <f>'Header Info'!C474</f>
        <v>L0491</v>
      </c>
      <c r="E474" s="208" t="s">
        <v>1488</v>
      </c>
    </row>
    <row r="475" spans="2:5" x14ac:dyDescent="0.2">
      <c r="B475" s="208" t="str">
        <f>'Header Info'!B475</f>
        <v>RAPID PROCESSING SOLUTIONS</v>
      </c>
      <c r="C475" s="208" t="s">
        <v>1460</v>
      </c>
      <c r="D475" s="208" t="str">
        <f>'Header Info'!C475</f>
        <v>L-2051</v>
      </c>
      <c r="E475" s="208" t="s">
        <v>1489</v>
      </c>
    </row>
    <row r="476" spans="2:5" x14ac:dyDescent="0.2">
      <c r="B476" s="208" t="str">
        <f>'Header Info'!B476</f>
        <v>RAPID PROCESSING SOLUTIONS</v>
      </c>
      <c r="C476" s="208" t="s">
        <v>1460</v>
      </c>
      <c r="D476" s="208" t="str">
        <f>'Header Info'!C476</f>
        <v>OVEN NO. 1</v>
      </c>
      <c r="E476" s="208" t="s">
        <v>1493</v>
      </c>
    </row>
    <row r="477" spans="2:5" x14ac:dyDescent="0.2">
      <c r="B477" s="208" t="str">
        <f>'Header Info'!B477</f>
        <v>RAPID PROCESSING SOLUTIONS</v>
      </c>
      <c r="C477" s="208" t="s">
        <v>1460</v>
      </c>
      <c r="D477" s="208" t="str">
        <f>'Header Info'!C477</f>
        <v>OVEN NO. 2</v>
      </c>
      <c r="E477" s="208" t="s">
        <v>1495</v>
      </c>
    </row>
    <row r="478" spans="2:5" x14ac:dyDescent="0.2">
      <c r="B478" s="208" t="str">
        <f>'Header Info'!B478</f>
        <v>RAPID PROCESSING SOLUTIONS</v>
      </c>
      <c r="C478" s="208" t="s">
        <v>1460</v>
      </c>
      <c r="D478" s="208" t="str">
        <f>'Header Info'!C478</f>
        <v>T0254</v>
      </c>
      <c r="E478" s="208" t="s">
        <v>3872</v>
      </c>
    </row>
    <row r="479" spans="2:5" x14ac:dyDescent="0.2">
      <c r="B479" s="208" t="str">
        <f>'Header Info'!B479</f>
        <v>RAPID PROCESSING SOLUTIONS</v>
      </c>
      <c r="C479" s="208" t="s">
        <v>1062</v>
      </c>
      <c r="D479" s="208" t="str">
        <f>'Header Info'!C479</f>
        <v>T1392</v>
      </c>
      <c r="E479" s="208" t="s">
        <v>1067</v>
      </c>
    </row>
    <row r="480" spans="2:5" x14ac:dyDescent="0.2">
      <c r="B480" s="208" t="str">
        <f>'Header Info'!B480</f>
        <v>RAPID PROCESSING SOLUTIONS</v>
      </c>
      <c r="C480" s="208" t="s">
        <v>1062</v>
      </c>
      <c r="D480" s="208" t="str">
        <f>'Header Info'!C480</f>
        <v>T1755</v>
      </c>
      <c r="E480" s="208" t="s">
        <v>1064</v>
      </c>
    </row>
    <row r="481" spans="2:5" x14ac:dyDescent="0.2">
      <c r="B481" s="208" t="str">
        <f>'Header Info'!B481</f>
        <v>RAPID PROCESSING SOLUTIONS</v>
      </c>
      <c r="C481" s="208" t="s">
        <v>1062</v>
      </c>
      <c r="D481" s="208" t="str">
        <f>'Header Info'!C481</f>
        <v>T2278</v>
      </c>
      <c r="E481" s="208" t="s">
        <v>1070</v>
      </c>
    </row>
    <row r="482" spans="2:5" x14ac:dyDescent="0.2">
      <c r="B482" s="208" t="str">
        <f>'Header Info'!B482</f>
        <v>RAPID PROCESSING SOLUTIONS</v>
      </c>
      <c r="C482" s="208" t="s">
        <v>1062</v>
      </c>
      <c r="D482" s="208" t="str">
        <f>'Header Info'!C482</f>
        <v>T2372</v>
      </c>
      <c r="E482" s="208" t="s">
        <v>1066</v>
      </c>
    </row>
    <row r="483" spans="2:5" x14ac:dyDescent="0.2">
      <c r="B483" s="208" t="str">
        <f>'Header Info'!B483</f>
        <v>RAPID PROCESSING SOLUTIONS</v>
      </c>
      <c r="C483" s="208" t="s">
        <v>1062</v>
      </c>
      <c r="D483" s="208" t="str">
        <f>'Header Info'!C483</f>
        <v>T2465</v>
      </c>
      <c r="E483" s="208" t="s">
        <v>1068</v>
      </c>
    </row>
    <row r="484" spans="2:5" x14ac:dyDescent="0.2">
      <c r="B484" s="208" t="str">
        <f>'Header Info'!B484</f>
        <v>RAPID PROCESSING SOLUTIONS</v>
      </c>
      <c r="C484" s="208" t="s">
        <v>1062</v>
      </c>
      <c r="D484" s="208" t="str">
        <f>'Header Info'!C484</f>
        <v>T2466</v>
      </c>
      <c r="E484" s="208" t="s">
        <v>1069</v>
      </c>
    </row>
    <row r="485" spans="2:5" x14ac:dyDescent="0.2">
      <c r="B485" s="208" t="str">
        <f>'Header Info'!B485</f>
        <v>RAPID PROCESSING SOLUTIONS</v>
      </c>
      <c r="C485" s="208" t="s">
        <v>1497</v>
      </c>
      <c r="D485" s="208" t="str">
        <f>'Header Info'!C485</f>
        <v>T2472</v>
      </c>
      <c r="E485" s="208" t="s">
        <v>1498</v>
      </c>
    </row>
    <row r="486" spans="2:5" x14ac:dyDescent="0.2">
      <c r="B486" s="208" t="str">
        <f>'Header Info'!B486</f>
        <v>RAPID PROCESSING SOLUTIONS</v>
      </c>
      <c r="C486" s="208" t="s">
        <v>1497</v>
      </c>
      <c r="D486" s="208" t="str">
        <f>'Header Info'!C486</f>
        <v>T2679</v>
      </c>
      <c r="E486" s="208" t="s">
        <v>3874</v>
      </c>
    </row>
    <row r="487" spans="2:5" x14ac:dyDescent="0.2">
      <c r="B487" s="208" t="str">
        <f>'Header Info'!B487</f>
        <v>RAPID PROCESSING SOLUTIONS</v>
      </c>
      <c r="C487" s="208" t="s">
        <v>1497</v>
      </c>
      <c r="D487" s="208" t="str">
        <f>'Header Info'!C487</f>
        <v>T2700</v>
      </c>
      <c r="E487" s="208" t="s">
        <v>1502</v>
      </c>
    </row>
    <row r="488" spans="2:5" x14ac:dyDescent="0.2">
      <c r="B488" s="208" t="str">
        <f>'Header Info'!B488</f>
        <v>RAPID PROCESSING SOLUTIONS</v>
      </c>
      <c r="C488" s="208" t="s">
        <v>1497</v>
      </c>
      <c r="D488" s="208" t="str">
        <f>'Header Info'!C488</f>
        <v>T2996</v>
      </c>
      <c r="E488" s="208" t="s">
        <v>1504</v>
      </c>
    </row>
    <row r="489" spans="2:5" x14ac:dyDescent="0.2">
      <c r="B489" s="208" t="str">
        <f>'Header Info'!B489</f>
        <v>RAPID PROCESSING SOLUTIONS</v>
      </c>
      <c r="C489" s="208" t="s">
        <v>1497</v>
      </c>
      <c r="D489" s="208" t="str">
        <f>'Header Info'!C489</f>
        <v>T3038</v>
      </c>
      <c r="E489" s="208" t="s">
        <v>1506</v>
      </c>
    </row>
    <row r="490" spans="2:5" x14ac:dyDescent="0.2">
      <c r="B490" s="208" t="str">
        <f>'Header Info'!B490</f>
        <v>RAPID PROCESSING SOLUTIONS</v>
      </c>
      <c r="C490" s="208" t="s">
        <v>1497</v>
      </c>
      <c r="D490" s="208" t="str">
        <f>'Header Info'!C490</f>
        <v>T3039</v>
      </c>
      <c r="E490" s="208" t="s">
        <v>1508</v>
      </c>
    </row>
    <row r="491" spans="2:5" x14ac:dyDescent="0.2">
      <c r="B491" s="208" t="str">
        <f>'Header Info'!B491</f>
        <v>RAPID PROCESSING SOLUTIONS</v>
      </c>
      <c r="C491" s="208" t="s">
        <v>1497</v>
      </c>
      <c r="D491" s="208" t="str">
        <f>'Header Info'!C491</f>
        <v>T3042</v>
      </c>
      <c r="E491" s="208" t="s">
        <v>1510</v>
      </c>
    </row>
    <row r="492" spans="2:5" x14ac:dyDescent="0.2">
      <c r="B492" s="208" t="str">
        <f>'Header Info'!B492</f>
        <v>SHACKELFORD MACHINE</v>
      </c>
      <c r="C492" s="208" t="s">
        <v>1497</v>
      </c>
      <c r="D492" s="208" t="str">
        <f>'Header Info'!C492</f>
        <v>Oven No. 1</v>
      </c>
      <c r="E492" s="208" t="s">
        <v>1512</v>
      </c>
    </row>
    <row r="493" spans="2:5" x14ac:dyDescent="0.2">
      <c r="B493" s="208" t="str">
        <f>'Header Info'!B493</f>
        <v>THIMESCH ENTERPRISES</v>
      </c>
      <c r="C493" s="208" t="s">
        <v>1497</v>
      </c>
      <c r="D493" s="208" t="str">
        <f>'Header Info'!C493</f>
        <v>OVEN NO. 3</v>
      </c>
      <c r="E493" s="208" t="s">
        <v>1514</v>
      </c>
    </row>
    <row r="494" spans="2:5" x14ac:dyDescent="0.2">
      <c r="B494" s="208" t="str">
        <f>'Header Info'!B494</f>
        <v>THIMESCH ENTERPRISES</v>
      </c>
      <c r="C494" s="208" t="s">
        <v>1497</v>
      </c>
      <c r="D494" s="208" t="str">
        <f>'Header Info'!C494</f>
        <v>OVEN NO. 2</v>
      </c>
      <c r="E494" s="208" t="s">
        <v>1516</v>
      </c>
    </row>
    <row r="495" spans="2:5" x14ac:dyDescent="0.2">
      <c r="B495" s="208" t="str">
        <f>'Header Info'!B495</f>
        <v>THIMESCH ENTERPRISES</v>
      </c>
      <c r="C495" s="208" t="s">
        <v>1497</v>
      </c>
      <c r="D495" s="208" t="str">
        <f>'Header Info'!C495</f>
        <v>OVEN NO. 1</v>
      </c>
      <c r="E495" s="208" t="s">
        <v>1518</v>
      </c>
    </row>
    <row r="496" spans="2:5" x14ac:dyDescent="0.2">
      <c r="B496" s="208" t="str">
        <f>'Header Info'!B496</f>
        <v>TNT MACHINE</v>
      </c>
      <c r="C496" s="208" t="s">
        <v>1497</v>
      </c>
      <c r="D496" s="208" t="str">
        <f>'Header Info'!C496</f>
        <v>S-6873</v>
      </c>
      <c r="E496" s="208" t="s">
        <v>1520</v>
      </c>
    </row>
    <row r="497" spans="2:5" x14ac:dyDescent="0.2">
      <c r="B497" s="208" t="str">
        <f>'Header Info'!B497</f>
        <v>VALCO MANUFACTURING CO., INC.</v>
      </c>
      <c r="C497" s="208" t="s">
        <v>1497</v>
      </c>
      <c r="D497" s="208" t="str">
        <f>'Header Info'!C497</f>
        <v>81OV1774</v>
      </c>
      <c r="E497" s="208" t="s">
        <v>1522</v>
      </c>
    </row>
    <row r="498" spans="2:5" x14ac:dyDescent="0.2">
      <c r="B498" s="208" t="str">
        <f>'Header Info'!B498</f>
        <v>VALCO MANUFACTURING CO., INC.</v>
      </c>
      <c r="C498" s="208" t="s">
        <v>1497</v>
      </c>
      <c r="D498" s="208" t="str">
        <f>'Header Info'!C498</f>
        <v>A1</v>
      </c>
      <c r="E498" s="208" t="s">
        <v>1524</v>
      </c>
    </row>
    <row r="499" spans="2:5" x14ac:dyDescent="0.2">
      <c r="B499" s="208" t="str">
        <f>'Header Info'!B499</f>
        <v>VALCO MANUFACTURING CO., INC.</v>
      </c>
      <c r="C499" s="208" t="s">
        <v>1497</v>
      </c>
      <c r="D499" s="208" t="str">
        <f>'Header Info'!C499</f>
        <v>A2</v>
      </c>
      <c r="E499" s="208" t="s">
        <v>1526</v>
      </c>
    </row>
    <row r="500" spans="2:5" x14ac:dyDescent="0.2">
      <c r="B500" s="208" t="str">
        <f>'Header Info'!B500</f>
        <v>VALCO MANUFACTURING CO., INC.</v>
      </c>
      <c r="C500" s="208" t="s">
        <v>1497</v>
      </c>
      <c r="D500" s="208" t="str">
        <f>'Header Info'!C500</f>
        <v>A6</v>
      </c>
      <c r="E500" s="208" t="s">
        <v>1528</v>
      </c>
    </row>
    <row r="501" spans="2:5" x14ac:dyDescent="0.2">
      <c r="B501" s="208" t="str">
        <f>'Header Info'!B501</f>
        <v>VALCO MANUFACTURING CO., INC.</v>
      </c>
      <c r="C501" s="208" t="s">
        <v>1497</v>
      </c>
      <c r="D501" s="208" t="str">
        <f>'Header Info'!C501</f>
        <v>A8</v>
      </c>
      <c r="E501" s="208" t="s">
        <v>1530</v>
      </c>
    </row>
    <row r="502" spans="2:5" x14ac:dyDescent="0.2">
      <c r="B502" s="208" t="str">
        <f>'Header Info'!B502</f>
        <v>VALCO MANUFACTURING CO., INC.</v>
      </c>
      <c r="C502" s="208" t="s">
        <v>1497</v>
      </c>
      <c r="D502" s="208" t="str">
        <f>'Header Info'!C502</f>
        <v>A10</v>
      </c>
      <c r="E502" s="208" t="s">
        <v>1532</v>
      </c>
    </row>
    <row r="503" spans="2:5" x14ac:dyDescent="0.2">
      <c r="B503" s="208" t="str">
        <f>'Header Info'!B503</f>
        <v>VALCO MANUFACTURING CO., INC.</v>
      </c>
      <c r="C503" s="208" t="s">
        <v>1497</v>
      </c>
      <c r="D503" s="208" t="str">
        <f>'Header Info'!C503</f>
        <v>A13</v>
      </c>
      <c r="E503" s="208" t="s">
        <v>1534</v>
      </c>
    </row>
    <row r="504" spans="2:5" x14ac:dyDescent="0.2">
      <c r="B504" s="208" t="str">
        <f>'Header Info'!B504</f>
        <v>VALCO MANUFACTURING CO., INC.</v>
      </c>
      <c r="C504" s="208" t="s">
        <v>1497</v>
      </c>
      <c r="D504" s="208" t="str">
        <f>'Header Info'!C504</f>
        <v>AGE OVEN NO. 1</v>
      </c>
      <c r="E504" s="208" t="s">
        <v>1500</v>
      </c>
    </row>
    <row r="505" spans="2:5" x14ac:dyDescent="0.2">
      <c r="B505" s="208" t="str">
        <f>'Header Info'!B505</f>
        <v>VALCO MANUFACTURING CO., INC.</v>
      </c>
      <c r="C505" s="208" t="s">
        <v>1497</v>
      </c>
      <c r="D505" s="208" t="str">
        <f>'Header Info'!C505</f>
        <v>AGE OVEN NO. 2</v>
      </c>
      <c r="E505" s="208" t="s">
        <v>1991</v>
      </c>
    </row>
    <row r="506" spans="2:5" x14ac:dyDescent="0.2">
      <c r="B506" s="208" t="str">
        <f>'Header Info'!B506</f>
        <v>VALCO MANUFACTURING CO., INC.</v>
      </c>
      <c r="C506" s="208" t="s">
        <v>1497</v>
      </c>
      <c r="D506" s="208" t="str">
        <f>'Header Info'!C506</f>
        <v>AGE OVEN NO. 3</v>
      </c>
      <c r="E506" s="208" t="s">
        <v>1993</v>
      </c>
    </row>
    <row r="507" spans="2:5" x14ac:dyDescent="0.2">
      <c r="B507" s="208" t="str">
        <f>'Header Info'!B507</f>
        <v>VALCO MANUFACTURING CO., INC.</v>
      </c>
      <c r="C507" s="208" t="s">
        <v>1497</v>
      </c>
      <c r="D507" s="208" t="str">
        <f>'Header Info'!C507</f>
        <v>DRAW FURNACE</v>
      </c>
      <c r="E507" s="208" t="s">
        <v>1873</v>
      </c>
    </row>
    <row r="508" spans="2:5" x14ac:dyDescent="0.2">
      <c r="B508" s="208" t="str">
        <f>'Header Info'!B508</f>
        <v>VALCO MANUFACTURING CO., INC.</v>
      </c>
      <c r="C508" s="208" t="s">
        <v>1497</v>
      </c>
      <c r="D508" s="208" t="str">
        <f>'Header Info'!C508</f>
        <v>DROP BOTTOM FURNACE</v>
      </c>
      <c r="E508" s="208" t="s">
        <v>3875</v>
      </c>
    </row>
    <row r="509" spans="2:5" x14ac:dyDescent="0.2">
      <c r="B509" s="208" t="str">
        <f>'Header Info'!B509</f>
        <v>VALCO MANUFACTURING CO., INC.</v>
      </c>
      <c r="C509" s="208" t="s">
        <v>1497</v>
      </c>
      <c r="D509" s="208" t="str">
        <f>'Header Info'!C509</f>
        <v>S14</v>
      </c>
      <c r="E509" s="208" t="s">
        <v>3876</v>
      </c>
    </row>
    <row r="510" spans="2:5" x14ac:dyDescent="0.2">
      <c r="B510" s="208" t="str">
        <f>'Header Info'!B510</f>
        <v>VALCO MANUFACTURING CO., INC.</v>
      </c>
      <c r="C510" s="208" t="s">
        <v>1497</v>
      </c>
      <c r="D510" s="208" t="str">
        <f>'Header Info'!C510</f>
        <v>S16</v>
      </c>
      <c r="E510" s="208" t="s">
        <v>3877</v>
      </c>
    </row>
    <row r="511" spans="2:5" x14ac:dyDescent="0.2">
      <c r="B511" s="208" t="str">
        <f>'Header Info'!B511</f>
        <v>VALCO MANUFACTURING CO., INC.</v>
      </c>
      <c r="C511" s="208" t="s">
        <v>1497</v>
      </c>
      <c r="D511" s="208" t="str">
        <f>'Header Info'!C511</f>
        <v>S19</v>
      </c>
      <c r="E511" s="208" t="s">
        <v>1535</v>
      </c>
    </row>
    <row r="512" spans="2:5" x14ac:dyDescent="0.2">
      <c r="B512" s="208" t="str">
        <f>'Header Info'!B512</f>
        <v>VALCO MANUFACTURING CO., INC.</v>
      </c>
      <c r="C512" s="208" t="s">
        <v>1834</v>
      </c>
      <c r="D512" s="208" t="str">
        <f>'Header Info'!C512</f>
        <v>S22</v>
      </c>
      <c r="E512" s="208" t="s">
        <v>1836</v>
      </c>
    </row>
    <row r="513" spans="2:5" x14ac:dyDescent="0.2">
      <c r="B513" s="208" t="str">
        <f>'Header Info'!B513</f>
        <v>VALCO MANUFACTURING CO., INC.</v>
      </c>
      <c r="C513" s="208" t="s">
        <v>1537</v>
      </c>
      <c r="D513" s="208" t="str">
        <f>'Header Info'!C513</f>
        <v>S23</v>
      </c>
      <c r="E513" s="208" t="s">
        <v>1539</v>
      </c>
    </row>
    <row r="514" spans="2:5" x14ac:dyDescent="0.2">
      <c r="B514" s="208" t="str">
        <f>'Header Info'!B514</f>
        <v>VALCO MANUFACTURING CO., INC.</v>
      </c>
      <c r="C514" s="208" t="s">
        <v>1537</v>
      </c>
      <c r="D514" s="208" t="str">
        <f>'Header Info'!C514</f>
        <v>SALT BATH</v>
      </c>
      <c r="E514" s="208" t="s">
        <v>1541</v>
      </c>
    </row>
    <row r="515" spans="2:5" x14ac:dyDescent="0.2">
      <c r="B515" s="208" t="str">
        <f>'Header Info'!B515</f>
        <v>VERMILLION ENTERPRISES</v>
      </c>
      <c r="C515" s="208" t="s">
        <v>1537</v>
      </c>
      <c r="D515" s="208" t="str">
        <f>'Header Info'!C515</f>
        <v>BAKE OVEN 9110</v>
      </c>
      <c r="E515" s="208" t="s">
        <v>1540</v>
      </c>
    </row>
    <row r="516" spans="2:5" x14ac:dyDescent="0.2">
      <c r="B516" s="208" t="str">
        <f>'Header Info'!B516</f>
        <v>VERMILLION ENTERPRISES</v>
      </c>
      <c r="C516" s="208" t="s">
        <v>1537</v>
      </c>
      <c r="D516" s="208" t="str">
        <f>'Header Info'!C516</f>
        <v>LAB OVEN 5072</v>
      </c>
      <c r="E516" s="208" t="s">
        <v>1538</v>
      </c>
    </row>
    <row r="517" spans="2:5" x14ac:dyDescent="0.2">
      <c r="B517" s="208" t="str">
        <f>'Header Info'!B517</f>
        <v>VERMILLION ENTERPRISES</v>
      </c>
      <c r="C517" s="208" t="s">
        <v>1537</v>
      </c>
      <c r="D517" s="208" t="str">
        <f>'Header Info'!C517</f>
        <v>OVEN NO. 6042</v>
      </c>
      <c r="E517" s="208" t="s">
        <v>1542</v>
      </c>
    </row>
    <row r="518" spans="2:5" x14ac:dyDescent="0.2">
      <c r="B518" s="208" t="str">
        <f>'Header Info'!B518</f>
        <v>VERMILLION ENTERPRISES</v>
      </c>
      <c r="C518" s="208" t="s">
        <v>1558</v>
      </c>
      <c r="D518" s="208" t="str">
        <f>'Header Info'!C518</f>
        <v>OVEN NO. 6043</v>
      </c>
      <c r="E518" s="208" t="s">
        <v>1560</v>
      </c>
    </row>
    <row r="519" spans="2:5" x14ac:dyDescent="0.2">
      <c r="B519" s="208" t="str">
        <f>'Header Info'!B519</f>
        <v>VERMILLION ENTERPRISES</v>
      </c>
      <c r="C519" s="208" t="s">
        <v>1558</v>
      </c>
      <c r="D519" s="208" t="str">
        <f>'Header Info'!C519</f>
        <v>OVEN NO. 6044</v>
      </c>
      <c r="E519" s="208" t="s">
        <v>1562</v>
      </c>
    </row>
    <row r="520" spans="2:5" x14ac:dyDescent="0.2">
      <c r="B520" s="208" t="str">
        <f>'Header Info'!B520</f>
        <v>VERMILLION ENTERPRISES</v>
      </c>
      <c r="C520" s="208" t="s">
        <v>1558</v>
      </c>
      <c r="D520" s="208" t="str">
        <f>'Header Info'!C520</f>
        <v>OVEN NO. 6045</v>
      </c>
      <c r="E520" s="208" t="s">
        <v>1561</v>
      </c>
    </row>
    <row r="521" spans="2:5" x14ac:dyDescent="0.2">
      <c r="B521" s="208" t="str">
        <f>'Header Info'!B521</f>
        <v>WICHITA AEROSPACE SPARES, INC.</v>
      </c>
      <c r="C521" s="208" t="s">
        <v>1558</v>
      </c>
      <c r="D521" s="208" t="str">
        <f>'Header Info'!C521</f>
        <v>FREEZER NO. 6</v>
      </c>
      <c r="E521" s="208" t="s">
        <v>1563</v>
      </c>
    </row>
    <row r="522" spans="2:5" x14ac:dyDescent="0.2">
      <c r="B522" s="208" t="str">
        <f>'Header Info'!B522</f>
        <v>WICHITA AEROSPACE SPARES, INC.</v>
      </c>
      <c r="C522" s="208" t="s">
        <v>1558</v>
      </c>
      <c r="D522" s="208" t="str">
        <f>'Header Info'!C522</f>
        <v>OVEN NO.14-0581433</v>
      </c>
      <c r="E522" s="208" t="s">
        <v>1564</v>
      </c>
    </row>
    <row r="523" spans="2:5" x14ac:dyDescent="0.2">
      <c r="B523" s="208" t="str">
        <f>'Header Info'!B523</f>
        <v>WICHITA AEROSPACE SPARES, INC.</v>
      </c>
      <c r="C523" s="208" t="s">
        <v>1558</v>
      </c>
      <c r="D523" s="208" t="str">
        <f>'Header Info'!C523</f>
        <v>FREEZER A5965401</v>
      </c>
      <c r="E523" s="208" t="s">
        <v>1559</v>
      </c>
    </row>
    <row r="524" spans="2:5" x14ac:dyDescent="0.2">
      <c r="B524" s="208" t="str">
        <f>'Header Info'!B524</f>
        <v>WICHITA AEROSPACE SPARES, INC.</v>
      </c>
      <c r="C524" s="208" t="s">
        <v>1543</v>
      </c>
      <c r="D524" s="208" t="str">
        <f>'Header Info'!C524</f>
        <v>FREEZER HF2</v>
      </c>
      <c r="E524" s="208" t="s">
        <v>1554</v>
      </c>
    </row>
    <row r="525" spans="2:5" x14ac:dyDescent="0.2">
      <c r="B525" s="208">
        <f>'Header Info'!B525</f>
        <v>0</v>
      </c>
      <c r="C525" s="208" t="s">
        <v>1543</v>
      </c>
      <c r="D525" s="208">
        <f>'Header Info'!C525</f>
        <v>0</v>
      </c>
      <c r="E525" s="208" t="s">
        <v>1555</v>
      </c>
    </row>
    <row r="526" spans="2:5" x14ac:dyDescent="0.2">
      <c r="B526" s="208">
        <f>'Header Info'!B526</f>
        <v>0</v>
      </c>
      <c r="C526" s="208" t="s">
        <v>1543</v>
      </c>
      <c r="D526" s="208">
        <f>'Header Info'!C526</f>
        <v>0</v>
      </c>
      <c r="E526" s="208" t="s">
        <v>1550</v>
      </c>
    </row>
    <row r="527" spans="2:5" x14ac:dyDescent="0.2">
      <c r="B527" s="208">
        <f>'Header Info'!B527</f>
        <v>0</v>
      </c>
      <c r="C527" s="208" t="s">
        <v>1543</v>
      </c>
      <c r="D527" s="208">
        <f>'Header Info'!C527</f>
        <v>0</v>
      </c>
      <c r="E527" s="208" t="s">
        <v>1546</v>
      </c>
    </row>
    <row r="528" spans="2:5" x14ac:dyDescent="0.2">
      <c r="B528" s="208">
        <f>'Header Info'!B528</f>
        <v>0</v>
      </c>
      <c r="C528" s="208" t="s">
        <v>1543</v>
      </c>
      <c r="D528" s="208">
        <f>'Header Info'!C528</f>
        <v>0</v>
      </c>
      <c r="E528" s="208" t="s">
        <v>1553</v>
      </c>
    </row>
    <row r="529" spans="2:5" x14ac:dyDescent="0.2">
      <c r="B529" s="208">
        <f>'Header Info'!B529</f>
        <v>0</v>
      </c>
      <c r="C529" s="208" t="s">
        <v>1543</v>
      </c>
      <c r="D529" s="208">
        <f>'Header Info'!C529</f>
        <v>0</v>
      </c>
      <c r="E529" s="208" t="s">
        <v>1552</v>
      </c>
    </row>
    <row r="530" spans="2:5" x14ac:dyDescent="0.2">
      <c r="B530" s="208">
        <f>'Header Info'!B530</f>
        <v>0</v>
      </c>
      <c r="C530" s="208" t="s">
        <v>1543</v>
      </c>
      <c r="D530" s="208">
        <f>'Header Info'!C530</f>
        <v>0</v>
      </c>
      <c r="E530" s="208" t="s">
        <v>1551</v>
      </c>
    </row>
    <row r="531" spans="2:5" x14ac:dyDescent="0.2">
      <c r="B531" s="208">
        <f>'Header Info'!B531</f>
        <v>0</v>
      </c>
      <c r="C531" s="208" t="s">
        <v>1543</v>
      </c>
      <c r="D531" s="208">
        <f>'Header Info'!C531</f>
        <v>0</v>
      </c>
      <c r="E531" s="208" t="s">
        <v>1556</v>
      </c>
    </row>
    <row r="532" spans="2:5" x14ac:dyDescent="0.2">
      <c r="B532" s="208">
        <f>'Header Info'!B532</f>
        <v>0</v>
      </c>
      <c r="C532" s="208" t="s">
        <v>1543</v>
      </c>
      <c r="D532" s="208">
        <f>'Header Info'!C532</f>
        <v>0</v>
      </c>
      <c r="E532" s="208" t="s">
        <v>1549</v>
      </c>
    </row>
    <row r="533" spans="2:5" x14ac:dyDescent="0.2">
      <c r="B533" s="208">
        <f>'Header Info'!B533</f>
        <v>0</v>
      </c>
      <c r="C533" s="208" t="s">
        <v>1543</v>
      </c>
      <c r="D533" s="208">
        <f>'Header Info'!C533</f>
        <v>0</v>
      </c>
      <c r="E533" s="208" t="s">
        <v>1548</v>
      </c>
    </row>
    <row r="534" spans="2:5" x14ac:dyDescent="0.2">
      <c r="B534" s="208">
        <f>'Header Info'!B534</f>
        <v>0</v>
      </c>
      <c r="C534" s="208" t="s">
        <v>1543</v>
      </c>
      <c r="D534" s="208">
        <f>'Header Info'!C534</f>
        <v>0</v>
      </c>
      <c r="E534" s="208" t="s">
        <v>1545</v>
      </c>
    </row>
    <row r="535" spans="2:5" x14ac:dyDescent="0.2">
      <c r="B535" s="208">
        <f>'Header Info'!B535</f>
        <v>0</v>
      </c>
      <c r="C535" s="208" t="s">
        <v>1543</v>
      </c>
      <c r="D535" s="208">
        <f>'Header Info'!C535</f>
        <v>0</v>
      </c>
      <c r="E535" s="208" t="s">
        <v>1547</v>
      </c>
    </row>
    <row r="536" spans="2:5" x14ac:dyDescent="0.2">
      <c r="B536" s="208">
        <f>'Header Info'!B536</f>
        <v>0</v>
      </c>
      <c r="C536" s="208" t="s">
        <v>1543</v>
      </c>
      <c r="D536" s="208">
        <f>'Header Info'!C536</f>
        <v>0</v>
      </c>
      <c r="E536" s="208" t="s">
        <v>1544</v>
      </c>
    </row>
    <row r="537" spans="2:5" x14ac:dyDescent="0.2">
      <c r="B537" s="208">
        <f>'Header Info'!B537</f>
        <v>0</v>
      </c>
      <c r="C537" s="208" t="s">
        <v>3879</v>
      </c>
      <c r="D537" s="208">
        <f>'Header Info'!C537</f>
        <v>0</v>
      </c>
      <c r="E537" s="208" t="s">
        <v>1301</v>
      </c>
    </row>
    <row r="538" spans="2:5" x14ac:dyDescent="0.2">
      <c r="B538" s="208">
        <f>'Header Info'!B538</f>
        <v>0</v>
      </c>
      <c r="C538" s="208" t="s">
        <v>1566</v>
      </c>
      <c r="D538" s="208">
        <f>'Header Info'!C538</f>
        <v>0</v>
      </c>
      <c r="E538" s="208" t="s">
        <v>1567</v>
      </c>
    </row>
    <row r="539" spans="2:5" x14ac:dyDescent="0.2">
      <c r="B539" s="208">
        <f>'Header Info'!B539</f>
        <v>0</v>
      </c>
      <c r="C539" s="208" t="s">
        <v>1566</v>
      </c>
      <c r="D539" s="208">
        <f>'Header Info'!C539</f>
        <v>0</v>
      </c>
      <c r="E539" s="208" t="s">
        <v>1569</v>
      </c>
    </row>
    <row r="540" spans="2:5" x14ac:dyDescent="0.2">
      <c r="B540" s="208">
        <f>'Header Info'!B540</f>
        <v>0</v>
      </c>
      <c r="C540" s="208" t="s">
        <v>1566</v>
      </c>
      <c r="D540" s="208">
        <f>'Header Info'!C540</f>
        <v>0</v>
      </c>
      <c r="E540" s="208" t="s">
        <v>1571</v>
      </c>
    </row>
    <row r="541" spans="2:5" x14ac:dyDescent="0.2">
      <c r="B541" s="208">
        <f>'Header Info'!B541</f>
        <v>0</v>
      </c>
      <c r="C541" s="208" t="s">
        <v>1566</v>
      </c>
      <c r="D541" s="208">
        <f>'Header Info'!C541</f>
        <v>0</v>
      </c>
      <c r="E541" s="208" t="s">
        <v>1573</v>
      </c>
    </row>
    <row r="542" spans="2:5" x14ac:dyDescent="0.2">
      <c r="B542" s="208">
        <f>'Header Info'!B542</f>
        <v>0</v>
      </c>
      <c r="C542" s="208" t="s">
        <v>1566</v>
      </c>
      <c r="D542" s="208">
        <f>'Header Info'!C542</f>
        <v>0</v>
      </c>
      <c r="E542" s="208" t="s">
        <v>1575</v>
      </c>
    </row>
    <row r="543" spans="2:5" x14ac:dyDescent="0.2">
      <c r="B543" s="208">
        <f>'Header Info'!B543</f>
        <v>0</v>
      </c>
      <c r="C543" s="208" t="s">
        <v>1566</v>
      </c>
      <c r="D543" s="208">
        <f>'Header Info'!C543</f>
        <v>0</v>
      </c>
      <c r="E543" s="208" t="s">
        <v>1845</v>
      </c>
    </row>
    <row r="544" spans="2:5" x14ac:dyDescent="0.2">
      <c r="B544" s="208">
        <f>'Header Info'!B544</f>
        <v>0</v>
      </c>
      <c r="C544" s="208" t="s">
        <v>1566</v>
      </c>
      <c r="D544" s="208">
        <f>'Header Info'!C544</f>
        <v>0</v>
      </c>
      <c r="E544" s="208" t="s">
        <v>1579</v>
      </c>
    </row>
    <row r="545" spans="2:5" x14ac:dyDescent="0.2">
      <c r="B545" s="208">
        <f>'Header Info'!B545</f>
        <v>0</v>
      </c>
      <c r="C545" s="208" t="s">
        <v>1566</v>
      </c>
      <c r="D545" s="208">
        <f>'Header Info'!C545</f>
        <v>0</v>
      </c>
      <c r="E545" s="208" t="s">
        <v>1581</v>
      </c>
    </row>
    <row r="546" spans="2:5" x14ac:dyDescent="0.2">
      <c r="B546" s="208">
        <f>'Header Info'!B546</f>
        <v>0</v>
      </c>
      <c r="C546" s="208" t="s">
        <v>1566</v>
      </c>
      <c r="D546" s="208">
        <f>'Header Info'!C546</f>
        <v>0</v>
      </c>
      <c r="E546" s="208" t="s">
        <v>1582</v>
      </c>
    </row>
    <row r="547" spans="2:5" x14ac:dyDescent="0.2">
      <c r="B547" s="208">
        <f>'Header Info'!B547</f>
        <v>0</v>
      </c>
      <c r="C547" s="208" t="s">
        <v>1566</v>
      </c>
      <c r="D547" s="208">
        <f>'Header Info'!C547</f>
        <v>0</v>
      </c>
      <c r="E547" s="208" t="s">
        <v>1586</v>
      </c>
    </row>
    <row r="548" spans="2:5" x14ac:dyDescent="0.2">
      <c r="B548" s="208">
        <f>'Header Info'!B548</f>
        <v>0</v>
      </c>
      <c r="C548" s="208" t="s">
        <v>1566</v>
      </c>
      <c r="D548" s="208">
        <f>'Header Info'!C548</f>
        <v>0</v>
      </c>
      <c r="E548" s="208" t="s">
        <v>2001</v>
      </c>
    </row>
    <row r="549" spans="2:5" x14ac:dyDescent="0.2">
      <c r="B549" s="208">
        <f>'Header Info'!B549</f>
        <v>0</v>
      </c>
      <c r="C549" s="208" t="s">
        <v>1566</v>
      </c>
      <c r="D549" s="208">
        <f>'Header Info'!C549</f>
        <v>0</v>
      </c>
      <c r="E549" s="208" t="s">
        <v>1584</v>
      </c>
    </row>
    <row r="550" spans="2:5" x14ac:dyDescent="0.2">
      <c r="B550" s="208">
        <f>'Header Info'!B550</f>
        <v>0</v>
      </c>
      <c r="C550" s="208" t="s">
        <v>1566</v>
      </c>
      <c r="D550" s="208">
        <f>'Header Info'!C550</f>
        <v>0</v>
      </c>
      <c r="E550" s="208" t="s">
        <v>3880</v>
      </c>
    </row>
    <row r="551" spans="2:5" x14ac:dyDescent="0.2">
      <c r="B551" s="208">
        <f>'Header Info'!B551</f>
        <v>0</v>
      </c>
      <c r="C551" s="208" t="s">
        <v>1566</v>
      </c>
      <c r="D551" s="208">
        <f>'Header Info'!C551</f>
        <v>0</v>
      </c>
      <c r="E551" s="208" t="s">
        <v>1577</v>
      </c>
    </row>
    <row r="552" spans="2:5" x14ac:dyDescent="0.2">
      <c r="B552" s="208">
        <f>'Header Info'!B552</f>
        <v>0</v>
      </c>
      <c r="C552" s="208" t="s">
        <v>1590</v>
      </c>
      <c r="D552" s="208">
        <f>'Header Info'!C552</f>
        <v>0</v>
      </c>
      <c r="E552" s="208" t="s">
        <v>1592</v>
      </c>
    </row>
    <row r="553" spans="2:5" x14ac:dyDescent="0.2">
      <c r="B553" s="208">
        <f>'Header Info'!B553</f>
        <v>0</v>
      </c>
      <c r="C553" s="208" t="s">
        <v>1590</v>
      </c>
      <c r="D553" s="208">
        <f>'Header Info'!C553</f>
        <v>0</v>
      </c>
      <c r="E553" s="208" t="s">
        <v>1593</v>
      </c>
    </row>
    <row r="554" spans="2:5" x14ac:dyDescent="0.2">
      <c r="B554" s="208">
        <f>'Header Info'!B554</f>
        <v>0</v>
      </c>
      <c r="C554" s="208" t="s">
        <v>1590</v>
      </c>
      <c r="D554" s="208">
        <f>'Header Info'!C554</f>
        <v>0</v>
      </c>
      <c r="E554" s="208" t="s">
        <v>1622</v>
      </c>
    </row>
    <row r="555" spans="2:5" x14ac:dyDescent="0.2">
      <c r="B555" s="208">
        <f>'Header Info'!B555</f>
        <v>0</v>
      </c>
      <c r="C555" s="208" t="s">
        <v>1590</v>
      </c>
      <c r="D555" s="208">
        <f>'Header Info'!C555</f>
        <v>0</v>
      </c>
      <c r="E555" s="208" t="s">
        <v>1594</v>
      </c>
    </row>
    <row r="556" spans="2:5" x14ac:dyDescent="0.2">
      <c r="B556" s="208">
        <f>'Header Info'!B556</f>
        <v>0</v>
      </c>
      <c r="C556" s="208" t="s">
        <v>1590</v>
      </c>
      <c r="D556" s="208">
        <f>'Header Info'!C556</f>
        <v>0</v>
      </c>
      <c r="E556" s="208" t="s">
        <v>1595</v>
      </c>
    </row>
    <row r="557" spans="2:5" x14ac:dyDescent="0.2">
      <c r="B557" s="208">
        <f>'Header Info'!B557</f>
        <v>0</v>
      </c>
      <c r="C557" s="208" t="s">
        <v>1590</v>
      </c>
      <c r="D557" s="208">
        <f>'Header Info'!C557</f>
        <v>0</v>
      </c>
      <c r="E557" s="208" t="s">
        <v>1597</v>
      </c>
    </row>
    <row r="558" spans="2:5" x14ac:dyDescent="0.2">
      <c r="B558" s="208">
        <f>'Header Info'!B558</f>
        <v>0</v>
      </c>
      <c r="C558" s="208" t="s">
        <v>1590</v>
      </c>
      <c r="D558" s="208">
        <f>'Header Info'!C558</f>
        <v>0</v>
      </c>
      <c r="E558" s="208" t="s">
        <v>1599</v>
      </c>
    </row>
    <row r="559" spans="2:5" x14ac:dyDescent="0.2">
      <c r="B559" s="208">
        <f>'Header Info'!B559</f>
        <v>0</v>
      </c>
      <c r="C559" s="208" t="s">
        <v>1590</v>
      </c>
      <c r="D559" s="208">
        <f>'Header Info'!C559</f>
        <v>0</v>
      </c>
      <c r="E559" s="208" t="s">
        <v>1600</v>
      </c>
    </row>
    <row r="560" spans="2:5" x14ac:dyDescent="0.2">
      <c r="B560" s="208">
        <f>'Header Info'!B560</f>
        <v>0</v>
      </c>
      <c r="C560" s="208" t="s">
        <v>1590</v>
      </c>
      <c r="D560" s="208">
        <f>'Header Info'!C560</f>
        <v>0</v>
      </c>
      <c r="E560" s="208" t="s">
        <v>1601</v>
      </c>
    </row>
    <row r="561" spans="2:5" x14ac:dyDescent="0.2">
      <c r="B561" s="208">
        <f>'Header Info'!B561</f>
        <v>0</v>
      </c>
      <c r="C561" s="208" t="s">
        <v>1590</v>
      </c>
      <c r="D561" s="208">
        <f>'Header Info'!C561</f>
        <v>0</v>
      </c>
      <c r="E561" s="208" t="s">
        <v>1603</v>
      </c>
    </row>
    <row r="562" spans="2:5" x14ac:dyDescent="0.2">
      <c r="B562" s="208">
        <f>'Header Info'!B562</f>
        <v>0</v>
      </c>
      <c r="C562" s="208" t="s">
        <v>1590</v>
      </c>
      <c r="D562" s="208">
        <f>'Header Info'!C562</f>
        <v>0</v>
      </c>
      <c r="E562" s="208" t="s">
        <v>1604</v>
      </c>
    </row>
    <row r="563" spans="2:5" x14ac:dyDescent="0.2">
      <c r="B563" s="208">
        <f>'Header Info'!B563</f>
        <v>0</v>
      </c>
      <c r="C563" s="208" t="s">
        <v>1590</v>
      </c>
      <c r="D563" s="208">
        <f>'Header Info'!C563</f>
        <v>0</v>
      </c>
      <c r="E563" s="208" t="s">
        <v>1606</v>
      </c>
    </row>
    <row r="564" spans="2:5" x14ac:dyDescent="0.2">
      <c r="B564" s="208">
        <f>'Header Info'!B564</f>
        <v>0</v>
      </c>
      <c r="C564" s="208" t="s">
        <v>1590</v>
      </c>
      <c r="D564" s="208">
        <f>'Header Info'!C564</f>
        <v>0</v>
      </c>
      <c r="E564" s="208" t="s">
        <v>1608</v>
      </c>
    </row>
    <row r="565" spans="2:5" x14ac:dyDescent="0.2">
      <c r="B565" s="208">
        <f>'Header Info'!B565</f>
        <v>0</v>
      </c>
      <c r="C565" s="208" t="s">
        <v>1590</v>
      </c>
      <c r="D565" s="208">
        <f>'Header Info'!C565</f>
        <v>0</v>
      </c>
      <c r="E565" s="208" t="s">
        <v>1610</v>
      </c>
    </row>
    <row r="566" spans="2:5" x14ac:dyDescent="0.2">
      <c r="B566" s="208">
        <f>'Header Info'!B566</f>
        <v>0</v>
      </c>
      <c r="C566" s="208" t="s">
        <v>1590</v>
      </c>
      <c r="D566" s="208">
        <f>'Header Info'!C566</f>
        <v>0</v>
      </c>
      <c r="E566" s="208" t="s">
        <v>1612</v>
      </c>
    </row>
    <row r="567" spans="2:5" x14ac:dyDescent="0.2">
      <c r="B567" s="208">
        <f>'Header Info'!B567</f>
        <v>0</v>
      </c>
      <c r="C567" s="208" t="s">
        <v>1590</v>
      </c>
      <c r="D567" s="208">
        <f>'Header Info'!C567</f>
        <v>0</v>
      </c>
      <c r="E567" s="208" t="s">
        <v>1614</v>
      </c>
    </row>
    <row r="568" spans="2:5" x14ac:dyDescent="0.2">
      <c r="B568" s="208">
        <f>'Header Info'!B568</f>
        <v>0</v>
      </c>
      <c r="C568" s="208" t="s">
        <v>1590</v>
      </c>
      <c r="D568" s="208">
        <f>'Header Info'!C568</f>
        <v>0</v>
      </c>
      <c r="E568" s="208" t="s">
        <v>1616</v>
      </c>
    </row>
    <row r="569" spans="2:5" x14ac:dyDescent="0.2">
      <c r="B569" s="208">
        <f>'Header Info'!B569</f>
        <v>0</v>
      </c>
      <c r="C569" s="208" t="s">
        <v>1590</v>
      </c>
      <c r="D569" s="208">
        <f>'Header Info'!C569</f>
        <v>0</v>
      </c>
      <c r="E569" s="208" t="s">
        <v>1618</v>
      </c>
    </row>
    <row r="570" spans="2:5" x14ac:dyDescent="0.2">
      <c r="B570" s="208">
        <f>'Header Info'!B570</f>
        <v>0</v>
      </c>
      <c r="C570" s="208" t="s">
        <v>1590</v>
      </c>
      <c r="D570" s="208">
        <f>'Header Info'!C570</f>
        <v>0</v>
      </c>
      <c r="E570" s="208" t="s">
        <v>1620</v>
      </c>
    </row>
    <row r="571" spans="2:5" x14ac:dyDescent="0.2">
      <c r="B571" s="208">
        <f>'Header Info'!B571</f>
        <v>0</v>
      </c>
      <c r="C571" s="208" t="s">
        <v>1624</v>
      </c>
      <c r="D571" s="208">
        <f>'Header Info'!C571</f>
        <v>0</v>
      </c>
      <c r="E571" s="208" t="s">
        <v>1626</v>
      </c>
    </row>
    <row r="572" spans="2:5" x14ac:dyDescent="0.2">
      <c r="B572" s="208">
        <f>'Header Info'!B572</f>
        <v>0</v>
      </c>
      <c r="C572" s="208" t="s">
        <v>1624</v>
      </c>
      <c r="D572" s="208">
        <f>'Header Info'!C572</f>
        <v>0</v>
      </c>
      <c r="E572" s="208" t="s">
        <v>1797</v>
      </c>
    </row>
    <row r="573" spans="2:5" x14ac:dyDescent="0.2">
      <c r="B573" s="208">
        <f>'Header Info'!B573</f>
        <v>0</v>
      </c>
      <c r="C573" s="208" t="s">
        <v>1628</v>
      </c>
      <c r="D573" s="208">
        <f>'Header Info'!C573</f>
        <v>0</v>
      </c>
      <c r="E573" s="208" t="s">
        <v>1486</v>
      </c>
    </row>
    <row r="574" spans="2:5" x14ac:dyDescent="0.2">
      <c r="B574" s="208">
        <f>'Header Info'!B574</f>
        <v>0</v>
      </c>
      <c r="C574" s="208" t="s">
        <v>1628</v>
      </c>
      <c r="D574" s="208">
        <f>'Header Info'!C574</f>
        <v>0</v>
      </c>
      <c r="E574" s="208" t="s">
        <v>1995</v>
      </c>
    </row>
    <row r="575" spans="2:5" x14ac:dyDescent="0.2">
      <c r="B575" s="208">
        <f>'Header Info'!B575</f>
        <v>0</v>
      </c>
      <c r="C575" s="208" t="s">
        <v>1628</v>
      </c>
      <c r="D575" s="208">
        <f>'Header Info'!C575</f>
        <v>0</v>
      </c>
      <c r="E575" s="208" t="s">
        <v>1629</v>
      </c>
    </row>
    <row r="576" spans="2:5" x14ac:dyDescent="0.2">
      <c r="B576" s="208">
        <f>'Header Info'!B576</f>
        <v>0</v>
      </c>
      <c r="D576" s="208">
        <f>'Header Info'!C576</f>
        <v>0</v>
      </c>
    </row>
    <row r="577" spans="2:4" x14ac:dyDescent="0.2">
      <c r="B577" s="208">
        <f>'Header Info'!B577</f>
        <v>0</v>
      </c>
      <c r="D577" s="208">
        <f>'Header Info'!C577</f>
        <v>0</v>
      </c>
    </row>
    <row r="578" spans="2:4" x14ac:dyDescent="0.2">
      <c r="B578" s="208">
        <f>'Header Info'!B578</f>
        <v>0</v>
      </c>
      <c r="D578" s="208">
        <f>'Header Info'!C578</f>
        <v>0</v>
      </c>
    </row>
    <row r="579" spans="2:4" x14ac:dyDescent="0.2">
      <c r="B579" s="208">
        <f>'Header Info'!B579</f>
        <v>0</v>
      </c>
      <c r="D579" s="208">
        <f>'Header Info'!C579</f>
        <v>0</v>
      </c>
    </row>
    <row r="580" spans="2:4" x14ac:dyDescent="0.2">
      <c r="B580" s="208">
        <f>'Header Info'!B580</f>
        <v>0</v>
      </c>
      <c r="D580" s="208">
        <f>'Header Info'!C580</f>
        <v>0</v>
      </c>
    </row>
    <row r="581" spans="2:4" x14ac:dyDescent="0.2">
      <c r="B581" s="208">
        <f>'Header Info'!B581</f>
        <v>0</v>
      </c>
      <c r="D581" s="208">
        <f>'Header Info'!C581</f>
        <v>0</v>
      </c>
    </row>
    <row r="582" spans="2:4" x14ac:dyDescent="0.2">
      <c r="B582" s="208">
        <f>'Header Info'!B582</f>
        <v>0</v>
      </c>
      <c r="D582" s="208">
        <f>'Header Info'!C582</f>
        <v>0</v>
      </c>
    </row>
    <row r="583" spans="2:4" x14ac:dyDescent="0.2">
      <c r="B583" s="208">
        <f>'Header Info'!B583</f>
        <v>0</v>
      </c>
      <c r="D583" s="208">
        <f>'Header Info'!C583</f>
        <v>0</v>
      </c>
    </row>
    <row r="584" spans="2:4" x14ac:dyDescent="0.2">
      <c r="B584" s="208">
        <f>'Header Info'!B584</f>
        <v>0</v>
      </c>
      <c r="D584" s="208">
        <f>'Header Info'!C584</f>
        <v>0</v>
      </c>
    </row>
    <row r="585" spans="2:4" x14ac:dyDescent="0.2">
      <c r="B585" s="208">
        <f>'Header Info'!B585</f>
        <v>0</v>
      </c>
      <c r="D585" s="208">
        <f>'Header Info'!C585</f>
        <v>0</v>
      </c>
    </row>
    <row r="586" spans="2:4" x14ac:dyDescent="0.2">
      <c r="B586" s="208">
        <f>'Header Info'!B586</f>
        <v>0</v>
      </c>
      <c r="D586" s="208">
        <f>'Header Info'!C586</f>
        <v>0</v>
      </c>
    </row>
    <row r="587" spans="2:4" x14ac:dyDescent="0.2">
      <c r="B587" s="208">
        <f>'Header Info'!B587</f>
        <v>0</v>
      </c>
      <c r="D587" s="208">
        <f>'Header Info'!C587</f>
        <v>0</v>
      </c>
    </row>
    <row r="588" spans="2:4" x14ac:dyDescent="0.2">
      <c r="B588" s="208">
        <f>'Header Info'!B588</f>
        <v>0</v>
      </c>
      <c r="D588" s="208">
        <f>'Header Info'!C588</f>
        <v>0</v>
      </c>
    </row>
    <row r="589" spans="2:4" x14ac:dyDescent="0.2">
      <c r="B589" s="208">
        <f>'Header Info'!B589</f>
        <v>0</v>
      </c>
      <c r="D589" s="208">
        <f>'Header Info'!C589</f>
        <v>0</v>
      </c>
    </row>
    <row r="590" spans="2:4" x14ac:dyDescent="0.2">
      <c r="B590" s="208">
        <f>'Header Info'!B590</f>
        <v>0</v>
      </c>
      <c r="D590" s="208">
        <f>'Header Info'!C590</f>
        <v>0</v>
      </c>
    </row>
    <row r="591" spans="2:4" x14ac:dyDescent="0.2">
      <c r="B591" s="208">
        <f>'Header Info'!B591</f>
        <v>0</v>
      </c>
      <c r="D591" s="208">
        <f>'Header Info'!C591</f>
        <v>0</v>
      </c>
    </row>
    <row r="592" spans="2:4" x14ac:dyDescent="0.2">
      <c r="B592" s="208">
        <f>'Header Info'!B592</f>
        <v>0</v>
      </c>
      <c r="D592" s="208">
        <f>'Header Info'!C592</f>
        <v>0</v>
      </c>
    </row>
    <row r="593" spans="2:4" x14ac:dyDescent="0.2">
      <c r="B593" s="208">
        <f>'Header Info'!B593</f>
        <v>0</v>
      </c>
      <c r="D593" s="208">
        <f>'Header Info'!C593</f>
        <v>0</v>
      </c>
    </row>
    <row r="594" spans="2:4" x14ac:dyDescent="0.2">
      <c r="B594" s="208">
        <f>'Header Info'!B594</f>
        <v>0</v>
      </c>
      <c r="D594" s="208">
        <f>'Header Info'!C594</f>
        <v>0</v>
      </c>
    </row>
    <row r="595" spans="2:4" x14ac:dyDescent="0.2">
      <c r="B595" s="208">
        <f>'Header Info'!B595</f>
        <v>0</v>
      </c>
      <c r="D595" s="208">
        <f>'Header Info'!C595</f>
        <v>0</v>
      </c>
    </row>
    <row r="596" spans="2:4" x14ac:dyDescent="0.2">
      <c r="B596" s="208">
        <f>'Header Info'!B596</f>
        <v>0</v>
      </c>
      <c r="D596" s="208">
        <f>'Header Info'!C596</f>
        <v>0</v>
      </c>
    </row>
    <row r="597" spans="2:4" x14ac:dyDescent="0.2">
      <c r="B597" s="208">
        <f>'Header Info'!B597</f>
        <v>0</v>
      </c>
      <c r="D597" s="208">
        <f>'Header Info'!C597</f>
        <v>0</v>
      </c>
    </row>
    <row r="598" spans="2:4" x14ac:dyDescent="0.2">
      <c r="B598" s="208">
        <f>'Header Info'!B598</f>
        <v>0</v>
      </c>
      <c r="D598" s="208">
        <f>'Header Info'!C598</f>
        <v>0</v>
      </c>
    </row>
    <row r="599" spans="2:4" x14ac:dyDescent="0.2">
      <c r="B599" s="208">
        <f>'Header Info'!B599</f>
        <v>0</v>
      </c>
      <c r="D599" s="208">
        <f>'Header Info'!C599</f>
        <v>0</v>
      </c>
    </row>
    <row r="600" spans="2:4" x14ac:dyDescent="0.2">
      <c r="B600" s="208">
        <f>'Header Info'!B600</f>
        <v>0</v>
      </c>
      <c r="D600" s="208">
        <f>'Header Info'!C600</f>
        <v>0</v>
      </c>
    </row>
    <row r="601" spans="2:4" x14ac:dyDescent="0.2">
      <c r="B601" s="208">
        <f>'Header Info'!B601</f>
        <v>0</v>
      </c>
      <c r="D601" s="208">
        <f>'Header Info'!C601</f>
        <v>0</v>
      </c>
    </row>
    <row r="602" spans="2:4" x14ac:dyDescent="0.2">
      <c r="B602" s="208">
        <f>'Header Info'!B602</f>
        <v>0</v>
      </c>
      <c r="D602" s="208">
        <f>'Header Info'!C602</f>
        <v>0</v>
      </c>
    </row>
    <row r="603" spans="2:4" x14ac:dyDescent="0.2">
      <c r="B603" s="208">
        <f>'Header Info'!B603</f>
        <v>0</v>
      </c>
      <c r="D603" s="208">
        <f>'Header Info'!C603</f>
        <v>0</v>
      </c>
    </row>
    <row r="604" spans="2:4" x14ac:dyDescent="0.2">
      <c r="B604" s="208">
        <f>'Header Info'!B604</f>
        <v>0</v>
      </c>
      <c r="D604" s="208">
        <f>'Header Info'!C604</f>
        <v>0</v>
      </c>
    </row>
    <row r="605" spans="2:4" x14ac:dyDescent="0.2">
      <c r="B605" s="208">
        <f>'Header Info'!B605</f>
        <v>0</v>
      </c>
      <c r="D605" s="208">
        <f>'Header Info'!C605</f>
        <v>0</v>
      </c>
    </row>
    <row r="606" spans="2:4" x14ac:dyDescent="0.2">
      <c r="B606" s="208">
        <f>'Header Info'!B606</f>
        <v>0</v>
      </c>
      <c r="D606" s="208">
        <f>'Header Info'!C606</f>
        <v>0</v>
      </c>
    </row>
    <row r="607" spans="2:4" x14ac:dyDescent="0.2">
      <c r="B607" s="208">
        <f>'Header Info'!B607</f>
        <v>0</v>
      </c>
      <c r="D607" s="208">
        <f>'Header Info'!C607</f>
        <v>0</v>
      </c>
    </row>
    <row r="608" spans="2:4" x14ac:dyDescent="0.2">
      <c r="B608" s="208">
        <f>'Header Info'!B608</f>
        <v>0</v>
      </c>
      <c r="D608" s="208">
        <f>'Header Info'!C608</f>
        <v>0</v>
      </c>
    </row>
    <row r="609" spans="2:4" x14ac:dyDescent="0.2">
      <c r="B609" s="208">
        <f>'Header Info'!B609</f>
        <v>0</v>
      </c>
      <c r="D609" s="208">
        <f>'Header Info'!C609</f>
        <v>0</v>
      </c>
    </row>
    <row r="610" spans="2:4" x14ac:dyDescent="0.2">
      <c r="B610" s="208">
        <f>'Header Info'!B610</f>
        <v>0</v>
      </c>
      <c r="D610" s="208">
        <f>'Header Info'!C610</f>
        <v>0</v>
      </c>
    </row>
    <row r="611" spans="2:4" x14ac:dyDescent="0.2">
      <c r="B611" s="208">
        <f>'Header Info'!B611</f>
        <v>0</v>
      </c>
      <c r="D611" s="208">
        <f>'Header Info'!C611</f>
        <v>0</v>
      </c>
    </row>
    <row r="612" spans="2:4" x14ac:dyDescent="0.2">
      <c r="B612" s="208">
        <f>'Header Info'!B612</f>
        <v>0</v>
      </c>
      <c r="D612" s="208">
        <f>'Header Info'!C612</f>
        <v>0</v>
      </c>
    </row>
    <row r="613" spans="2:4" x14ac:dyDescent="0.2">
      <c r="B613" s="208">
        <f>'Header Info'!B613</f>
        <v>0</v>
      </c>
      <c r="D613" s="208">
        <f>'Header Info'!C613</f>
        <v>0</v>
      </c>
    </row>
    <row r="614" spans="2:4" x14ac:dyDescent="0.2">
      <c r="B614" s="208">
        <f>'Header Info'!B614</f>
        <v>0</v>
      </c>
      <c r="D614" s="208">
        <f>'Header Info'!C614</f>
        <v>0</v>
      </c>
    </row>
    <row r="615" spans="2:4" x14ac:dyDescent="0.2">
      <c r="B615" s="208">
        <f>'Header Info'!B615</f>
        <v>0</v>
      </c>
      <c r="D615" s="208">
        <f>'Header Info'!C615</f>
        <v>0</v>
      </c>
    </row>
    <row r="616" spans="2:4" x14ac:dyDescent="0.2">
      <c r="B616" s="208">
        <f>'Header Info'!B616</f>
        <v>0</v>
      </c>
      <c r="D616" s="208">
        <f>'Header Info'!C616</f>
        <v>0</v>
      </c>
    </row>
    <row r="617" spans="2:4" x14ac:dyDescent="0.2">
      <c r="B617" s="208">
        <f>'Header Info'!B617</f>
        <v>0</v>
      </c>
      <c r="D617" s="208">
        <f>'Header Info'!C617</f>
        <v>0</v>
      </c>
    </row>
    <row r="618" spans="2:4" x14ac:dyDescent="0.2">
      <c r="B618" s="208">
        <f>'Header Info'!B618</f>
        <v>0</v>
      </c>
      <c r="D618" s="208">
        <f>'Header Info'!C618</f>
        <v>0</v>
      </c>
    </row>
    <row r="619" spans="2:4" x14ac:dyDescent="0.2">
      <c r="B619" s="208">
        <f>'Header Info'!B619</f>
        <v>0</v>
      </c>
      <c r="D619" s="208">
        <f>'Header Info'!C619</f>
        <v>0</v>
      </c>
    </row>
    <row r="620" spans="2:4" x14ac:dyDescent="0.2">
      <c r="B620" s="208">
        <f>'Header Info'!B620</f>
        <v>0</v>
      </c>
      <c r="D620" s="208">
        <f>'Header Info'!C620</f>
        <v>0</v>
      </c>
    </row>
    <row r="621" spans="2:4" x14ac:dyDescent="0.2">
      <c r="B621" s="208">
        <f>'Header Info'!B621</f>
        <v>0</v>
      </c>
      <c r="D621" s="208">
        <f>'Header Info'!C621</f>
        <v>0</v>
      </c>
    </row>
    <row r="622" spans="2:4" x14ac:dyDescent="0.2">
      <c r="B622" s="208">
        <f>'Header Info'!B622</f>
        <v>0</v>
      </c>
      <c r="D622" s="208">
        <f>'Header Info'!C622</f>
        <v>0</v>
      </c>
    </row>
    <row r="623" spans="2:4" x14ac:dyDescent="0.2">
      <c r="B623" s="208">
        <f>'Header Info'!B623</f>
        <v>0</v>
      </c>
      <c r="D623" s="208">
        <f>'Header Info'!C623</f>
        <v>0</v>
      </c>
    </row>
    <row r="624" spans="2:4" x14ac:dyDescent="0.2">
      <c r="B624" s="208">
        <f>'Header Info'!B624</f>
        <v>0</v>
      </c>
      <c r="D624" s="208">
        <f>'Header Info'!C624</f>
        <v>0</v>
      </c>
    </row>
    <row r="625" spans="2:4" x14ac:dyDescent="0.2">
      <c r="B625" s="208">
        <f>'Header Info'!B625</f>
        <v>0</v>
      </c>
      <c r="D625" s="208">
        <f>'Header Info'!C625</f>
        <v>0</v>
      </c>
    </row>
    <row r="626" spans="2:4" x14ac:dyDescent="0.2">
      <c r="B626" s="208">
        <f>'Header Info'!B626</f>
        <v>0</v>
      </c>
      <c r="D626" s="208">
        <f>'Header Info'!C626</f>
        <v>0</v>
      </c>
    </row>
    <row r="627" spans="2:4" x14ac:dyDescent="0.2">
      <c r="B627" s="208">
        <f>'Header Info'!B627</f>
        <v>0</v>
      </c>
      <c r="D627" s="208">
        <f>'Header Info'!C627</f>
        <v>0</v>
      </c>
    </row>
    <row r="628" spans="2:4" x14ac:dyDescent="0.2">
      <c r="B628" s="208">
        <f>'Header Info'!B628</f>
        <v>0</v>
      </c>
      <c r="D628" s="208">
        <f>'Header Info'!C628</f>
        <v>0</v>
      </c>
    </row>
    <row r="629" spans="2:4" x14ac:dyDescent="0.2">
      <c r="B629" s="208">
        <f>'Header Info'!B629</f>
        <v>0</v>
      </c>
      <c r="D629" s="208">
        <f>'Header Info'!C629</f>
        <v>0</v>
      </c>
    </row>
    <row r="630" spans="2:4" x14ac:dyDescent="0.2">
      <c r="B630" s="208">
        <f>'Header Info'!B630</f>
        <v>0</v>
      </c>
      <c r="D630" s="208">
        <f>'Header Info'!C630</f>
        <v>0</v>
      </c>
    </row>
    <row r="631" spans="2:4" x14ac:dyDescent="0.2">
      <c r="B631" s="208">
        <f>'Header Info'!B631</f>
        <v>0</v>
      </c>
      <c r="D631" s="208">
        <f>'Header Info'!C631</f>
        <v>0</v>
      </c>
    </row>
    <row r="632" spans="2:4" x14ac:dyDescent="0.2">
      <c r="B632" s="208">
        <f>'Header Info'!B632</f>
        <v>0</v>
      </c>
      <c r="D632" s="208">
        <f>'Header Info'!C632</f>
        <v>0</v>
      </c>
    </row>
    <row r="633" spans="2:4" x14ac:dyDescent="0.2">
      <c r="B633" s="208">
        <f>'Header Info'!B633</f>
        <v>0</v>
      </c>
      <c r="D633" s="208">
        <f>'Header Info'!C633</f>
        <v>0</v>
      </c>
    </row>
    <row r="634" spans="2:4" x14ac:dyDescent="0.2">
      <c r="B634" s="208">
        <f>'Header Info'!B634</f>
        <v>0</v>
      </c>
      <c r="D634" s="208">
        <f>'Header Info'!C634</f>
        <v>0</v>
      </c>
    </row>
    <row r="635" spans="2:4" x14ac:dyDescent="0.2">
      <c r="B635" s="208">
        <f>'Header Info'!B635</f>
        <v>0</v>
      </c>
      <c r="D635" s="208">
        <f>'Header Info'!C635</f>
        <v>0</v>
      </c>
    </row>
    <row r="636" spans="2:4" x14ac:dyDescent="0.2">
      <c r="B636" s="208">
        <f>'Header Info'!B636</f>
        <v>0</v>
      </c>
      <c r="D636" s="208">
        <f>'Header Info'!C636</f>
        <v>0</v>
      </c>
    </row>
    <row r="637" spans="2:4" x14ac:dyDescent="0.2">
      <c r="B637" s="208">
        <f>'Header Info'!B637</f>
        <v>0</v>
      </c>
      <c r="D637" s="208">
        <f>'Header Info'!C637</f>
        <v>0</v>
      </c>
    </row>
    <row r="638" spans="2:4" x14ac:dyDescent="0.2">
      <c r="B638" s="208">
        <f>'Header Info'!B638</f>
        <v>0</v>
      </c>
      <c r="D638" s="208">
        <f>'Header Info'!C638</f>
        <v>0</v>
      </c>
    </row>
    <row r="639" spans="2:4" x14ac:dyDescent="0.2">
      <c r="B639" s="208">
        <f>'Header Info'!B639</f>
        <v>0</v>
      </c>
      <c r="D639" s="208">
        <f>'Header Info'!C639</f>
        <v>0</v>
      </c>
    </row>
    <row r="640" spans="2:4" x14ac:dyDescent="0.2">
      <c r="B640" s="208">
        <f>'Header Info'!B640</f>
        <v>0</v>
      </c>
      <c r="D640" s="208">
        <f>'Header Info'!C640</f>
        <v>0</v>
      </c>
    </row>
    <row r="641" spans="2:4" x14ac:dyDescent="0.2">
      <c r="B641" s="208">
        <f>'Header Info'!B641</f>
        <v>0</v>
      </c>
      <c r="D641" s="208">
        <f>'Header Info'!C641</f>
        <v>0</v>
      </c>
    </row>
    <row r="642" spans="2:4" x14ac:dyDescent="0.2">
      <c r="B642" s="208">
        <f>'Header Info'!B642</f>
        <v>0</v>
      </c>
      <c r="D642" s="208">
        <f>'Header Info'!C642</f>
        <v>0</v>
      </c>
    </row>
    <row r="643" spans="2:4" x14ac:dyDescent="0.2">
      <c r="B643" s="208">
        <f>'Header Info'!B643</f>
        <v>0</v>
      </c>
      <c r="D643" s="208">
        <f>'Header Info'!C643</f>
        <v>0</v>
      </c>
    </row>
    <row r="644" spans="2:4" x14ac:dyDescent="0.2">
      <c r="B644" s="208">
        <f>'Header Info'!B644</f>
        <v>0</v>
      </c>
      <c r="D644" s="208">
        <f>'Header Info'!C644</f>
        <v>0</v>
      </c>
    </row>
    <row r="645" spans="2:4" x14ac:dyDescent="0.2">
      <c r="B645" s="208">
        <f>'Header Info'!B645</f>
        <v>0</v>
      </c>
      <c r="D645" s="208">
        <f>'Header Info'!C645</f>
        <v>0</v>
      </c>
    </row>
    <row r="646" spans="2:4" x14ac:dyDescent="0.2">
      <c r="B646" s="208">
        <f>'Header Info'!B646</f>
        <v>0</v>
      </c>
      <c r="D646" s="208">
        <f>'Header Info'!C646</f>
        <v>0</v>
      </c>
    </row>
    <row r="647" spans="2:4" x14ac:dyDescent="0.2">
      <c r="B647" s="208">
        <f>'Header Info'!B647</f>
        <v>0</v>
      </c>
      <c r="D647" s="208">
        <f>'Header Info'!C647</f>
        <v>0</v>
      </c>
    </row>
    <row r="648" spans="2:4" x14ac:dyDescent="0.2">
      <c r="B648" s="208">
        <f>'Header Info'!B648</f>
        <v>0</v>
      </c>
      <c r="D648" s="208">
        <f>'Header Info'!C648</f>
        <v>0</v>
      </c>
    </row>
    <row r="649" spans="2:4" x14ac:dyDescent="0.2">
      <c r="B649" s="208">
        <f>'Header Info'!B649</f>
        <v>0</v>
      </c>
      <c r="D649" s="208">
        <f>'Header Info'!C649</f>
        <v>0</v>
      </c>
    </row>
    <row r="650" spans="2:4" x14ac:dyDescent="0.2">
      <c r="B650" s="208">
        <f>'Header Info'!B650</f>
        <v>0</v>
      </c>
      <c r="D650" s="208">
        <f>'Header Info'!C650</f>
        <v>0</v>
      </c>
    </row>
    <row r="651" spans="2:4" x14ac:dyDescent="0.2">
      <c r="B651" s="208">
        <f>'Header Info'!B651</f>
        <v>0</v>
      </c>
      <c r="D651" s="208">
        <f>'Header Info'!C651</f>
        <v>0</v>
      </c>
    </row>
    <row r="652" spans="2:4" x14ac:dyDescent="0.2">
      <c r="B652" s="208">
        <f>'Header Info'!B652</f>
        <v>0</v>
      </c>
      <c r="D652" s="208">
        <f>'Header Info'!C652</f>
        <v>0</v>
      </c>
    </row>
    <row r="653" spans="2:4" x14ac:dyDescent="0.2">
      <c r="B653" s="208">
        <f>'Header Info'!B653</f>
        <v>0</v>
      </c>
      <c r="D653" s="208">
        <f>'Header Info'!C653</f>
        <v>0</v>
      </c>
    </row>
    <row r="654" spans="2:4" x14ac:dyDescent="0.2">
      <c r="B654" s="208">
        <f>'Header Info'!B654</f>
        <v>0</v>
      </c>
      <c r="D654" s="208">
        <f>'Header Info'!C654</f>
        <v>0</v>
      </c>
    </row>
    <row r="655" spans="2:4" x14ac:dyDescent="0.2">
      <c r="B655" s="208">
        <f>'Header Info'!B655</f>
        <v>0</v>
      </c>
      <c r="D655" s="208">
        <f>'Header Info'!C655</f>
        <v>0</v>
      </c>
    </row>
    <row r="656" spans="2:4" x14ac:dyDescent="0.2">
      <c r="B656" s="208">
        <f>'Header Info'!B656</f>
        <v>0</v>
      </c>
      <c r="D656" s="208">
        <f>'Header Info'!C656</f>
        <v>0</v>
      </c>
    </row>
    <row r="657" spans="2:4" x14ac:dyDescent="0.2">
      <c r="B657" s="208">
        <f>'Header Info'!B657</f>
        <v>0</v>
      </c>
      <c r="D657" s="208">
        <f>'Header Info'!C657</f>
        <v>0</v>
      </c>
    </row>
    <row r="658" spans="2:4" x14ac:dyDescent="0.2">
      <c r="B658" s="208">
        <f>'Header Info'!B658</f>
        <v>0</v>
      </c>
      <c r="D658" s="208">
        <f>'Header Info'!C658</f>
        <v>0</v>
      </c>
    </row>
    <row r="659" spans="2:4" x14ac:dyDescent="0.2">
      <c r="B659" s="208">
        <f>'Header Info'!B659</f>
        <v>0</v>
      </c>
      <c r="D659" s="208">
        <f>'Header Info'!C659</f>
        <v>0</v>
      </c>
    </row>
    <row r="660" spans="2:4" x14ac:dyDescent="0.2">
      <c r="B660" s="208">
        <f>'Header Info'!B660</f>
        <v>0</v>
      </c>
      <c r="D660" s="208">
        <f>'Header Info'!C660</f>
        <v>0</v>
      </c>
    </row>
    <row r="661" spans="2:4" x14ac:dyDescent="0.2">
      <c r="B661" s="208">
        <f>'Header Info'!B661</f>
        <v>0</v>
      </c>
      <c r="D661" s="208">
        <f>'Header Info'!C661</f>
        <v>0</v>
      </c>
    </row>
    <row r="662" spans="2:4" x14ac:dyDescent="0.2">
      <c r="B662" s="208">
        <f>'Header Info'!B662</f>
        <v>0</v>
      </c>
      <c r="D662" s="208">
        <f>'Header Info'!C662</f>
        <v>0</v>
      </c>
    </row>
    <row r="663" spans="2:4" x14ac:dyDescent="0.2">
      <c r="B663" s="208">
        <f>'Header Info'!B663</f>
        <v>0</v>
      </c>
      <c r="D663" s="208">
        <f>'Header Info'!C663</f>
        <v>0</v>
      </c>
    </row>
    <row r="664" spans="2:4" x14ac:dyDescent="0.2">
      <c r="B664" s="208">
        <f>'Header Info'!B664</f>
        <v>0</v>
      </c>
      <c r="D664" s="208">
        <f>'Header Info'!C664</f>
        <v>0</v>
      </c>
    </row>
    <row r="665" spans="2:4" x14ac:dyDescent="0.2">
      <c r="B665" s="208">
        <f>'Header Info'!B665</f>
        <v>0</v>
      </c>
      <c r="D665" s="208">
        <f>'Header Info'!C665</f>
        <v>0</v>
      </c>
    </row>
    <row r="666" spans="2:4" x14ac:dyDescent="0.2">
      <c r="B666" s="208">
        <f>'Header Info'!B666</f>
        <v>0</v>
      </c>
      <c r="D666" s="208">
        <f>'Header Info'!C666</f>
        <v>0</v>
      </c>
    </row>
    <row r="667" spans="2:4" x14ac:dyDescent="0.2">
      <c r="B667" s="208">
        <f>'Header Info'!B667</f>
        <v>0</v>
      </c>
      <c r="D667" s="208">
        <f>'Header Info'!C667</f>
        <v>0</v>
      </c>
    </row>
    <row r="668" spans="2:4" x14ac:dyDescent="0.2">
      <c r="B668" s="208">
        <f>'Header Info'!B668</f>
        <v>0</v>
      </c>
      <c r="D668" s="208">
        <f>'Header Info'!C668</f>
        <v>0</v>
      </c>
    </row>
    <row r="669" spans="2:4" x14ac:dyDescent="0.2">
      <c r="B669" s="208">
        <f>'Header Info'!B669</f>
        <v>0</v>
      </c>
      <c r="D669" s="208">
        <f>'Header Info'!C669</f>
        <v>0</v>
      </c>
    </row>
    <row r="670" spans="2:4" x14ac:dyDescent="0.2">
      <c r="B670" s="208">
        <f>'Header Info'!B670</f>
        <v>0</v>
      </c>
      <c r="D670" s="208">
        <f>'Header Info'!C670</f>
        <v>0</v>
      </c>
    </row>
    <row r="671" spans="2:4" x14ac:dyDescent="0.2">
      <c r="B671" s="208">
        <f>'Header Info'!B671</f>
        <v>0</v>
      </c>
      <c r="D671" s="208">
        <f>'Header Info'!C671</f>
        <v>0</v>
      </c>
    </row>
    <row r="672" spans="2:4" x14ac:dyDescent="0.2">
      <c r="B672" s="208">
        <f>'Header Info'!B672</f>
        <v>0</v>
      </c>
      <c r="D672" s="208">
        <f>'Header Info'!C672</f>
        <v>0</v>
      </c>
    </row>
    <row r="673" spans="2:4" x14ac:dyDescent="0.2">
      <c r="B673" s="208">
        <f>'Header Info'!B673</f>
        <v>0</v>
      </c>
      <c r="D673" s="208">
        <f>'Header Info'!C673</f>
        <v>0</v>
      </c>
    </row>
    <row r="674" spans="2:4" x14ac:dyDescent="0.2">
      <c r="B674" s="208">
        <f>'Header Info'!B674</f>
        <v>0</v>
      </c>
      <c r="D674" s="208">
        <f>'Header Info'!C674</f>
        <v>0</v>
      </c>
    </row>
    <row r="675" spans="2:4" x14ac:dyDescent="0.2">
      <c r="B675" s="208">
        <f>'Header Info'!B675</f>
        <v>0</v>
      </c>
      <c r="D675" s="208">
        <f>'Header Info'!C675</f>
        <v>0</v>
      </c>
    </row>
    <row r="676" spans="2:4" x14ac:dyDescent="0.2">
      <c r="B676" s="208">
        <f>'Header Info'!B676</f>
        <v>0</v>
      </c>
      <c r="D676" s="208">
        <f>'Header Info'!C676</f>
        <v>0</v>
      </c>
    </row>
    <row r="677" spans="2:4" x14ac:dyDescent="0.2">
      <c r="B677" s="208">
        <f>'Header Info'!B677</f>
        <v>0</v>
      </c>
      <c r="D677" s="208">
        <f>'Header Info'!C677</f>
        <v>0</v>
      </c>
    </row>
    <row r="678" spans="2:4" x14ac:dyDescent="0.2">
      <c r="B678" s="208">
        <f>'Header Info'!B678</f>
        <v>0</v>
      </c>
      <c r="D678" s="208">
        <f>'Header Info'!C678</f>
        <v>0</v>
      </c>
    </row>
    <row r="679" spans="2:4" x14ac:dyDescent="0.2">
      <c r="B679" s="208">
        <f>'Header Info'!B679</f>
        <v>0</v>
      </c>
      <c r="D679" s="208">
        <f>'Header Info'!C679</f>
        <v>0</v>
      </c>
    </row>
    <row r="680" spans="2:4" x14ac:dyDescent="0.2">
      <c r="B680" s="208">
        <f>'Header Info'!B680</f>
        <v>0</v>
      </c>
      <c r="D680" s="208">
        <f>'Header Info'!C680</f>
        <v>0</v>
      </c>
    </row>
    <row r="681" spans="2:4" x14ac:dyDescent="0.2">
      <c r="B681" s="208">
        <f>'Header Info'!B681</f>
        <v>0</v>
      </c>
      <c r="D681" s="208">
        <f>'Header Info'!C681</f>
        <v>0</v>
      </c>
    </row>
    <row r="682" spans="2:4" x14ac:dyDescent="0.2">
      <c r="B682" s="208">
        <f>'Header Info'!B682</f>
        <v>0</v>
      </c>
      <c r="D682" s="208">
        <f>'Header Info'!C682</f>
        <v>0</v>
      </c>
    </row>
    <row r="683" spans="2:4" x14ac:dyDescent="0.2">
      <c r="B683" s="208">
        <f>'Header Info'!B683</f>
        <v>0</v>
      </c>
      <c r="D683" s="208">
        <f>'Header Info'!C683</f>
        <v>0</v>
      </c>
    </row>
    <row r="684" spans="2:4" x14ac:dyDescent="0.2">
      <c r="B684" s="208">
        <f>'Header Info'!B684</f>
        <v>0</v>
      </c>
      <c r="D684" s="208">
        <f>'Header Info'!C684</f>
        <v>0</v>
      </c>
    </row>
    <row r="685" spans="2:4" x14ac:dyDescent="0.2">
      <c r="B685" s="208">
        <f>'Header Info'!B685</f>
        <v>0</v>
      </c>
      <c r="D685" s="208">
        <f>'Header Info'!C685</f>
        <v>0</v>
      </c>
    </row>
    <row r="686" spans="2:4" x14ac:dyDescent="0.2">
      <c r="B686" s="208">
        <f>'Header Info'!B686</f>
        <v>0</v>
      </c>
      <c r="D686" s="208">
        <f>'Header Info'!C686</f>
        <v>0</v>
      </c>
    </row>
    <row r="687" spans="2:4" x14ac:dyDescent="0.2">
      <c r="B687" s="208">
        <f>'Header Info'!B687</f>
        <v>0</v>
      </c>
      <c r="D687" s="208">
        <f>'Header Info'!C687</f>
        <v>0</v>
      </c>
    </row>
    <row r="688" spans="2:4" x14ac:dyDescent="0.2">
      <c r="B688" s="208">
        <f>'Header Info'!B688</f>
        <v>0</v>
      </c>
      <c r="D688" s="208">
        <f>'Header Info'!C688</f>
        <v>0</v>
      </c>
    </row>
    <row r="689" spans="2:4" x14ac:dyDescent="0.2">
      <c r="B689" s="208">
        <f>'Header Info'!B689</f>
        <v>0</v>
      </c>
      <c r="D689" s="208">
        <f>'Header Info'!C689</f>
        <v>0</v>
      </c>
    </row>
    <row r="690" spans="2:4" x14ac:dyDescent="0.2">
      <c r="B690" s="208">
        <f>'Header Info'!B690</f>
        <v>0</v>
      </c>
      <c r="D690" s="208">
        <f>'Header Info'!C690</f>
        <v>0</v>
      </c>
    </row>
    <row r="691" spans="2:4" x14ac:dyDescent="0.2">
      <c r="B691" s="208">
        <f>'Header Info'!B691</f>
        <v>0</v>
      </c>
      <c r="D691" s="208">
        <f>'Header Info'!C691</f>
        <v>0</v>
      </c>
    </row>
    <row r="692" spans="2:4" x14ac:dyDescent="0.2">
      <c r="B692" s="208">
        <f>'Header Info'!B692</f>
        <v>0</v>
      </c>
      <c r="D692" s="208">
        <f>'Header Info'!C692</f>
        <v>0</v>
      </c>
    </row>
    <row r="693" spans="2:4" x14ac:dyDescent="0.2">
      <c r="B693" s="208">
        <f>'Header Info'!B693</f>
        <v>0</v>
      </c>
      <c r="D693" s="208">
        <f>'Header Info'!C693</f>
        <v>0</v>
      </c>
    </row>
    <row r="694" spans="2:4" x14ac:dyDescent="0.2">
      <c r="B694" s="208">
        <f>'Header Info'!B694</f>
        <v>0</v>
      </c>
      <c r="D694" s="208">
        <f>'Header Info'!C694</f>
        <v>0</v>
      </c>
    </row>
    <row r="695" spans="2:4" x14ac:dyDescent="0.2">
      <c r="B695" s="208">
        <f>'Header Info'!B695</f>
        <v>0</v>
      </c>
      <c r="D695" s="208">
        <f>'Header Info'!C695</f>
        <v>0</v>
      </c>
    </row>
    <row r="696" spans="2:4" x14ac:dyDescent="0.2">
      <c r="B696" s="208">
        <f>'Header Info'!B696</f>
        <v>0</v>
      </c>
      <c r="D696" s="208">
        <f>'Header Info'!C696</f>
        <v>0</v>
      </c>
    </row>
    <row r="697" spans="2:4" x14ac:dyDescent="0.2">
      <c r="B697" s="208">
        <f>'Header Info'!B697</f>
        <v>0</v>
      </c>
      <c r="D697" s="208">
        <f>'Header Info'!C697</f>
        <v>0</v>
      </c>
    </row>
    <row r="698" spans="2:4" x14ac:dyDescent="0.2">
      <c r="B698" s="208">
        <f>'Header Info'!B698</f>
        <v>0</v>
      </c>
      <c r="D698" s="208">
        <f>'Header Info'!C698</f>
        <v>0</v>
      </c>
    </row>
    <row r="699" spans="2:4" x14ac:dyDescent="0.2">
      <c r="B699" s="208">
        <f>'Header Info'!B699</f>
        <v>0</v>
      </c>
      <c r="D699" s="208">
        <f>'Header Info'!C699</f>
        <v>0</v>
      </c>
    </row>
    <row r="700" spans="2:4" x14ac:dyDescent="0.2">
      <c r="B700" s="208">
        <f>'Header Info'!B700</f>
        <v>0</v>
      </c>
      <c r="D700" s="208">
        <f>'Header Info'!C700</f>
        <v>0</v>
      </c>
    </row>
    <row r="701" spans="2:4" x14ac:dyDescent="0.2">
      <c r="B701" s="208">
        <f>'Header Info'!B701</f>
        <v>0</v>
      </c>
      <c r="D701" s="208">
        <f>'Header Info'!C701</f>
        <v>0</v>
      </c>
    </row>
    <row r="702" spans="2:4" x14ac:dyDescent="0.2">
      <c r="B702" s="208">
        <f>'Header Info'!B702</f>
        <v>0</v>
      </c>
      <c r="D702" s="208">
        <f>'Header Info'!C702</f>
        <v>0</v>
      </c>
    </row>
    <row r="703" spans="2:4" x14ac:dyDescent="0.2">
      <c r="B703" s="208">
        <f>'Header Info'!B703</f>
        <v>0</v>
      </c>
      <c r="D703" s="208">
        <f>'Header Info'!C703</f>
        <v>0</v>
      </c>
    </row>
    <row r="704" spans="2:4" x14ac:dyDescent="0.2">
      <c r="B704" s="208">
        <f>'Header Info'!B704</f>
        <v>0</v>
      </c>
      <c r="D704" s="208">
        <f>'Header Info'!C704</f>
        <v>0</v>
      </c>
    </row>
    <row r="705" spans="2:4" x14ac:dyDescent="0.2">
      <c r="B705" s="208">
        <f>'Header Info'!B705</f>
        <v>0</v>
      </c>
      <c r="D705" s="208">
        <f>'Header Info'!C705</f>
        <v>0</v>
      </c>
    </row>
    <row r="706" spans="2:4" x14ac:dyDescent="0.2">
      <c r="B706" s="208">
        <f>'Header Info'!B706</f>
        <v>0</v>
      </c>
      <c r="D706" s="208">
        <f>'Header Info'!C706</f>
        <v>0</v>
      </c>
    </row>
    <row r="707" spans="2:4" x14ac:dyDescent="0.2">
      <c r="B707" s="208">
        <f>'Header Info'!B707</f>
        <v>0</v>
      </c>
      <c r="D707" s="208">
        <f>'Header Info'!C707</f>
        <v>0</v>
      </c>
    </row>
    <row r="708" spans="2:4" x14ac:dyDescent="0.2">
      <c r="B708" s="208">
        <f>'Header Info'!B708</f>
        <v>0</v>
      </c>
      <c r="D708" s="208">
        <f>'Header Info'!C708</f>
        <v>0</v>
      </c>
    </row>
    <row r="709" spans="2:4" x14ac:dyDescent="0.2">
      <c r="B709" s="208">
        <f>'Header Info'!B709</f>
        <v>0</v>
      </c>
      <c r="D709" s="208">
        <f>'Header Info'!C709</f>
        <v>0</v>
      </c>
    </row>
    <row r="710" spans="2:4" x14ac:dyDescent="0.2">
      <c r="B710" s="208">
        <f>'Header Info'!B710</f>
        <v>0</v>
      </c>
      <c r="D710" s="208">
        <f>'Header Info'!C710</f>
        <v>0</v>
      </c>
    </row>
    <row r="711" spans="2:4" x14ac:dyDescent="0.2">
      <c r="B711" s="208">
        <f>'Header Info'!B711</f>
        <v>0</v>
      </c>
      <c r="D711" s="208">
        <f>'Header Info'!C711</f>
        <v>0</v>
      </c>
    </row>
    <row r="712" spans="2:4" x14ac:dyDescent="0.2">
      <c r="B712" s="208">
        <f>'Header Info'!B712</f>
        <v>0</v>
      </c>
      <c r="D712" s="208">
        <f>'Header Info'!C712</f>
        <v>0</v>
      </c>
    </row>
    <row r="713" spans="2:4" x14ac:dyDescent="0.2">
      <c r="B713" s="208">
        <f>'Header Info'!B713</f>
        <v>0</v>
      </c>
      <c r="D713" s="208">
        <f>'Header Info'!C713</f>
        <v>0</v>
      </c>
    </row>
    <row r="714" spans="2:4" x14ac:dyDescent="0.2">
      <c r="B714" s="208">
        <f>'Header Info'!B714</f>
        <v>0</v>
      </c>
      <c r="D714" s="208">
        <f>'Header Info'!C714</f>
        <v>0</v>
      </c>
    </row>
    <row r="715" spans="2:4" x14ac:dyDescent="0.2">
      <c r="B715" s="208">
        <f>'Header Info'!B715</f>
        <v>0</v>
      </c>
      <c r="D715" s="208">
        <f>'Header Info'!C715</f>
        <v>0</v>
      </c>
    </row>
    <row r="716" spans="2:4" x14ac:dyDescent="0.2">
      <c r="B716" s="208">
        <f>'Header Info'!B716</f>
        <v>0</v>
      </c>
      <c r="D716" s="208">
        <f>'Header Info'!C716</f>
        <v>0</v>
      </c>
    </row>
    <row r="717" spans="2:4" x14ac:dyDescent="0.2">
      <c r="B717" s="208">
        <f>'Header Info'!B717</f>
        <v>0</v>
      </c>
      <c r="D717" s="208">
        <f>'Header Info'!C717</f>
        <v>0</v>
      </c>
    </row>
    <row r="718" spans="2:4" x14ac:dyDescent="0.2">
      <c r="B718" s="208">
        <f>'Header Info'!B718</f>
        <v>0</v>
      </c>
      <c r="D718" s="208">
        <f>'Header Info'!C718</f>
        <v>0</v>
      </c>
    </row>
    <row r="719" spans="2:4" x14ac:dyDescent="0.2">
      <c r="B719" s="208">
        <f>'Header Info'!B719</f>
        <v>0</v>
      </c>
      <c r="D719" s="208">
        <f>'Header Info'!C719</f>
        <v>0</v>
      </c>
    </row>
    <row r="720" spans="2:4" x14ac:dyDescent="0.2">
      <c r="B720" s="208">
        <f>'Header Info'!B720</f>
        <v>0</v>
      </c>
      <c r="D720" s="208">
        <f>'Header Info'!C720</f>
        <v>0</v>
      </c>
    </row>
    <row r="721" spans="2:4" x14ac:dyDescent="0.2">
      <c r="B721" s="208">
        <f>'Header Info'!B721</f>
        <v>0</v>
      </c>
      <c r="D721" s="208">
        <f>'Header Info'!C721</f>
        <v>0</v>
      </c>
    </row>
    <row r="722" spans="2:4" x14ac:dyDescent="0.2">
      <c r="B722" s="208">
        <f>'Header Info'!B722</f>
        <v>0</v>
      </c>
      <c r="D722" s="208">
        <f>'Header Info'!C722</f>
        <v>0</v>
      </c>
    </row>
    <row r="723" spans="2:4" x14ac:dyDescent="0.2">
      <c r="B723" s="208">
        <f>'Header Info'!B723</f>
        <v>0</v>
      </c>
      <c r="D723" s="208">
        <f>'Header Info'!C723</f>
        <v>0</v>
      </c>
    </row>
  </sheetData>
  <pageMargins left="0.7" right="0.7" top="0.75" bottom="0.75" header="0.3" footer="0.3"/>
  <pageSetup orientation="portrait" horizontalDpi="4294967293" r:id="rId1"/>
  <customProperties>
    <customPr name="%get_maps%" r:id="rId2"/>
    <customPr name="%locator_row%" r:id="rId3"/>
    <customPr name="%put_dml_results_next_to_rows%" r:id="rId4"/>
    <customPr name="%startcell%" r:id="rId5"/>
    <customPr name="%use_names_to_identify_records%" r:id="rId6"/>
  </customProperties>
  <tableParts count="6">
    <tablePart r:id="rId7"/>
    <tablePart r:id="rId8"/>
    <tablePart r:id="rId9"/>
    <tablePart r:id="rId10"/>
    <tablePart r:id="rId11"/>
    <tablePart r:id="rId1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0000000}">
          <x14:formula1>
            <xm:f>Enabler4Excel_Picklist_Values!$A$2:$A$32</xm:f>
          </x14:formula1>
          <xm:sqref>AH2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K15"/>
  <sheetViews>
    <sheetView workbookViewId="0">
      <selection activeCell="AA28" sqref="AA28"/>
    </sheetView>
  </sheetViews>
  <sheetFormatPr defaultRowHeight="12.75" x14ac:dyDescent="0.2"/>
  <cols>
    <col min="2" max="2" width="12.28515625" bestFit="1" customWidth="1"/>
    <col min="4" max="4" width="21.85546875" bestFit="1" customWidth="1"/>
  </cols>
  <sheetData>
    <row r="1" spans="1:11" x14ac:dyDescent="0.2">
      <c r="A1" s="1" t="s">
        <v>1639</v>
      </c>
      <c r="B1" s="1" t="s">
        <v>1640</v>
      </c>
      <c r="C1" s="1" t="s">
        <v>1641</v>
      </c>
      <c r="D1" s="1" t="s">
        <v>574</v>
      </c>
      <c r="E1" s="1" t="s">
        <v>1642</v>
      </c>
      <c r="F1" s="1" t="s">
        <v>1643</v>
      </c>
      <c r="G1" s="1" t="s">
        <v>1644</v>
      </c>
      <c r="I1" s="1" t="s">
        <v>1636</v>
      </c>
      <c r="J1" s="1" t="s">
        <v>1637</v>
      </c>
      <c r="K1" s="1" t="s">
        <v>1638</v>
      </c>
    </row>
    <row r="2" spans="1:11" x14ac:dyDescent="0.2">
      <c r="A2" s="207">
        <v>42972.605729166666</v>
      </c>
      <c r="B2" t="s">
        <v>1645</v>
      </c>
      <c r="C2" t="s">
        <v>1646</v>
      </c>
      <c r="D2" t="s">
        <v>1647</v>
      </c>
      <c r="E2" t="s">
        <v>1648</v>
      </c>
      <c r="F2" t="s">
        <v>1648</v>
      </c>
    </row>
    <row r="3" spans="1:11" x14ac:dyDescent="0.2">
      <c r="A3" s="207">
        <v>42972.605729166666</v>
      </c>
      <c r="B3" t="s">
        <v>1645</v>
      </c>
      <c r="C3" t="s">
        <v>1646</v>
      </c>
      <c r="E3" t="s">
        <v>1649</v>
      </c>
      <c r="F3" t="s">
        <v>1648</v>
      </c>
      <c r="G3" t="s">
        <v>1650</v>
      </c>
    </row>
    <row r="4" spans="1:11" x14ac:dyDescent="0.2">
      <c r="A4" s="207">
        <v>42972.606921296298</v>
      </c>
      <c r="B4" t="s">
        <v>1645</v>
      </c>
      <c r="C4" t="s">
        <v>1646</v>
      </c>
      <c r="D4" t="s">
        <v>1651</v>
      </c>
      <c r="E4" t="s">
        <v>1648</v>
      </c>
      <c r="F4" t="s">
        <v>1648</v>
      </c>
    </row>
    <row r="5" spans="1:11" x14ac:dyDescent="0.2">
      <c r="A5" s="207">
        <v>42972.606921296298</v>
      </c>
      <c r="B5" t="s">
        <v>1645</v>
      </c>
      <c r="C5" t="s">
        <v>1646</v>
      </c>
      <c r="E5" t="s">
        <v>1649</v>
      </c>
      <c r="F5" t="s">
        <v>1648</v>
      </c>
      <c r="G5" t="s">
        <v>1650</v>
      </c>
    </row>
    <row r="6" spans="1:11" x14ac:dyDescent="0.2">
      <c r="A6" s="207">
        <v>42972.606956018521</v>
      </c>
      <c r="B6" t="s">
        <v>1654</v>
      </c>
      <c r="C6" t="s">
        <v>1646</v>
      </c>
      <c r="E6" t="s">
        <v>1649</v>
      </c>
      <c r="F6" t="s">
        <v>1648</v>
      </c>
      <c r="G6" t="s">
        <v>1655</v>
      </c>
    </row>
    <row r="7" spans="1:11" x14ac:dyDescent="0.2">
      <c r="A7" s="207">
        <v>42972.606956018521</v>
      </c>
      <c r="B7" t="s">
        <v>1654</v>
      </c>
      <c r="C7" t="s">
        <v>1646</v>
      </c>
      <c r="D7" t="s">
        <v>1652</v>
      </c>
      <c r="E7" t="s">
        <v>1648</v>
      </c>
      <c r="F7" t="s">
        <v>1648</v>
      </c>
    </row>
    <row r="8" spans="1:11" x14ac:dyDescent="0.2">
      <c r="A8" s="207">
        <v>42972.610081018516</v>
      </c>
      <c r="B8" t="s">
        <v>1645</v>
      </c>
      <c r="C8" t="s">
        <v>1646</v>
      </c>
      <c r="D8" t="s">
        <v>1651</v>
      </c>
      <c r="E8" t="s">
        <v>1648</v>
      </c>
      <c r="F8" t="s">
        <v>1649</v>
      </c>
    </row>
    <row r="9" spans="1:11" x14ac:dyDescent="0.2">
      <c r="A9" s="207">
        <v>42972.610081018516</v>
      </c>
      <c r="B9" t="s">
        <v>1645</v>
      </c>
      <c r="C9" t="s">
        <v>1646</v>
      </c>
      <c r="E9" t="s">
        <v>1649</v>
      </c>
      <c r="F9" t="s">
        <v>1648</v>
      </c>
      <c r="G9" t="s">
        <v>1650</v>
      </c>
    </row>
    <row r="10" spans="1:11" x14ac:dyDescent="0.2">
      <c r="A10" s="207">
        <v>42972.61010416667</v>
      </c>
      <c r="B10" t="s">
        <v>1654</v>
      </c>
      <c r="C10" t="s">
        <v>1646</v>
      </c>
      <c r="E10" t="s">
        <v>1649</v>
      </c>
      <c r="F10" t="s">
        <v>1648</v>
      </c>
      <c r="G10" t="s">
        <v>1655</v>
      </c>
    </row>
    <row r="11" spans="1:11" x14ac:dyDescent="0.2">
      <c r="A11" s="207">
        <v>42972.61010416667</v>
      </c>
      <c r="B11" t="s">
        <v>1654</v>
      </c>
      <c r="C11" t="s">
        <v>1646</v>
      </c>
      <c r="D11" t="s">
        <v>1652</v>
      </c>
      <c r="E11" t="s">
        <v>1648</v>
      </c>
      <c r="F11" t="s">
        <v>1649</v>
      </c>
    </row>
    <row r="12" spans="1:11" x14ac:dyDescent="0.2">
      <c r="A12" s="207">
        <v>42972.646423611113</v>
      </c>
      <c r="B12" t="s">
        <v>1645</v>
      </c>
      <c r="C12" t="s">
        <v>1646</v>
      </c>
      <c r="D12" t="s">
        <v>1651</v>
      </c>
      <c r="E12" t="s">
        <v>1648</v>
      </c>
      <c r="F12" t="s">
        <v>1649</v>
      </c>
    </row>
    <row r="13" spans="1:11" x14ac:dyDescent="0.2">
      <c r="A13" s="207">
        <v>42972.646423611113</v>
      </c>
      <c r="B13" t="s">
        <v>1645</v>
      </c>
      <c r="C13" t="s">
        <v>1646</v>
      </c>
      <c r="E13" t="s">
        <v>1649</v>
      </c>
      <c r="F13" t="s">
        <v>1648</v>
      </c>
      <c r="G13" t="s">
        <v>1650</v>
      </c>
    </row>
    <row r="14" spans="1:11" x14ac:dyDescent="0.2">
      <c r="A14" s="207">
        <v>42972.64644675926</v>
      </c>
      <c r="B14" t="s">
        <v>1654</v>
      </c>
      <c r="C14" t="s">
        <v>1646</v>
      </c>
      <c r="E14" t="s">
        <v>1649</v>
      </c>
      <c r="F14" t="s">
        <v>1648</v>
      </c>
      <c r="G14" t="s">
        <v>1655</v>
      </c>
    </row>
    <row r="15" spans="1:11" x14ac:dyDescent="0.2">
      <c r="A15" s="207">
        <v>42972.64644675926</v>
      </c>
      <c r="B15" t="s">
        <v>1654</v>
      </c>
      <c r="C15" t="s">
        <v>1646</v>
      </c>
      <c r="D15" t="s">
        <v>1652</v>
      </c>
      <c r="E15" t="s">
        <v>1648</v>
      </c>
      <c r="F15" t="s">
        <v>1649</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dimension ref="A1:IK3"/>
  <sheetViews>
    <sheetView workbookViewId="0">
      <selection activeCell="AD3" sqref="AD3"/>
    </sheetView>
  </sheetViews>
  <sheetFormatPr defaultRowHeight="12.75" x14ac:dyDescent="0.2"/>
  <cols>
    <col min="1" max="1" width="20" customWidth="1"/>
    <col min="2" max="2" width="20.5703125" bestFit="1" customWidth="1"/>
    <col min="3" max="4" width="21" customWidth="1"/>
    <col min="5" max="5" width="22.5703125" customWidth="1"/>
    <col min="6" max="6" width="20.7109375" customWidth="1"/>
    <col min="7" max="7" width="23.42578125" customWidth="1"/>
    <col min="8" max="10" width="20.7109375" customWidth="1"/>
    <col min="11" max="11" width="16.28515625" bestFit="1" customWidth="1"/>
    <col min="12" max="13" width="20.7109375" customWidth="1"/>
    <col min="14" max="14" width="15.28515625" customWidth="1"/>
    <col min="15" max="15" width="18.28515625" customWidth="1"/>
    <col min="16" max="16" width="16.85546875" customWidth="1"/>
    <col min="17" max="17" width="22" customWidth="1"/>
    <col min="18" max="18" width="20.42578125" customWidth="1"/>
    <col min="19" max="19" width="21" customWidth="1"/>
    <col min="20" max="20" width="21.5703125" customWidth="1"/>
    <col min="21" max="21" width="19.42578125" customWidth="1"/>
    <col min="22" max="22" width="18.7109375" customWidth="1"/>
    <col min="23" max="23" width="17.7109375" customWidth="1"/>
    <col min="24" max="25" width="23.28515625" style="201" customWidth="1"/>
    <col min="26" max="32" width="23.28515625" customWidth="1"/>
    <col min="33" max="33" width="12.7109375" style="112" customWidth="1"/>
    <col min="34" max="35" width="13.28515625" customWidth="1"/>
    <col min="36" max="36" width="24.5703125" bestFit="1" customWidth="1"/>
    <col min="37" max="37" width="28.7109375" bestFit="1" customWidth="1"/>
    <col min="38" max="38" width="24.28515625" customWidth="1"/>
    <col min="39" max="39" width="20.28515625" customWidth="1"/>
    <col min="40" max="40" width="9.140625" customWidth="1"/>
    <col min="41" max="41" width="15.28515625" style="199" customWidth="1"/>
    <col min="42" max="42" width="12" customWidth="1"/>
    <col min="43" max="43" width="9.5703125" customWidth="1"/>
    <col min="44" max="44" width="10.7109375" customWidth="1"/>
    <col min="45" max="235" width="9.140625" customWidth="1"/>
    <col min="236" max="236" width="13.85546875" customWidth="1"/>
    <col min="237" max="239" width="9.140625" customWidth="1"/>
    <col min="240" max="240" width="9.140625" style="61"/>
    <col min="241" max="241" width="15.7109375" style="61" customWidth="1"/>
    <col min="242" max="243" width="9.140625" style="61" customWidth="1"/>
    <col min="244" max="245" width="9.140625" style="61"/>
  </cols>
  <sheetData>
    <row r="1" spans="1:243" ht="24" x14ac:dyDescent="0.2">
      <c r="A1" s="44" t="s">
        <v>576</v>
      </c>
      <c r="B1" s="44" t="s">
        <v>574</v>
      </c>
      <c r="C1" s="44" t="s">
        <v>571</v>
      </c>
      <c r="D1" s="194" t="s">
        <v>573</v>
      </c>
      <c r="E1" s="44" t="s">
        <v>572</v>
      </c>
      <c r="F1" s="44" t="s">
        <v>349</v>
      </c>
      <c r="G1" s="44" t="s">
        <v>793</v>
      </c>
      <c r="H1" s="44" t="s">
        <v>790</v>
      </c>
      <c r="I1" s="44" t="s">
        <v>1631</v>
      </c>
      <c r="J1" s="44" t="s">
        <v>791</v>
      </c>
      <c r="K1" s="44" t="s">
        <v>792</v>
      </c>
      <c r="L1" s="44" t="s">
        <v>1657</v>
      </c>
      <c r="M1" s="203" t="s">
        <v>795</v>
      </c>
      <c r="N1" s="194" t="s">
        <v>350</v>
      </c>
      <c r="O1" s="194" t="s">
        <v>351</v>
      </c>
      <c r="P1" s="194" t="s">
        <v>352</v>
      </c>
      <c r="Q1" s="194" t="s">
        <v>564</v>
      </c>
      <c r="R1" s="194" t="s">
        <v>565</v>
      </c>
      <c r="S1" s="194" t="s">
        <v>566</v>
      </c>
      <c r="T1" s="194" t="s">
        <v>567</v>
      </c>
      <c r="U1" s="194" t="s">
        <v>568</v>
      </c>
      <c r="V1" s="194" t="s">
        <v>569</v>
      </c>
      <c r="W1" s="194" t="s">
        <v>570</v>
      </c>
      <c r="X1" s="200" t="s">
        <v>590</v>
      </c>
      <c r="Y1" s="200" t="s">
        <v>591</v>
      </c>
      <c r="Z1" s="194" t="s">
        <v>592</v>
      </c>
      <c r="AA1" s="194" t="s">
        <v>593</v>
      </c>
      <c r="AB1" s="194" t="s">
        <v>594</v>
      </c>
      <c r="AC1" s="194" t="s">
        <v>595</v>
      </c>
      <c r="AD1" s="194" t="s">
        <v>596</v>
      </c>
      <c r="AE1" s="194" t="s">
        <v>597</v>
      </c>
      <c r="AF1" s="194" t="s">
        <v>598</v>
      </c>
      <c r="AG1" s="202" t="s">
        <v>599</v>
      </c>
      <c r="AH1" s="194" t="s">
        <v>577</v>
      </c>
      <c r="AI1" s="349" t="s">
        <v>1754</v>
      </c>
      <c r="AJ1" s="349" t="s">
        <v>1755</v>
      </c>
      <c r="AK1" s="349" t="s">
        <v>1756</v>
      </c>
      <c r="AL1" s="194" t="s">
        <v>582</v>
      </c>
      <c r="AM1" s="194" t="s">
        <v>583</v>
      </c>
      <c r="AN1" s="194" t="s">
        <v>600</v>
      </c>
      <c r="AO1" s="198" t="s">
        <v>601</v>
      </c>
      <c r="AP1" s="194" t="s">
        <v>602</v>
      </c>
      <c r="AQ1" s="194" t="s">
        <v>603</v>
      </c>
      <c r="AR1" s="194" t="s">
        <v>604</v>
      </c>
      <c r="AS1" t="s">
        <v>578</v>
      </c>
      <c r="AT1" t="s">
        <v>579</v>
      </c>
      <c r="AU1" t="s">
        <v>584</v>
      </c>
      <c r="AV1" t="s">
        <v>585</v>
      </c>
      <c r="AW1" t="s">
        <v>586</v>
      </c>
      <c r="AX1" t="s">
        <v>580</v>
      </c>
      <c r="AY1" t="s">
        <v>581</v>
      </c>
      <c r="AZ1" t="s">
        <v>587</v>
      </c>
      <c r="BA1" t="s">
        <v>588</v>
      </c>
      <c r="BB1" t="s">
        <v>589</v>
      </c>
      <c r="BC1" t="s">
        <v>605</v>
      </c>
      <c r="BD1" t="s">
        <v>606</v>
      </c>
      <c r="BE1" t="s">
        <v>607</v>
      </c>
      <c r="BF1" t="s">
        <v>608</v>
      </c>
      <c r="BG1" t="s">
        <v>609</v>
      </c>
      <c r="BH1" t="s">
        <v>610</v>
      </c>
      <c r="BI1" t="s">
        <v>611</v>
      </c>
      <c r="BJ1" t="s">
        <v>612</v>
      </c>
      <c r="BK1" t="s">
        <v>613</v>
      </c>
      <c r="BL1" t="s">
        <v>614</v>
      </c>
      <c r="BM1" t="s">
        <v>615</v>
      </c>
      <c r="BN1" t="s">
        <v>616</v>
      </c>
      <c r="BO1" t="s">
        <v>617</v>
      </c>
      <c r="BP1" t="s">
        <v>618</v>
      </c>
      <c r="BQ1" t="s">
        <v>619</v>
      </c>
      <c r="BR1" t="s">
        <v>620</v>
      </c>
      <c r="BS1" t="s">
        <v>621</v>
      </c>
      <c r="BT1" t="s">
        <v>622</v>
      </c>
      <c r="BU1" t="s">
        <v>623</v>
      </c>
      <c r="BV1" t="s">
        <v>624</v>
      </c>
      <c r="BW1" t="s">
        <v>625</v>
      </c>
      <c r="BX1" t="s">
        <v>626</v>
      </c>
      <c r="BY1" t="s">
        <v>627</v>
      </c>
      <c r="BZ1" t="s">
        <v>628</v>
      </c>
      <c r="CA1" t="s">
        <v>629</v>
      </c>
      <c r="CB1" t="s">
        <v>630</v>
      </c>
      <c r="CC1" t="s">
        <v>631</v>
      </c>
      <c r="CD1" t="s">
        <v>632</v>
      </c>
      <c r="CE1" t="s">
        <v>633</v>
      </c>
      <c r="CF1" t="s">
        <v>634</v>
      </c>
      <c r="CG1" t="s">
        <v>635</v>
      </c>
      <c r="CH1" t="s">
        <v>636</v>
      </c>
      <c r="CI1" t="s">
        <v>637</v>
      </c>
      <c r="CJ1" t="s">
        <v>638</v>
      </c>
      <c r="CK1" t="s">
        <v>639</v>
      </c>
      <c r="CL1" t="s">
        <v>640</v>
      </c>
      <c r="CM1" t="s">
        <v>641</v>
      </c>
      <c r="CN1" t="s">
        <v>642</v>
      </c>
      <c r="CO1" t="s">
        <v>643</v>
      </c>
      <c r="CP1" t="s">
        <v>644</v>
      </c>
      <c r="CQ1" t="s">
        <v>645</v>
      </c>
      <c r="CR1" t="s">
        <v>646</v>
      </c>
      <c r="CS1" t="s">
        <v>647</v>
      </c>
      <c r="CT1" t="s">
        <v>648</v>
      </c>
      <c r="CU1" t="s">
        <v>649</v>
      </c>
      <c r="CV1" t="s">
        <v>650</v>
      </c>
      <c r="CW1" t="s">
        <v>651</v>
      </c>
      <c r="CX1" t="s">
        <v>652</v>
      </c>
      <c r="CY1" t="s">
        <v>653</v>
      </c>
      <c r="CZ1" t="s">
        <v>654</v>
      </c>
      <c r="DA1" t="s">
        <v>655</v>
      </c>
      <c r="DB1" t="s">
        <v>656</v>
      </c>
      <c r="DC1" t="s">
        <v>657</v>
      </c>
      <c r="DD1" t="s">
        <v>658</v>
      </c>
      <c r="DE1" t="s">
        <v>659</v>
      </c>
      <c r="DF1" t="s">
        <v>660</v>
      </c>
      <c r="DG1" t="s">
        <v>661</v>
      </c>
      <c r="DH1" t="s">
        <v>662</v>
      </c>
      <c r="DI1" t="s">
        <v>663</v>
      </c>
      <c r="DJ1" t="s">
        <v>664</v>
      </c>
      <c r="DK1" t="s">
        <v>665</v>
      </c>
      <c r="DL1" t="s">
        <v>666</v>
      </c>
      <c r="DM1" t="s">
        <v>667</v>
      </c>
      <c r="DN1" t="s">
        <v>668</v>
      </c>
      <c r="DO1" t="s">
        <v>669</v>
      </c>
      <c r="DP1" t="s">
        <v>670</v>
      </c>
      <c r="DQ1" t="s">
        <v>671</v>
      </c>
      <c r="DR1" t="s">
        <v>672</v>
      </c>
      <c r="DS1" t="s">
        <v>673</v>
      </c>
      <c r="DT1" t="s">
        <v>674</v>
      </c>
      <c r="DU1" t="s">
        <v>675</v>
      </c>
      <c r="DV1" t="s">
        <v>676</v>
      </c>
      <c r="DW1" t="s">
        <v>677</v>
      </c>
      <c r="DX1" t="s">
        <v>678</v>
      </c>
      <c r="DY1" t="s">
        <v>679</v>
      </c>
      <c r="DZ1" t="s">
        <v>680</v>
      </c>
      <c r="EA1" t="s">
        <v>681</v>
      </c>
      <c r="EB1" t="s">
        <v>682</v>
      </c>
      <c r="EC1" t="s">
        <v>683</v>
      </c>
      <c r="ED1" t="s">
        <v>684</v>
      </c>
      <c r="EE1" t="s">
        <v>685</v>
      </c>
      <c r="EF1" t="s">
        <v>686</v>
      </c>
      <c r="EG1" t="s">
        <v>687</v>
      </c>
      <c r="EH1" t="s">
        <v>688</v>
      </c>
      <c r="EI1" t="s">
        <v>689</v>
      </c>
      <c r="EJ1" t="s">
        <v>690</v>
      </c>
      <c r="EK1" t="s">
        <v>691</v>
      </c>
      <c r="EL1" t="s">
        <v>692</v>
      </c>
      <c r="EM1" t="s">
        <v>693</v>
      </c>
      <c r="EN1" t="s">
        <v>694</v>
      </c>
      <c r="EO1" t="s">
        <v>695</v>
      </c>
      <c r="EP1" t="s">
        <v>696</v>
      </c>
      <c r="EQ1" t="s">
        <v>697</v>
      </c>
      <c r="ER1" t="s">
        <v>698</v>
      </c>
      <c r="ES1" t="s">
        <v>699</v>
      </c>
      <c r="ET1" t="s">
        <v>700</v>
      </c>
      <c r="EU1" t="s">
        <v>701</v>
      </c>
      <c r="EV1" t="s">
        <v>702</v>
      </c>
      <c r="EW1" t="s">
        <v>703</v>
      </c>
      <c r="EX1" t="s">
        <v>704</v>
      </c>
      <c r="EY1" t="s">
        <v>705</v>
      </c>
      <c r="EZ1" t="s">
        <v>706</v>
      </c>
      <c r="FA1" t="s">
        <v>707</v>
      </c>
      <c r="FB1" t="s">
        <v>708</v>
      </c>
      <c r="FC1" t="s">
        <v>709</v>
      </c>
      <c r="FD1" t="s">
        <v>710</v>
      </c>
      <c r="FE1" t="s">
        <v>711</v>
      </c>
      <c r="FF1" t="s">
        <v>712</v>
      </c>
      <c r="FG1" t="s">
        <v>713</v>
      </c>
      <c r="FH1" t="s">
        <v>714</v>
      </c>
      <c r="FI1" t="s">
        <v>715</v>
      </c>
      <c r="FJ1" t="s">
        <v>716</v>
      </c>
      <c r="FK1" t="s">
        <v>717</v>
      </c>
      <c r="FL1" t="s">
        <v>718</v>
      </c>
      <c r="FM1" t="s">
        <v>719</v>
      </c>
      <c r="FN1" t="s">
        <v>720</v>
      </c>
      <c r="FO1" t="s">
        <v>721</v>
      </c>
      <c r="FP1" t="s">
        <v>722</v>
      </c>
      <c r="FQ1" t="s">
        <v>723</v>
      </c>
      <c r="FR1" t="s">
        <v>724</v>
      </c>
      <c r="FS1" t="s">
        <v>725</v>
      </c>
      <c r="FT1" t="s">
        <v>726</v>
      </c>
      <c r="FU1" t="s">
        <v>727</v>
      </c>
      <c r="FV1" t="s">
        <v>728</v>
      </c>
      <c r="FW1" t="s">
        <v>729</v>
      </c>
      <c r="FX1" t="s">
        <v>730</v>
      </c>
      <c r="FY1" t="s">
        <v>731</v>
      </c>
      <c r="FZ1" t="s">
        <v>732</v>
      </c>
      <c r="GA1" t="s">
        <v>733</v>
      </c>
      <c r="GB1" t="s">
        <v>734</v>
      </c>
      <c r="GC1" t="s">
        <v>735</v>
      </c>
      <c r="GD1" t="s">
        <v>736</v>
      </c>
      <c r="GE1" t="s">
        <v>737</v>
      </c>
      <c r="GF1" t="s">
        <v>738</v>
      </c>
      <c r="GG1" t="s">
        <v>739</v>
      </c>
      <c r="GH1" t="s">
        <v>740</v>
      </c>
      <c r="GI1" t="s">
        <v>741</v>
      </c>
      <c r="GJ1" t="s">
        <v>742</v>
      </c>
      <c r="GK1" t="s">
        <v>743</v>
      </c>
      <c r="GL1" t="s">
        <v>744</v>
      </c>
      <c r="GM1" t="s">
        <v>745</v>
      </c>
      <c r="GN1" t="s">
        <v>746</v>
      </c>
      <c r="GO1" t="s">
        <v>747</v>
      </c>
      <c r="GP1" t="s">
        <v>748</v>
      </c>
      <c r="GQ1" t="s">
        <v>749</v>
      </c>
      <c r="GR1" t="s">
        <v>750</v>
      </c>
      <c r="GS1" t="s">
        <v>751</v>
      </c>
      <c r="GT1" t="s">
        <v>752</v>
      </c>
      <c r="GU1" t="s">
        <v>753</v>
      </c>
      <c r="GV1" t="s">
        <v>754</v>
      </c>
      <c r="GW1" t="s">
        <v>755</v>
      </c>
      <c r="GX1" t="s">
        <v>756</v>
      </c>
      <c r="GY1" t="s">
        <v>757</v>
      </c>
      <c r="GZ1" t="s">
        <v>758</v>
      </c>
      <c r="HA1" t="s">
        <v>759</v>
      </c>
      <c r="HB1" t="s">
        <v>760</v>
      </c>
      <c r="HC1" t="s">
        <v>761</v>
      </c>
      <c r="HD1" t="s">
        <v>762</v>
      </c>
      <c r="HE1" t="s">
        <v>763</v>
      </c>
      <c r="HF1" t="s">
        <v>764</v>
      </c>
      <c r="HG1" t="s">
        <v>765</v>
      </c>
      <c r="HH1" t="s">
        <v>766</v>
      </c>
      <c r="HI1" t="s">
        <v>767</v>
      </c>
      <c r="HJ1" t="s">
        <v>768</v>
      </c>
      <c r="HK1" t="s">
        <v>769</v>
      </c>
      <c r="HL1" t="s">
        <v>770</v>
      </c>
      <c r="HM1" t="s">
        <v>771</v>
      </c>
      <c r="HN1" t="s">
        <v>772</v>
      </c>
      <c r="HO1" t="s">
        <v>773</v>
      </c>
      <c r="HP1" t="s">
        <v>774</v>
      </c>
      <c r="HQ1" t="s">
        <v>775</v>
      </c>
      <c r="HR1" t="s">
        <v>776</v>
      </c>
      <c r="HS1" t="s">
        <v>777</v>
      </c>
      <c r="HT1" t="s">
        <v>778</v>
      </c>
      <c r="HU1" t="s">
        <v>779</v>
      </c>
      <c r="HV1" t="s">
        <v>780</v>
      </c>
      <c r="HW1" t="s">
        <v>781</v>
      </c>
      <c r="HX1" t="s">
        <v>782</v>
      </c>
      <c r="HY1" t="s">
        <v>783</v>
      </c>
      <c r="HZ1" t="s">
        <v>784</v>
      </c>
      <c r="IA1" t="s">
        <v>785</v>
      </c>
      <c r="IB1" t="s">
        <v>786</v>
      </c>
      <c r="IC1" t="s">
        <v>787</v>
      </c>
      <c r="ID1" t="s">
        <v>788</v>
      </c>
      <c r="IE1" t="s">
        <v>789</v>
      </c>
      <c r="IG1" s="204" t="s">
        <v>1636</v>
      </c>
      <c r="IH1" s="204" t="s">
        <v>1637</v>
      </c>
      <c r="II1" s="204" t="s">
        <v>1638</v>
      </c>
    </row>
    <row r="2" spans="1:243" ht="38.25" x14ac:dyDescent="0.2">
      <c r="A2" s="197">
        <f>Main!K14</f>
        <v>0</v>
      </c>
      <c r="B2" s="61"/>
      <c r="C2" t="str">
        <f>Furnace_Data!$AA$2</f>
        <v>0121O0000018IHWQA2</v>
      </c>
      <c r="D2" s="61" t="s">
        <v>1635</v>
      </c>
      <c r="E2" t="str">
        <f ca="1">IF(ISBLANK(Main!D5),"",INDEX(OFFSET(FurnaceList,,1),MATCH(Main!D6,FurnaceList,0)))</f>
        <v/>
      </c>
      <c r="F2" t="str">
        <f ca="1">IF(ISBLANK(Main!D7),"",INDEX(OFFSET(InspectorList,,-1),MATCH(Main!D7,InspectorList,0)))</f>
        <v/>
      </c>
      <c r="G2" t="str">
        <f>IF(Main!I94 = TRUE, Furnace_Data!$X$2, Furnace_Data!$X$3)</f>
        <v>a0t1O00000COcLdQAL</v>
      </c>
      <c r="H2" t="b">
        <v>1</v>
      </c>
      <c r="I2" t="str">
        <f>Main!D4</f>
        <v>Used</v>
      </c>
      <c r="J2" t="str">
        <f>Furnace_Data!AE2 &amp; "_" &amp; Furnace_Data!AH2</f>
        <v>40100_Furnace</v>
      </c>
      <c r="K2" t="str">
        <f>Furnace_Data!AG2</f>
        <v>B</v>
      </c>
      <c r="L2" s="123">
        <f>Furnace_Data!AF2</f>
        <v>43102</v>
      </c>
      <c r="M2" s="44" t="s">
        <v>796</v>
      </c>
      <c r="N2">
        <f>Main!D22</f>
        <v>0</v>
      </c>
      <c r="O2">
        <f>Main!D23</f>
        <v>0</v>
      </c>
      <c r="P2" s="195">
        <f>Main!D3</f>
        <v>0</v>
      </c>
      <c r="Q2" t="str">
        <f ca="1">IF(ISBLANK(Main!D9),"",INDEX(OFFSET(Furnace_Data!$U:$U,,-4),MATCH(Main!D9,Furnace_Data!$U:$U,0)))</f>
        <v/>
      </c>
      <c r="R2" t="str">
        <f>IF(ISBLANK(Main!L47),"",Main!L47)</f>
        <v/>
      </c>
      <c r="S2" t="str">
        <f>IF(ISBLANK(Main!L48),"",Main!L48)</f>
        <v/>
      </c>
      <c r="T2" t="str">
        <f>IF(ISBLANK(Main!L49),"",Main!L49)</f>
        <v/>
      </c>
      <c r="U2" t="str">
        <f>IF(ISBLANK(Main!L50),"",Main!L50)</f>
        <v/>
      </c>
      <c r="V2" t="str">
        <f>IF(ISBLANK(Main!L51),"",Main!L51)</f>
        <v/>
      </c>
      <c r="W2" t="str">
        <f>IF(ISBLANK(Main!L52),"",Main!L52)</f>
        <v/>
      </c>
      <c r="X2" s="206" t="str">
        <f>Main!D16 &amp; "°F"</f>
        <v>°F</v>
      </c>
      <c r="Y2" s="206" t="str">
        <f>Main!D15 &amp; "°F"</f>
        <v>°F</v>
      </c>
      <c r="Z2" t="str">
        <f>Main!G16</f>
        <v>NONE OBSERVED</v>
      </c>
      <c r="AA2" t="str">
        <f>Main!E26</f>
        <v>00:00</v>
      </c>
      <c r="AB2" t="e">
        <f>Main!E29</f>
        <v>#VALUE!</v>
      </c>
      <c r="AC2" t="str">
        <f>Main!I19</f>
        <v>N/A</v>
      </c>
      <c r="AD2" t="str">
        <f ca="1">TEXT(Access_Data!D33,"0.0") &amp; "°F / " &amp; TEXT(Access_Data!H33,"0.0") &amp; "°F"</f>
        <v>0.0°F / 0.0°F</v>
      </c>
      <c r="AE2" t="e">
        <f>Main!G17</f>
        <v>#N/A</v>
      </c>
      <c r="AF2" t="e">
        <f ca="1">TEXT(Access_Data!K33,"0.0") &amp; "°F"</f>
        <v>#VALUE!</v>
      </c>
      <c r="AG2" t="str">
        <f>IF(Main!G23="","",Main!G23)</f>
        <v>Found in tolerance.  No adjustment required.</v>
      </c>
      <c r="AH2" t="str">
        <f ca="1">IF(AND(Main!G10="",Main!G11=""),"Accepted","Rejected")</f>
        <v>Accepted</v>
      </c>
      <c r="AI2" s="206" t="str">
        <f>IF(Main!D24 = "", "",Main!D24)</f>
        <v/>
      </c>
      <c r="AJ2">
        <f>IF(Main!L9&lt;1,1,Main!L9)</f>
        <v>1</v>
      </c>
      <c r="AK2">
        <f>IF(Main!L10&lt;1,1,Main!L10)</f>
        <v>1</v>
      </c>
      <c r="AL2" s="61"/>
      <c r="AM2" t="b">
        <v>1</v>
      </c>
      <c r="IG2" s="205" t="s">
        <v>1653</v>
      </c>
      <c r="II2" s="61" t="s">
        <v>1704</v>
      </c>
    </row>
    <row r="3" spans="1:243" x14ac:dyDescent="0.2">
      <c r="B3" s="61"/>
      <c r="AL3" s="124"/>
      <c r="AN3" s="44" t="str">
        <f>IF(ISBLANK(Main!O5),"",Main!N5)</f>
        <v/>
      </c>
      <c r="AO3" s="199" t="str">
        <f>IF(ISBLANK(Main!O5),"",Main!O5)</f>
        <v/>
      </c>
      <c r="AP3" t="str">
        <f ca="1">IF(Main!N72=0,"", ROUND(Main!N72,1))</f>
        <v/>
      </c>
      <c r="AQ3" t="str">
        <f ca="1">IF(Main!O72=0,"", ROUND(Main!O72,1))</f>
        <v/>
      </c>
      <c r="AR3" t="e">
        <f ca="1">IF(Main!P72=0,"", ROUND(Main!P72,1))</f>
        <v>#VALUE!</v>
      </c>
      <c r="AS3" t="str">
        <f>IF(ISBLANK(Main!O6),"",Main!N6)</f>
        <v/>
      </c>
      <c r="AT3" t="str">
        <f>IF(ISBLANK(Main!O6),"",Main!O6)</f>
        <v/>
      </c>
      <c r="AU3" t="str">
        <f ca="1">IF(Main!N73=0,"", ROUND(Main!N73,1))</f>
        <v/>
      </c>
      <c r="AV3" t="str">
        <f ca="1">IF(Main!O73=0,"", ROUND(Main!O73,1))</f>
        <v/>
      </c>
      <c r="AW3" t="e">
        <f ca="1">IF(Main!P73=0,"", ROUND(Main!P73,1))</f>
        <v>#VALUE!</v>
      </c>
      <c r="AX3" t="str">
        <f>IF(ISBLANK(Main!O7),"",Main!N7)</f>
        <v/>
      </c>
      <c r="AY3" t="str">
        <f>IF(ISBLANK(Main!O7),"",Main!O7)</f>
        <v/>
      </c>
      <c r="AZ3" t="str">
        <f ca="1">IF(Main!N74=0,"", ROUND(Main!N74,1))</f>
        <v/>
      </c>
      <c r="BA3" t="str">
        <f ca="1">IF(Main!O74=0,"", ROUND(Main!O74,1))</f>
        <v/>
      </c>
      <c r="BB3" t="e">
        <f ca="1">IF(Main!P74=0,"", ROUND(Main!P74,1))</f>
        <v>#VALUE!</v>
      </c>
      <c r="BC3" t="str">
        <f>IF(ISBLANK(Main!O8),"",Main!N8)</f>
        <v/>
      </c>
      <c r="BD3" t="str">
        <f>IF(ISBLANK(Main!O8),"",Main!O8)</f>
        <v/>
      </c>
      <c r="BE3" t="str">
        <f ca="1">IF(Main!N75=0,"", ROUND(Main!N75,1))</f>
        <v/>
      </c>
      <c r="BF3" t="str">
        <f ca="1">IF(Main!O75=0,"", ROUND(Main!O75,1))</f>
        <v/>
      </c>
      <c r="BG3" t="e">
        <f ca="1">IF(Main!P75=0,"", ROUND(Main!P75,1))</f>
        <v>#VALUE!</v>
      </c>
      <c r="BH3" t="str">
        <f>IF(ISBLANK(Main!O9),"",Main!N9)</f>
        <v/>
      </c>
      <c r="BI3" t="str">
        <f>IF(ISBLANK(Main!O9),"",Main!O9)</f>
        <v/>
      </c>
      <c r="BJ3" t="str">
        <f ca="1">IF(Main!N76=0,"", ROUND(Main!N76,1))</f>
        <v/>
      </c>
      <c r="BK3" t="str">
        <f ca="1">IF(Main!O76=0,"", ROUND(Main!O76,1))</f>
        <v/>
      </c>
      <c r="BL3" t="e">
        <f ca="1">IF(Main!P76=0,"", ROUND(Main!P76,1))</f>
        <v>#VALUE!</v>
      </c>
      <c r="BM3" t="str">
        <f>IF(ISBLANK(Main!O10),"",Main!N10)</f>
        <v/>
      </c>
      <c r="BN3" t="str">
        <f>IF(ISBLANK(Main!O10),"",Main!O10)</f>
        <v/>
      </c>
      <c r="BO3" t="str">
        <f ca="1">IF(Main!N77=0,"", ROUND(Main!N77,1))</f>
        <v/>
      </c>
      <c r="BP3" t="str">
        <f ca="1">IF(Main!O77=0,"", ROUND(Main!O77,1))</f>
        <v/>
      </c>
      <c r="BQ3" t="e">
        <f ca="1">IF(Main!P77=0,"", ROUND(Main!P77,1))</f>
        <v>#VALUE!</v>
      </c>
      <c r="BR3" t="str">
        <f>IF(ISBLANK(Main!O11),"",Main!N11)</f>
        <v/>
      </c>
      <c r="BS3" t="str">
        <f>IF(ISBLANK(Main!O11),"",Main!O11)</f>
        <v/>
      </c>
      <c r="BT3" t="str">
        <f ca="1">IF(Main!N78=0,"", ROUND(Main!N78,1))</f>
        <v/>
      </c>
      <c r="BU3" t="str">
        <f ca="1">IF(Main!O78=0,"", ROUND(Main!O78,1))</f>
        <v/>
      </c>
      <c r="BV3" t="e">
        <f ca="1">IF(Main!P78=0,"", ROUND(Main!P78,1))</f>
        <v>#VALUE!</v>
      </c>
      <c r="BW3" t="str">
        <f>IF(ISBLANK(Main!O12),"",Main!N12)</f>
        <v/>
      </c>
      <c r="BX3" t="str">
        <f>IF(ISBLANK(Main!O12),"",Main!O12)</f>
        <v/>
      </c>
      <c r="BY3" t="str">
        <f ca="1">IF(Main!N79=0,"", ROUND(Main!N79,1))</f>
        <v/>
      </c>
      <c r="BZ3" t="str">
        <f ca="1">IF(Main!O79=0,"", ROUND(Main!O79,1))</f>
        <v/>
      </c>
      <c r="CA3" t="e">
        <f ca="1">IF(Main!P79=0,"", ROUND(Main!P79,1))</f>
        <v>#VALUE!</v>
      </c>
      <c r="CB3" t="str">
        <f>IF(ISBLANK(Main!O13),"",Main!N13)</f>
        <v/>
      </c>
      <c r="CC3" t="str">
        <f>IF(ISBLANK(Main!O13),"",Main!O13)</f>
        <v/>
      </c>
      <c r="CD3" t="str">
        <f ca="1">IF(Main!N80=0,"", ROUND(Main!N80,1))</f>
        <v/>
      </c>
      <c r="CE3" t="str">
        <f ca="1">IF(Main!O80=0,"", ROUND(Main!O80,1))</f>
        <v/>
      </c>
      <c r="CF3" t="e">
        <f ca="1">IF(Main!P80=0,"", ROUND(Main!P80,1))</f>
        <v>#VALUE!</v>
      </c>
      <c r="CG3" t="str">
        <f>IF(ISBLANK(Main!O14),"",Main!N14)</f>
        <v/>
      </c>
      <c r="CH3" t="str">
        <f>IF(ISBLANK(Main!O14),"",Main!O14)</f>
        <v/>
      </c>
      <c r="CI3" t="str">
        <f ca="1">IF(Main!N81=0,"", ROUND(Main!N81,1))</f>
        <v/>
      </c>
      <c r="CJ3" t="str">
        <f ca="1">IF(Main!O81=0,"", ROUND(Main!O81,1))</f>
        <v/>
      </c>
      <c r="CK3" t="e">
        <f ca="1">IF(Main!P81=0,"", ROUND(Main!P81,1))</f>
        <v>#VALUE!</v>
      </c>
      <c r="CL3" t="str">
        <f>IF(ISBLANK(Main!O15),"",Main!N15)</f>
        <v/>
      </c>
      <c r="CM3" t="str">
        <f>IF(ISBLANK(Main!O15),"",Main!O15)</f>
        <v/>
      </c>
      <c r="CN3" t="str">
        <f ca="1">IF(Main!N82=0,"", ROUND(Main!N82,1))</f>
        <v/>
      </c>
      <c r="CO3" t="str">
        <f ca="1">IF(Main!O82=0,"", ROUND(Main!O82,1))</f>
        <v/>
      </c>
      <c r="CP3" t="e">
        <f ca="1">IF(Main!P82=0,"", ROUND(Main!P82,1))</f>
        <v>#VALUE!</v>
      </c>
      <c r="CQ3" t="str">
        <f>IF(ISBLANK(Main!O16),"",Main!N16)</f>
        <v/>
      </c>
      <c r="CR3" t="str">
        <f>IF(ISBLANK(Main!O16),"",Main!O16)</f>
        <v/>
      </c>
      <c r="CS3" t="str">
        <f ca="1">IF(Main!N83=0,"", ROUND(Main!N83,1))</f>
        <v/>
      </c>
      <c r="CT3" t="str">
        <f ca="1">IF(Main!O83=0,"", ROUND(Main!O83,1))</f>
        <v/>
      </c>
      <c r="CU3" t="e">
        <f ca="1">IF(Main!P83=0,"", ROUND(Main!P83,1))</f>
        <v>#VALUE!</v>
      </c>
      <c r="CV3" t="str">
        <f>IF(ISBLANK(Main!O17),"",Main!N17)</f>
        <v/>
      </c>
      <c r="CW3" t="str">
        <f>IF(ISBLANK(Main!O17),"",Main!O17)</f>
        <v/>
      </c>
      <c r="CX3" t="str">
        <f ca="1">IF(Main!N84=0,"", ROUND(Main!N84,1))</f>
        <v/>
      </c>
      <c r="CY3" t="str">
        <f ca="1">IF(Main!O84=0,"", ROUND(Main!O84,1))</f>
        <v/>
      </c>
      <c r="CZ3" t="e">
        <f ca="1">IF(Main!P84=0,"", ROUND(Main!P84,1))</f>
        <v>#VALUE!</v>
      </c>
      <c r="DA3" t="str">
        <f>IF(ISBLANK(Main!O18),"",Main!N18)</f>
        <v/>
      </c>
      <c r="DB3" t="str">
        <f>IF(ISBLANK(Main!O18),"",Main!O18)</f>
        <v/>
      </c>
      <c r="DC3" t="str">
        <f ca="1">IF(Main!N85=0,"", ROUND(Main!N85,1))</f>
        <v/>
      </c>
      <c r="DD3" t="str">
        <f ca="1">IF(Main!O85=0,"", ROUND(Main!O85,1))</f>
        <v/>
      </c>
      <c r="DE3" t="e">
        <f ca="1">IF(Main!P85=0,"", ROUND(Main!P85,1))</f>
        <v>#VALUE!</v>
      </c>
      <c r="DF3" t="str">
        <f>IF(ISBLANK(Main!O19),"",Main!N19)</f>
        <v/>
      </c>
      <c r="DG3" t="str">
        <f>IF(ISBLANK(Main!O19),"",Main!O19)</f>
        <v/>
      </c>
      <c r="DH3" t="str">
        <f ca="1">IF(Main!N86=0,"", ROUND(Main!N86,1))</f>
        <v/>
      </c>
      <c r="DI3" t="str">
        <f ca="1">IF(Main!O86=0,"", ROUND(Main!O86,1))</f>
        <v/>
      </c>
      <c r="DJ3" t="e">
        <f ca="1">IF(Main!P86=0,"", ROUND(Main!P86,1))</f>
        <v>#VALUE!</v>
      </c>
      <c r="DK3" t="str">
        <f>IF(ISBLANK(Main!O20),"",Main!N20)</f>
        <v/>
      </c>
      <c r="DL3" t="str">
        <f>IF(ISBLANK(Main!O20),"",Main!O20)</f>
        <v/>
      </c>
      <c r="DM3" t="str">
        <f ca="1">IF(Main!N87=0,"", ROUND(Main!N87,1))</f>
        <v/>
      </c>
      <c r="DN3" t="str">
        <f ca="1">IF(Main!O87=0,"", ROUND(Main!O87,1))</f>
        <v/>
      </c>
      <c r="DO3" t="e">
        <f ca="1">IF(Main!P87=0,"", ROUND(Main!P87,1))</f>
        <v>#VALUE!</v>
      </c>
      <c r="DP3" t="str">
        <f>IF(ISBLANK(Main!O21),"",Main!N21)</f>
        <v/>
      </c>
      <c r="DQ3" t="str">
        <f>IF(ISBLANK(Main!O21),"",Main!O21)</f>
        <v/>
      </c>
      <c r="DR3" t="str">
        <f ca="1">IF(Main!N88=0,"", ROUND(Main!N88,1))</f>
        <v/>
      </c>
      <c r="DS3" t="str">
        <f ca="1">IF(Main!O88=0,"", ROUND(Main!O88,1))</f>
        <v/>
      </c>
      <c r="DT3" t="e">
        <f ca="1">IF(Main!P88=0,"", ROUND(Main!P88,1))</f>
        <v>#VALUE!</v>
      </c>
      <c r="DU3" t="str">
        <f>IF(ISBLANK(Main!O22),"",Main!N22)</f>
        <v/>
      </c>
      <c r="DV3" t="str">
        <f>IF(ISBLANK(Main!O22),"",Main!O22)</f>
        <v/>
      </c>
      <c r="DW3" t="str">
        <f ca="1">IF(Main!N89=0,"", ROUND(Main!N89,1))</f>
        <v/>
      </c>
      <c r="DX3" t="str">
        <f ca="1">IF(Main!O89=0,"", ROUND(Main!O89,1))</f>
        <v/>
      </c>
      <c r="DY3" t="e">
        <f ca="1">IF(Main!P89=0,"", ROUND(Main!P89,1))</f>
        <v>#VALUE!</v>
      </c>
      <c r="DZ3" t="str">
        <f>IF(ISBLANK(Main!O23),"",Main!N23)</f>
        <v/>
      </c>
      <c r="EA3" t="str">
        <f>IF(ISBLANK(Main!O23),"",Main!O23)</f>
        <v/>
      </c>
      <c r="EB3" t="str">
        <f ca="1">IF(Main!N90=0,"", ROUND(Main!N90,1))</f>
        <v/>
      </c>
      <c r="EC3" t="str">
        <f ca="1">IF(Main!O90=0,"", ROUND(Main!O90,1))</f>
        <v/>
      </c>
      <c r="ED3" t="e">
        <f ca="1">IF(Main!P90=0,"", ROUND(Main!P90,1))</f>
        <v>#VALUE!</v>
      </c>
      <c r="EE3" t="str">
        <f>IF(ISBLANK(Main!O24),"",Main!N24)</f>
        <v/>
      </c>
      <c r="EF3" t="str">
        <f>IF(ISBLANK(Main!O24),"",Main!O24)</f>
        <v/>
      </c>
      <c r="EG3" t="str">
        <f ca="1">IF(Main!N91=0,"", ROUND(Main!N91,1))</f>
        <v/>
      </c>
      <c r="EH3" t="str">
        <f ca="1">IF(Main!O91=0,"", ROUND(Main!O91,1))</f>
        <v/>
      </c>
      <c r="EI3" t="e">
        <f ca="1">IF(Main!P91=0,"", ROUND(Main!P91,1))</f>
        <v>#VALUE!</v>
      </c>
      <c r="EJ3" t="str">
        <f>IF(ISBLANK(Main!O25),"",Main!N25)</f>
        <v/>
      </c>
      <c r="EK3" t="str">
        <f>IF(ISBLANK(Main!O25),"",Main!O25)</f>
        <v/>
      </c>
      <c r="EL3" t="str">
        <f ca="1">IF(Main!N92=0,"", ROUND(Main!N92,1))</f>
        <v/>
      </c>
      <c r="EM3" t="str">
        <f ca="1">IF(Main!O92=0,"", ROUND(Main!O92,1))</f>
        <v/>
      </c>
      <c r="EN3" t="e">
        <f ca="1">IF(Main!P92=0,"", ROUND(Main!P92,1))</f>
        <v>#VALUE!</v>
      </c>
      <c r="EO3" t="str">
        <f>IF(ISBLANK(Main!O26),"",Main!N26)</f>
        <v/>
      </c>
      <c r="EP3" t="str">
        <f>IF(ISBLANK(Main!O26),"",Main!O26)</f>
        <v/>
      </c>
      <c r="EQ3" t="str">
        <f ca="1">IF(Main!N93=0,"", ROUND(Main!N93,1))</f>
        <v/>
      </c>
      <c r="ER3" t="str">
        <f ca="1">IF(Main!O93=0,"", ROUND(Main!O93,1))</f>
        <v/>
      </c>
      <c r="ES3" t="e">
        <f ca="1">IF(Main!P93=0,"", ROUND(Main!P93,1))</f>
        <v>#VALUE!</v>
      </c>
      <c r="ET3" t="str">
        <f>IF(ISBLANK(Main!O27),"",Main!N27)</f>
        <v/>
      </c>
      <c r="EU3" t="str">
        <f>IF(ISBLANK(Main!O27),"",Main!O27)</f>
        <v/>
      </c>
      <c r="EV3" t="str">
        <f ca="1">IF(Main!N94=0,"", ROUND(Main!N94,1))</f>
        <v/>
      </c>
      <c r="EW3" t="str">
        <f ca="1">IF(Main!O94=0,"", ROUND(Main!O94,1))</f>
        <v/>
      </c>
      <c r="EX3" t="e">
        <f ca="1">IF(Main!P94=0,"", ROUND(Main!P94,1))</f>
        <v>#VALUE!</v>
      </c>
      <c r="EY3" t="str">
        <f>IF(ISBLANK(Main!O28),"",Main!N28)</f>
        <v/>
      </c>
      <c r="EZ3" t="str">
        <f>IF(ISBLANK(Main!O28),"",Main!O28)</f>
        <v/>
      </c>
      <c r="FA3" t="str">
        <f ca="1">IF(Main!N95=0,"", ROUND(Main!N95,1))</f>
        <v/>
      </c>
      <c r="FB3" t="str">
        <f ca="1">IF(Main!O95=0,"", ROUND(Main!O95,1))</f>
        <v/>
      </c>
      <c r="FC3" t="e">
        <f ca="1">IF(Main!P95=0,"", ROUND(Main!P95,1))</f>
        <v>#VALUE!</v>
      </c>
      <c r="FD3" t="str">
        <f>IF(ISBLANK(Main!O29),"",Main!N29)</f>
        <v/>
      </c>
      <c r="FE3" t="str">
        <f>IF(ISBLANK(Main!O29),"",Main!O29)</f>
        <v/>
      </c>
      <c r="FF3" t="str">
        <f ca="1">IF(Main!N96=0,"", ROUND(Main!N96,1))</f>
        <v/>
      </c>
      <c r="FG3" t="str">
        <f ca="1">IF(Main!O96=0,"", ROUND(Main!O96,1))</f>
        <v/>
      </c>
      <c r="FH3" t="e">
        <f ca="1">IF(Main!P96=0,"", ROUND(Main!P96,1))</f>
        <v>#VALUE!</v>
      </c>
      <c r="FI3" t="str">
        <f>IF(ISBLANK(Main!O30),"",Main!N30)</f>
        <v/>
      </c>
      <c r="FJ3" t="str">
        <f>IF(ISBLANK(Main!O30),"",Main!O30)</f>
        <v/>
      </c>
      <c r="FK3" t="str">
        <f ca="1">IF(Main!N97=0,"", ROUND(Main!N97,1))</f>
        <v/>
      </c>
      <c r="FL3" t="str">
        <f ca="1">IF(Main!O97=0,"", ROUND(Main!O97,1))</f>
        <v/>
      </c>
      <c r="FM3" t="e">
        <f ca="1">IF(Main!P97=0,"", ROUND(Main!P97,1))</f>
        <v>#VALUE!</v>
      </c>
      <c r="FN3" t="str">
        <f>IF(ISBLANK(Main!O31),"",Main!N31)</f>
        <v/>
      </c>
      <c r="FO3" t="str">
        <f>IF(ISBLANK(Main!O31),"",Main!O31)</f>
        <v/>
      </c>
      <c r="FP3" t="str">
        <f ca="1">IF(Main!N98=0,"", ROUND(Main!N98,1))</f>
        <v/>
      </c>
      <c r="FQ3" t="str">
        <f ca="1">IF(Main!O98=0,"", ROUND(Main!O98,1))</f>
        <v/>
      </c>
      <c r="FR3" t="e">
        <f ca="1">IF(Main!P98=0,"", ROUND(Main!P98,1))</f>
        <v>#VALUE!</v>
      </c>
      <c r="FS3" t="str">
        <f>IF(ISBLANK(Main!O32),"",Main!N32)</f>
        <v/>
      </c>
      <c r="FT3" t="str">
        <f>IF(ISBLANK(Main!O32),"",Main!O32)</f>
        <v/>
      </c>
      <c r="FU3" t="str">
        <f ca="1">IF(Main!N99=0,"", ROUND(Main!N99,1))</f>
        <v/>
      </c>
      <c r="FV3" t="str">
        <f ca="1">IF(Main!O99=0,"", ROUND(Main!O99,1))</f>
        <v/>
      </c>
      <c r="FW3" t="e">
        <f ca="1">IF(Main!P99=0,"", ROUND(Main!P99,1))</f>
        <v>#VALUE!</v>
      </c>
      <c r="FX3" t="str">
        <f>IF(ISBLANK(Main!O33),"",Main!N33)</f>
        <v/>
      </c>
      <c r="FY3" t="str">
        <f>IF(ISBLANK(Main!O33),"",Main!O33)</f>
        <v/>
      </c>
      <c r="FZ3" t="str">
        <f ca="1">IF(Main!N100=0,"", ROUND(Main!N100,1))</f>
        <v/>
      </c>
      <c r="GA3" t="str">
        <f ca="1">IF(Main!O100=0,"", ROUND(Main!O100,1))</f>
        <v/>
      </c>
      <c r="GB3" t="e">
        <f ca="1">IF(Main!P100=0,"", ROUND(Main!P100,1))</f>
        <v>#VALUE!</v>
      </c>
      <c r="GC3" t="str">
        <f>IF(ISBLANK(Main!O34),"",Main!N34)</f>
        <v/>
      </c>
      <c r="GD3" t="str">
        <f>IF(ISBLANK(Main!O34),"",Main!O34)</f>
        <v/>
      </c>
      <c r="GE3" t="str">
        <f ca="1">IF(Main!N101=0,"", ROUND(Main!N101,1))</f>
        <v/>
      </c>
      <c r="GF3" t="str">
        <f ca="1">IF(Main!O101=0,"", ROUND(Main!O101,1))</f>
        <v/>
      </c>
      <c r="GG3" t="str">
        <f ca="1">IF(Main!P101=0,"", ROUND(Main!P101,1))</f>
        <v/>
      </c>
      <c r="GH3" t="str">
        <f>IF(ISBLANK(Main!O35),"",Main!N35)</f>
        <v/>
      </c>
      <c r="GI3" t="str">
        <f>IF(ISBLANK(Main!O35),"",Main!O35)</f>
        <v/>
      </c>
      <c r="GJ3" t="str">
        <f ca="1">IF(Main!N102=0,"", ROUND(Main!N102,1))</f>
        <v/>
      </c>
      <c r="GK3" t="str">
        <f ca="1">IF(Main!O102=0,"", ROUND(Main!O102,1))</f>
        <v/>
      </c>
      <c r="GL3" t="str">
        <f ca="1">IF(Main!P102=0,"", ROUND(Main!P102,1))</f>
        <v/>
      </c>
      <c r="GM3" t="str">
        <f>IF(ISBLANK(Main!O36),"",Main!N36)</f>
        <v/>
      </c>
      <c r="GN3" t="str">
        <f>IF(ISBLANK(Main!O36),"",Main!O36)</f>
        <v/>
      </c>
      <c r="GO3" t="str">
        <f ca="1">IF(Main!N103=0,"", ROUND(Main!N103,1))</f>
        <v/>
      </c>
      <c r="GP3" t="str">
        <f ca="1">IF(Main!O103=0,"", ROUND(Main!O103,1))</f>
        <v/>
      </c>
      <c r="GQ3" t="str">
        <f ca="1">IF(Main!P103=0,"", ROUND(Main!P103,1))</f>
        <v/>
      </c>
      <c r="GR3" t="str">
        <f>IF(ISBLANK(Main!O37),"",Main!N37)</f>
        <v/>
      </c>
      <c r="GS3" t="str">
        <f>IF(ISBLANK(Main!O37),"",Main!O37)</f>
        <v/>
      </c>
      <c r="GT3" t="str">
        <f ca="1">IF(Main!N104=0,"", ROUND(Main!N104,1))</f>
        <v/>
      </c>
      <c r="GU3" t="str">
        <f ca="1">IF(Main!O104=0,"", ROUND(Main!O104,1))</f>
        <v/>
      </c>
      <c r="GV3" t="str">
        <f ca="1">IF(Main!P104=0,"", ROUND(Main!P104,1))</f>
        <v/>
      </c>
      <c r="GW3" t="str">
        <f>IF(ISBLANK(Main!O38),"",Main!N38)</f>
        <v/>
      </c>
      <c r="GX3" t="str">
        <f>IF(ISBLANK(Main!O38),"",Main!O38)</f>
        <v/>
      </c>
      <c r="GY3" t="str">
        <f ca="1">IF(Main!N105=0,"", ROUND(Main!N105,1))</f>
        <v/>
      </c>
      <c r="GZ3" t="str">
        <f ca="1">IF(Main!O105=0,"", ROUND(Main!O105,1))</f>
        <v/>
      </c>
      <c r="HA3" t="str">
        <f ca="1">IF(Main!P105=0,"", ROUND(Main!P105,1))</f>
        <v/>
      </c>
      <c r="HB3" t="str">
        <f>IF(ISBLANK(Main!O39),"",Main!N39)</f>
        <v/>
      </c>
      <c r="HC3" t="str">
        <f>IF(ISBLANK(Main!O39),"",Main!O39)</f>
        <v/>
      </c>
      <c r="HD3" t="str">
        <f ca="1">IF(Main!N106=0,"", ROUND(Main!N106,1))</f>
        <v/>
      </c>
      <c r="HE3" t="str">
        <f ca="1">IF(Main!O106=0,"", ROUND(Main!O106,1))</f>
        <v/>
      </c>
      <c r="HF3" t="str">
        <f ca="1">IF(Main!P106=0,"", ROUND(Main!P106,1))</f>
        <v/>
      </c>
      <c r="HG3" t="str">
        <f>IF(ISBLANK(Main!O40),"",Main!N40)</f>
        <v/>
      </c>
      <c r="HH3" t="str">
        <f>IF(ISBLANK(Main!O40),"",Main!O40)</f>
        <v/>
      </c>
      <c r="HI3" t="str">
        <f ca="1">IF(Main!N107=0,"", ROUND(Main!N107,1))</f>
        <v/>
      </c>
      <c r="HJ3" t="str">
        <f ca="1">IF(Main!O107=0,"", ROUND(Main!O107,1))</f>
        <v/>
      </c>
      <c r="HK3" t="str">
        <f ca="1">IF(Main!P107=0,"", ROUND(Main!P107,1))</f>
        <v/>
      </c>
      <c r="HL3" t="str">
        <f>IF(ISBLANK(Main!O41),"",Main!N41)</f>
        <v/>
      </c>
      <c r="HM3" t="str">
        <f>IF(ISBLANK(Main!O41),"",Main!O41)</f>
        <v/>
      </c>
      <c r="HN3" t="str">
        <f ca="1">IF(Main!N108=0,"", ROUND(Main!N108,1))</f>
        <v/>
      </c>
      <c r="HO3" t="str">
        <f ca="1">IF(Main!O108=0,"", ROUND(Main!O108,1))</f>
        <v/>
      </c>
      <c r="HP3" t="str">
        <f ca="1">IF(Main!P108=0,"", ROUND(Main!P108,1))</f>
        <v/>
      </c>
      <c r="HQ3" t="str">
        <f>IF(ISBLANK(Main!O42),"",Main!N42)</f>
        <v/>
      </c>
      <c r="HR3" t="str">
        <f>IF(ISBLANK(Main!O42),"",Main!O42)</f>
        <v/>
      </c>
      <c r="HS3" t="str">
        <f ca="1">IF(Main!N109=0,"", ROUND(Main!N109,1))</f>
        <v/>
      </c>
      <c r="HT3" t="str">
        <f ca="1">IF(Main!O109=0,"", ROUND(Main!O109,1))</f>
        <v/>
      </c>
      <c r="HU3" t="str">
        <f ca="1">IF(Main!P109=0,"", ROUND(Main!P109,1))</f>
        <v/>
      </c>
      <c r="HV3" t="str">
        <f>IF(ISBLANK(Main!O43),"",Main!N43)</f>
        <v/>
      </c>
      <c r="HW3" t="str">
        <f>IF(ISBLANK(Main!O43),"",Main!O43)</f>
        <v/>
      </c>
      <c r="HX3" t="str">
        <f ca="1">IF(Main!N110=0,"", ROUND(Main!N110,1))</f>
        <v/>
      </c>
      <c r="HY3" t="str">
        <f ca="1">IF(Main!O110=0,"", ROUND(Main!O110,1))</f>
        <v/>
      </c>
      <c r="HZ3" t="str">
        <f ca="1">IF(Main!P110=0,"", ROUND(Main!P110,1))</f>
        <v/>
      </c>
      <c r="IA3" t="str">
        <f>IF(ISBLANK(Main!O44),"",Main!N44)</f>
        <v/>
      </c>
      <c r="IB3" t="str">
        <f>IF(ISBLANK(Main!O44),"",Main!O44)</f>
        <v/>
      </c>
      <c r="IC3" t="str">
        <f ca="1">IF(Main!N111=0,"", ROUND(Main!N111,1))</f>
        <v/>
      </c>
      <c r="ID3" t="str">
        <f ca="1">IF(Main!O111=0,"", ROUND(Main!O111,1))</f>
        <v/>
      </c>
      <c r="IE3" t="str">
        <f ca="1">IF(Main!P111=0,"", ROUND(Main!P111,1))</f>
        <v/>
      </c>
      <c r="IG3" s="205" t="s">
        <v>1656</v>
      </c>
      <c r="IH3" s="61" t="s">
        <v>1652</v>
      </c>
      <c r="II3" s="61" t="s">
        <v>1704</v>
      </c>
    </row>
  </sheetData>
  <sheetProtection selectLockedCells="1"/>
  <pageMargins left="0.7" right="0.7" top="0.75" bottom="0.75" header="0.3" footer="0.3"/>
  <pageSetup orientation="portrait" horizontalDpi="4294967293" verticalDpi="0" r:id="rId1"/>
  <customProperties>
    <customPr name="%get_maps%" r:id="rId2"/>
    <customPr name="%locator_row%" r:id="rId3"/>
    <customPr name="%put_dml_results_next_to_rows%" r:id="rId4"/>
    <customPr name="%startcell%" r:id="rId5"/>
    <customPr name="%use_names_to_identify_records%" r:id="rId6"/>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E88"/>
  <sheetViews>
    <sheetView workbookViewId="0">
      <selection activeCell="C6" sqref="C6:D6"/>
    </sheetView>
  </sheetViews>
  <sheetFormatPr defaultRowHeight="12.75" x14ac:dyDescent="0.2"/>
  <cols>
    <col min="2" max="2" width="46.5703125" customWidth="1"/>
    <col min="3" max="3" width="33.140625" customWidth="1"/>
    <col min="4" max="4" width="30" customWidth="1"/>
    <col min="5" max="5" width="29.28515625" customWidth="1"/>
  </cols>
  <sheetData>
    <row r="1" spans="1:5" x14ac:dyDescent="0.2">
      <c r="A1" s="44" t="s">
        <v>2010</v>
      </c>
    </row>
    <row r="3" spans="1:5" x14ac:dyDescent="0.2">
      <c r="B3" s="41" t="s">
        <v>1768</v>
      </c>
      <c r="C3" s="41" t="s">
        <v>2011</v>
      </c>
      <c r="D3" s="41" t="s">
        <v>2012</v>
      </c>
      <c r="E3" s="41" t="s">
        <v>2013</v>
      </c>
    </row>
    <row r="4" spans="1:5" x14ac:dyDescent="0.2">
      <c r="B4" s="44" t="s">
        <v>817</v>
      </c>
      <c r="C4" s="44" t="s">
        <v>2017</v>
      </c>
      <c r="D4" s="44" t="s">
        <v>2018</v>
      </c>
    </row>
    <row r="5" spans="1:5" x14ac:dyDescent="0.2">
      <c r="B5" s="44" t="s">
        <v>845</v>
      </c>
      <c r="C5" s="44" t="s">
        <v>2019</v>
      </c>
      <c r="D5" s="44" t="s">
        <v>2020</v>
      </c>
    </row>
    <row r="6" spans="1:5" x14ac:dyDescent="0.2">
      <c r="B6" s="44" t="s">
        <v>5695</v>
      </c>
      <c r="C6" s="44" t="s">
        <v>2152</v>
      </c>
      <c r="D6" s="44" t="s">
        <v>2072</v>
      </c>
    </row>
    <row r="7" spans="1:5" x14ac:dyDescent="0.2">
      <c r="B7" s="44" t="s">
        <v>1885</v>
      </c>
      <c r="C7" s="44" t="s">
        <v>2021</v>
      </c>
      <c r="D7" s="44" t="s">
        <v>2018</v>
      </c>
    </row>
    <row r="8" spans="1:5" x14ac:dyDescent="0.2">
      <c r="B8" s="44" t="s">
        <v>849</v>
      </c>
      <c r="C8" s="44" t="s">
        <v>2022</v>
      </c>
      <c r="D8" s="44" t="s">
        <v>2018</v>
      </c>
    </row>
    <row r="9" spans="1:5" x14ac:dyDescent="0.2">
      <c r="B9" s="44" t="s">
        <v>855</v>
      </c>
      <c r="C9" s="44" t="s">
        <v>2023</v>
      </c>
      <c r="D9" s="44" t="s">
        <v>2018</v>
      </c>
    </row>
    <row r="10" spans="1:5" x14ac:dyDescent="0.2">
      <c r="B10" s="44" t="s">
        <v>861</v>
      </c>
      <c r="C10" s="44" t="s">
        <v>2024</v>
      </c>
      <c r="D10" s="44" t="s">
        <v>2025</v>
      </c>
    </row>
    <row r="11" spans="1:5" x14ac:dyDescent="0.2">
      <c r="B11" s="44" t="s">
        <v>865</v>
      </c>
      <c r="C11" s="44" t="s">
        <v>2026</v>
      </c>
      <c r="D11" s="44" t="s">
        <v>2027</v>
      </c>
    </row>
    <row r="12" spans="1:5" x14ac:dyDescent="0.2">
      <c r="B12" s="44" t="s">
        <v>869</v>
      </c>
      <c r="C12" s="44" t="s">
        <v>2052</v>
      </c>
      <c r="D12" s="44" t="s">
        <v>2051</v>
      </c>
      <c r="E12" s="44" t="s">
        <v>2028</v>
      </c>
    </row>
    <row r="13" spans="1:5" x14ac:dyDescent="0.2">
      <c r="B13" s="44" t="s">
        <v>1888</v>
      </c>
      <c r="C13" s="44" t="s">
        <v>2029</v>
      </c>
      <c r="D13" s="44" t="s">
        <v>2030</v>
      </c>
    </row>
    <row r="14" spans="1:5" x14ac:dyDescent="0.2">
      <c r="B14" s="44" t="s">
        <v>872</v>
      </c>
      <c r="C14" s="44" t="s">
        <v>2031</v>
      </c>
      <c r="D14" s="44" t="s">
        <v>2032</v>
      </c>
    </row>
    <row r="15" spans="1:5" x14ac:dyDescent="0.2">
      <c r="B15" s="44" t="s">
        <v>884</v>
      </c>
      <c r="C15" s="44" t="s">
        <v>2033</v>
      </c>
      <c r="D15" s="44" t="s">
        <v>2034</v>
      </c>
    </row>
    <row r="16" spans="1:5" x14ac:dyDescent="0.2">
      <c r="B16" s="44" t="s">
        <v>904</v>
      </c>
      <c r="C16" s="44" t="s">
        <v>2035</v>
      </c>
      <c r="D16" s="44" t="s">
        <v>2036</v>
      </c>
    </row>
    <row r="17" spans="2:5" x14ac:dyDescent="0.2">
      <c r="B17" s="44" t="s">
        <v>910</v>
      </c>
      <c r="C17" s="44" t="s">
        <v>2037</v>
      </c>
      <c r="D17" s="44" t="s">
        <v>2038</v>
      </c>
    </row>
    <row r="18" spans="2:5" x14ac:dyDescent="0.2">
      <c r="B18" s="44" t="s">
        <v>916</v>
      </c>
      <c r="C18" s="44" t="s">
        <v>2039</v>
      </c>
      <c r="D18" s="44" t="s">
        <v>2053</v>
      </c>
      <c r="E18" s="44" t="s">
        <v>2040</v>
      </c>
    </row>
    <row r="19" spans="2:5" x14ac:dyDescent="0.2">
      <c r="B19" s="44" t="s">
        <v>919</v>
      </c>
      <c r="C19" s="44" t="s">
        <v>2041</v>
      </c>
      <c r="D19" s="44" t="s">
        <v>2018</v>
      </c>
    </row>
    <row r="20" spans="2:5" x14ac:dyDescent="0.2">
      <c r="B20" s="44" t="s">
        <v>941</v>
      </c>
      <c r="C20" s="44" t="s">
        <v>2042</v>
      </c>
      <c r="D20" s="44" t="s">
        <v>2018</v>
      </c>
    </row>
    <row r="21" spans="2:5" x14ac:dyDescent="0.2">
      <c r="B21" s="44" t="s">
        <v>960</v>
      </c>
      <c r="C21" s="44" t="s">
        <v>2043</v>
      </c>
      <c r="D21" s="44" t="s">
        <v>2027</v>
      </c>
    </row>
    <row r="22" spans="2:5" x14ac:dyDescent="0.2">
      <c r="B22" s="44" t="s">
        <v>989</v>
      </c>
      <c r="C22" s="44" t="s">
        <v>2044</v>
      </c>
      <c r="D22" s="44" t="s">
        <v>2045</v>
      </c>
    </row>
    <row r="23" spans="2:5" x14ac:dyDescent="0.2">
      <c r="B23" s="44" t="s">
        <v>335</v>
      </c>
      <c r="C23" s="44" t="s">
        <v>2046</v>
      </c>
      <c r="D23" s="44" t="s">
        <v>2018</v>
      </c>
    </row>
    <row r="24" spans="2:5" x14ac:dyDescent="0.2">
      <c r="B24" s="44" t="s">
        <v>1025</v>
      </c>
      <c r="C24" s="44" t="s">
        <v>2047</v>
      </c>
      <c r="D24" s="44" t="s">
        <v>2018</v>
      </c>
    </row>
    <row r="25" spans="2:5" x14ac:dyDescent="0.2">
      <c r="B25" s="44" t="s">
        <v>1050</v>
      </c>
      <c r="C25" s="44" t="s">
        <v>2048</v>
      </c>
      <c r="D25" s="44" t="s">
        <v>2049</v>
      </c>
    </row>
    <row r="26" spans="2:5" x14ac:dyDescent="0.2">
      <c r="B26" s="44" t="s">
        <v>1053</v>
      </c>
      <c r="C26" s="44" t="s">
        <v>2055</v>
      </c>
      <c r="D26" s="44" t="s">
        <v>2054</v>
      </c>
      <c r="E26" s="44" t="s">
        <v>2050</v>
      </c>
    </row>
    <row r="27" spans="2:5" x14ac:dyDescent="0.2">
      <c r="B27" s="44" t="s">
        <v>1061</v>
      </c>
    </row>
    <row r="28" spans="2:5" x14ac:dyDescent="0.2">
      <c r="B28" s="44" t="s">
        <v>1071</v>
      </c>
      <c r="C28" s="44" t="s">
        <v>2057</v>
      </c>
      <c r="D28" s="44" t="s">
        <v>2056</v>
      </c>
      <c r="E28" s="44" t="s">
        <v>2058</v>
      </c>
    </row>
    <row r="29" spans="2:5" x14ac:dyDescent="0.2">
      <c r="B29" s="44" t="s">
        <v>1076</v>
      </c>
      <c r="C29" s="44" t="s">
        <v>2059</v>
      </c>
      <c r="D29" s="44" t="s">
        <v>2060</v>
      </c>
    </row>
    <row r="30" spans="2:5" x14ac:dyDescent="0.2">
      <c r="B30" s="44" t="s">
        <v>2014</v>
      </c>
      <c r="C30" s="44" t="s">
        <v>2061</v>
      </c>
      <c r="D30" s="44" t="s">
        <v>2062</v>
      </c>
    </row>
    <row r="31" spans="2:5" x14ac:dyDescent="0.2">
      <c r="B31" s="44" t="s">
        <v>1095</v>
      </c>
      <c r="C31" s="44" t="s">
        <v>2063</v>
      </c>
      <c r="D31" s="44" t="s">
        <v>2064</v>
      </c>
      <c r="E31" s="44" t="s">
        <v>2065</v>
      </c>
    </row>
    <row r="32" spans="2:5" x14ac:dyDescent="0.2">
      <c r="B32" s="44" t="s">
        <v>1098</v>
      </c>
      <c r="C32" s="44" t="s">
        <v>2066</v>
      </c>
      <c r="D32" s="44" t="s">
        <v>2067</v>
      </c>
      <c r="E32" s="44" t="s">
        <v>2068</v>
      </c>
    </row>
    <row r="33" spans="2:5" x14ac:dyDescent="0.2">
      <c r="B33" s="44" t="s">
        <v>1109</v>
      </c>
      <c r="C33" s="44" t="s">
        <v>2069</v>
      </c>
      <c r="D33" s="44" t="s">
        <v>2070</v>
      </c>
    </row>
    <row r="34" spans="2:5" x14ac:dyDescent="0.2">
      <c r="B34" s="44" t="s">
        <v>1118</v>
      </c>
      <c r="C34" s="44" t="s">
        <v>2071</v>
      </c>
      <c r="D34" s="44" t="s">
        <v>2072</v>
      </c>
    </row>
    <row r="35" spans="2:5" x14ac:dyDescent="0.2">
      <c r="B35" s="44" t="s">
        <v>1125</v>
      </c>
      <c r="C35" s="44" t="s">
        <v>2073</v>
      </c>
      <c r="D35" s="44" t="s">
        <v>2074</v>
      </c>
    </row>
    <row r="36" spans="2:5" x14ac:dyDescent="0.2">
      <c r="B36" s="44" t="s">
        <v>1149</v>
      </c>
      <c r="C36" s="44" t="s">
        <v>2075</v>
      </c>
      <c r="D36" s="44" t="s">
        <v>2076</v>
      </c>
    </row>
    <row r="37" spans="2:5" x14ac:dyDescent="0.2">
      <c r="B37" s="44" t="s">
        <v>1168</v>
      </c>
      <c r="C37" s="44" t="s">
        <v>2077</v>
      </c>
      <c r="D37" s="44" t="s">
        <v>2078</v>
      </c>
    </row>
    <row r="38" spans="2:5" x14ac:dyDescent="0.2">
      <c r="B38" s="44" t="s">
        <v>5562</v>
      </c>
      <c r="C38" s="44" t="s">
        <v>5563</v>
      </c>
      <c r="D38" s="44" t="s">
        <v>5564</v>
      </c>
    </row>
    <row r="39" spans="2:5" x14ac:dyDescent="0.2">
      <c r="B39" s="44" t="s">
        <v>1173</v>
      </c>
      <c r="C39" s="44" t="s">
        <v>2079</v>
      </c>
      <c r="D39" s="44" t="s">
        <v>2025</v>
      </c>
    </row>
    <row r="40" spans="2:5" x14ac:dyDescent="0.2">
      <c r="B40" s="44" t="s">
        <v>1190</v>
      </c>
      <c r="C40" s="44" t="s">
        <v>2080</v>
      </c>
      <c r="D40" s="44" t="s">
        <v>2081</v>
      </c>
    </row>
    <row r="41" spans="2:5" x14ac:dyDescent="0.2">
      <c r="B41" s="44" t="s">
        <v>1194</v>
      </c>
      <c r="C41" s="44" t="s">
        <v>2082</v>
      </c>
      <c r="D41" s="44" t="s">
        <v>2083</v>
      </c>
      <c r="E41" s="44" t="s">
        <v>2084</v>
      </c>
    </row>
    <row r="42" spans="2:5" x14ac:dyDescent="0.2">
      <c r="B42" s="44" t="s">
        <v>1198</v>
      </c>
      <c r="C42" s="44" t="s">
        <v>2085</v>
      </c>
      <c r="D42" s="44" t="s">
        <v>2086</v>
      </c>
    </row>
    <row r="43" spans="2:5" x14ac:dyDescent="0.2">
      <c r="B43" s="44" t="s">
        <v>1202</v>
      </c>
      <c r="C43" s="44" t="s">
        <v>2087</v>
      </c>
      <c r="D43" s="44" t="s">
        <v>2088</v>
      </c>
    </row>
    <row r="44" spans="2:5" x14ac:dyDescent="0.2">
      <c r="B44" s="44" t="s">
        <v>1966</v>
      </c>
      <c r="C44" s="44" t="s">
        <v>2089</v>
      </c>
      <c r="D44" s="44" t="s">
        <v>2090</v>
      </c>
    </row>
    <row r="45" spans="2:5" x14ac:dyDescent="0.2">
      <c r="B45" s="44" t="s">
        <v>1205</v>
      </c>
      <c r="C45" s="44" t="s">
        <v>2091</v>
      </c>
      <c r="D45" s="44" t="s">
        <v>2092</v>
      </c>
    </row>
    <row r="46" spans="2:5" x14ac:dyDescent="0.2">
      <c r="B46" s="44" t="s">
        <v>1230</v>
      </c>
      <c r="C46" s="44" t="s">
        <v>2093</v>
      </c>
      <c r="D46" s="44" t="s">
        <v>2094</v>
      </c>
    </row>
    <row r="47" spans="2:5" x14ac:dyDescent="0.2">
      <c r="B47" s="44" t="s">
        <v>1236</v>
      </c>
      <c r="C47" s="44" t="s">
        <v>2095</v>
      </c>
      <c r="D47" s="44" t="s">
        <v>2096</v>
      </c>
    </row>
    <row r="48" spans="2:5" x14ac:dyDescent="0.2">
      <c r="B48" s="44" t="s">
        <v>1777</v>
      </c>
      <c r="C48" s="44" t="s">
        <v>2097</v>
      </c>
      <c r="D48" s="44" t="s">
        <v>2098</v>
      </c>
    </row>
    <row r="49" spans="2:5" x14ac:dyDescent="0.2">
      <c r="B49" s="44" t="s">
        <v>1239</v>
      </c>
      <c r="C49" s="44" t="s">
        <v>2099</v>
      </c>
      <c r="D49" s="44" t="s">
        <v>2100</v>
      </c>
    </row>
    <row r="50" spans="2:5" x14ac:dyDescent="0.2">
      <c r="B50" s="44" t="s">
        <v>1245</v>
      </c>
      <c r="C50" s="44" t="s">
        <v>2101</v>
      </c>
      <c r="D50" s="44" t="s">
        <v>2102</v>
      </c>
    </row>
    <row r="51" spans="2:5" x14ac:dyDescent="0.2">
      <c r="B51" s="44" t="s">
        <v>1249</v>
      </c>
      <c r="C51" s="44" t="s">
        <v>2103</v>
      </c>
      <c r="D51" s="44" t="s">
        <v>2104</v>
      </c>
    </row>
    <row r="52" spans="2:5" x14ac:dyDescent="0.2">
      <c r="B52" s="44" t="s">
        <v>1252</v>
      </c>
      <c r="C52" s="44" t="s">
        <v>2105</v>
      </c>
      <c r="D52" s="44" t="s">
        <v>2106</v>
      </c>
    </row>
    <row r="53" spans="2:5" x14ac:dyDescent="0.2">
      <c r="B53" s="44" t="s">
        <v>1862</v>
      </c>
      <c r="C53" s="44" t="s">
        <v>2107</v>
      </c>
      <c r="D53" s="44" t="s">
        <v>2018</v>
      </c>
    </row>
    <row r="54" spans="2:5" x14ac:dyDescent="0.2">
      <c r="B54" s="44" t="s">
        <v>1257</v>
      </c>
      <c r="C54" s="44" t="s">
        <v>2108</v>
      </c>
      <c r="D54" s="44" t="s">
        <v>2018</v>
      </c>
    </row>
    <row r="55" spans="2:5" x14ac:dyDescent="0.2">
      <c r="B55" s="44" t="s">
        <v>1283</v>
      </c>
      <c r="C55" s="44" t="s">
        <v>2109</v>
      </c>
      <c r="D55" s="44" t="s">
        <v>2025</v>
      </c>
    </row>
    <row r="56" spans="2:5" x14ac:dyDescent="0.2">
      <c r="B56" s="44" t="s">
        <v>1287</v>
      </c>
      <c r="C56" s="44" t="s">
        <v>2110</v>
      </c>
      <c r="D56" s="44" t="s">
        <v>2111</v>
      </c>
    </row>
    <row r="57" spans="2:5" x14ac:dyDescent="0.2">
      <c r="B57" s="44" t="s">
        <v>1908</v>
      </c>
      <c r="C57" s="44" t="s">
        <v>2112</v>
      </c>
      <c r="D57" s="44" t="s">
        <v>2018</v>
      </c>
    </row>
    <row r="58" spans="2:5" x14ac:dyDescent="0.2">
      <c r="B58" s="44" t="s">
        <v>1296</v>
      </c>
      <c r="C58" s="44" t="s">
        <v>2113</v>
      </c>
      <c r="D58" s="44" t="s">
        <v>2114</v>
      </c>
    </row>
    <row r="59" spans="2:5" x14ac:dyDescent="0.2">
      <c r="B59" s="44" t="s">
        <v>2015</v>
      </c>
      <c r="C59" s="44" t="s">
        <v>2115</v>
      </c>
      <c r="D59" s="44" t="s">
        <v>2116</v>
      </c>
    </row>
    <row r="60" spans="2:5" x14ac:dyDescent="0.2">
      <c r="B60" s="44" t="s">
        <v>3085</v>
      </c>
      <c r="C60" s="44" t="s">
        <v>2117</v>
      </c>
      <c r="D60" s="44" t="s">
        <v>2060</v>
      </c>
    </row>
    <row r="61" spans="2:5" x14ac:dyDescent="0.2">
      <c r="B61" s="44" t="s">
        <v>1341</v>
      </c>
      <c r="C61" s="44" t="s">
        <v>2118</v>
      </c>
      <c r="D61" s="44" t="s">
        <v>2119</v>
      </c>
      <c r="E61" s="44" t="s">
        <v>2120</v>
      </c>
    </row>
    <row r="62" spans="2:5" x14ac:dyDescent="0.2">
      <c r="B62" s="44" t="s">
        <v>1781</v>
      </c>
      <c r="C62" s="44" t="s">
        <v>2121</v>
      </c>
      <c r="D62" s="44" t="s">
        <v>2027</v>
      </c>
    </row>
    <row r="63" spans="2:5" x14ac:dyDescent="0.2">
      <c r="B63" s="44" t="s">
        <v>1346</v>
      </c>
      <c r="C63" s="44" t="s">
        <v>2122</v>
      </c>
      <c r="D63" s="44" t="s">
        <v>2123</v>
      </c>
    </row>
    <row r="64" spans="2:5" x14ac:dyDescent="0.2">
      <c r="B64" s="44" t="s">
        <v>1351</v>
      </c>
      <c r="C64" s="44" t="s">
        <v>2124</v>
      </c>
      <c r="D64" s="44" t="s">
        <v>2018</v>
      </c>
    </row>
    <row r="65" spans="2:5" x14ac:dyDescent="0.2">
      <c r="B65" s="44" t="s">
        <v>1381</v>
      </c>
      <c r="C65" s="44" t="s">
        <v>2125</v>
      </c>
      <c r="D65" s="44" t="s">
        <v>2038</v>
      </c>
    </row>
    <row r="66" spans="2:5" x14ac:dyDescent="0.2">
      <c r="B66" s="44" t="s">
        <v>1387</v>
      </c>
      <c r="C66" s="44" t="s">
        <v>2126</v>
      </c>
      <c r="D66" s="44" t="s">
        <v>2027</v>
      </c>
    </row>
    <row r="67" spans="2:5" x14ac:dyDescent="0.2">
      <c r="B67" s="44" t="s">
        <v>1391</v>
      </c>
      <c r="C67" s="44" t="s">
        <v>2127</v>
      </c>
      <c r="D67" s="44" t="s">
        <v>2025</v>
      </c>
    </row>
    <row r="68" spans="2:5" x14ac:dyDescent="0.2">
      <c r="B68" s="44" t="s">
        <v>1405</v>
      </c>
      <c r="C68" s="44" t="s">
        <v>2128</v>
      </c>
      <c r="D68" s="44" t="s">
        <v>2129</v>
      </c>
    </row>
    <row r="69" spans="2:5" x14ac:dyDescent="0.2">
      <c r="B69" s="44" t="s">
        <v>1982</v>
      </c>
      <c r="C69" s="44" t="s">
        <v>2130</v>
      </c>
      <c r="D69" s="44" t="s">
        <v>2081</v>
      </c>
    </row>
    <row r="70" spans="2:5" x14ac:dyDescent="0.2">
      <c r="B70" s="44" t="s">
        <v>1983</v>
      </c>
      <c r="C70" s="44" t="s">
        <v>2131</v>
      </c>
      <c r="D70" s="44" t="s">
        <v>2132</v>
      </c>
    </row>
    <row r="71" spans="2:5" x14ac:dyDescent="0.2">
      <c r="B71" s="44" t="s">
        <v>1747</v>
      </c>
      <c r="C71" s="44" t="s">
        <v>2133</v>
      </c>
      <c r="D71" s="44" t="s">
        <v>2134</v>
      </c>
    </row>
    <row r="72" spans="2:5" x14ac:dyDescent="0.2">
      <c r="B72" s="44" t="s">
        <v>1418</v>
      </c>
      <c r="C72" s="44" t="s">
        <v>2135</v>
      </c>
      <c r="D72" s="44" t="s">
        <v>2136</v>
      </c>
      <c r="E72" s="44" t="s">
        <v>2072</v>
      </c>
    </row>
    <row r="73" spans="2:5" x14ac:dyDescent="0.2">
      <c r="B73" s="44" t="s">
        <v>1787</v>
      </c>
      <c r="C73" s="44" t="s">
        <v>2137</v>
      </c>
      <c r="D73" s="44" t="s">
        <v>2018</v>
      </c>
    </row>
    <row r="74" spans="2:5" x14ac:dyDescent="0.2">
      <c r="B74" s="44" t="s">
        <v>1424</v>
      </c>
      <c r="C74" s="44" t="s">
        <v>2138</v>
      </c>
      <c r="D74" s="44" t="s">
        <v>2018</v>
      </c>
    </row>
    <row r="75" spans="2:5" x14ac:dyDescent="0.2">
      <c r="B75" s="44" t="s">
        <v>1434</v>
      </c>
      <c r="C75" s="44" t="s">
        <v>2139</v>
      </c>
      <c r="D75" s="44" t="s">
        <v>2140</v>
      </c>
    </row>
    <row r="76" spans="2:5" x14ac:dyDescent="0.2">
      <c r="B76" s="44" t="s">
        <v>1447</v>
      </c>
      <c r="C76" s="44" t="s">
        <v>2141</v>
      </c>
      <c r="D76" s="44" t="s">
        <v>2038</v>
      </c>
    </row>
    <row r="77" spans="2:5" x14ac:dyDescent="0.2">
      <c r="B77" s="44" t="s">
        <v>1451</v>
      </c>
      <c r="C77" s="44" t="s">
        <v>2142</v>
      </c>
      <c r="D77" s="44" t="s">
        <v>2143</v>
      </c>
    </row>
    <row r="78" spans="2:5" x14ac:dyDescent="0.2">
      <c r="B78" s="44" t="s">
        <v>1459</v>
      </c>
      <c r="C78" s="44" t="s">
        <v>2144</v>
      </c>
      <c r="D78" s="44" t="s">
        <v>2027</v>
      </c>
    </row>
    <row r="79" spans="2:5" x14ac:dyDescent="0.2">
      <c r="B79" s="44" t="s">
        <v>1496</v>
      </c>
      <c r="C79" s="44" t="s">
        <v>2145</v>
      </c>
      <c r="D79" s="44" t="s">
        <v>2027</v>
      </c>
    </row>
    <row r="80" spans="2:5" x14ac:dyDescent="0.2">
      <c r="B80" s="44" t="s">
        <v>1833</v>
      </c>
      <c r="C80" s="44" t="s">
        <v>2146</v>
      </c>
      <c r="D80" s="44" t="s">
        <v>2147</v>
      </c>
      <c r="E80" s="44" t="s">
        <v>2058</v>
      </c>
    </row>
    <row r="81" spans="2:4" x14ac:dyDescent="0.2">
      <c r="B81" s="44" t="s">
        <v>2016</v>
      </c>
      <c r="C81" s="44" t="s">
        <v>2148</v>
      </c>
      <c r="D81" s="44" t="s">
        <v>2149</v>
      </c>
    </row>
    <row r="82" spans="2:4" x14ac:dyDescent="0.2">
      <c r="B82" s="44" t="s">
        <v>1557</v>
      </c>
      <c r="C82" s="44" t="s">
        <v>2150</v>
      </c>
      <c r="D82" s="44" t="s">
        <v>2151</v>
      </c>
    </row>
    <row r="83" spans="2:4" x14ac:dyDescent="0.2">
      <c r="B83" s="44" t="s">
        <v>1795</v>
      </c>
    </row>
    <row r="84" spans="2:4" x14ac:dyDescent="0.2">
      <c r="B84" s="44" t="s">
        <v>1565</v>
      </c>
      <c r="C84" s="44" t="s">
        <v>2152</v>
      </c>
      <c r="D84" s="44" t="s">
        <v>2072</v>
      </c>
    </row>
    <row r="85" spans="2:4" x14ac:dyDescent="0.2">
      <c r="B85" s="44" t="s">
        <v>1589</v>
      </c>
      <c r="C85" s="44" t="s">
        <v>2153</v>
      </c>
      <c r="D85" s="44" t="s">
        <v>2154</v>
      </c>
    </row>
    <row r="86" spans="2:4" x14ac:dyDescent="0.2">
      <c r="B86" s="44" t="s">
        <v>1623</v>
      </c>
      <c r="C86" s="44" t="s">
        <v>2155</v>
      </c>
      <c r="D86" s="44" t="s">
        <v>2156</v>
      </c>
    </row>
    <row r="87" spans="2:4" x14ac:dyDescent="0.2">
      <c r="B87" s="44" t="s">
        <v>1846</v>
      </c>
      <c r="C87" s="44" t="s">
        <v>2157</v>
      </c>
      <c r="D87" s="44" t="s">
        <v>2038</v>
      </c>
    </row>
    <row r="88" spans="2:4" x14ac:dyDescent="0.2">
      <c r="B88" s="44" t="s">
        <v>1627</v>
      </c>
      <c r="C88" s="44" t="s">
        <v>2158</v>
      </c>
      <c r="D88" s="44" t="s">
        <v>2027</v>
      </c>
    </row>
  </sheetData>
  <pageMargins left="0.7" right="0.7" top="0.75" bottom="0.75" header="0.3" footer="0.3"/>
  <pageSetup paperSize="0" orientation="portrait" horizontalDpi="0" verticalDpi="0" copies="0" r:id="rId1"/>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G76" sqref="G76"/>
    </sheetView>
  </sheetViews>
  <sheetFormatPr defaultRowHeight="12.75" x14ac:dyDescent="0.2"/>
  <cols>
    <col min="1" max="1" width="21" style="108" customWidth="1"/>
    <col min="3" max="3" width="23.85546875" customWidth="1"/>
    <col min="4" max="4" width="10.7109375" style="103" customWidth="1"/>
    <col min="5" max="5" width="142.28515625" bestFit="1" customWidth="1"/>
    <col min="6" max="6" width="18" customWidth="1"/>
    <col min="7" max="7" width="15" customWidth="1"/>
  </cols>
  <sheetData>
    <row r="1" spans="1:10" x14ac:dyDescent="0.2">
      <c r="E1" s="1" t="s">
        <v>138</v>
      </c>
    </row>
    <row r="3" spans="1:10" x14ac:dyDescent="0.2">
      <c r="A3" s="109" t="s">
        <v>139</v>
      </c>
      <c r="B3" s="41"/>
      <c r="C3" s="41" t="s">
        <v>140</v>
      </c>
      <c r="D3" s="105" t="s">
        <v>41</v>
      </c>
      <c r="E3" s="41" t="s">
        <v>146</v>
      </c>
      <c r="F3" s="41" t="s">
        <v>147</v>
      </c>
      <c r="G3" s="41" t="s">
        <v>148</v>
      </c>
      <c r="H3" s="41"/>
      <c r="I3" s="41"/>
      <c r="J3" s="41"/>
    </row>
    <row r="4" spans="1:10" x14ac:dyDescent="0.2">
      <c r="A4" s="108" t="s">
        <v>141</v>
      </c>
      <c r="C4" t="s">
        <v>111</v>
      </c>
      <c r="D4" s="104">
        <v>41414</v>
      </c>
      <c r="E4" t="s">
        <v>151</v>
      </c>
      <c r="F4" t="s">
        <v>144</v>
      </c>
      <c r="G4" t="s">
        <v>145</v>
      </c>
    </row>
    <row r="5" spans="1:10" x14ac:dyDescent="0.2">
      <c r="C5" t="s">
        <v>142</v>
      </c>
      <c r="D5" s="104"/>
      <c r="E5" t="s">
        <v>143</v>
      </c>
    </row>
    <row r="6" spans="1:10" x14ac:dyDescent="0.2">
      <c r="D6" s="104"/>
      <c r="E6" t="s">
        <v>150</v>
      </c>
    </row>
    <row r="7" spans="1:10" x14ac:dyDescent="0.2">
      <c r="A7" s="108" t="s">
        <v>153</v>
      </c>
      <c r="C7" t="s">
        <v>142</v>
      </c>
      <c r="D7" s="104">
        <v>41424</v>
      </c>
      <c r="E7" t="s">
        <v>154</v>
      </c>
      <c r="F7" t="s">
        <v>144</v>
      </c>
      <c r="G7" t="s">
        <v>155</v>
      </c>
    </row>
    <row r="8" spans="1:10" x14ac:dyDescent="0.2">
      <c r="A8" s="108" t="s">
        <v>156</v>
      </c>
      <c r="C8" t="s">
        <v>157</v>
      </c>
      <c r="D8" s="104">
        <v>41429</v>
      </c>
      <c r="E8" t="s">
        <v>158</v>
      </c>
      <c r="F8" t="s">
        <v>159</v>
      </c>
      <c r="G8" t="s">
        <v>159</v>
      </c>
    </row>
    <row r="9" spans="1:10" x14ac:dyDescent="0.2">
      <c r="A9" s="108" t="s">
        <v>160</v>
      </c>
      <c r="C9" t="s">
        <v>161</v>
      </c>
      <c r="D9" s="104">
        <v>41522</v>
      </c>
      <c r="E9" t="s">
        <v>162</v>
      </c>
      <c r="F9" t="s">
        <v>155</v>
      </c>
      <c r="G9" t="s">
        <v>155</v>
      </c>
    </row>
    <row r="10" spans="1:10" x14ac:dyDescent="0.2">
      <c r="A10" s="108">
        <v>13</v>
      </c>
      <c r="C10" t="s">
        <v>163</v>
      </c>
      <c r="D10" s="104">
        <v>41589</v>
      </c>
      <c r="E10" t="s">
        <v>164</v>
      </c>
      <c r="F10" t="s">
        <v>155</v>
      </c>
      <c r="G10" t="s">
        <v>155</v>
      </c>
    </row>
    <row r="11" spans="1:10" x14ac:dyDescent="0.2">
      <c r="A11" s="108" t="s">
        <v>167</v>
      </c>
      <c r="C11" t="s">
        <v>142</v>
      </c>
      <c r="D11" s="104">
        <v>41612</v>
      </c>
      <c r="E11" t="s">
        <v>168</v>
      </c>
      <c r="F11" t="s">
        <v>155</v>
      </c>
      <c r="G11" t="s">
        <v>159</v>
      </c>
    </row>
    <row r="12" spans="1:10" x14ac:dyDescent="0.2">
      <c r="A12" s="108" t="s">
        <v>170</v>
      </c>
      <c r="C12" t="s">
        <v>172</v>
      </c>
      <c r="D12" s="104"/>
      <c r="E12" t="s">
        <v>173</v>
      </c>
      <c r="F12" t="s">
        <v>174</v>
      </c>
      <c r="G12" t="s">
        <v>175</v>
      </c>
    </row>
    <row r="13" spans="1:10" x14ac:dyDescent="0.2">
      <c r="A13" s="108" t="s">
        <v>171</v>
      </c>
      <c r="C13" t="s">
        <v>172</v>
      </c>
      <c r="D13" s="104"/>
      <c r="E13" t="s">
        <v>179</v>
      </c>
      <c r="F13" t="s">
        <v>144</v>
      </c>
      <c r="G13" t="s">
        <v>178</v>
      </c>
    </row>
    <row r="14" spans="1:10" x14ac:dyDescent="0.2">
      <c r="A14" s="108" t="s">
        <v>176</v>
      </c>
      <c r="C14" t="s">
        <v>172</v>
      </c>
      <c r="D14" s="104">
        <v>41303</v>
      </c>
      <c r="E14" t="s">
        <v>177</v>
      </c>
      <c r="F14" t="s">
        <v>155</v>
      </c>
      <c r="G14" t="s">
        <v>155</v>
      </c>
    </row>
    <row r="15" spans="1:10" x14ac:dyDescent="0.2">
      <c r="A15" s="108">
        <v>14</v>
      </c>
      <c r="C15" t="s">
        <v>172</v>
      </c>
      <c r="D15" s="104">
        <v>41717</v>
      </c>
      <c r="E15" t="s">
        <v>180</v>
      </c>
      <c r="F15" t="s">
        <v>155</v>
      </c>
      <c r="G15" t="s">
        <v>155</v>
      </c>
    </row>
    <row r="16" spans="1:10" x14ac:dyDescent="0.2">
      <c r="C16" t="s">
        <v>172</v>
      </c>
      <c r="D16" s="104">
        <v>41717</v>
      </c>
      <c r="E16" t="s">
        <v>181</v>
      </c>
      <c r="F16" t="s">
        <v>155</v>
      </c>
      <c r="G16" t="s">
        <v>155</v>
      </c>
    </row>
    <row r="17" spans="1:7" x14ac:dyDescent="0.2">
      <c r="C17" t="s">
        <v>142</v>
      </c>
      <c r="D17" s="104">
        <v>41717</v>
      </c>
      <c r="E17" t="s">
        <v>183</v>
      </c>
      <c r="F17" t="s">
        <v>155</v>
      </c>
      <c r="G17" t="s">
        <v>155</v>
      </c>
    </row>
    <row r="18" spans="1:7" x14ac:dyDescent="0.2">
      <c r="A18" s="108" t="s">
        <v>184</v>
      </c>
      <c r="C18" t="s">
        <v>172</v>
      </c>
      <c r="D18" s="104">
        <v>41773</v>
      </c>
      <c r="E18" t="s">
        <v>181</v>
      </c>
      <c r="F18" t="s">
        <v>155</v>
      </c>
      <c r="G18" t="s">
        <v>155</v>
      </c>
    </row>
    <row r="19" spans="1:7" x14ac:dyDescent="0.2">
      <c r="C19" t="s">
        <v>185</v>
      </c>
      <c r="D19" s="104">
        <v>41773</v>
      </c>
      <c r="E19" t="s">
        <v>186</v>
      </c>
      <c r="F19" t="s">
        <v>155</v>
      </c>
      <c r="G19" t="s">
        <v>155</v>
      </c>
    </row>
    <row r="20" spans="1:7" x14ac:dyDescent="0.2">
      <c r="C20" t="s">
        <v>172</v>
      </c>
      <c r="D20" s="104">
        <v>41773</v>
      </c>
      <c r="E20" t="s">
        <v>187</v>
      </c>
      <c r="F20" t="s">
        <v>155</v>
      </c>
      <c r="G20" t="s">
        <v>155</v>
      </c>
    </row>
    <row r="21" spans="1:7" x14ac:dyDescent="0.2">
      <c r="A21" s="108">
        <v>15</v>
      </c>
      <c r="C21" t="s">
        <v>172</v>
      </c>
      <c r="D21" s="104">
        <v>41808</v>
      </c>
      <c r="E21" t="s">
        <v>188</v>
      </c>
      <c r="F21" t="s">
        <v>155</v>
      </c>
      <c r="G21" t="s">
        <v>155</v>
      </c>
    </row>
    <row r="22" spans="1:7" x14ac:dyDescent="0.2">
      <c r="A22" s="123">
        <v>42076</v>
      </c>
      <c r="C22" t="s">
        <v>189</v>
      </c>
      <c r="D22" s="104">
        <v>42076</v>
      </c>
      <c r="E22" t="s">
        <v>212</v>
      </c>
      <c r="F22" t="s">
        <v>213</v>
      </c>
    </row>
    <row r="23" spans="1:7" x14ac:dyDescent="0.2">
      <c r="A23" s="108" t="s">
        <v>214</v>
      </c>
      <c r="C23" t="s">
        <v>189</v>
      </c>
      <c r="D23" s="104">
        <v>42216</v>
      </c>
      <c r="E23" t="s">
        <v>210</v>
      </c>
      <c r="F23" t="s">
        <v>144</v>
      </c>
      <c r="G23" t="s">
        <v>145</v>
      </c>
    </row>
    <row r="24" spans="1:7" x14ac:dyDescent="0.2">
      <c r="A24" s="108" t="s">
        <v>226</v>
      </c>
      <c r="C24" t="s">
        <v>189</v>
      </c>
      <c r="D24" s="104">
        <v>42286</v>
      </c>
      <c r="E24" t="s">
        <v>227</v>
      </c>
      <c r="F24" t="s">
        <v>144</v>
      </c>
      <c r="G24" t="s">
        <v>228</v>
      </c>
    </row>
    <row r="25" spans="1:7" x14ac:dyDescent="0.2">
      <c r="A25" s="108" t="s">
        <v>230</v>
      </c>
      <c r="C25" t="s">
        <v>189</v>
      </c>
      <c r="D25" s="104">
        <v>42306</v>
      </c>
      <c r="E25" t="s">
        <v>231</v>
      </c>
      <c r="F25" t="s">
        <v>144</v>
      </c>
      <c r="G25" t="s">
        <v>155</v>
      </c>
    </row>
    <row r="26" spans="1:7" x14ac:dyDescent="0.2">
      <c r="A26" s="143" t="s">
        <v>236</v>
      </c>
      <c r="C26" s="44" t="s">
        <v>172</v>
      </c>
      <c r="D26" s="104">
        <v>42311</v>
      </c>
      <c r="E26" s="44" t="s">
        <v>237</v>
      </c>
      <c r="F26" s="44" t="s">
        <v>213</v>
      </c>
      <c r="G26" s="44" t="s">
        <v>228</v>
      </c>
    </row>
    <row r="27" spans="1:7" x14ac:dyDescent="0.2">
      <c r="A27" s="143" t="s">
        <v>244</v>
      </c>
      <c r="C27" s="44" t="s">
        <v>245</v>
      </c>
      <c r="D27" s="104">
        <v>42360</v>
      </c>
      <c r="E27" s="44" t="s">
        <v>246</v>
      </c>
      <c r="F27" s="44" t="s">
        <v>144</v>
      </c>
      <c r="G27" s="44" t="s">
        <v>155</v>
      </c>
    </row>
    <row r="28" spans="1:7" x14ac:dyDescent="0.2">
      <c r="A28" s="143" t="s">
        <v>247</v>
      </c>
      <c r="C28" s="44" t="s">
        <v>245</v>
      </c>
      <c r="D28" s="104">
        <v>42373</v>
      </c>
      <c r="E28" s="44" t="s">
        <v>248</v>
      </c>
      <c r="F28" s="44" t="s">
        <v>144</v>
      </c>
      <c r="G28" s="44" t="s">
        <v>155</v>
      </c>
    </row>
    <row r="29" spans="1:7" x14ac:dyDescent="0.2">
      <c r="A29" s="143" t="s">
        <v>259</v>
      </c>
      <c r="C29" s="44" t="s">
        <v>185</v>
      </c>
      <c r="D29" s="104">
        <v>42395</v>
      </c>
      <c r="E29" s="44" t="s">
        <v>260</v>
      </c>
      <c r="F29" s="44" t="s">
        <v>144</v>
      </c>
      <c r="G29" s="44" t="s">
        <v>261</v>
      </c>
    </row>
    <row r="30" spans="1:7" x14ac:dyDescent="0.2">
      <c r="A30" s="143" t="s">
        <v>263</v>
      </c>
      <c r="C30" s="44" t="s">
        <v>264</v>
      </c>
      <c r="D30" s="104">
        <v>42395</v>
      </c>
      <c r="E30" s="44" t="s">
        <v>265</v>
      </c>
      <c r="F30" s="44" t="s">
        <v>144</v>
      </c>
      <c r="G30" s="44" t="s">
        <v>261</v>
      </c>
    </row>
    <row r="31" spans="1:7" x14ac:dyDescent="0.2">
      <c r="A31" s="143" t="s">
        <v>266</v>
      </c>
      <c r="C31" s="44" t="s">
        <v>267</v>
      </c>
      <c r="D31" s="104">
        <v>42395</v>
      </c>
      <c r="E31" s="44" t="s">
        <v>268</v>
      </c>
      <c r="F31" s="44" t="s">
        <v>213</v>
      </c>
      <c r="G31" s="44" t="s">
        <v>155</v>
      </c>
    </row>
    <row r="32" spans="1:7" x14ac:dyDescent="0.2">
      <c r="A32" s="143" t="s">
        <v>269</v>
      </c>
      <c r="C32" s="44" t="s">
        <v>270</v>
      </c>
      <c r="D32" s="104">
        <v>42404</v>
      </c>
      <c r="E32" s="44" t="s">
        <v>271</v>
      </c>
      <c r="F32" s="44" t="s">
        <v>144</v>
      </c>
      <c r="G32" s="44" t="s">
        <v>155</v>
      </c>
    </row>
    <row r="33" spans="1:7" x14ac:dyDescent="0.2">
      <c r="A33" s="143" t="s">
        <v>272</v>
      </c>
      <c r="C33" s="44" t="s">
        <v>270</v>
      </c>
      <c r="D33" s="104">
        <v>42409</v>
      </c>
      <c r="E33" s="44" t="s">
        <v>273</v>
      </c>
      <c r="F33" s="44" t="s">
        <v>144</v>
      </c>
      <c r="G33" s="44" t="s">
        <v>155</v>
      </c>
    </row>
    <row r="34" spans="1:7" x14ac:dyDescent="0.2">
      <c r="A34" s="143" t="s">
        <v>275</v>
      </c>
      <c r="C34" s="44" t="s">
        <v>274</v>
      </c>
      <c r="D34" s="104">
        <v>42417</v>
      </c>
      <c r="E34" s="44" t="s">
        <v>276</v>
      </c>
      <c r="F34" s="44" t="s">
        <v>213</v>
      </c>
      <c r="G34" s="44" t="s">
        <v>155</v>
      </c>
    </row>
    <row r="35" spans="1:7" x14ac:dyDescent="0.2">
      <c r="A35" s="108" t="s">
        <v>277</v>
      </c>
      <c r="C35" s="44" t="s">
        <v>267</v>
      </c>
      <c r="D35" s="104">
        <v>42418</v>
      </c>
      <c r="E35" s="44" t="s">
        <v>278</v>
      </c>
      <c r="F35" s="44" t="s">
        <v>144</v>
      </c>
      <c r="G35" s="44" t="s">
        <v>144</v>
      </c>
    </row>
    <row r="36" spans="1:7" x14ac:dyDescent="0.2">
      <c r="A36" s="143" t="s">
        <v>279</v>
      </c>
      <c r="C36" s="44" t="s">
        <v>270</v>
      </c>
      <c r="D36" s="104">
        <v>42430</v>
      </c>
      <c r="E36" s="44" t="s">
        <v>280</v>
      </c>
      <c r="F36" s="44" t="s">
        <v>144</v>
      </c>
      <c r="G36" s="44" t="s">
        <v>281</v>
      </c>
    </row>
    <row r="37" spans="1:7" x14ac:dyDescent="0.2">
      <c r="A37" s="143" t="s">
        <v>287</v>
      </c>
      <c r="C37" s="44" t="s">
        <v>282</v>
      </c>
      <c r="D37" s="104">
        <v>42432</v>
      </c>
      <c r="E37" s="44" t="s">
        <v>283</v>
      </c>
      <c r="F37" s="44" t="s">
        <v>144</v>
      </c>
      <c r="G37" s="44" t="s">
        <v>175</v>
      </c>
    </row>
    <row r="38" spans="1:7" x14ac:dyDescent="0.2">
      <c r="A38" s="143" t="s">
        <v>284</v>
      </c>
      <c r="C38" s="44" t="s">
        <v>270</v>
      </c>
      <c r="D38" s="104">
        <v>42433</v>
      </c>
      <c r="E38" s="44" t="s">
        <v>285</v>
      </c>
      <c r="F38" s="44" t="s">
        <v>144</v>
      </c>
      <c r="G38" s="44" t="s">
        <v>286</v>
      </c>
    </row>
    <row r="39" spans="1:7" x14ac:dyDescent="0.2">
      <c r="A39" s="143" t="s">
        <v>292</v>
      </c>
      <c r="C39" s="44" t="s">
        <v>172</v>
      </c>
      <c r="D39" s="104">
        <v>42447</v>
      </c>
      <c r="E39" s="44" t="s">
        <v>293</v>
      </c>
      <c r="F39" s="44" t="s">
        <v>144</v>
      </c>
      <c r="G39" s="44" t="s">
        <v>144</v>
      </c>
    </row>
    <row r="40" spans="1:7" x14ac:dyDescent="0.2">
      <c r="A40" s="143" t="s">
        <v>296</v>
      </c>
      <c r="C40" s="44" t="s">
        <v>294</v>
      </c>
      <c r="D40" s="104">
        <v>42451</v>
      </c>
      <c r="E40" s="44" t="s">
        <v>297</v>
      </c>
      <c r="F40" s="44" t="s">
        <v>144</v>
      </c>
      <c r="G40" s="44" t="s">
        <v>261</v>
      </c>
    </row>
    <row r="41" spans="1:7" x14ac:dyDescent="0.2">
      <c r="A41" s="108" t="s">
        <v>298</v>
      </c>
      <c r="C41" s="44" t="s">
        <v>270</v>
      </c>
      <c r="D41" s="104">
        <v>42457</v>
      </c>
      <c r="E41" s="44" t="s">
        <v>299</v>
      </c>
      <c r="F41" s="44" t="s">
        <v>144</v>
      </c>
      <c r="G41" s="44" t="s">
        <v>155</v>
      </c>
    </row>
    <row r="42" spans="1:7" x14ac:dyDescent="0.2">
      <c r="A42" s="143" t="s">
        <v>304</v>
      </c>
      <c r="C42" s="44" t="s">
        <v>305</v>
      </c>
      <c r="D42" s="104">
        <v>42473</v>
      </c>
      <c r="E42" s="44" t="s">
        <v>306</v>
      </c>
      <c r="F42" s="44" t="s">
        <v>261</v>
      </c>
      <c r="G42" s="44" t="s">
        <v>261</v>
      </c>
    </row>
    <row r="43" spans="1:7" x14ac:dyDescent="0.2">
      <c r="A43" s="143" t="s">
        <v>307</v>
      </c>
      <c r="C43" s="44" t="s">
        <v>270</v>
      </c>
      <c r="D43" s="104">
        <v>42474</v>
      </c>
      <c r="E43" s="44" t="s">
        <v>308</v>
      </c>
      <c r="F43" s="44" t="s">
        <v>144</v>
      </c>
      <c r="G43" s="44" t="s">
        <v>261</v>
      </c>
    </row>
    <row r="44" spans="1:7" x14ac:dyDescent="0.2">
      <c r="A44" s="143" t="s">
        <v>309</v>
      </c>
      <c r="C44" s="44" t="s">
        <v>267</v>
      </c>
      <c r="D44" s="104">
        <v>42475</v>
      </c>
      <c r="E44" s="44" t="s">
        <v>310</v>
      </c>
      <c r="F44" s="44" t="s">
        <v>144</v>
      </c>
      <c r="G44" s="44" t="s">
        <v>155</v>
      </c>
    </row>
    <row r="45" spans="1:7" x14ac:dyDescent="0.2">
      <c r="A45" s="143" t="s">
        <v>311</v>
      </c>
      <c r="C45" s="44" t="s">
        <v>267</v>
      </c>
      <c r="D45" s="104">
        <v>42479</v>
      </c>
      <c r="E45" s="44" t="s">
        <v>312</v>
      </c>
      <c r="F45" s="44" t="s">
        <v>144</v>
      </c>
      <c r="G45" s="44" t="s">
        <v>155</v>
      </c>
    </row>
    <row r="46" spans="1:7" x14ac:dyDescent="0.2">
      <c r="A46" s="143" t="s">
        <v>313</v>
      </c>
      <c r="C46" s="44" t="s">
        <v>270</v>
      </c>
      <c r="D46" s="104">
        <v>42481</v>
      </c>
      <c r="E46" s="44" t="s">
        <v>314</v>
      </c>
      <c r="F46" s="44" t="s">
        <v>144</v>
      </c>
      <c r="G46" s="44" t="s">
        <v>155</v>
      </c>
    </row>
    <row r="47" spans="1:7" x14ac:dyDescent="0.2">
      <c r="A47" s="143" t="s">
        <v>315</v>
      </c>
      <c r="C47" s="44" t="s">
        <v>270</v>
      </c>
      <c r="D47" s="104">
        <v>42482</v>
      </c>
      <c r="E47" s="44" t="s">
        <v>316</v>
      </c>
      <c r="F47" s="44" t="s">
        <v>144</v>
      </c>
      <c r="G47" s="44" t="s">
        <v>317</v>
      </c>
    </row>
    <row r="48" spans="1:7" x14ac:dyDescent="0.2">
      <c r="A48" s="143" t="s">
        <v>318</v>
      </c>
      <c r="C48" s="44" t="s">
        <v>319</v>
      </c>
      <c r="D48" s="104">
        <v>42571</v>
      </c>
      <c r="E48" s="44" t="s">
        <v>320</v>
      </c>
      <c r="F48" s="44" t="s">
        <v>144</v>
      </c>
      <c r="G48" s="44" t="s">
        <v>261</v>
      </c>
    </row>
    <row r="49" spans="1:7" x14ac:dyDescent="0.2">
      <c r="A49" s="143" t="s">
        <v>321</v>
      </c>
      <c r="C49" s="44" t="s">
        <v>322</v>
      </c>
      <c r="D49" s="104">
        <v>42579</v>
      </c>
      <c r="E49" s="44" t="s">
        <v>323</v>
      </c>
      <c r="F49" s="44" t="s">
        <v>144</v>
      </c>
      <c r="G49" s="44" t="s">
        <v>155</v>
      </c>
    </row>
    <row r="50" spans="1:7" x14ac:dyDescent="0.2">
      <c r="A50" s="143" t="s">
        <v>324</v>
      </c>
      <c r="C50" s="44" t="s">
        <v>157</v>
      </c>
      <c r="D50" s="104">
        <v>42627</v>
      </c>
      <c r="E50" s="44" t="s">
        <v>325</v>
      </c>
      <c r="F50" s="44" t="s">
        <v>144</v>
      </c>
      <c r="G50" s="44" t="s">
        <v>261</v>
      </c>
    </row>
    <row r="51" spans="1:7" x14ac:dyDescent="0.2">
      <c r="A51" s="143" t="s">
        <v>326</v>
      </c>
      <c r="C51" s="44" t="s">
        <v>172</v>
      </c>
      <c r="D51" s="104">
        <v>42670</v>
      </c>
      <c r="E51" s="44" t="s">
        <v>327</v>
      </c>
      <c r="F51" s="44" t="s">
        <v>155</v>
      </c>
      <c r="G51" s="44" t="s">
        <v>155</v>
      </c>
    </row>
    <row r="52" spans="1:7" x14ac:dyDescent="0.2">
      <c r="A52" s="143" t="s">
        <v>328</v>
      </c>
      <c r="C52" s="44" t="s">
        <v>329</v>
      </c>
      <c r="D52" s="104">
        <v>42712</v>
      </c>
      <c r="E52" s="44" t="s">
        <v>330</v>
      </c>
      <c r="F52" s="44" t="s">
        <v>155</v>
      </c>
      <c r="G52" s="44" t="s">
        <v>155</v>
      </c>
    </row>
    <row r="53" spans="1:7" x14ac:dyDescent="0.2">
      <c r="A53" s="143" t="s">
        <v>1632</v>
      </c>
      <c r="C53" s="44" t="s">
        <v>1633</v>
      </c>
      <c r="D53" s="104">
        <v>42972</v>
      </c>
      <c r="E53" s="44" t="s">
        <v>1634</v>
      </c>
      <c r="F53" s="44" t="s">
        <v>144</v>
      </c>
      <c r="G53" s="44" t="s">
        <v>144</v>
      </c>
    </row>
    <row r="54" spans="1:7" x14ac:dyDescent="0.2">
      <c r="A54" s="143" t="s">
        <v>1748</v>
      </c>
      <c r="C54" s="44" t="s">
        <v>1706</v>
      </c>
      <c r="D54" s="104">
        <v>43007</v>
      </c>
      <c r="E54" s="44" t="s">
        <v>1749</v>
      </c>
      <c r="F54" s="44" t="s">
        <v>144</v>
      </c>
      <c r="G54" s="44" t="s">
        <v>144</v>
      </c>
    </row>
    <row r="55" spans="1:7" x14ac:dyDescent="0.2">
      <c r="A55" s="143" t="s">
        <v>1757</v>
      </c>
      <c r="C55" s="44" t="s">
        <v>1758</v>
      </c>
      <c r="D55" s="104">
        <v>43041</v>
      </c>
      <c r="E55" s="44" t="s">
        <v>1759</v>
      </c>
      <c r="F55" s="44" t="s">
        <v>144</v>
      </c>
      <c r="G55" s="44" t="s">
        <v>261</v>
      </c>
    </row>
    <row r="56" spans="1:7" x14ac:dyDescent="0.2">
      <c r="A56" s="143" t="s">
        <v>1763</v>
      </c>
      <c r="C56" s="44" t="s">
        <v>1764</v>
      </c>
      <c r="D56" s="104">
        <v>43042</v>
      </c>
      <c r="E56" s="44" t="s">
        <v>1765</v>
      </c>
      <c r="F56" s="44" t="s">
        <v>144</v>
      </c>
      <c r="G56" s="44" t="s">
        <v>155</v>
      </c>
    </row>
    <row r="57" spans="1:7" x14ac:dyDescent="0.2">
      <c r="A57" s="143" t="s">
        <v>1766</v>
      </c>
      <c r="C57" s="44" t="s">
        <v>172</v>
      </c>
      <c r="D57" s="104">
        <v>43123</v>
      </c>
      <c r="E57" s="44" t="s">
        <v>1767</v>
      </c>
      <c r="F57" s="44" t="s">
        <v>144</v>
      </c>
      <c r="G57" s="44" t="s">
        <v>144</v>
      </c>
    </row>
    <row r="58" spans="1:7" x14ac:dyDescent="0.2">
      <c r="A58" s="143" t="s">
        <v>1801</v>
      </c>
      <c r="C58" s="44" t="s">
        <v>270</v>
      </c>
      <c r="D58" s="104">
        <v>43143</v>
      </c>
      <c r="E58" s="44" t="s">
        <v>1802</v>
      </c>
      <c r="F58" s="44" t="s">
        <v>144</v>
      </c>
      <c r="G58" s="44" t="s">
        <v>261</v>
      </c>
    </row>
    <row r="59" spans="1:7" x14ac:dyDescent="0.2">
      <c r="A59" s="143" t="s">
        <v>1803</v>
      </c>
      <c r="C59" s="44" t="s">
        <v>270</v>
      </c>
      <c r="D59" s="104">
        <v>43157</v>
      </c>
      <c r="E59" s="44" t="s">
        <v>1804</v>
      </c>
      <c r="F59" s="44" t="s">
        <v>144</v>
      </c>
      <c r="G59" s="44" t="s">
        <v>261</v>
      </c>
    </row>
    <row r="60" spans="1:7" x14ac:dyDescent="0.2">
      <c r="A60" s="143" t="s">
        <v>1854</v>
      </c>
      <c r="C60" s="44" t="s">
        <v>142</v>
      </c>
      <c r="D60" s="104">
        <v>43224</v>
      </c>
      <c r="E60" s="44" t="s">
        <v>1855</v>
      </c>
      <c r="F60" s="44" t="s">
        <v>155</v>
      </c>
      <c r="G60" s="44" t="s">
        <v>155</v>
      </c>
    </row>
    <row r="61" spans="1:7" x14ac:dyDescent="0.2">
      <c r="A61" s="143" t="s">
        <v>1884</v>
      </c>
      <c r="C61" s="44" t="s">
        <v>1920</v>
      </c>
      <c r="D61" s="104">
        <v>43329</v>
      </c>
      <c r="E61" s="44" t="s">
        <v>1921</v>
      </c>
      <c r="F61" s="44" t="s">
        <v>155</v>
      </c>
      <c r="G61" s="44" t="s">
        <v>261</v>
      </c>
    </row>
    <row r="62" spans="1:7" x14ac:dyDescent="0.2">
      <c r="A62" s="143" t="s">
        <v>1948</v>
      </c>
      <c r="C62" s="44" t="s">
        <v>1949</v>
      </c>
      <c r="D62" s="104">
        <v>43355</v>
      </c>
      <c r="E62" s="44" t="s">
        <v>1950</v>
      </c>
      <c r="F62" s="44" t="s">
        <v>261</v>
      </c>
      <c r="G62" s="44" t="s">
        <v>261</v>
      </c>
    </row>
    <row r="63" spans="1:7" x14ac:dyDescent="0.2">
      <c r="A63" s="143" t="s">
        <v>2006</v>
      </c>
      <c r="C63" s="44" t="s">
        <v>161</v>
      </c>
      <c r="D63" s="104">
        <v>43738</v>
      </c>
      <c r="E63" s="44" t="s">
        <v>2007</v>
      </c>
      <c r="F63" s="44" t="s">
        <v>155</v>
      </c>
      <c r="G63" s="44" t="s">
        <v>261</v>
      </c>
    </row>
    <row r="64" spans="1:7" x14ac:dyDescent="0.2">
      <c r="A64" s="143" t="s">
        <v>2008</v>
      </c>
      <c r="C64" s="44" t="s">
        <v>270</v>
      </c>
      <c r="D64" s="104">
        <v>43756</v>
      </c>
      <c r="E64" s="44" t="s">
        <v>2009</v>
      </c>
      <c r="F64" s="44" t="s">
        <v>155</v>
      </c>
      <c r="G64" s="44" t="s">
        <v>155</v>
      </c>
    </row>
    <row r="65" spans="1:7" x14ac:dyDescent="0.2">
      <c r="A65" s="143" t="s">
        <v>3822</v>
      </c>
      <c r="C65" s="44" t="s">
        <v>1633</v>
      </c>
      <c r="D65" s="104">
        <v>43886</v>
      </c>
      <c r="E65" s="44" t="s">
        <v>3823</v>
      </c>
      <c r="F65" s="44" t="s">
        <v>261</v>
      </c>
      <c r="G65" s="44" t="s">
        <v>261</v>
      </c>
    </row>
    <row r="66" spans="1:7" x14ac:dyDescent="0.2">
      <c r="A66" s="143" t="s">
        <v>3821</v>
      </c>
      <c r="C66" s="44" t="s">
        <v>172</v>
      </c>
      <c r="D66" s="104">
        <v>43907</v>
      </c>
      <c r="E66" s="44" t="s">
        <v>3825</v>
      </c>
      <c r="F66" s="44" t="s">
        <v>155</v>
      </c>
      <c r="G66" s="44" t="s">
        <v>155</v>
      </c>
    </row>
    <row r="67" spans="1:7" x14ac:dyDescent="0.2">
      <c r="A67" s="143" t="s">
        <v>4545</v>
      </c>
      <c r="C67" s="44" t="s">
        <v>4546</v>
      </c>
      <c r="D67" s="104">
        <v>44127</v>
      </c>
      <c r="E67" s="44" t="s">
        <v>4547</v>
      </c>
      <c r="F67" s="44" t="s">
        <v>261</v>
      </c>
      <c r="G67" s="44" t="s">
        <v>261</v>
      </c>
    </row>
    <row r="68" spans="1:7" x14ac:dyDescent="0.2">
      <c r="A68" s="143" t="s">
        <v>4799</v>
      </c>
      <c r="C68" s="44" t="s">
        <v>267</v>
      </c>
      <c r="D68" s="104">
        <v>44357</v>
      </c>
      <c r="E68" s="44" t="s">
        <v>4800</v>
      </c>
      <c r="F68" s="44" t="s">
        <v>261</v>
      </c>
      <c r="G68" s="44" t="s">
        <v>261</v>
      </c>
    </row>
    <row r="69" spans="1:7" x14ac:dyDescent="0.2">
      <c r="A69" s="143" t="s">
        <v>4833</v>
      </c>
      <c r="C69" s="44" t="s">
        <v>270</v>
      </c>
      <c r="D69" s="104">
        <v>44378</v>
      </c>
      <c r="E69" s="44" t="s">
        <v>4834</v>
      </c>
      <c r="F69" s="44" t="s">
        <v>155</v>
      </c>
      <c r="G69" s="44" t="s">
        <v>261</v>
      </c>
    </row>
    <row r="70" spans="1:7" x14ac:dyDescent="0.2">
      <c r="A70" s="143" t="s">
        <v>4873</v>
      </c>
      <c r="C70" s="44" t="s">
        <v>270</v>
      </c>
      <c r="D70" s="104">
        <v>44455</v>
      </c>
      <c r="E70" s="44" t="s">
        <v>4874</v>
      </c>
      <c r="F70" s="44" t="s">
        <v>155</v>
      </c>
      <c r="G70" s="44" t="s">
        <v>155</v>
      </c>
    </row>
    <row r="71" spans="1:7" x14ac:dyDescent="0.2">
      <c r="A71" s="143" t="s">
        <v>4984</v>
      </c>
      <c r="C71" s="44" t="s">
        <v>4985</v>
      </c>
      <c r="D71" s="104">
        <v>44544</v>
      </c>
      <c r="E71" s="44" t="s">
        <v>4986</v>
      </c>
      <c r="F71" s="44" t="s">
        <v>261</v>
      </c>
      <c r="G71" s="44" t="s">
        <v>261</v>
      </c>
    </row>
    <row r="72" spans="1:7" x14ac:dyDescent="0.2">
      <c r="A72" s="143" t="s">
        <v>5474</v>
      </c>
      <c r="C72" s="44" t="s">
        <v>5475</v>
      </c>
      <c r="D72" s="104">
        <v>45266</v>
      </c>
      <c r="E72" s="44" t="s">
        <v>5476</v>
      </c>
      <c r="F72" s="44" t="s">
        <v>261</v>
      </c>
      <c r="G72" s="44" t="s">
        <v>261</v>
      </c>
    </row>
    <row r="73" spans="1:7" x14ac:dyDescent="0.2">
      <c r="A73" s="143" t="s">
        <v>5636</v>
      </c>
      <c r="C73" s="44" t="s">
        <v>5627</v>
      </c>
      <c r="D73" s="104">
        <v>45392</v>
      </c>
      <c r="E73" s="44" t="s">
        <v>5628</v>
      </c>
      <c r="F73" s="44" t="s">
        <v>5629</v>
      </c>
      <c r="G73" s="44" t="s">
        <v>213</v>
      </c>
    </row>
    <row r="74" spans="1:7" x14ac:dyDescent="0.2">
      <c r="A74" s="143" t="s">
        <v>5637</v>
      </c>
      <c r="C74" s="44" t="s">
        <v>1764</v>
      </c>
      <c r="D74" s="104">
        <v>45394</v>
      </c>
      <c r="E74" s="44" t="s">
        <v>5638</v>
      </c>
      <c r="F74" s="44" t="s">
        <v>5629</v>
      </c>
      <c r="G74" s="44" t="s">
        <v>213</v>
      </c>
    </row>
    <row r="75" spans="1:7" x14ac:dyDescent="0.2">
      <c r="A75" s="143" t="s">
        <v>5773</v>
      </c>
      <c r="C75" s="44" t="s">
        <v>5774</v>
      </c>
      <c r="D75" s="104">
        <v>45518</v>
      </c>
      <c r="E75" s="44" t="s">
        <v>5775</v>
      </c>
      <c r="F75" s="44" t="s">
        <v>5629</v>
      </c>
      <c r="G75" s="44" t="s">
        <v>145</v>
      </c>
    </row>
    <row r="76" spans="1:7" x14ac:dyDescent="0.2">
      <c r="D76" s="104"/>
    </row>
    <row r="77" spans="1:7" x14ac:dyDescent="0.2">
      <c r="D77" s="104"/>
    </row>
    <row r="78" spans="1:7" x14ac:dyDescent="0.2">
      <c r="D78" s="104"/>
    </row>
    <row r="79" spans="1:7" x14ac:dyDescent="0.2">
      <c r="D79" s="104"/>
    </row>
    <row r="80" spans="1:7" x14ac:dyDescent="0.2">
      <c r="D80" s="104"/>
    </row>
    <row r="81" spans="4:4" x14ac:dyDescent="0.2">
      <c r="D81" s="104"/>
    </row>
    <row r="82" spans="4:4" x14ac:dyDescent="0.2">
      <c r="D82" s="104"/>
    </row>
    <row r="83" spans="4:4" x14ac:dyDescent="0.2">
      <c r="D83" s="104"/>
    </row>
    <row r="84" spans="4:4" x14ac:dyDescent="0.2">
      <c r="D84" s="104"/>
    </row>
    <row r="85" spans="4:4" x14ac:dyDescent="0.2">
      <c r="D85" s="104"/>
    </row>
    <row r="86" spans="4:4" x14ac:dyDescent="0.2">
      <c r="D86" s="104"/>
    </row>
    <row r="87" spans="4:4" x14ac:dyDescent="0.2">
      <c r="D87" s="104"/>
    </row>
    <row r="88" spans="4:4" x14ac:dyDescent="0.2">
      <c r="D88" s="104"/>
    </row>
    <row r="89" spans="4:4" x14ac:dyDescent="0.2">
      <c r="D89" s="104"/>
    </row>
    <row r="90" spans="4:4" x14ac:dyDescent="0.2">
      <c r="D90" s="104"/>
    </row>
    <row r="91" spans="4:4" x14ac:dyDescent="0.2">
      <c r="D91" s="104"/>
    </row>
    <row r="92" spans="4:4" x14ac:dyDescent="0.2">
      <c r="D92" s="104"/>
    </row>
    <row r="93" spans="4:4" x14ac:dyDescent="0.2">
      <c r="D93" s="104"/>
    </row>
    <row r="94" spans="4:4" x14ac:dyDescent="0.2">
      <c r="D94" s="104"/>
    </row>
    <row r="95" spans="4:4" x14ac:dyDescent="0.2">
      <c r="D95" s="104"/>
    </row>
    <row r="96" spans="4:4" x14ac:dyDescent="0.2">
      <c r="D96" s="104"/>
    </row>
    <row r="97" spans="4:4" x14ac:dyDescent="0.2">
      <c r="D97" s="104"/>
    </row>
    <row r="98" spans="4:4" x14ac:dyDescent="0.2">
      <c r="D98" s="104"/>
    </row>
    <row r="99" spans="4:4" x14ac:dyDescent="0.2">
      <c r="D99" s="104"/>
    </row>
    <row r="100" spans="4:4" x14ac:dyDescent="0.2">
      <c r="D100" s="104"/>
    </row>
    <row r="101" spans="4:4" x14ac:dyDescent="0.2">
      <c r="D101" s="104"/>
    </row>
    <row r="102" spans="4:4" x14ac:dyDescent="0.2">
      <c r="D102" s="104"/>
    </row>
    <row r="103" spans="4:4" x14ac:dyDescent="0.2">
      <c r="D103" s="104"/>
    </row>
    <row r="104" spans="4:4" x14ac:dyDescent="0.2">
      <c r="D104" s="104"/>
    </row>
    <row r="105" spans="4:4" x14ac:dyDescent="0.2">
      <c r="D105" s="104"/>
    </row>
    <row r="106" spans="4:4" x14ac:dyDescent="0.2">
      <c r="D106" s="104"/>
    </row>
    <row r="107" spans="4:4" x14ac:dyDescent="0.2">
      <c r="D107" s="104"/>
    </row>
    <row r="108" spans="4:4" x14ac:dyDescent="0.2">
      <c r="D108" s="104"/>
    </row>
    <row r="109" spans="4:4" x14ac:dyDescent="0.2">
      <c r="D109" s="104"/>
    </row>
    <row r="110" spans="4:4" x14ac:dyDescent="0.2">
      <c r="D110" s="104"/>
    </row>
    <row r="111" spans="4:4" x14ac:dyDescent="0.2">
      <c r="D111" s="104"/>
    </row>
    <row r="112" spans="4:4" x14ac:dyDescent="0.2">
      <c r="D112" s="104"/>
    </row>
    <row r="113" spans="4:4" x14ac:dyDescent="0.2">
      <c r="D113" s="104"/>
    </row>
    <row r="114" spans="4:4" x14ac:dyDescent="0.2">
      <c r="D114" s="104"/>
    </row>
    <row r="115" spans="4:4" x14ac:dyDescent="0.2">
      <c r="D115" s="104"/>
    </row>
    <row r="116" spans="4:4" x14ac:dyDescent="0.2">
      <c r="D116" s="104"/>
    </row>
    <row r="117" spans="4:4" x14ac:dyDescent="0.2">
      <c r="D117" s="104"/>
    </row>
    <row r="118" spans="4:4" x14ac:dyDescent="0.2">
      <c r="D118" s="104"/>
    </row>
    <row r="119" spans="4:4" x14ac:dyDescent="0.2">
      <c r="D119" s="104"/>
    </row>
    <row r="120" spans="4:4" x14ac:dyDescent="0.2">
      <c r="D120" s="104"/>
    </row>
    <row r="121" spans="4:4" x14ac:dyDescent="0.2">
      <c r="D121" s="104"/>
    </row>
    <row r="122" spans="4:4" x14ac:dyDescent="0.2">
      <c r="D122" s="104"/>
    </row>
    <row r="123" spans="4:4" x14ac:dyDescent="0.2">
      <c r="D123" s="104"/>
    </row>
    <row r="124" spans="4:4" x14ac:dyDescent="0.2">
      <c r="D124" s="104"/>
    </row>
    <row r="125" spans="4:4" x14ac:dyDescent="0.2">
      <c r="D125" s="104"/>
    </row>
    <row r="126" spans="4:4" x14ac:dyDescent="0.2">
      <c r="D126" s="104"/>
    </row>
    <row r="127" spans="4:4" x14ac:dyDescent="0.2">
      <c r="D127" s="104"/>
    </row>
    <row r="128" spans="4:4" x14ac:dyDescent="0.2">
      <c r="D128" s="104"/>
    </row>
    <row r="129" spans="4:4" x14ac:dyDescent="0.2">
      <c r="D129" s="104"/>
    </row>
    <row r="130" spans="4:4" x14ac:dyDescent="0.2">
      <c r="D130" s="104"/>
    </row>
    <row r="131" spans="4:4" x14ac:dyDescent="0.2">
      <c r="D131" s="104"/>
    </row>
    <row r="132" spans="4:4" x14ac:dyDescent="0.2">
      <c r="D132" s="104"/>
    </row>
    <row r="133" spans="4:4" x14ac:dyDescent="0.2">
      <c r="D133" s="104"/>
    </row>
    <row r="134" spans="4:4" x14ac:dyDescent="0.2">
      <c r="D134" s="104"/>
    </row>
    <row r="135" spans="4:4" x14ac:dyDescent="0.2">
      <c r="D135" s="104"/>
    </row>
    <row r="136" spans="4:4" x14ac:dyDescent="0.2">
      <c r="D136" s="104"/>
    </row>
    <row r="137" spans="4:4" x14ac:dyDescent="0.2">
      <c r="D137" s="104"/>
    </row>
    <row r="138" spans="4:4" x14ac:dyDescent="0.2">
      <c r="D138" s="104"/>
    </row>
    <row r="139" spans="4:4" x14ac:dyDescent="0.2">
      <c r="D139" s="104"/>
    </row>
    <row r="140" spans="4:4" x14ac:dyDescent="0.2">
      <c r="D140" s="104"/>
    </row>
    <row r="141" spans="4:4" x14ac:dyDescent="0.2">
      <c r="D141" s="104"/>
    </row>
    <row r="142" spans="4:4" x14ac:dyDescent="0.2">
      <c r="D142" s="104"/>
    </row>
    <row r="143" spans="4:4" x14ac:dyDescent="0.2">
      <c r="D143" s="104"/>
    </row>
    <row r="144" spans="4:4" x14ac:dyDescent="0.2">
      <c r="D144" s="104"/>
    </row>
    <row r="145" spans="4:4" x14ac:dyDescent="0.2">
      <c r="D145" s="104"/>
    </row>
    <row r="146" spans="4:4" x14ac:dyDescent="0.2">
      <c r="D146" s="104"/>
    </row>
    <row r="147" spans="4:4" x14ac:dyDescent="0.2">
      <c r="D147" s="104"/>
    </row>
    <row r="148" spans="4:4" x14ac:dyDescent="0.2">
      <c r="D148" s="104"/>
    </row>
    <row r="149" spans="4:4" x14ac:dyDescent="0.2">
      <c r="D149" s="104"/>
    </row>
    <row r="150" spans="4:4" x14ac:dyDescent="0.2">
      <c r="D150" s="104"/>
    </row>
    <row r="151" spans="4:4" x14ac:dyDescent="0.2">
      <c r="D151" s="104"/>
    </row>
    <row r="152" spans="4:4" x14ac:dyDescent="0.2">
      <c r="D152" s="104"/>
    </row>
    <row r="153" spans="4:4" x14ac:dyDescent="0.2">
      <c r="D153" s="104"/>
    </row>
    <row r="154" spans="4:4" x14ac:dyDescent="0.2">
      <c r="D154" s="104"/>
    </row>
    <row r="155" spans="4:4" x14ac:dyDescent="0.2">
      <c r="D155" s="104"/>
    </row>
    <row r="156" spans="4:4" x14ac:dyDescent="0.2">
      <c r="D156" s="104"/>
    </row>
    <row r="157" spans="4:4" x14ac:dyDescent="0.2">
      <c r="D157" s="104"/>
    </row>
    <row r="158" spans="4:4" x14ac:dyDescent="0.2">
      <c r="D158" s="104"/>
    </row>
    <row r="159" spans="4:4" x14ac:dyDescent="0.2">
      <c r="D159" s="104"/>
    </row>
    <row r="160" spans="4:4" x14ac:dyDescent="0.2">
      <c r="D160" s="104"/>
    </row>
    <row r="161" spans="4:4" x14ac:dyDescent="0.2">
      <c r="D161" s="104"/>
    </row>
    <row r="162" spans="4:4" x14ac:dyDescent="0.2">
      <c r="D162" s="104"/>
    </row>
    <row r="163" spans="4:4" x14ac:dyDescent="0.2">
      <c r="D163" s="104"/>
    </row>
    <row r="164" spans="4:4" x14ac:dyDescent="0.2">
      <c r="D164" s="104"/>
    </row>
    <row r="165" spans="4:4" x14ac:dyDescent="0.2">
      <c r="D165" s="104"/>
    </row>
    <row r="166" spans="4:4" x14ac:dyDescent="0.2">
      <c r="D166" s="104"/>
    </row>
    <row r="167" spans="4:4" x14ac:dyDescent="0.2">
      <c r="D167" s="104"/>
    </row>
    <row r="168" spans="4:4" x14ac:dyDescent="0.2">
      <c r="D168" s="104"/>
    </row>
    <row r="169" spans="4:4" x14ac:dyDescent="0.2">
      <c r="D169" s="104"/>
    </row>
    <row r="170" spans="4:4" x14ac:dyDescent="0.2">
      <c r="D170" s="104"/>
    </row>
    <row r="171" spans="4:4" x14ac:dyDescent="0.2">
      <c r="D171" s="104"/>
    </row>
    <row r="172" spans="4:4" x14ac:dyDescent="0.2">
      <c r="D172" s="104"/>
    </row>
    <row r="173" spans="4:4" x14ac:dyDescent="0.2">
      <c r="D173" s="104"/>
    </row>
    <row r="174" spans="4:4" x14ac:dyDescent="0.2">
      <c r="D174" s="104"/>
    </row>
    <row r="175" spans="4:4" x14ac:dyDescent="0.2">
      <c r="D175" s="104"/>
    </row>
    <row r="176" spans="4:4" x14ac:dyDescent="0.2">
      <c r="D176" s="104"/>
    </row>
    <row r="177" spans="4:4" x14ac:dyDescent="0.2">
      <c r="D177" s="104"/>
    </row>
    <row r="178" spans="4:4" x14ac:dyDescent="0.2">
      <c r="D178" s="104"/>
    </row>
    <row r="179" spans="4:4" x14ac:dyDescent="0.2">
      <c r="D179" s="104"/>
    </row>
    <row r="180" spans="4:4" x14ac:dyDescent="0.2">
      <c r="D180" s="104"/>
    </row>
    <row r="181" spans="4:4" x14ac:dyDescent="0.2">
      <c r="D181" s="104"/>
    </row>
    <row r="182" spans="4:4" x14ac:dyDescent="0.2">
      <c r="D182" s="104"/>
    </row>
    <row r="183" spans="4:4" x14ac:dyDescent="0.2">
      <c r="D183" s="104"/>
    </row>
    <row r="184" spans="4:4" x14ac:dyDescent="0.2">
      <c r="D184" s="104"/>
    </row>
    <row r="185" spans="4:4" x14ac:dyDescent="0.2">
      <c r="D185" s="104"/>
    </row>
    <row r="186" spans="4:4" x14ac:dyDescent="0.2">
      <c r="D186" s="104"/>
    </row>
    <row r="187" spans="4:4" x14ac:dyDescent="0.2">
      <c r="D187" s="104"/>
    </row>
    <row r="188" spans="4:4" x14ac:dyDescent="0.2">
      <c r="D188" s="104"/>
    </row>
    <row r="189" spans="4:4" x14ac:dyDescent="0.2">
      <c r="D189" s="104"/>
    </row>
    <row r="190" spans="4:4" x14ac:dyDescent="0.2">
      <c r="D190" s="104"/>
    </row>
    <row r="191" spans="4:4" x14ac:dyDescent="0.2">
      <c r="D191" s="104"/>
    </row>
    <row r="192" spans="4:4" x14ac:dyDescent="0.2">
      <c r="D192" s="104"/>
    </row>
    <row r="193" spans="4:4" x14ac:dyDescent="0.2">
      <c r="D193" s="104"/>
    </row>
    <row r="194" spans="4:4" x14ac:dyDescent="0.2">
      <c r="D194" s="104"/>
    </row>
    <row r="195" spans="4:4" x14ac:dyDescent="0.2">
      <c r="D195" s="104"/>
    </row>
    <row r="196" spans="4:4" x14ac:dyDescent="0.2">
      <c r="D196" s="104"/>
    </row>
    <row r="197" spans="4:4" x14ac:dyDescent="0.2">
      <c r="D197" s="104"/>
    </row>
    <row r="198" spans="4:4" x14ac:dyDescent="0.2">
      <c r="D198" s="104"/>
    </row>
    <row r="199" spans="4:4" x14ac:dyDescent="0.2">
      <c r="D199" s="104"/>
    </row>
    <row r="200" spans="4:4" x14ac:dyDescent="0.2">
      <c r="D200" s="104"/>
    </row>
    <row r="201" spans="4:4" x14ac:dyDescent="0.2">
      <c r="D201" s="104"/>
    </row>
    <row r="202" spans="4:4" x14ac:dyDescent="0.2">
      <c r="D202" s="104"/>
    </row>
    <row r="203" spans="4:4" x14ac:dyDescent="0.2">
      <c r="D203" s="104"/>
    </row>
    <row r="204" spans="4:4" x14ac:dyDescent="0.2">
      <c r="D204" s="104"/>
    </row>
    <row r="205" spans="4:4" x14ac:dyDescent="0.2">
      <c r="D205" s="104"/>
    </row>
    <row r="206" spans="4:4" x14ac:dyDescent="0.2">
      <c r="D206" s="104"/>
    </row>
    <row r="207" spans="4:4" x14ac:dyDescent="0.2">
      <c r="D207" s="104"/>
    </row>
    <row r="208" spans="4:4" x14ac:dyDescent="0.2">
      <c r="D208" s="104"/>
    </row>
    <row r="209" spans="4:4" x14ac:dyDescent="0.2">
      <c r="D209" s="104"/>
    </row>
    <row r="210" spans="4:4" x14ac:dyDescent="0.2">
      <c r="D210" s="104"/>
    </row>
    <row r="211" spans="4:4" x14ac:dyDescent="0.2">
      <c r="D211" s="104"/>
    </row>
    <row r="212" spans="4:4" x14ac:dyDescent="0.2">
      <c r="D212" s="104"/>
    </row>
    <row r="213" spans="4:4" x14ac:dyDescent="0.2">
      <c r="D213" s="104"/>
    </row>
    <row r="214" spans="4:4" x14ac:dyDescent="0.2">
      <c r="D214" s="104"/>
    </row>
    <row r="215" spans="4:4" x14ac:dyDescent="0.2">
      <c r="D215" s="104"/>
    </row>
    <row r="216" spans="4:4" x14ac:dyDescent="0.2">
      <c r="D216" s="104"/>
    </row>
    <row r="217" spans="4:4" x14ac:dyDescent="0.2">
      <c r="D217" s="104"/>
    </row>
    <row r="218" spans="4:4" x14ac:dyDescent="0.2">
      <c r="D218" s="104"/>
    </row>
    <row r="219" spans="4:4" x14ac:dyDescent="0.2">
      <c r="D219" s="104"/>
    </row>
    <row r="220" spans="4:4" x14ac:dyDescent="0.2">
      <c r="D220" s="104"/>
    </row>
    <row r="221" spans="4:4" x14ac:dyDescent="0.2">
      <c r="D221" s="104"/>
    </row>
    <row r="222" spans="4:4" x14ac:dyDescent="0.2">
      <c r="D222" s="104"/>
    </row>
    <row r="223" spans="4:4" x14ac:dyDescent="0.2">
      <c r="D223" s="104"/>
    </row>
    <row r="224" spans="4:4" x14ac:dyDescent="0.2">
      <c r="D224" s="104"/>
    </row>
    <row r="225" spans="4:4" x14ac:dyDescent="0.2">
      <c r="D225" s="104"/>
    </row>
    <row r="226" spans="4:4" x14ac:dyDescent="0.2">
      <c r="D226" s="104"/>
    </row>
    <row r="227" spans="4:4" x14ac:dyDescent="0.2">
      <c r="D227" s="104"/>
    </row>
    <row r="228" spans="4:4" x14ac:dyDescent="0.2">
      <c r="D228" s="104"/>
    </row>
    <row r="229" spans="4:4" x14ac:dyDescent="0.2">
      <c r="D229" s="104"/>
    </row>
    <row r="230" spans="4:4" x14ac:dyDescent="0.2">
      <c r="D230" s="104"/>
    </row>
    <row r="231" spans="4:4" x14ac:dyDescent="0.2">
      <c r="D231" s="104"/>
    </row>
    <row r="232" spans="4:4" x14ac:dyDescent="0.2">
      <c r="D232" s="104"/>
    </row>
    <row r="233" spans="4:4" x14ac:dyDescent="0.2">
      <c r="D233" s="104"/>
    </row>
    <row r="234" spans="4:4" x14ac:dyDescent="0.2">
      <c r="D234" s="104"/>
    </row>
    <row r="235" spans="4:4" x14ac:dyDescent="0.2">
      <c r="D235" s="104"/>
    </row>
    <row r="236" spans="4:4" x14ac:dyDescent="0.2">
      <c r="D236" s="104"/>
    </row>
    <row r="237" spans="4:4" x14ac:dyDescent="0.2">
      <c r="D237" s="104"/>
    </row>
    <row r="238" spans="4:4" x14ac:dyDescent="0.2">
      <c r="D238" s="104"/>
    </row>
    <row r="239" spans="4:4" x14ac:dyDescent="0.2">
      <c r="D239" s="104"/>
    </row>
    <row r="240" spans="4:4" x14ac:dyDescent="0.2">
      <c r="D240" s="104"/>
    </row>
    <row r="241" spans="4:4" x14ac:dyDescent="0.2">
      <c r="D241" s="104"/>
    </row>
    <row r="242" spans="4:4" x14ac:dyDescent="0.2">
      <c r="D242" s="104"/>
    </row>
    <row r="243" spans="4:4" x14ac:dyDescent="0.2">
      <c r="D243" s="104"/>
    </row>
    <row r="244" spans="4:4" x14ac:dyDescent="0.2">
      <c r="D244" s="104"/>
    </row>
    <row r="245" spans="4:4" x14ac:dyDescent="0.2">
      <c r="D245" s="104"/>
    </row>
    <row r="246" spans="4:4" x14ac:dyDescent="0.2">
      <c r="D246" s="104"/>
    </row>
    <row r="247" spans="4:4" x14ac:dyDescent="0.2">
      <c r="D247" s="104"/>
    </row>
    <row r="248" spans="4:4" x14ac:dyDescent="0.2">
      <c r="D248" s="104"/>
    </row>
    <row r="249" spans="4:4" x14ac:dyDescent="0.2">
      <c r="D249" s="104"/>
    </row>
    <row r="250" spans="4:4" x14ac:dyDescent="0.2">
      <c r="D250" s="104"/>
    </row>
    <row r="251" spans="4:4" x14ac:dyDescent="0.2">
      <c r="D251" s="104"/>
    </row>
    <row r="252" spans="4:4" x14ac:dyDescent="0.2">
      <c r="D252" s="104"/>
    </row>
    <row r="253" spans="4:4" x14ac:dyDescent="0.2">
      <c r="D253" s="104"/>
    </row>
    <row r="254" spans="4:4" x14ac:dyDescent="0.2">
      <c r="D254" s="104"/>
    </row>
    <row r="255" spans="4:4" x14ac:dyDescent="0.2">
      <c r="D255" s="104"/>
    </row>
    <row r="256" spans="4:4" x14ac:dyDescent="0.2">
      <c r="D256" s="104"/>
    </row>
    <row r="257" spans="4:4" x14ac:dyDescent="0.2">
      <c r="D257" s="104"/>
    </row>
    <row r="258" spans="4:4" x14ac:dyDescent="0.2">
      <c r="D258" s="104"/>
    </row>
    <row r="259" spans="4:4" x14ac:dyDescent="0.2">
      <c r="D259" s="104"/>
    </row>
    <row r="260" spans="4:4" x14ac:dyDescent="0.2">
      <c r="D260" s="104"/>
    </row>
    <row r="261" spans="4:4" x14ac:dyDescent="0.2">
      <c r="D261" s="104"/>
    </row>
    <row r="262" spans="4:4" x14ac:dyDescent="0.2">
      <c r="D262" s="104"/>
    </row>
    <row r="263" spans="4:4" x14ac:dyDescent="0.2">
      <c r="D263" s="104"/>
    </row>
    <row r="264" spans="4:4" x14ac:dyDescent="0.2">
      <c r="D264" s="104"/>
    </row>
    <row r="265" spans="4:4" x14ac:dyDescent="0.2">
      <c r="D265" s="104"/>
    </row>
    <row r="266" spans="4:4" x14ac:dyDescent="0.2">
      <c r="D266" s="104"/>
    </row>
    <row r="267" spans="4:4" x14ac:dyDescent="0.2">
      <c r="D267" s="104"/>
    </row>
    <row r="268" spans="4:4" x14ac:dyDescent="0.2">
      <c r="D268" s="104"/>
    </row>
    <row r="269" spans="4:4" x14ac:dyDescent="0.2">
      <c r="D269" s="104"/>
    </row>
    <row r="270" spans="4:4" x14ac:dyDescent="0.2">
      <c r="D270" s="104"/>
    </row>
    <row r="271" spans="4:4" x14ac:dyDescent="0.2">
      <c r="D271" s="104"/>
    </row>
    <row r="272" spans="4:4" x14ac:dyDescent="0.2">
      <c r="D272" s="104"/>
    </row>
    <row r="273" spans="4:4" x14ac:dyDescent="0.2">
      <c r="D273" s="104"/>
    </row>
    <row r="274" spans="4:4" x14ac:dyDescent="0.2">
      <c r="D274" s="104"/>
    </row>
    <row r="275" spans="4:4" x14ac:dyDescent="0.2">
      <c r="D275" s="104"/>
    </row>
    <row r="276" spans="4:4" x14ac:dyDescent="0.2">
      <c r="D276" s="104"/>
    </row>
    <row r="277" spans="4:4" x14ac:dyDescent="0.2">
      <c r="D277" s="104"/>
    </row>
    <row r="278" spans="4:4" x14ac:dyDescent="0.2">
      <c r="D278" s="104"/>
    </row>
    <row r="279" spans="4:4" x14ac:dyDescent="0.2">
      <c r="D279" s="104"/>
    </row>
    <row r="280" spans="4:4" x14ac:dyDescent="0.2">
      <c r="D280" s="104"/>
    </row>
    <row r="281" spans="4:4" x14ac:dyDescent="0.2">
      <c r="D281" s="104"/>
    </row>
    <row r="282" spans="4:4" x14ac:dyDescent="0.2">
      <c r="D282" s="104"/>
    </row>
    <row r="283" spans="4:4" x14ac:dyDescent="0.2">
      <c r="D283" s="104"/>
    </row>
    <row r="284" spans="4:4" x14ac:dyDescent="0.2">
      <c r="D284" s="104"/>
    </row>
    <row r="285" spans="4:4" x14ac:dyDescent="0.2">
      <c r="D285" s="104"/>
    </row>
    <row r="286" spans="4:4" x14ac:dyDescent="0.2">
      <c r="D286" s="104"/>
    </row>
    <row r="287" spans="4:4" x14ac:dyDescent="0.2">
      <c r="D287" s="104"/>
    </row>
    <row r="288" spans="4:4" x14ac:dyDescent="0.2">
      <c r="D288" s="104"/>
    </row>
    <row r="289" spans="4:4" x14ac:dyDescent="0.2">
      <c r="D289" s="104"/>
    </row>
    <row r="290" spans="4:4" x14ac:dyDescent="0.2">
      <c r="D290" s="104"/>
    </row>
    <row r="291" spans="4:4" x14ac:dyDescent="0.2">
      <c r="D291" s="104"/>
    </row>
    <row r="292" spans="4:4" x14ac:dyDescent="0.2">
      <c r="D292" s="104"/>
    </row>
    <row r="293" spans="4:4" x14ac:dyDescent="0.2">
      <c r="D293" s="104"/>
    </row>
    <row r="294" spans="4:4" x14ac:dyDescent="0.2">
      <c r="D294" s="104"/>
    </row>
    <row r="295" spans="4:4" x14ac:dyDescent="0.2">
      <c r="D295" s="104"/>
    </row>
    <row r="296" spans="4:4" x14ac:dyDescent="0.2">
      <c r="D296" s="104"/>
    </row>
    <row r="297" spans="4:4" x14ac:dyDescent="0.2">
      <c r="D297" s="104"/>
    </row>
    <row r="298" spans="4:4" x14ac:dyDescent="0.2">
      <c r="D298" s="104"/>
    </row>
    <row r="299" spans="4:4" x14ac:dyDescent="0.2">
      <c r="D299" s="104"/>
    </row>
    <row r="300" spans="4:4" x14ac:dyDescent="0.2">
      <c r="D300" s="104"/>
    </row>
    <row r="301" spans="4:4" x14ac:dyDescent="0.2">
      <c r="D301" s="104"/>
    </row>
    <row r="302" spans="4:4" x14ac:dyDescent="0.2">
      <c r="D302" s="104"/>
    </row>
    <row r="303" spans="4:4" x14ac:dyDescent="0.2">
      <c r="D303" s="104"/>
    </row>
    <row r="304" spans="4:4" x14ac:dyDescent="0.2">
      <c r="D304" s="104"/>
    </row>
    <row r="305" spans="4:4" x14ac:dyDescent="0.2">
      <c r="D305" s="104"/>
    </row>
    <row r="306" spans="4:4" x14ac:dyDescent="0.2">
      <c r="D306" s="104"/>
    </row>
    <row r="307" spans="4:4" x14ac:dyDescent="0.2">
      <c r="D307" s="104"/>
    </row>
    <row r="308" spans="4:4" x14ac:dyDescent="0.2">
      <c r="D308" s="104"/>
    </row>
    <row r="309" spans="4:4" x14ac:dyDescent="0.2">
      <c r="D309" s="104"/>
    </row>
    <row r="310" spans="4:4" x14ac:dyDescent="0.2">
      <c r="D310" s="104"/>
    </row>
    <row r="311" spans="4:4" x14ac:dyDescent="0.2">
      <c r="D311" s="104"/>
    </row>
    <row r="312" spans="4:4" x14ac:dyDescent="0.2">
      <c r="D312" s="104"/>
    </row>
    <row r="313" spans="4:4" x14ac:dyDescent="0.2">
      <c r="D313" s="104"/>
    </row>
    <row r="314" spans="4:4" x14ac:dyDescent="0.2">
      <c r="D314" s="104"/>
    </row>
    <row r="315" spans="4:4" x14ac:dyDescent="0.2">
      <c r="D315" s="104"/>
    </row>
    <row r="316" spans="4:4" x14ac:dyDescent="0.2">
      <c r="D316" s="104"/>
    </row>
    <row r="317" spans="4:4" x14ac:dyDescent="0.2">
      <c r="D317" s="104"/>
    </row>
    <row r="318" spans="4:4" x14ac:dyDescent="0.2">
      <c r="D318" s="104"/>
    </row>
    <row r="319" spans="4:4" x14ac:dyDescent="0.2">
      <c r="D319" s="104"/>
    </row>
    <row r="320" spans="4:4" x14ac:dyDescent="0.2">
      <c r="D320" s="104"/>
    </row>
    <row r="321" spans="4:4" x14ac:dyDescent="0.2">
      <c r="D321" s="104"/>
    </row>
    <row r="322" spans="4:4" x14ac:dyDescent="0.2">
      <c r="D322" s="104"/>
    </row>
    <row r="323" spans="4:4" x14ac:dyDescent="0.2">
      <c r="D323" s="104"/>
    </row>
    <row r="324" spans="4:4" x14ac:dyDescent="0.2">
      <c r="D324" s="104"/>
    </row>
    <row r="325" spans="4:4" x14ac:dyDescent="0.2">
      <c r="D325" s="104"/>
    </row>
    <row r="326" spans="4:4" x14ac:dyDescent="0.2">
      <c r="D326" s="104"/>
    </row>
    <row r="327" spans="4:4" x14ac:dyDescent="0.2">
      <c r="D327" s="104"/>
    </row>
    <row r="328" spans="4:4" x14ac:dyDescent="0.2">
      <c r="D328" s="104"/>
    </row>
    <row r="329" spans="4:4" x14ac:dyDescent="0.2">
      <c r="D329" s="104"/>
    </row>
    <row r="330" spans="4:4" x14ac:dyDescent="0.2">
      <c r="D330" s="104"/>
    </row>
    <row r="331" spans="4:4" x14ac:dyDescent="0.2">
      <c r="D331" s="104"/>
    </row>
    <row r="332" spans="4:4" x14ac:dyDescent="0.2">
      <c r="D332" s="104"/>
    </row>
    <row r="333" spans="4:4" x14ac:dyDescent="0.2">
      <c r="D333" s="104"/>
    </row>
    <row r="334" spans="4:4" x14ac:dyDescent="0.2">
      <c r="D334" s="104"/>
    </row>
    <row r="335" spans="4:4" x14ac:dyDescent="0.2">
      <c r="D335" s="104"/>
    </row>
    <row r="336" spans="4:4" x14ac:dyDescent="0.2">
      <c r="D336" s="104"/>
    </row>
    <row r="337" spans="4:4" x14ac:dyDescent="0.2">
      <c r="D337" s="104"/>
    </row>
    <row r="338" spans="4:4" x14ac:dyDescent="0.2">
      <c r="D338" s="104"/>
    </row>
    <row r="339" spans="4:4" x14ac:dyDescent="0.2">
      <c r="D339" s="104"/>
    </row>
    <row r="340" spans="4:4" x14ac:dyDescent="0.2">
      <c r="D340" s="104"/>
    </row>
    <row r="341" spans="4:4" x14ac:dyDescent="0.2">
      <c r="D341" s="104"/>
    </row>
    <row r="342" spans="4:4" x14ac:dyDescent="0.2">
      <c r="D342" s="104"/>
    </row>
    <row r="343" spans="4:4" x14ac:dyDescent="0.2">
      <c r="D343" s="104"/>
    </row>
    <row r="344" spans="4:4" x14ac:dyDescent="0.2">
      <c r="D344" s="104"/>
    </row>
    <row r="345" spans="4:4" x14ac:dyDescent="0.2">
      <c r="D345" s="104"/>
    </row>
    <row r="346" spans="4:4" x14ac:dyDescent="0.2">
      <c r="D346" s="104"/>
    </row>
    <row r="347" spans="4:4" x14ac:dyDescent="0.2">
      <c r="D347" s="104"/>
    </row>
    <row r="348" spans="4:4" x14ac:dyDescent="0.2">
      <c r="D348" s="104"/>
    </row>
    <row r="349" spans="4:4" x14ac:dyDescent="0.2">
      <c r="D349" s="104"/>
    </row>
    <row r="350" spans="4:4" x14ac:dyDescent="0.2">
      <c r="D350" s="104"/>
    </row>
    <row r="351" spans="4:4" x14ac:dyDescent="0.2">
      <c r="D351" s="104"/>
    </row>
    <row r="352" spans="4:4" x14ac:dyDescent="0.2">
      <c r="D352" s="104"/>
    </row>
    <row r="353" spans="4:4" x14ac:dyDescent="0.2">
      <c r="D353" s="104"/>
    </row>
    <row r="354" spans="4:4" x14ac:dyDescent="0.2">
      <c r="D354" s="104"/>
    </row>
    <row r="355" spans="4:4" x14ac:dyDescent="0.2">
      <c r="D355" s="104"/>
    </row>
    <row r="356" spans="4:4" x14ac:dyDescent="0.2">
      <c r="D356" s="104"/>
    </row>
    <row r="357" spans="4:4" x14ac:dyDescent="0.2">
      <c r="D357" s="104"/>
    </row>
    <row r="358" spans="4:4" x14ac:dyDescent="0.2">
      <c r="D358" s="104"/>
    </row>
    <row r="359" spans="4:4" x14ac:dyDescent="0.2">
      <c r="D359" s="104"/>
    </row>
    <row r="360" spans="4:4" x14ac:dyDescent="0.2">
      <c r="D360" s="104"/>
    </row>
    <row r="361" spans="4:4" x14ac:dyDescent="0.2">
      <c r="D361" s="104"/>
    </row>
    <row r="362" spans="4:4" x14ac:dyDescent="0.2">
      <c r="D362" s="104"/>
    </row>
    <row r="363" spans="4:4" x14ac:dyDescent="0.2">
      <c r="D363" s="104"/>
    </row>
    <row r="364" spans="4:4" x14ac:dyDescent="0.2">
      <c r="D364" s="104"/>
    </row>
    <row r="365" spans="4:4" x14ac:dyDescent="0.2">
      <c r="D365" s="104"/>
    </row>
    <row r="366" spans="4:4" x14ac:dyDescent="0.2">
      <c r="D366" s="104"/>
    </row>
    <row r="367" spans="4:4" x14ac:dyDescent="0.2">
      <c r="D367" s="104"/>
    </row>
    <row r="368" spans="4:4" x14ac:dyDescent="0.2">
      <c r="D368" s="104"/>
    </row>
    <row r="369" spans="4:4" x14ac:dyDescent="0.2">
      <c r="D369" s="104"/>
    </row>
    <row r="370" spans="4:4" x14ac:dyDescent="0.2">
      <c r="D370" s="104"/>
    </row>
    <row r="371" spans="4:4" x14ac:dyDescent="0.2">
      <c r="D371" s="104"/>
    </row>
    <row r="372" spans="4:4" x14ac:dyDescent="0.2">
      <c r="D372" s="104"/>
    </row>
    <row r="373" spans="4:4" x14ac:dyDescent="0.2">
      <c r="D373" s="104"/>
    </row>
    <row r="374" spans="4:4" x14ac:dyDescent="0.2">
      <c r="D374" s="104"/>
    </row>
    <row r="375" spans="4:4" x14ac:dyDescent="0.2">
      <c r="D375" s="104"/>
    </row>
    <row r="376" spans="4:4" x14ac:dyDescent="0.2">
      <c r="D376" s="104"/>
    </row>
    <row r="377" spans="4:4" x14ac:dyDescent="0.2">
      <c r="D377" s="104"/>
    </row>
    <row r="378" spans="4:4" x14ac:dyDescent="0.2">
      <c r="D378" s="104"/>
    </row>
    <row r="379" spans="4:4" x14ac:dyDescent="0.2">
      <c r="D379" s="104"/>
    </row>
    <row r="380" spans="4:4" x14ac:dyDescent="0.2">
      <c r="D380" s="104"/>
    </row>
    <row r="381" spans="4:4" x14ac:dyDescent="0.2">
      <c r="D381" s="104"/>
    </row>
    <row r="382" spans="4:4" x14ac:dyDescent="0.2">
      <c r="D382" s="104"/>
    </row>
    <row r="383" spans="4:4" x14ac:dyDescent="0.2">
      <c r="D383" s="104"/>
    </row>
    <row r="384" spans="4:4" x14ac:dyDescent="0.2">
      <c r="D384" s="104"/>
    </row>
    <row r="385" spans="4:4" x14ac:dyDescent="0.2">
      <c r="D385" s="104"/>
    </row>
    <row r="386" spans="4:4" x14ac:dyDescent="0.2">
      <c r="D386" s="104"/>
    </row>
    <row r="387" spans="4:4" x14ac:dyDescent="0.2">
      <c r="D387" s="104"/>
    </row>
    <row r="388" spans="4:4" x14ac:dyDescent="0.2">
      <c r="D388" s="104"/>
    </row>
    <row r="389" spans="4:4" x14ac:dyDescent="0.2">
      <c r="D389" s="104"/>
    </row>
    <row r="390" spans="4:4" x14ac:dyDescent="0.2">
      <c r="D390" s="104"/>
    </row>
    <row r="391" spans="4:4" x14ac:dyDescent="0.2">
      <c r="D391" s="104"/>
    </row>
    <row r="392" spans="4:4" x14ac:dyDescent="0.2">
      <c r="D392" s="104"/>
    </row>
    <row r="393" spans="4:4" x14ac:dyDescent="0.2">
      <c r="D393" s="104"/>
    </row>
    <row r="394" spans="4:4" x14ac:dyDescent="0.2">
      <c r="D394" s="104"/>
    </row>
    <row r="395" spans="4:4" x14ac:dyDescent="0.2">
      <c r="D395" s="104"/>
    </row>
    <row r="396" spans="4:4" x14ac:dyDescent="0.2">
      <c r="D396" s="104"/>
    </row>
    <row r="397" spans="4:4" x14ac:dyDescent="0.2">
      <c r="D397" s="104"/>
    </row>
    <row r="398" spans="4:4" x14ac:dyDescent="0.2">
      <c r="D398" s="104"/>
    </row>
    <row r="399" spans="4:4" x14ac:dyDescent="0.2">
      <c r="D399" s="104"/>
    </row>
    <row r="400" spans="4:4" x14ac:dyDescent="0.2">
      <c r="D400" s="104"/>
    </row>
    <row r="401" spans="4:4" x14ac:dyDescent="0.2">
      <c r="D401" s="104"/>
    </row>
    <row r="402" spans="4:4" x14ac:dyDescent="0.2">
      <c r="D402" s="104"/>
    </row>
    <row r="403" spans="4:4" x14ac:dyDescent="0.2">
      <c r="D403" s="104"/>
    </row>
    <row r="404" spans="4:4" x14ac:dyDescent="0.2">
      <c r="D404" s="104"/>
    </row>
    <row r="405" spans="4:4" x14ac:dyDescent="0.2">
      <c r="D405" s="104"/>
    </row>
    <row r="406" spans="4:4" x14ac:dyDescent="0.2">
      <c r="D406" s="104"/>
    </row>
    <row r="407" spans="4:4" x14ac:dyDescent="0.2">
      <c r="D407" s="104"/>
    </row>
    <row r="408" spans="4:4" x14ac:dyDescent="0.2">
      <c r="D408" s="104"/>
    </row>
    <row r="409" spans="4:4" x14ac:dyDescent="0.2">
      <c r="D409" s="104"/>
    </row>
    <row r="410" spans="4:4" x14ac:dyDescent="0.2">
      <c r="D410" s="104"/>
    </row>
    <row r="411" spans="4:4" x14ac:dyDescent="0.2">
      <c r="D411" s="104"/>
    </row>
    <row r="412" spans="4:4" x14ac:dyDescent="0.2">
      <c r="D412" s="104"/>
    </row>
    <row r="413" spans="4:4" x14ac:dyDescent="0.2">
      <c r="D413" s="104"/>
    </row>
    <row r="414" spans="4:4" x14ac:dyDescent="0.2">
      <c r="D414" s="104"/>
    </row>
    <row r="415" spans="4:4" x14ac:dyDescent="0.2">
      <c r="D415" s="104"/>
    </row>
    <row r="416" spans="4:4" x14ac:dyDescent="0.2">
      <c r="D416" s="104"/>
    </row>
    <row r="417" spans="4:4" x14ac:dyDescent="0.2">
      <c r="D417" s="104"/>
    </row>
    <row r="418" spans="4:4" x14ac:dyDescent="0.2">
      <c r="D418" s="104"/>
    </row>
    <row r="419" spans="4:4" x14ac:dyDescent="0.2">
      <c r="D419" s="104"/>
    </row>
    <row r="420" spans="4:4" x14ac:dyDescent="0.2">
      <c r="D420" s="104"/>
    </row>
    <row r="421" spans="4:4" x14ac:dyDescent="0.2">
      <c r="D421" s="104"/>
    </row>
    <row r="422" spans="4:4" x14ac:dyDescent="0.2">
      <c r="D422" s="104"/>
    </row>
    <row r="423" spans="4:4" x14ac:dyDescent="0.2">
      <c r="D423" s="104"/>
    </row>
    <row r="424" spans="4:4" x14ac:dyDescent="0.2">
      <c r="D424" s="104"/>
    </row>
    <row r="425" spans="4:4" x14ac:dyDescent="0.2">
      <c r="D425" s="104"/>
    </row>
    <row r="426" spans="4:4" x14ac:dyDescent="0.2">
      <c r="D426" s="104"/>
    </row>
    <row r="427" spans="4:4" x14ac:dyDescent="0.2">
      <c r="D427" s="104"/>
    </row>
    <row r="428" spans="4:4" x14ac:dyDescent="0.2">
      <c r="D428" s="104"/>
    </row>
    <row r="429" spans="4:4" x14ac:dyDescent="0.2">
      <c r="D429" s="104"/>
    </row>
    <row r="430" spans="4:4" x14ac:dyDescent="0.2">
      <c r="D430" s="104"/>
    </row>
    <row r="431" spans="4:4" x14ac:dyDescent="0.2">
      <c r="D431" s="104"/>
    </row>
    <row r="432" spans="4:4" x14ac:dyDescent="0.2">
      <c r="D432" s="104"/>
    </row>
    <row r="433" spans="4:4" x14ac:dyDescent="0.2">
      <c r="D433" s="104"/>
    </row>
    <row r="434" spans="4:4" x14ac:dyDescent="0.2">
      <c r="D434" s="104"/>
    </row>
    <row r="435" spans="4:4" x14ac:dyDescent="0.2">
      <c r="D435" s="104"/>
    </row>
    <row r="436" spans="4:4" x14ac:dyDescent="0.2">
      <c r="D436" s="104"/>
    </row>
    <row r="437" spans="4:4" x14ac:dyDescent="0.2">
      <c r="D437" s="104"/>
    </row>
    <row r="438" spans="4:4" x14ac:dyDescent="0.2">
      <c r="D438" s="104"/>
    </row>
    <row r="439" spans="4:4" x14ac:dyDescent="0.2">
      <c r="D439" s="104"/>
    </row>
    <row r="440" spans="4:4" x14ac:dyDescent="0.2">
      <c r="D440" s="104"/>
    </row>
    <row r="441" spans="4:4" x14ac:dyDescent="0.2">
      <c r="D441" s="104"/>
    </row>
    <row r="442" spans="4:4" x14ac:dyDescent="0.2">
      <c r="D442" s="104"/>
    </row>
    <row r="443" spans="4:4" x14ac:dyDescent="0.2">
      <c r="D443" s="104"/>
    </row>
    <row r="444" spans="4:4" x14ac:dyDescent="0.2">
      <c r="D444" s="104"/>
    </row>
    <row r="445" spans="4:4" x14ac:dyDescent="0.2">
      <c r="D445" s="104"/>
    </row>
    <row r="446" spans="4:4" x14ac:dyDescent="0.2">
      <c r="D446" s="104"/>
    </row>
    <row r="447" spans="4:4" x14ac:dyDescent="0.2">
      <c r="D447" s="104"/>
    </row>
    <row r="448" spans="4:4" x14ac:dyDescent="0.2">
      <c r="D448" s="104"/>
    </row>
    <row r="449" spans="4:4" x14ac:dyDescent="0.2">
      <c r="D449" s="104"/>
    </row>
    <row r="450" spans="4:4" x14ac:dyDescent="0.2">
      <c r="D450" s="104"/>
    </row>
    <row r="451" spans="4:4" x14ac:dyDescent="0.2">
      <c r="D451" s="104"/>
    </row>
    <row r="452" spans="4:4" x14ac:dyDescent="0.2">
      <c r="D452" s="104"/>
    </row>
    <row r="453" spans="4:4" x14ac:dyDescent="0.2">
      <c r="D453" s="104"/>
    </row>
    <row r="454" spans="4:4" x14ac:dyDescent="0.2">
      <c r="D454" s="104"/>
    </row>
    <row r="455" spans="4:4" x14ac:dyDescent="0.2">
      <c r="D455" s="104"/>
    </row>
    <row r="456" spans="4:4" x14ac:dyDescent="0.2">
      <c r="D456" s="104"/>
    </row>
    <row r="457" spans="4:4" x14ac:dyDescent="0.2">
      <c r="D457" s="104"/>
    </row>
    <row r="458" spans="4:4" x14ac:dyDescent="0.2">
      <c r="D458" s="104"/>
    </row>
    <row r="459" spans="4:4" x14ac:dyDescent="0.2">
      <c r="D459" s="104"/>
    </row>
    <row r="460" spans="4:4" x14ac:dyDescent="0.2">
      <c r="D460" s="104"/>
    </row>
    <row r="461" spans="4:4" x14ac:dyDescent="0.2">
      <c r="D461" s="104"/>
    </row>
    <row r="462" spans="4:4" x14ac:dyDescent="0.2">
      <c r="D462" s="104"/>
    </row>
    <row r="463" spans="4:4" x14ac:dyDescent="0.2">
      <c r="D463" s="104"/>
    </row>
    <row r="464" spans="4:4" x14ac:dyDescent="0.2">
      <c r="D464" s="104"/>
    </row>
    <row r="465" spans="4:4" x14ac:dyDescent="0.2">
      <c r="D465" s="104"/>
    </row>
    <row r="466" spans="4:4" x14ac:dyDescent="0.2">
      <c r="D466" s="104"/>
    </row>
    <row r="467" spans="4:4" x14ac:dyDescent="0.2">
      <c r="D467" s="104"/>
    </row>
    <row r="468" spans="4:4" x14ac:dyDescent="0.2">
      <c r="D468" s="104"/>
    </row>
    <row r="469" spans="4:4" x14ac:dyDescent="0.2">
      <c r="D469" s="104"/>
    </row>
    <row r="470" spans="4:4" x14ac:dyDescent="0.2">
      <c r="D470" s="104"/>
    </row>
    <row r="471" spans="4:4" x14ac:dyDescent="0.2">
      <c r="D471" s="104"/>
    </row>
    <row r="472" spans="4:4" x14ac:dyDescent="0.2">
      <c r="D472" s="104"/>
    </row>
    <row r="473" spans="4:4" x14ac:dyDescent="0.2">
      <c r="D473" s="104"/>
    </row>
    <row r="474" spans="4:4" x14ac:dyDescent="0.2">
      <c r="D474" s="104"/>
    </row>
    <row r="475" spans="4:4" x14ac:dyDescent="0.2">
      <c r="D475" s="104"/>
    </row>
    <row r="476" spans="4:4" x14ac:dyDescent="0.2">
      <c r="D476" s="104"/>
    </row>
    <row r="477" spans="4:4" x14ac:dyDescent="0.2">
      <c r="D477" s="104"/>
    </row>
    <row r="478" spans="4:4" x14ac:dyDescent="0.2">
      <c r="D478" s="104"/>
    </row>
    <row r="479" spans="4:4" x14ac:dyDescent="0.2">
      <c r="D479" s="104"/>
    </row>
    <row r="480" spans="4:4" x14ac:dyDescent="0.2">
      <c r="D480" s="104"/>
    </row>
    <row r="481" spans="4:4" x14ac:dyDescent="0.2">
      <c r="D481" s="104"/>
    </row>
    <row r="482" spans="4:4" x14ac:dyDescent="0.2">
      <c r="D482" s="104"/>
    </row>
    <row r="483" spans="4:4" x14ac:dyDescent="0.2">
      <c r="D483" s="104"/>
    </row>
    <row r="484" spans="4:4" x14ac:dyDescent="0.2">
      <c r="D484" s="104"/>
    </row>
    <row r="485" spans="4:4" x14ac:dyDescent="0.2">
      <c r="D485" s="104"/>
    </row>
    <row r="486" spans="4:4" x14ac:dyDescent="0.2">
      <c r="D486" s="104"/>
    </row>
    <row r="487" spans="4:4" x14ac:dyDescent="0.2">
      <c r="D487" s="104"/>
    </row>
    <row r="488" spans="4:4" x14ac:dyDescent="0.2">
      <c r="D488" s="104"/>
    </row>
    <row r="489" spans="4:4" x14ac:dyDescent="0.2">
      <c r="D489" s="104"/>
    </row>
    <row r="490" spans="4:4" x14ac:dyDescent="0.2">
      <c r="D490" s="104"/>
    </row>
    <row r="491" spans="4:4" x14ac:dyDescent="0.2">
      <c r="D491" s="104"/>
    </row>
    <row r="492" spans="4:4" x14ac:dyDescent="0.2">
      <c r="D492" s="104"/>
    </row>
    <row r="493" spans="4:4" x14ac:dyDescent="0.2">
      <c r="D493" s="104"/>
    </row>
    <row r="494" spans="4:4" x14ac:dyDescent="0.2">
      <c r="D494" s="104"/>
    </row>
    <row r="495" spans="4:4" x14ac:dyDescent="0.2">
      <c r="D495" s="104"/>
    </row>
    <row r="496" spans="4:4" x14ac:dyDescent="0.2">
      <c r="D496" s="104"/>
    </row>
    <row r="497" spans="4:4" x14ac:dyDescent="0.2">
      <c r="D497" s="104"/>
    </row>
    <row r="498" spans="4:4" x14ac:dyDescent="0.2">
      <c r="D498" s="104"/>
    </row>
    <row r="499" spans="4:4" x14ac:dyDescent="0.2">
      <c r="D499" s="104"/>
    </row>
    <row r="500" spans="4:4" x14ac:dyDescent="0.2">
      <c r="D500" s="104"/>
    </row>
    <row r="501" spans="4:4" x14ac:dyDescent="0.2">
      <c r="D501" s="104"/>
    </row>
    <row r="502" spans="4:4" x14ac:dyDescent="0.2">
      <c r="D502" s="104"/>
    </row>
    <row r="503" spans="4:4" x14ac:dyDescent="0.2">
      <c r="D503" s="104"/>
    </row>
    <row r="504" spans="4:4" x14ac:dyDescent="0.2">
      <c r="D504" s="104"/>
    </row>
    <row r="505" spans="4:4" x14ac:dyDescent="0.2">
      <c r="D505" s="104"/>
    </row>
    <row r="506" spans="4:4" x14ac:dyDescent="0.2">
      <c r="D506" s="104"/>
    </row>
    <row r="507" spans="4:4" x14ac:dyDescent="0.2">
      <c r="D507" s="104"/>
    </row>
    <row r="508" spans="4:4" x14ac:dyDescent="0.2">
      <c r="D508" s="104"/>
    </row>
    <row r="509" spans="4:4" x14ac:dyDescent="0.2">
      <c r="D509" s="104"/>
    </row>
    <row r="510" spans="4:4" x14ac:dyDescent="0.2">
      <c r="D510" s="104"/>
    </row>
    <row r="511" spans="4:4" x14ac:dyDescent="0.2">
      <c r="D511" s="104"/>
    </row>
    <row r="512" spans="4:4" x14ac:dyDescent="0.2">
      <c r="D512" s="104"/>
    </row>
    <row r="513" spans="4:4" x14ac:dyDescent="0.2">
      <c r="D513" s="104"/>
    </row>
    <row r="514" spans="4:4" x14ac:dyDescent="0.2">
      <c r="D514" s="104"/>
    </row>
    <row r="515" spans="4:4" x14ac:dyDescent="0.2">
      <c r="D515" s="104"/>
    </row>
    <row r="516" spans="4:4" x14ac:dyDescent="0.2">
      <c r="D516" s="104"/>
    </row>
    <row r="517" spans="4:4" x14ac:dyDescent="0.2">
      <c r="D517" s="104"/>
    </row>
    <row r="518" spans="4:4" x14ac:dyDescent="0.2">
      <c r="D518" s="104"/>
    </row>
    <row r="519" spans="4:4" x14ac:dyDescent="0.2">
      <c r="D519" s="104"/>
    </row>
    <row r="520" spans="4:4" x14ac:dyDescent="0.2">
      <c r="D520" s="104"/>
    </row>
    <row r="521" spans="4:4" x14ac:dyDescent="0.2">
      <c r="D521" s="104"/>
    </row>
    <row r="522" spans="4:4" x14ac:dyDescent="0.2">
      <c r="D522" s="104"/>
    </row>
    <row r="523" spans="4:4" x14ac:dyDescent="0.2">
      <c r="D523" s="104"/>
    </row>
    <row r="524" spans="4:4" x14ac:dyDescent="0.2">
      <c r="D524" s="104"/>
    </row>
    <row r="525" spans="4:4" x14ac:dyDescent="0.2">
      <c r="D525" s="104"/>
    </row>
  </sheetData>
  <sheetProtection selectLockedCells="1"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20</vt:i4>
      </vt:variant>
    </vt:vector>
  </HeadingPairs>
  <TitlesOfParts>
    <vt:vector size="39" baseType="lpstr">
      <vt:lpstr>Main</vt:lpstr>
      <vt:lpstr>DaqBook_RAW_Data</vt:lpstr>
      <vt:lpstr>Packet_Content</vt:lpstr>
      <vt:lpstr>CERT</vt:lpstr>
      <vt:lpstr>Data_Sheet</vt:lpstr>
      <vt:lpstr>Data_Sheet_15_28</vt:lpstr>
      <vt:lpstr>Data_Sheet_29_40</vt:lpstr>
      <vt:lpstr>Comparison_Report</vt:lpstr>
      <vt:lpstr>TUS_Worksheet</vt:lpstr>
      <vt:lpstr>Interp</vt:lpstr>
      <vt:lpstr>Access_Data</vt:lpstr>
      <vt:lpstr>Header Info</vt:lpstr>
      <vt:lpstr>Standards_Import</vt:lpstr>
      <vt:lpstr>Standards_Info</vt:lpstr>
      <vt:lpstr>Furnace_Data</vt:lpstr>
      <vt:lpstr>LOG</vt:lpstr>
      <vt:lpstr>Salesforce_Data</vt:lpstr>
      <vt:lpstr>Customer Table</vt:lpstr>
      <vt:lpstr>Software_Validation, Rev. His.</vt:lpstr>
      <vt:lpstr>CompanyList</vt:lpstr>
      <vt:lpstr>Condition</vt:lpstr>
      <vt:lpstr>DBTrace</vt:lpstr>
      <vt:lpstr>FurnaceList</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Tracability</vt:lpstr>
      <vt:lpstr>Wire_Sets_Probes</vt:lpstr>
      <vt:lpstr>Wire_Type</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2025-03-29T05:12:43Z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