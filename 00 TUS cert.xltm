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2.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3CA8C7A4-FF12-4C43-B6C9-90E7BD488C7E}"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Furnace_Data" sheetId="22" r:id="rId8"/>
    <sheet name="Header Info" sheetId="30" r:id="rId9"/>
    <sheet name="Data_Sheet" sheetId="13" r:id="rId10"/>
    <sheet name="Data_Sheet_15_28" sheetId="14" r:id="rId11"/>
    <sheet name="Data_Sheet_29_40" sheetId="15" r:id="rId12"/>
    <sheet name="Packet_Content" sheetId="19" r:id="rId13"/>
    <sheet name="Comparison_Report" sheetId="4" r:id="rId14"/>
    <sheet name="TUS_Worksheet" sheetId="5" r:id="rId15"/>
    <sheet name="Interp" sheetId="21" r:id="rId16"/>
    <sheet name="Access_Data" sheetId="1" r:id="rId17"/>
    <sheet name="Standards_Import" sheetId="20" r:id="rId18"/>
    <sheet name="Standards_Info" sheetId="12" r:id="rId19"/>
    <sheet name="Enabler4Excel_Picklist_Values" sheetId="25" state="veryHidden" r:id="rId20"/>
    <sheet name="LOG" sheetId="24" r:id="rId21"/>
    <sheet name="Software_Validation, Rev. His." sheetId="17" r:id="rId22"/>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4" hidden="1">AssetPool!$A$1:$O$71</definedName>
    <definedName name="ClientAssetAttributes_GetAssetAttributesByAssetId" localSheetId="5" hidden="1">'ClientAssetAttributes'!$A$1:$B$25</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3">Comparison_Report!$A$1:$N$40</definedName>
    <definedName name="_xlnm.Print_Area" localSheetId="9">Data_Sheet!$A$1:$P$49</definedName>
    <definedName name="_xlnm.Print_Area" localSheetId="10">Data_Sheet_15_28!$A$1:$P$49</definedName>
    <definedName name="_xlnm.Print_Area" localSheetId="11">Data_Sheet_29_40!$A$1:$P$49</definedName>
    <definedName name="_xlnm.Print_Area" localSheetId="12">Packet_Content!$A$1:$I$43</definedName>
    <definedName name="_xlnm.Print_Area" localSheetId="14">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B2" i="30" l="1"/>
  <c r="CC2" i="30"/>
  <c r="CD2" i="30"/>
  <c r="CE2" i="30"/>
  <c r="BW2" i="30"/>
  <c r="BX2" i="30"/>
  <c r="BY2" i="30"/>
  <c r="BZ2" i="30"/>
  <c r="BR2" i="30"/>
  <c r="BS2" i="30"/>
  <c r="BT2" i="30"/>
  <c r="BU2" i="30"/>
  <c r="BV2" i="30"/>
  <c r="BP2" i="30"/>
  <c r="BQ2" i="30"/>
  <c r="BO2" i="30"/>
  <c r="BN2" i="30"/>
  <c r="BM2" i="30"/>
  <c r="BL2" i="30"/>
  <c r="BK2" i="30"/>
  <c r="BJ2" i="30"/>
  <c r="BI2" i="30"/>
  <c r="BG2" i="30"/>
  <c r="BH2" i="30"/>
  <c r="BF2" i="30"/>
  <c r="BA2" i="30"/>
  <c r="AZ2" i="30"/>
  <c r="AY2" i="30"/>
  <c r="AX2" i="30"/>
  <c r="AU2" i="30"/>
  <c r="I6" i="8"/>
  <c r="BE2" i="30" s="1"/>
  <c r="CH2" i="30" a="1"/>
  <c r="CH2" i="30" s="1"/>
  <c r="AT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BB2" i="30" l="1"/>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D15" i="1"/>
  <c r="B12" i="1"/>
  <c r="G19"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E40" i="20"/>
  <c r="AB24" i="20"/>
  <c r="AD29" i="20"/>
  <c r="AA4" i="20"/>
  <c r="AE34" i="20"/>
  <c r="AD21" i="20"/>
  <c r="AD17" i="20"/>
  <c r="AA33" i="20"/>
  <c r="AE10" i="20"/>
  <c r="AE27" i="20"/>
  <c r="AB16" i="20"/>
  <c r="AD27" i="20"/>
  <c r="AD13" i="20"/>
  <c r="AB26" i="20"/>
  <c r="AD6" i="20"/>
  <c r="AC13" i="20"/>
  <c r="AB18" i="20"/>
  <c r="AB13" i="20"/>
  <c r="AC23" i="20"/>
  <c r="AA9" i="20"/>
  <c r="AE36" i="20"/>
  <c r="AC32" i="20"/>
  <c r="AE20" i="20"/>
  <c r="AD38" i="20"/>
  <c r="AC10" i="20"/>
  <c r="AD10" i="20"/>
  <c r="AA21" i="20"/>
  <c r="AC24" i="20"/>
  <c r="AC15" i="20"/>
  <c r="AD25" i="20"/>
  <c r="AE12" i="20"/>
  <c r="AC20" i="20"/>
  <c r="AE5" i="20"/>
  <c r="AD11" i="20"/>
  <c r="AB29" i="20"/>
  <c r="AC38" i="20"/>
  <c r="AB2" i="20"/>
  <c r="AE32" i="20"/>
  <c r="AD3" i="20"/>
  <c r="AB9" i="20"/>
  <c r="AC29" i="20"/>
  <c r="AB38" i="20"/>
  <c r="AC30" i="20"/>
  <c r="AD15" i="20"/>
  <c r="AB3" i="20"/>
  <c r="AA32" i="20"/>
  <c r="AB20" i="20"/>
  <c r="AE6" i="20"/>
  <c r="AB10" i="20"/>
  <c r="AE24" i="20"/>
  <c r="AC5" i="20"/>
  <c r="AA16" i="20"/>
  <c r="AA17" i="20"/>
  <c r="AA12" i="20"/>
  <c r="AC4" i="20"/>
  <c r="AB27" i="20"/>
  <c r="AD14" i="20"/>
  <c r="AD18" i="20"/>
  <c r="AE21" i="20"/>
  <c r="AD26" i="20"/>
  <c r="AB36" i="20"/>
  <c r="AA30" i="20"/>
  <c r="AB8" i="20"/>
  <c r="AE33" i="20"/>
  <c r="AA13" i="20"/>
  <c r="AA11" i="20"/>
  <c r="AB30" i="20"/>
  <c r="AC22" i="20"/>
  <c r="AD36" i="20"/>
  <c r="AC8" i="20"/>
  <c r="AB32" i="20"/>
  <c r="AD31" i="20"/>
  <c r="AE17" i="20"/>
  <c r="AA31" i="20"/>
  <c r="AE39" i="20"/>
  <c r="AA19" i="20"/>
  <c r="AD34" i="20"/>
  <c r="AE15" i="20"/>
  <c r="AD12" i="20"/>
  <c r="AB33" i="20"/>
  <c r="AA34" i="20"/>
  <c r="AB28" i="20"/>
  <c r="AD24" i="20"/>
  <c r="AB5" i="20"/>
  <c r="AC33" i="20"/>
  <c r="AA37" i="20"/>
  <c r="AC19" i="20"/>
  <c r="AC40" i="20"/>
  <c r="AC6" i="20"/>
  <c r="AE11" i="20"/>
  <c r="AE26" i="20"/>
  <c r="AC12" i="20"/>
  <c r="AA8" i="20"/>
  <c r="AA28" i="20"/>
  <c r="AC16" i="20"/>
  <c r="AD28" i="20"/>
  <c r="AC9" i="20"/>
  <c r="AE28" i="20"/>
  <c r="AC17" i="20"/>
  <c r="AE3" i="20"/>
  <c r="AE16" i="20"/>
  <c r="AE30" i="20"/>
  <c r="AD7" i="20"/>
  <c r="AB25" i="20"/>
  <c r="AA18" i="20"/>
  <c r="AE22" i="20"/>
  <c r="AC18" i="20"/>
  <c r="AD9" i="20"/>
  <c r="AC3" i="20"/>
  <c r="AE4" i="20"/>
  <c r="AB21" i="20"/>
  <c r="AE35" i="20"/>
  <c r="AC35" i="20"/>
  <c r="AD35" i="20"/>
  <c r="AC21" i="20"/>
  <c r="AA40" i="20"/>
  <c r="AC11" i="20"/>
  <c r="AD39" i="20"/>
  <c r="AE14" i="20"/>
  <c r="AC14" i="20"/>
  <c r="AE2" i="20"/>
  <c r="AE41" i="20"/>
  <c r="AA38" i="20"/>
  <c r="AC7" i="20"/>
  <c r="AE38" i="20"/>
  <c r="AA20" i="20"/>
  <c r="AA41" i="20"/>
  <c r="AD2" i="20"/>
  <c r="AB39" i="20"/>
  <c r="AC28" i="20"/>
  <c r="AB6" i="20"/>
  <c r="AE19" i="20"/>
  <c r="AA22" i="20"/>
  <c r="AB35" i="20"/>
  <c r="AC2" i="20"/>
  <c r="AD19" i="20"/>
  <c r="AB4" i="20"/>
  <c r="AD16" i="20"/>
  <c r="AA7" i="20"/>
  <c r="AD30" i="20"/>
  <c r="AE29" i="20"/>
  <c r="AB14" i="20"/>
  <c r="AA36" i="20"/>
  <c r="AB37" i="20"/>
  <c r="AB19" i="20"/>
  <c r="AE31" i="20"/>
  <c r="AD20" i="20"/>
  <c r="AD41" i="20"/>
  <c r="AD5" i="20"/>
  <c r="AB34" i="20"/>
  <c r="AA15" i="20"/>
  <c r="AE8" i="20"/>
  <c r="AD37" i="20"/>
  <c r="AD8" i="20"/>
  <c r="AB31" i="20"/>
  <c r="AB40" i="20"/>
  <c r="AC37" i="20"/>
  <c r="AA24" i="20"/>
  <c r="AA26" i="20"/>
  <c r="AE18" i="20"/>
  <c r="AB7" i="20"/>
  <c r="AE13" i="20"/>
  <c r="AC25" i="20"/>
  <c r="AB17" i="20"/>
  <c r="AE37" i="20"/>
  <c r="AC27" i="20"/>
  <c r="AD23" i="20"/>
  <c r="AD22" i="20"/>
  <c r="AA35" i="20"/>
  <c r="AD32" i="20"/>
  <c r="AB11" i="20"/>
  <c r="AC26" i="20"/>
  <c r="AE7" i="20"/>
  <c r="AA27" i="20"/>
  <c r="AE9" i="20"/>
  <c r="AD33" i="20"/>
  <c r="AE23" i="20"/>
  <c r="AB23" i="20"/>
  <c r="AA6" i="20"/>
  <c r="AB41" i="20"/>
  <c r="AC41" i="20"/>
  <c r="AC34" i="20"/>
  <c r="AA14" i="20"/>
  <c r="AC36" i="20"/>
  <c r="AE25" i="20"/>
  <c r="AD40" i="20"/>
  <c r="AA5" i="20"/>
  <c r="AA25" i="20"/>
  <c r="AA39" i="20"/>
  <c r="AA29" i="20"/>
  <c r="AC39" i="20"/>
  <c r="AB12" i="20"/>
  <c r="AA3" i="20"/>
  <c r="AB15" i="20"/>
  <c r="AA23" i="20"/>
  <c r="AC31" i="20"/>
  <c r="AD4" i="20"/>
  <c r="AA10" i="20"/>
  <c r="AB22"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M14" i="1"/>
  <c r="H10" i="1"/>
  <c r="J22" i="1"/>
  <c r="F11" i="1"/>
  <c r="J23" i="1"/>
  <c r="D23" i="1"/>
  <c r="F12" i="1"/>
  <c r="C16" i="1"/>
  <c r="L25" i="1"/>
  <c r="I14" i="1"/>
  <c r="E19" i="1"/>
  <c r="B19" i="1"/>
  <c r="A22" i="1"/>
  <c r="M22" i="1"/>
  <c r="G18" i="1"/>
  <c r="B18" i="1"/>
  <c r="J20" i="1"/>
  <c r="G12" i="1"/>
  <c r="G10" i="1"/>
  <c r="K21" i="1"/>
  <c r="A23" i="1"/>
  <c r="A19" i="1"/>
  <c r="E17" i="1"/>
  <c r="F19" i="1"/>
  <c r="N14" i="1"/>
  <c r="A24" i="1"/>
  <c r="C10" i="1"/>
  <c r="E14" i="1"/>
  <c r="K24" i="1"/>
  <c r="D10" i="1"/>
  <c r="I11" i="1"/>
  <c r="F20" i="1"/>
  <c r="K25" i="1"/>
  <c r="N13" i="1"/>
  <c r="I13" i="1"/>
  <c r="K19" i="1"/>
  <c r="O22" i="1"/>
  <c r="K13" i="1"/>
  <c r="J25" i="1"/>
  <c r="N11" i="1"/>
  <c r="K22" i="1"/>
  <c r="N18" i="1"/>
  <c r="H16" i="1"/>
  <c r="A20" i="1"/>
  <c r="G13" i="1"/>
  <c r="L16" i="1"/>
  <c r="L13" i="1"/>
  <c r="F24" i="1"/>
  <c r="C12" i="1"/>
  <c r="I19" i="1"/>
  <c r="C15" i="1"/>
  <c r="E15" i="1"/>
  <c r="F23" i="1"/>
  <c r="M16" i="1"/>
  <c r="D21" i="1"/>
  <c r="G22" i="1"/>
  <c r="C19" i="1"/>
  <c r="I16" i="1"/>
  <c r="G20" i="1"/>
  <c r="A16" i="1"/>
  <c r="O25" i="1"/>
  <c r="B21" i="1"/>
  <c r="J24" i="1"/>
  <c r="O11" i="1"/>
  <c r="A13" i="1"/>
  <c r="O15" i="1"/>
  <c r="E18" i="1"/>
  <c r="O21" i="1"/>
  <c r="A14" i="1"/>
  <c r="L18" i="1"/>
  <c r="M15" i="1"/>
  <c r="H17" i="1"/>
  <c r="N21" i="1"/>
  <c r="O18" i="1"/>
  <c r="M21" i="1"/>
  <c r="M23" i="1"/>
  <c r="L17" i="1"/>
  <c r="B14" i="1"/>
  <c r="J13" i="1"/>
  <c r="H15" i="1"/>
  <c r="N19" i="1"/>
  <c r="H21" i="1"/>
  <c r="H14" i="1"/>
  <c r="G15" i="1"/>
  <c r="D25" i="1"/>
  <c r="C13" i="1"/>
  <c r="M17" i="1"/>
  <c r="O19" i="1"/>
  <c r="E23" i="1"/>
  <c r="J21" i="1"/>
  <c r="I12" i="1"/>
  <c r="L10" i="1"/>
  <c r="C24" i="1"/>
  <c r="L21" i="1"/>
  <c r="E24" i="1"/>
  <c r="D24" i="1"/>
  <c r="J17" i="1"/>
  <c r="C22" i="1"/>
  <c r="L19" i="1"/>
  <c r="D17" i="1"/>
  <c r="C17" i="1"/>
  <c r="G16" i="1"/>
  <c r="B25" i="1"/>
  <c r="K17" i="1"/>
  <c r="A17" i="1"/>
  <c r="C21" i="1"/>
  <c r="M10" i="1"/>
  <c r="H23" i="1"/>
  <c r="I25" i="1"/>
  <c r="L11" i="1"/>
  <c r="F15" i="1"/>
  <c r="A21" i="1"/>
  <c r="D11" i="1"/>
  <c r="L14" i="1"/>
  <c r="J19" i="1"/>
  <c r="E22" i="1"/>
  <c r="N24" i="1"/>
  <c r="M24" i="1"/>
  <c r="N23" i="1"/>
  <c r="C18" i="1"/>
  <c r="D20" i="1"/>
  <c r="L15" i="1"/>
  <c r="H24" i="1"/>
  <c r="H11" i="1"/>
  <c r="G21" i="1"/>
  <c r="E16" i="1"/>
  <c r="B16" i="1"/>
  <c r="K15" i="1"/>
  <c r="F21" i="1"/>
  <c r="A25" i="1"/>
  <c r="K23" i="1"/>
  <c r="D16" i="1"/>
  <c r="I22" i="1"/>
  <c r="B17" i="1"/>
  <c r="E12" i="1"/>
  <c r="N15" i="1"/>
  <c r="F25" i="1"/>
  <c r="M11" i="1"/>
  <c r="O10" i="1"/>
  <c r="E25" i="1"/>
  <c r="O12" i="1"/>
  <c r="I24" i="1"/>
  <c r="K14" i="1"/>
  <c r="L20" i="1"/>
  <c r="I20" i="1"/>
  <c r="N20" i="1"/>
  <c r="J14" i="1"/>
  <c r="N25" i="1"/>
  <c r="F14" i="1"/>
  <c r="K10" i="1"/>
  <c r="H22" i="1"/>
  <c r="D22" i="1"/>
  <c r="M19" i="1"/>
  <c r="B24" i="1"/>
  <c r="N12" i="1"/>
  <c r="M12" i="1"/>
  <c r="E13" i="1"/>
  <c r="D19" i="1"/>
  <c r="O20" i="1"/>
  <c r="H20" i="1"/>
  <c r="E11" i="1"/>
  <c r="G25" i="1"/>
  <c r="A18" i="1"/>
  <c r="C20" i="1"/>
  <c r="L24" i="1"/>
  <c r="G24" i="1"/>
  <c r="H19" i="1"/>
  <c r="D13" i="1"/>
  <c r="O23" i="1"/>
  <c r="N16" i="1"/>
  <c r="E21" i="1"/>
  <c r="L23" i="1"/>
  <c r="G11" i="1"/>
  <c r="B20" i="1"/>
  <c r="M18" i="1"/>
  <c r="L22" i="1"/>
  <c r="K20" i="1"/>
  <c r="H12" i="1"/>
  <c r="J10" i="1"/>
  <c r="B15" i="1"/>
  <c r="A11" i="1"/>
  <c r="C23" i="1"/>
  <c r="F13" i="1"/>
  <c r="I23" i="1"/>
  <c r="F18" i="1"/>
  <c r="J18" i="1"/>
  <c r="C14" i="1"/>
  <c r="A12" i="1"/>
  <c r="N22" i="1"/>
  <c r="A15" i="1"/>
  <c r="M13" i="1"/>
  <c r="E10" i="1"/>
  <c r="I21" i="1"/>
  <c r="K16" i="1"/>
  <c r="D14" i="1"/>
  <c r="F16" i="1"/>
  <c r="A10" i="1"/>
  <c r="I10" i="1"/>
  <c r="O14" i="1"/>
  <c r="C11" i="1"/>
  <c r="B13" i="1"/>
  <c r="H13" i="1"/>
  <c r="G14" i="1"/>
  <c r="J11" i="1"/>
  <c r="D18" i="1"/>
  <c r="J12" i="1"/>
  <c r="N10" i="1"/>
  <c r="H25" i="1"/>
  <c r="O24" i="1"/>
  <c r="L12" i="1"/>
  <c r="B23" i="1"/>
  <c r="B22" i="1"/>
  <c r="F17" i="1"/>
  <c r="D12" i="1"/>
  <c r="N17" i="1"/>
  <c r="E20" i="1"/>
  <c r="O17" i="1"/>
  <c r="I18" i="1"/>
  <c r="K11" i="1"/>
  <c r="G17" i="1"/>
  <c r="J15" i="1"/>
  <c r="M25" i="1"/>
  <c r="M20" i="1"/>
  <c r="I17" i="1"/>
  <c r="C25" i="1"/>
  <c r="F10" i="1"/>
  <c r="I15" i="1"/>
  <c r="O16" i="1"/>
  <c r="G23" i="1"/>
  <c r="F22" i="1"/>
  <c r="J16" i="1"/>
  <c r="K18" i="1"/>
  <c r="H18" i="1"/>
  <c r="K12" i="1"/>
  <c r="O13"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18" i="1"/>
  <c r="AQ19" i="1"/>
  <c r="AE20" i="1"/>
  <c r="V18" i="1"/>
  <c r="AO15" i="1"/>
  <c r="AR10" i="1"/>
  <c r="X22" i="1"/>
  <c r="AU19" i="1"/>
  <c r="AI12" i="1"/>
  <c r="AP18" i="1"/>
  <c r="Y12" i="1"/>
  <c r="AU11" i="1"/>
  <c r="AE25" i="1"/>
  <c r="AG10" i="1"/>
  <c r="AE19" i="1"/>
  <c r="AV23" i="1"/>
  <c r="AD16" i="1"/>
  <c r="V21" i="1"/>
  <c r="AW23" i="1"/>
  <c r="V13" i="1"/>
  <c r="AG25" i="1"/>
  <c r="AA15" i="1"/>
  <c r="AP12" i="1"/>
  <c r="Y17" i="1"/>
  <c r="AF12" i="1"/>
  <c r="AT21" i="1"/>
  <c r="AX14" i="1"/>
  <c r="AG21" i="1"/>
  <c r="AD23" i="1"/>
  <c r="AI13" i="1"/>
  <c r="AW10" i="1"/>
  <c r="U17" i="1"/>
  <c r="AB23" i="1"/>
  <c r="AO19" i="1"/>
  <c r="X12" i="1"/>
  <c r="AZ20" i="1"/>
  <c r="AP17" i="1"/>
  <c r="AG18" i="1"/>
  <c r="AC12" i="1"/>
  <c r="AE16" i="1"/>
  <c r="W17" i="1"/>
  <c r="AY21" i="1"/>
  <c r="AP25" i="1"/>
  <c r="BA23" i="1"/>
  <c r="AR11" i="1"/>
  <c r="AY15" i="1"/>
  <c r="AA12" i="1"/>
  <c r="AD17" i="1"/>
  <c r="AZ14" i="1"/>
  <c r="AF20" i="1"/>
  <c r="AY24" i="1"/>
  <c r="AD25" i="1"/>
  <c r="W10" i="1"/>
  <c r="Y23" i="1"/>
  <c r="AU18" i="1"/>
  <c r="AY16" i="1"/>
  <c r="X10" i="1"/>
  <c r="AS18" i="1"/>
  <c r="AG22" i="1"/>
  <c r="AH24" i="1"/>
  <c r="AQ18" i="1"/>
  <c r="AF22" i="1"/>
  <c r="Z11" i="1"/>
  <c r="AO11" i="1"/>
  <c r="AY10" i="1"/>
  <c r="AH11" i="1"/>
  <c r="AH10" i="1"/>
  <c r="AR15" i="1"/>
  <c r="AT14" i="1"/>
  <c r="AX15" i="1"/>
  <c r="AY19" i="1"/>
  <c r="BA13" i="1"/>
  <c r="AZ16" i="1"/>
  <c r="AY18" i="1"/>
  <c r="AT12" i="1"/>
  <c r="U24" i="1"/>
  <c r="AQ16" i="1"/>
  <c r="AH20" i="1"/>
  <c r="AI24" i="1"/>
  <c r="AB22" i="1"/>
  <c r="AB14" i="1"/>
  <c r="AA24" i="1"/>
  <c r="AY17" i="1"/>
  <c r="X16" i="1"/>
  <c r="AT19" i="1"/>
  <c r="AE11" i="1"/>
  <c r="AQ12" i="1"/>
  <c r="AE13" i="1"/>
  <c r="U22" i="1"/>
  <c r="AF23" i="1"/>
  <c r="Z14" i="1"/>
  <c r="AB12" i="1"/>
  <c r="AH23" i="1"/>
  <c r="AA11" i="1"/>
  <c r="AH19" i="1"/>
  <c r="AV15" i="1"/>
  <c r="AV17" i="1"/>
  <c r="AG24" i="1"/>
  <c r="AP10" i="1"/>
  <c r="Y15" i="1"/>
  <c r="BA24" i="1"/>
  <c r="X21" i="1"/>
  <c r="V15" i="1"/>
  <c r="AQ25" i="1"/>
  <c r="AR24" i="1"/>
  <c r="AS12" i="1"/>
  <c r="AB13" i="1"/>
  <c r="AZ23" i="1"/>
  <c r="Z13" i="1"/>
  <c r="AA18" i="1"/>
  <c r="AA13" i="1"/>
  <c r="BA18" i="1"/>
  <c r="AO17" i="1"/>
  <c r="AT22" i="1"/>
  <c r="V19" i="1"/>
  <c r="AC14" i="1"/>
  <c r="AC13" i="1"/>
  <c r="AP13" i="1"/>
  <c r="AW24" i="1"/>
  <c r="AT23" i="1"/>
  <c r="W18" i="1"/>
  <c r="AI23" i="1"/>
  <c r="BA22" i="1"/>
  <c r="AC19" i="1"/>
  <c r="AD24" i="1"/>
  <c r="AU10" i="1"/>
  <c r="AG12" i="1"/>
  <c r="AZ18" i="1"/>
  <c r="AH12" i="1"/>
  <c r="AI15" i="1"/>
  <c r="U23" i="1"/>
  <c r="AP14" i="1"/>
  <c r="X13" i="1"/>
  <c r="AX24" i="1"/>
  <c r="AA19" i="1"/>
  <c r="AI21" i="1"/>
  <c r="AO24" i="1"/>
  <c r="AG14" i="1"/>
  <c r="Y20" i="1"/>
  <c r="AS14" i="1"/>
  <c r="U18" i="1"/>
  <c r="Z24" i="1"/>
  <c r="BA16" i="1"/>
  <c r="W13" i="1"/>
  <c r="AF25" i="1"/>
  <c r="AU15" i="1"/>
  <c r="X14" i="1"/>
  <c r="AT24" i="1"/>
  <c r="AT13" i="1"/>
  <c r="AF13" i="1"/>
  <c r="AC20" i="1"/>
  <c r="AE15" i="1"/>
  <c r="AF16" i="1"/>
  <c r="Y25" i="1"/>
  <c r="Y24" i="1"/>
  <c r="AD12" i="1"/>
  <c r="X15" i="1"/>
  <c r="AC11" i="1"/>
  <c r="AT15" i="1"/>
  <c r="AV16" i="1"/>
  <c r="W15" i="1"/>
  <c r="AR23" i="1"/>
  <c r="AI17" i="1"/>
  <c r="AT16" i="1"/>
  <c r="AC10" i="1"/>
  <c r="AV10" i="1"/>
  <c r="AR21" i="1"/>
  <c r="AQ15" i="1"/>
  <c r="AS25" i="1"/>
  <c r="BA25" i="1"/>
  <c r="AT18" i="1"/>
  <c r="AQ23" i="1"/>
  <c r="AZ13" i="1"/>
  <c r="AA10" i="1"/>
  <c r="AU14" i="1"/>
  <c r="AE22" i="1"/>
  <c r="AO21" i="1"/>
  <c r="AX18" i="1"/>
  <c r="AZ11" i="1"/>
  <c r="AC17" i="1"/>
  <c r="AB19" i="1"/>
  <c r="AD10" i="1"/>
  <c r="AP21" i="1"/>
  <c r="AO20" i="1"/>
  <c r="AV11" i="1"/>
  <c r="AW21" i="1"/>
  <c r="AB17" i="1"/>
  <c r="X23" i="1"/>
  <c r="V20" i="1"/>
  <c r="AO18" i="1"/>
  <c r="AO25" i="1"/>
  <c r="AZ21" i="1"/>
  <c r="X24" i="1"/>
  <c r="AZ24" i="1"/>
  <c r="AH25" i="1"/>
  <c r="BA19" i="1"/>
  <c r="AB21" i="1"/>
  <c r="AH18" i="1"/>
  <c r="AC24" i="1"/>
  <c r="AE21" i="1"/>
  <c r="AW19" i="1"/>
  <c r="AX16" i="1"/>
  <c r="AX12" i="1"/>
  <c r="U15" i="1"/>
  <c r="AU21" i="1"/>
  <c r="AR12" i="1"/>
  <c r="AV20" i="1"/>
  <c r="AS23" i="1"/>
  <c r="AW15" i="1"/>
  <c r="AS10" i="1"/>
  <c r="AO22" i="1"/>
  <c r="AI16" i="1"/>
  <c r="U11" i="1"/>
  <c r="AT10" i="1"/>
  <c r="AW16" i="1"/>
  <c r="Z22" i="1"/>
  <c r="AI18" i="1"/>
  <c r="AQ11" i="1"/>
  <c r="AW22" i="1"/>
  <c r="AW12" i="1"/>
  <c r="AG17" i="1"/>
  <c r="Z19" i="1"/>
  <c r="BA17" i="1"/>
  <c r="AI20" i="1"/>
  <c r="AH15" i="1"/>
  <c r="AC16" i="1"/>
  <c r="AA23" i="1"/>
  <c r="AO14" i="1"/>
  <c r="AW20" i="1"/>
  <c r="X11" i="1"/>
  <c r="AV25" i="1"/>
  <c r="AE23" i="1"/>
  <c r="AD14" i="1"/>
  <c r="Y18" i="1"/>
  <c r="Z21" i="1"/>
  <c r="AE14" i="1"/>
  <c r="AU25" i="1"/>
  <c r="AR20" i="1"/>
  <c r="AS22" i="1"/>
  <c r="Z18" i="1"/>
  <c r="AU16" i="1"/>
  <c r="W25" i="1"/>
  <c r="AQ24" i="1"/>
  <c r="AX22" i="1"/>
  <c r="Y22" i="1"/>
  <c r="V10" i="1"/>
  <c r="AU20" i="1"/>
  <c r="V14" i="1"/>
  <c r="X18" i="1"/>
  <c r="BA14" i="1"/>
  <c r="AP22" i="1"/>
  <c r="W19" i="1"/>
  <c r="AR19" i="1"/>
  <c r="AG19" i="1"/>
  <c r="AF24" i="1"/>
  <c r="AG13" i="1"/>
  <c r="Y14" i="1"/>
  <c r="AA16" i="1"/>
  <c r="AQ21" i="1"/>
  <c r="W23" i="1"/>
  <c r="U19" i="1"/>
  <c r="Y16" i="1"/>
  <c r="AW13" i="1"/>
  <c r="AE10" i="1"/>
  <c r="V25" i="1"/>
  <c r="AP24" i="1"/>
  <c r="AO16" i="1"/>
  <c r="AG15" i="1"/>
  <c r="AS16" i="1"/>
  <c r="AT11" i="1"/>
  <c r="AY25" i="1"/>
  <c r="U20" i="1"/>
  <c r="AE18" i="1"/>
  <c r="AD18" i="1"/>
  <c r="AU12" i="1"/>
  <c r="W14" i="1"/>
  <c r="AD22" i="1"/>
  <c r="X25" i="1"/>
  <c r="AY13" i="1"/>
  <c r="U21" i="1"/>
  <c r="AD11" i="1"/>
  <c r="AF10" i="1"/>
  <c r="AU22" i="1"/>
  <c r="AG16" i="1"/>
  <c r="Z15" i="1"/>
  <c r="U16" i="1"/>
  <c r="BA20" i="1"/>
  <c r="AV14" i="1"/>
  <c r="AF19" i="1"/>
  <c r="X20" i="1"/>
  <c r="AE24" i="1"/>
  <c r="AH21" i="1"/>
  <c r="AP23" i="1"/>
  <c r="AO12" i="1"/>
  <c r="AO23" i="1"/>
  <c r="AC21" i="1"/>
  <c r="AT25" i="1"/>
  <c r="AP15" i="1"/>
  <c r="AU17" i="1"/>
  <c r="AO10" i="1"/>
  <c r="U14" i="1"/>
  <c r="AH17" i="1"/>
  <c r="AY23" i="1"/>
  <c r="W20" i="1"/>
  <c r="AA21" i="1"/>
  <c r="Y21" i="1"/>
  <c r="AZ15" i="1"/>
  <c r="AF15" i="1"/>
  <c r="AV12" i="1"/>
  <c r="Z23" i="1"/>
  <c r="BA12" i="1"/>
  <c r="AV22" i="1"/>
  <c r="AR17" i="1"/>
  <c r="AB11" i="1"/>
  <c r="AG23" i="1"/>
  <c r="AZ19" i="1"/>
  <c r="AX11" i="1"/>
  <c r="BA11" i="1"/>
  <c r="AX19" i="1"/>
  <c r="AR16" i="1"/>
  <c r="AH22" i="1"/>
  <c r="AX21" i="1"/>
  <c r="AR25" i="1"/>
  <c r="W24" i="1"/>
  <c r="AW25" i="1"/>
  <c r="AS19" i="1"/>
  <c r="W12" i="1"/>
  <c r="AY12" i="1"/>
  <c r="Z12" i="1"/>
  <c r="AF18" i="1"/>
  <c r="AC15" i="1"/>
  <c r="AD13" i="1"/>
  <c r="AI19" i="1"/>
  <c r="AS13" i="1"/>
  <c r="AZ10" i="1"/>
  <c r="AQ22" i="1"/>
  <c r="BA15" i="1"/>
  <c r="AU23" i="1"/>
  <c r="AZ22" i="1"/>
  <c r="AA22" i="1"/>
  <c r="AF14" i="1"/>
  <c r="AU13" i="1"/>
  <c r="AB24" i="1"/>
  <c r="AX10" i="1"/>
  <c r="AB20" i="1"/>
  <c r="U25" i="1"/>
  <c r="AW17" i="1"/>
  <c r="Y13" i="1"/>
  <c r="AA20" i="1"/>
  <c r="AX25" i="1"/>
  <c r="AB18" i="1"/>
  <c r="AR14" i="1"/>
  <c r="V23" i="1"/>
  <c r="AQ17" i="1"/>
  <c r="AQ14" i="1"/>
  <c r="AF17" i="1"/>
  <c r="AY14" i="1"/>
  <c r="Y11" i="1"/>
  <c r="AQ20" i="1"/>
  <c r="V22" i="1"/>
  <c r="AH14" i="1"/>
  <c r="AI22" i="1"/>
  <c r="V17" i="1"/>
  <c r="BA10" i="1"/>
  <c r="AX17" i="1"/>
  <c r="AB15" i="1"/>
  <c r="AR18" i="1"/>
  <c r="AB25" i="1"/>
  <c r="AA14" i="1"/>
  <c r="AA17" i="1"/>
  <c r="AH16" i="1"/>
  <c r="AC22" i="1"/>
  <c r="AV19" i="1"/>
  <c r="AS20" i="1"/>
  <c r="V12" i="1"/>
  <c r="Z25" i="1"/>
  <c r="AV21" i="1"/>
  <c r="AF21" i="1"/>
  <c r="W16" i="1"/>
  <c r="AU24" i="1"/>
  <c r="AP20" i="1"/>
  <c r="AC18" i="1"/>
  <c r="AV13" i="1"/>
  <c r="W11" i="1"/>
  <c r="AT17" i="1"/>
  <c r="AB10" i="1"/>
  <c r="Z17" i="1"/>
  <c r="AW11" i="1"/>
  <c r="AA25" i="1"/>
  <c r="Y10" i="1"/>
  <c r="X17" i="1"/>
  <c r="AX13" i="1"/>
  <c r="AQ13" i="1"/>
  <c r="AS15" i="1"/>
  <c r="U13" i="1"/>
  <c r="AP19" i="1"/>
  <c r="V11" i="1"/>
  <c r="AR13" i="1"/>
  <c r="AI14" i="1"/>
  <c r="AW14" i="1"/>
  <c r="U10" i="1"/>
  <c r="AX23" i="1"/>
  <c r="AX20" i="1"/>
  <c r="AY20" i="1"/>
  <c r="W21" i="1"/>
  <c r="AI10" i="1"/>
  <c r="AC23" i="1"/>
  <c r="AD19" i="1"/>
  <c r="AD15" i="1"/>
  <c r="AS17" i="1"/>
  <c r="W22" i="1"/>
  <c r="AR22" i="1"/>
  <c r="AE12" i="1"/>
  <c r="AD20" i="1"/>
  <c r="AQ10" i="1"/>
  <c r="U12" i="1"/>
  <c r="Z10" i="1"/>
  <c r="X19" i="1"/>
  <c r="AB16" i="1"/>
  <c r="V16" i="1"/>
  <c r="Y19" i="1"/>
  <c r="AO13" i="1"/>
  <c r="AH13" i="1"/>
  <c r="Z16" i="1"/>
  <c r="AZ17" i="1"/>
  <c r="AC25" i="1"/>
  <c r="AY22" i="1"/>
  <c r="AG11" i="1"/>
  <c r="AD21" i="1"/>
  <c r="AP11" i="1"/>
  <c r="AG20" i="1"/>
  <c r="AI11" i="1"/>
  <c r="AW18" i="1"/>
  <c r="BA21" i="1"/>
  <c r="AT20" i="1"/>
  <c r="AZ12" i="1"/>
  <c r="AF11" i="1"/>
  <c r="AE17" i="1"/>
  <c r="AZ25" i="1"/>
  <c r="AV24" i="1"/>
  <c r="AS11" i="1"/>
  <c r="V24" i="1"/>
  <c r="AI25" i="1"/>
  <c r="AS24" i="1"/>
  <c r="AS21" i="1"/>
  <c r="AP16" i="1"/>
  <c r="Z20" i="1"/>
  <c r="AY11" i="1"/>
  <c r="X30" i="1" l="1"/>
  <c r="X31" i="1"/>
  <c r="AQ31" i="1"/>
  <c r="AQ30" i="1"/>
  <c r="W30" i="1"/>
  <c r="W31" i="1"/>
  <c r="AU30" i="1"/>
  <c r="AU27" i="1" s="1"/>
  <c r="AU31" i="1"/>
  <c r="AE31" i="1"/>
  <c r="AE30" i="1"/>
  <c r="AD31" i="1"/>
  <c r="AD30" i="1"/>
  <c r="AI30" i="1"/>
  <c r="AI27" i="1" s="1"/>
  <c r="AI31" i="1"/>
  <c r="AS30" i="1"/>
  <c r="AS31" i="1"/>
  <c r="AP31" i="1"/>
  <c r="AP30" i="1"/>
  <c r="AX30" i="1"/>
  <c r="AX31" i="1"/>
  <c r="AG30" i="1"/>
  <c r="AG31" i="1"/>
  <c r="AA31" i="1"/>
  <c r="AA30" i="1"/>
  <c r="AA27" i="1" s="1"/>
  <c r="AF31" i="1"/>
  <c r="AF30" i="1"/>
  <c r="AH30" i="1"/>
  <c r="AH31" i="1"/>
  <c r="AY31" i="1"/>
  <c r="AY30" i="1"/>
  <c r="BA30" i="1"/>
  <c r="BA31" i="1"/>
  <c r="AZ30" i="1"/>
  <c r="AZ27" i="1" s="1"/>
  <c r="AZ31" i="1"/>
  <c r="AR30" i="1"/>
  <c r="AR31" i="1"/>
  <c r="AV30" i="1"/>
  <c r="AV31" i="1"/>
  <c r="Y31" i="1"/>
  <c r="Y30" i="1"/>
  <c r="V31" i="1"/>
  <c r="V30" i="1"/>
  <c r="AC30" i="1"/>
  <c r="AC31" i="1"/>
  <c r="AW30" i="1"/>
  <c r="AW31" i="1"/>
  <c r="Z31" i="1"/>
  <c r="Z30" i="1"/>
  <c r="AT31" i="1"/>
  <c r="AT30" i="1"/>
  <c r="AT27" i="1" s="1"/>
  <c r="AB31" i="1"/>
  <c r="AB30" i="1"/>
  <c r="AB27" i="1" s="1"/>
  <c r="Y27" i="1" l="1"/>
  <c r="Y29" i="1" s="1"/>
  <c r="N43" i="26"/>
  <c r="P102" i="8"/>
  <c r="N49" i="26"/>
  <c r="P108" i="8"/>
  <c r="P105" i="8"/>
  <c r="N46" i="26"/>
  <c r="AC27" i="1"/>
  <c r="AC29" i="1" s="1"/>
  <c r="AR27" i="1"/>
  <c r="AR29" i="1" s="1"/>
  <c r="BA27" i="1"/>
  <c r="BA29" i="1" s="1"/>
  <c r="AH27" i="1"/>
  <c r="AH29" i="1" s="1"/>
  <c r="F52" i="26"/>
  <c r="P91" i="8"/>
  <c r="AX27" i="1"/>
  <c r="AX29" i="1" s="1"/>
  <c r="AS27" i="1"/>
  <c r="AS29" i="1" s="1"/>
  <c r="P94" i="8"/>
  <c r="N35" i="26"/>
  <c r="AU29" i="1"/>
  <c r="L46" i="26"/>
  <c r="AU28" i="1"/>
  <c r="N105" i="8"/>
  <c r="P101" i="8"/>
  <c r="N42" i="26"/>
  <c r="Z27" i="1"/>
  <c r="Z29" i="1" s="1"/>
  <c r="AA29" i="1"/>
  <c r="N91" i="8"/>
  <c r="AA28" i="1"/>
  <c r="D52" i="26"/>
  <c r="P103" i="8"/>
  <c r="N44" i="26"/>
  <c r="AQ27" i="1"/>
  <c r="AQ29" i="1" s="1"/>
  <c r="P92" i="8"/>
  <c r="N33" i="26"/>
  <c r="F51" i="26"/>
  <c r="P90" i="8"/>
  <c r="F50" i="26"/>
  <c r="P89" i="8"/>
  <c r="AT29" i="1"/>
  <c r="AT28" i="1"/>
  <c r="L45" i="26"/>
  <c r="N104" i="8"/>
  <c r="P107" i="8"/>
  <c r="N48" i="26"/>
  <c r="V27" i="1"/>
  <c r="V29" i="1" s="1"/>
  <c r="N47" i="26"/>
  <c r="P106" i="8"/>
  <c r="P110" i="8"/>
  <c r="N51" i="26"/>
  <c r="AY27" i="1"/>
  <c r="AY29" i="1" s="1"/>
  <c r="AF27" i="1"/>
  <c r="AF29" i="1" s="1"/>
  <c r="P97" i="8"/>
  <c r="N38" i="26"/>
  <c r="AP27" i="1"/>
  <c r="AP29" i="1" s="1"/>
  <c r="P99" i="8"/>
  <c r="N40" i="26"/>
  <c r="AE27" i="1"/>
  <c r="AE29" i="1" s="1"/>
  <c r="F48" i="26"/>
  <c r="P87" i="8"/>
  <c r="F49" i="26"/>
  <c r="P88" i="8"/>
  <c r="AB29" i="1"/>
  <c r="AB28" i="1"/>
  <c r="N92" i="8"/>
  <c r="L33" i="26"/>
  <c r="P93" i="8"/>
  <c r="N34" i="26"/>
  <c r="P111" i="8"/>
  <c r="N52" i="26"/>
  <c r="P98" i="8"/>
  <c r="N39" i="26"/>
  <c r="AD27" i="1"/>
  <c r="AD29" i="1" s="1"/>
  <c r="M35" i="26" s="1"/>
  <c r="P104" i="8"/>
  <c r="N45" i="26"/>
  <c r="AW27" i="1"/>
  <c r="AW29" i="1" s="1"/>
  <c r="F47" i="26"/>
  <c r="P86" i="8"/>
  <c r="AV27" i="1"/>
  <c r="AV29" i="1" s="1"/>
  <c r="AZ29" i="1"/>
  <c r="AZ28" i="1"/>
  <c r="L51" i="26"/>
  <c r="N110" i="8"/>
  <c r="P109" i="8"/>
  <c r="N50" i="26"/>
  <c r="P96" i="8"/>
  <c r="N37" i="26"/>
  <c r="AG27" i="1"/>
  <c r="AG29" i="1" s="1"/>
  <c r="N41" i="26"/>
  <c r="P100" i="8"/>
  <c r="AI29" i="1"/>
  <c r="AI28" i="1"/>
  <c r="L40" i="26"/>
  <c r="N99" i="8"/>
  <c r="P95" i="8"/>
  <c r="N36" i="26"/>
  <c r="W27" i="1"/>
  <c r="W29" i="1" s="1"/>
  <c r="X27" i="1"/>
  <c r="X29" i="1" s="1"/>
  <c r="O109" i="8" l="1"/>
  <c r="M50" i="26"/>
  <c r="AG28" i="1"/>
  <c r="N97" i="8"/>
  <c r="L38" i="26"/>
  <c r="M51" i="26"/>
  <c r="O110" i="8"/>
  <c r="O92" i="8"/>
  <c r="M33" i="26"/>
  <c r="AY28" i="1"/>
  <c r="L50" i="26"/>
  <c r="N109" i="8"/>
  <c r="O104" i="8"/>
  <c r="M45" i="26"/>
  <c r="N101" i="8"/>
  <c r="L42" i="26"/>
  <c r="AQ28" i="1"/>
  <c r="Z28" i="1"/>
  <c r="D51" i="26"/>
  <c r="N90" i="8"/>
  <c r="AX28" i="1"/>
  <c r="L49" i="26"/>
  <c r="N108" i="8"/>
  <c r="AH28" i="1"/>
  <c r="N98" i="8"/>
  <c r="L39" i="26"/>
  <c r="N102" i="8"/>
  <c r="AR28" i="1"/>
  <c r="L43" i="26"/>
  <c r="O88" i="8"/>
  <c r="E49" i="26"/>
  <c r="O90" i="8"/>
  <c r="E51" i="26"/>
  <c r="O98" i="8"/>
  <c r="M39" i="26"/>
  <c r="O87" i="8"/>
  <c r="E48" i="26"/>
  <c r="M47" i="26"/>
  <c r="O106" i="8"/>
  <c r="O107" i="8"/>
  <c r="M48" i="26"/>
  <c r="M36" i="26"/>
  <c r="O95" i="8"/>
  <c r="M41" i="26"/>
  <c r="O100" i="8"/>
  <c r="J65" i="1" a="1"/>
  <c r="J65" i="1" s="1"/>
  <c r="AO33" i="1"/>
  <c r="O96" i="8"/>
  <c r="M37" i="26"/>
  <c r="O86" i="8"/>
  <c r="E47" i="26"/>
  <c r="U33" i="1"/>
  <c r="J51" i="1" a="1"/>
  <c r="J51" i="1" s="1"/>
  <c r="O103" i="8"/>
  <c r="M44" i="26"/>
  <c r="O111" i="8"/>
  <c r="M52" i="26"/>
  <c r="M34" i="26"/>
  <c r="O93" i="8"/>
  <c r="E50" i="26"/>
  <c r="O89" i="8"/>
  <c r="M38" i="26"/>
  <c r="O97" i="8"/>
  <c r="M42" i="26"/>
  <c r="O101" i="8"/>
  <c r="O108" i="8"/>
  <c r="M49" i="26"/>
  <c r="M43" i="26"/>
  <c r="O102" i="8"/>
  <c r="X28" i="1"/>
  <c r="N88" i="8"/>
  <c r="D49" i="26"/>
  <c r="M40" i="26"/>
  <c r="O99" i="8"/>
  <c r="W28" i="1"/>
  <c r="D48" i="26"/>
  <c r="N87" i="8"/>
  <c r="AV28" i="1"/>
  <c r="N106" i="8"/>
  <c r="L47" i="26"/>
  <c r="N107" i="8"/>
  <c r="AW28" i="1"/>
  <c r="L48" i="26"/>
  <c r="AD28" i="1"/>
  <c r="N94" i="8"/>
  <c r="L35" i="26"/>
  <c r="O94" i="8"/>
  <c r="AE28" i="1"/>
  <c r="N95" i="8"/>
  <c r="L36" i="26"/>
  <c r="N100" i="8"/>
  <c r="AP28" i="1"/>
  <c r="L65" i="1" a="1"/>
  <c r="L65" i="1" s="1"/>
  <c r="L41" i="26"/>
  <c r="AO34" i="1"/>
  <c r="L37" i="26"/>
  <c r="AF28" i="1"/>
  <c r="N96" i="8"/>
  <c r="V28" i="1"/>
  <c r="N86" i="8"/>
  <c r="U34" i="1"/>
  <c r="J34" i="1" s="1"/>
  <c r="D47" i="26"/>
  <c r="L51" i="1" a="1"/>
  <c r="L51" i="1" s="1"/>
  <c r="O91" i="8"/>
  <c r="E52" i="26"/>
  <c r="M46" i="26"/>
  <c r="O105" i="8"/>
  <c r="AS28" i="1"/>
  <c r="L44" i="26"/>
  <c r="N103" i="8"/>
  <c r="BA28" i="1"/>
  <c r="N111" i="8"/>
  <c r="L52" i="26"/>
  <c r="L34" i="26"/>
  <c r="AC28" i="1"/>
  <c r="N93" i="8"/>
  <c r="Y28" i="1"/>
  <c r="D50" i="26"/>
  <c r="N89" i="8"/>
  <c r="F34" i="1" l="1"/>
  <c r="H33" i="1"/>
  <c r="D33" i="1"/>
  <c r="N24" i="26" s="1"/>
  <c r="K34" i="1"/>
  <c r="L4" i="8" l="1"/>
  <c r="L5" i="8"/>
  <c r="G1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E1500F-D0D6-4886-A8F1-2E7C8C6296FB}" odcFile="https://jgiquality.sharepoint.com/sites/JGI/Shared Documents/General/Excel-Qualer-SDK/Clients/Clients_GetAll.odc" keepAlive="1" name="Clients_GetAll" description="Connection to the 'Clients_GetAll' query in the workbook." type="5" refreshedVersion="0" new="1" onlyUseConnectionFile="1" background="1" saveData="1">
    <dbPr connection="Provider=Microsoft.Mashup.OleDb.1;Data Source=$Workbook$;Location=Clients_GetAll;Extended Properties=&quot;&quot;" command="SELECT * FROM [Clients_GetAll]"/>
  </connection>
  <connection id="2" xr16:uid="{E5073D8D-801C-4DA7-921A-B17CF18A69AA}" name="customers" description="Exported from query" type="5" refreshedVersion="0" background="1">
    <dbPr connection="Provider=Microsoft.Mashup.OleDb.1" command="customers"/>
  </connection>
  <connection id="3"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refreshOnLoad="1" saveData="1">
    <dbPr connection="Provider=Microsoft.Mashup.OleDb.1;Data Source=$Workbook$;Location=Assets_GetAssetByAssetPool;Extended Properties=&quot;&quot;" command="SELECT * FROM [Assets_GetAssetByAssetPool]"/>
  </connection>
  <connection id="4" xr16:uid="{3D480B55-A0A9-406A-BA37-DBA011FB8C25}" odcFile="C:\Users\rhyth\OneDrive - Johnson Gage and Inspection, Inc\git\qualer-sdk-odc\Excel-Qualer-SDK\Assets\Assets_GetAssetByAssetPoolByAssetPoolId.odc" keepAlive="1" name="Query - Assets_GetAssetByAssetPoolByAssetPoolId" description="Connection to the 'Assets_GetAssetByAssetPoolByAssetPoolId' query in the workbook." type="5" refreshedVersion="0" new="1" onlyUseConnectionFile="1" background="1" saveData="1">
    <dbPr connection="Provider=Microsoft.Mashup.OleDb.1;Data Source=$Workbook$;Location=Assets_GetAssetByAssetPoolByAssetPoolId;Extended Properties=&quot;&quot;" command="SELECT * FROM [Assets_GetAssetByAssetPoolByAssetPoolId]"/>
  </connection>
  <connection id="5" xr16:uid="{CC18C6EB-DCF0-4CE0-8A25-73667B2641D0}" odcFile="C:\Users\rhyth\Downloads\ClientAssetAttributes_GetAssetAttributesByAssetId.odc" keepAlive="1" name="Query - ClientAssetAttributes_GetAssetAttributesByAssetId" description="Connection to the 'ClientAssetAttributes_GetAssetAttributesByAssetId' query in the workbook." type="5" refreshedVersion="8" saveData="1">
    <dbPr connection="Provider=Microsoft.Mashup.OleDb.1;Data Source=$Workbook$;Location=ClientAssetAttributes_GetAssetAttributesByAssetId;Extended Properties=&quot;&quot;" command="SELECT * FROM [ClientAssetAttributes_GetAssetAttributesByAssetId]"/>
  </connection>
  <connection id="6" xr16:uid="{F0A10FC2-1480-41BF-A7F2-A72733DE0CD1}" keepAlive="1" name="Query - ClientAssets" description="Connection to the 'ClientAssets' query in the workbook." type="5" refreshedVersion="8" saveData="1">
    <dbPr connection="Provider=Microsoft.Mashup.OleDb.1;Data Source=$Workbook$;Location=ClientAssets;Extended Properties=&quot;&quot;" command="SELECT * FROM [ClientAssets]"/>
  </connection>
  <connection id="7" xr16:uid="{7D2AF088-3223-4926-8CB6-D53EC18DCB7B}" odcFile="https://jgiquality.sharepoint.com/sites/JGI/Shared Documents/General/Excel-Qualer-SDK/ClientAssets/ClientAssets_GetAssetsByClientCompanyId.odc" keepAlive="1" name="Query - ClientAssets_GetAssetsByClientCompanyId" description="Connection to the 'ClientAssets_GetAssetsByClientCompanyId' query in the workbook." type="5" refreshedVersion="0" new="1" onlyUseConnectionFile="1" background="1">
    <dbPr connection="Provider=Microsoft.Mashup.OleDb.1;Data Source=$Workbook$;Location=ClientAssets_GetAssetsByClientCompanyId;Extended Properties=&quot;&quot;" command="SELECT * FROM [ClientAssets_GetAssetsByClientCompanyId]"/>
  </connection>
  <connection id="8"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<sst xmlns="http://schemas.openxmlformats.org/spreadsheetml/2006/main" count="21212" uniqueCount="5541">
  <si>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</si>
  <si>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</si>
  <si>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</si>
  <si>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</si>
  <si>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</si>
  <si>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</si>
  <si>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</si>
  <si>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</si>
  <si>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</si>
  <si>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</si>
  <si>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</si>
  <si>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</si>
  <si>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</si>
  <si>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</si>
  <si>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</si>
  <si>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</si>
  <si>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</si>
  <si>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</si>
  <si>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</si>
  <si>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</si>
  <si>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</si>
  <si>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</si>
  <si>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</si>
  <si>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</si>
  <si>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</si>
  <si>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</si>
  <si>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</si>
  <si>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</si>
  <si>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</si>
  <si>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</si>
  <si>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</si>
  <si>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</si>
  <si>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</si>
  <si>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</si>
  <si>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</si>
  <si>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</si>
  <si>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</si>
  <si>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</si>
  <si>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</si>
  <si>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</si>
  <si>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</si>
  <si>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</si>
  <si>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</si>
  <si>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</si>
  <si>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</si>
  <si>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</si>
  <si>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</si>
  <si>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</si>
  <si>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</si>
  <si>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</si>
  <si>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</si>
  <si>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</si>
  <si>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</si>
  <si>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</si>
  <si>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</si>
  <si>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</si>
  <si>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</si>
  <si>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</si>
  <si>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</si>
  <si>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</si>
  <si>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</si>
  <si>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</si>
  <si>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</si>
  <si>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</si>
  <si>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</si>
  <si>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</si>
  <si>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</si>
  <si>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</si>
  <si>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</si>
  <si>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</si>
  <si>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</si>
  <si>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</si>
  <si>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</si>
  <si>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</si>
  <si>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</si>
  <si>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</si>
  <si>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</si>
  <si>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</si>
  <si>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</si>
  <si>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</si>
  <si>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</si>
  <si>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</si>
  <si>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</si>
  <si>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</si>
  <si>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</si>
  <si>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</si>
  <si>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</si>
  <si>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</si>
  <si>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</si>
  <si>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</si>
  <si>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</si>
  <si>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</si>
  <si>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</si>
  <si>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</si>
  <si>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</si>
  <si>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</si>
  <si>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</si>
  <si>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</si>
  <si>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</si>
  <si>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</si>
  <si>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</si>
  <si>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</si>
  <si>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</si>
  <si>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</si>
  <si>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</si>
  <si>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</si>
  <si>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</si>
  <si>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</si>
  <si>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</si>
  <si>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</si>
  <si>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</si>
  <si>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</si>
  <si>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</si>
  <si>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</si>
  <si>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</si>
  <si>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</si>
  <si>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</si>
  <si>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</si>
  <si>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</si>
  <si>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</si>
  <si>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</si>
  <si>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</si>
  <si>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</si>
  <si>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</si>
  <si>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</si>
  <si>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</si>
  <si>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</si>
  <si>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</si>
  <si>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</si>
  <si>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</si>
  <si>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</si>
  <si>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</si>
  <si>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</si>
  <si>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</si>
  <si>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</si>
  <si>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</si>
  <si>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</si>
  <si>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</si>
  <si>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</si>
  <si>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</si>
  <si>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</si>
  <si>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</si>
  <si>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</si>
  <si>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</si>
  <si>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</si>
  <si>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</si>
  <si>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</si>
  <si>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</si>
  <si>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</si>
  <si>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</si>
  <si>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</si>
  <si>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</si>
  <si>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</si>
  <si>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</si>
  <si>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</si>
  <si>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</si>
  <si>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</si>
  <si>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</si>
  <si>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</si>
  <si>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</si>
  <si>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</si>
  <si>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</si>
  <si>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</si>
  <si>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</si>
  <si>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</si>
  <si>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</si>
  <si>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</si>
  <si>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</si>
  <si>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</si>
  <si>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</si>
  <si>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</si>
  <si>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</si>
  <si>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</si>
  <si>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</si>
  <si>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</si>
  <si>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</si>
  <si>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</si>
  <si>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</si>
  <si>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</si>
  <si>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</si>
  <si>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</si>
  <si>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</si>
  <si>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</si>
  <si>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</si>
  <si>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</si>
  <si>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</si>
  <si>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</si>
  <si>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</si>
  <si>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</si>
  <si>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</si>
  <si>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</si>
  <si>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</si>
  <si>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</si>
  <si>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</si>
  <si>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</si>
  <si>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</si>
  <si>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</si>
  <si>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</si>
  <si>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</si>
  <si>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</si>
  <si>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</si>
  <si>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</si>
  <si>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</si>
  <si>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</si>
  <si>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</si>
  <si>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</si>
  <si>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</si>
  <si>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</si>
  <si>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</si>
  <si>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</si>
  <si>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</si>
  <si>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</si>
  <si>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</si>
  <si>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</si>
  <si>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</si>
  <si>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</si>
  <si>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</si>
  <si>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</si>
  <si>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</si>
  <si>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</si>
  <si>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</si>
  <si>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</si>
  <si>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</si>
  <si>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</si>
  <si>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</si>
  <si>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</si>
  <si>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</si>
  <si>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</si>
  <si>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</si>
  <si>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</si>
  <si>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</si>
  <si>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</si>
  <si>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</si>
  <si>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</si>
  <si>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</si>
  <si>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</si>
  <si>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</si>
  <si>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</si>
  <si>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</si>
  <si>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</si>
  <si>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</si>
  <si>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</si>
  <si>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</si>
  <si>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</si>
  <si>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</si>
  <si>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</si>
  <si>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</si>
  <si>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</si>
  <si>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</si>
  <si>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</si>
  <si>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</si>
  <si>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</si>
  <si>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</si>
  <si>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</si>
  <si>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</si>
  <si>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</si>
  <si>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</si>
  <si>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</si>
  <si>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</si>
  <si>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</si>
  <si>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</si>
  <si>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</si>
  <si>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</si>
  <si>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</si>
  <si>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</si>
  <si>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</si>
  <si>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</si>
  <si>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</si>
  <si>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</si>
  <si>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</si>
  <si>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</si>
  <si>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</si>
  <si>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</si>
  <si>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</si>
  <si>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</si>
  <si>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</si>
  <si>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</si>
  <si>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</si>
  <si>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</si>
  <si>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</si>
  <si>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</si>
  <si>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</si>
  <si>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</si>
  <si>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</si>
  <si>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</si>
  <si>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</si>
  <si>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</si>
  <si>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</si>
  <si>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</si>
  <si>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</si>
  <si>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</si>
  <si>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</si>
  <si>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</si>
  <si>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</si>
  <si>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</si>
  <si>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</si>
  <si>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</si>
  <si>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</si>
  <si>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</si>
  <si>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</si>
  <si>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</si>
  <si>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</si>
  <si>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</si>
  <si>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</si>
  <si>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</si>
  <si>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</si>
  <si>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</si>
  <si>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</si>
  <si>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</si>
  <si>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</si>
  <si>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</si>
  <si>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</si>
  <si>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</si>
  <si>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</si>
  <si>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</si>
  <si>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</si>
  <si>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</si>
  <si>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</si>
  <si>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</si>
  <si>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</si>
  <si>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</si>
  <si>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</si>
  <si>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</si>
  <si>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</si>
  <si>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</si>
  <si>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</si>
  <si>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</si>
  <si>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</si>
  <si>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</si>
  <si>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</si>
  <si>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</si>
  <si>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</si>
  <si>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</si>
  <si>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</si>
  <si>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</si>
  <si>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</si>
  <si>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</si>
  <si>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</si>
  <si>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</si>
  <si>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</si>
  <si>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</si>
  <si>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</si>
  <si>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</si>
  <si>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</si>
  <si>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</si>
  <si>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</si>
  <si>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</si>
  <si>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</si>
  <si>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</si>
  <si>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</si>
  <si>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</si>
  <si>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</si>
  <si>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</si>
  <si>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</si>
  <si>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</si>
  <si>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</si>
  <si>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</si>
  <si>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</si>
  <si>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</si>
  <si>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</si>
  <si>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</si>
  <si>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</si>
  <si>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</si>
  <si>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</si>
  <si>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</si>
  <si>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</si>
  <si>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</si>
  <si>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</si>
  <si>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</si>
  <si>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</si>
  <si>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</si>
  <si>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</si>
  <si>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</si>
  <si>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</si>
  <si>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</si>
  <si>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</si>
  <si>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</si>
  <si>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</si>
  <si>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</si>
  <si>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</si>
  <si>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</si>
  <si>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</si>
  <si>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</si>
  <si>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</si>
  <si>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</si>
  <si>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</si>
  <si>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</si>
  <si>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</si>
  <si>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</si>
  <si>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</si>
  <si>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</si>
  <si>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</si>
  <si>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</si>
  <si>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</si>
  <si>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</si>
  <si>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</si>
  <si>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</si>
  <si>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</si>
  <si>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</si>
  <si>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</si>
  <si>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</si>
  <si>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</si>
  <si>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</si>
  <si>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</si>
  <si>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</si>
  <si>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</si>
  <si>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</si>
  <si>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</si>
  <si>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</si>
  <si>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</si>
  <si>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</si>
  <si>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</si>
  <si>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</si>
  <si>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</si>
  <si>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</si>
  <si>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</si>
  <si>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</si>
  <si>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</si>
  <si>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</si>
  <si>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</si>
  <si>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</si>
  <si>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</si>
  <si>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</si>
  <si>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</si>
  <si>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</si>
  <si>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</si>
  <si>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</si>
  <si>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</si>
  <si>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</si>
  <si>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</si>
  <si>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</si>
  <si>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</si>
  <si>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</si>
  <si>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</si>
  <si>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</si>
  <si>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</si>
  <si>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</si>
  <si>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</si>
  <si>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</si>
  <si>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</si>
  <si>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</si>
  <si>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</si>
  <si>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</si>
  <si>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</si>
  <si>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</si>
  <si>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</si>
  <si>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</si>
  <si>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</si>
  <si>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</si>
  <si>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</si>
  <si>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</si>
  <si>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</si>
  <si>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</si>
  <si>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</si>
  <si>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</si>
  <si>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</si>
  <si>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</si>
  <si>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</si>
  <si>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</si>
  <si>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</si>
  <si>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</si>
  <si>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</si>
  <si>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</si>
  <si>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</si>
  <si>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</si>
  <si>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</si>
  <si>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</si>
  <si>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</si>
  <si>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</si>
  <si>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</si>
  <si>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</si>
  <si>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</si>
  <si>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</si>
  <si>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</si>
  <si>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</si>
  <si>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</si>
  <si>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</si>
  <si>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</si>
  <si>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</si>
  <si>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</si>
  <si>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</si>
  <si>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</si>
  <si>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</si>
  <si>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</si>
  <si>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</si>
  <si>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</si>
  <si>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</si>
  <si>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</si>
  <si>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</si>
  <si>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</si>
  <si>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</si>
  <si>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</si>
  <si>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</si>
  <si>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</si>
  <si>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</si>
  <si>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</si>
  <si>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</si>
  <si>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</si>
  <si>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</si>
  <si>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</si>
  <si>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</si>
  <si>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</si>
  <si>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</si>
  <si>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</si>
  <si>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</si>
  <si>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</si>
  <si>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</si>
  <si>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</si>
  <si>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</si>
  <si>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</si>
  <si>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</si>
  <si>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</si>
  <si>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</si>
  <si>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</si>
  <si>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</si>
  <si>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</si>
  <si>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</si>
  <si>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</si>
  <si>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</si>
  <si>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</si>
  <si>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</si>
  <si>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</si>
  <si>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</si>
  <si>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</si>
  <si>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</si>
  <si>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</si>
  <si>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</si>
  <si>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</si>
  <si>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</si>
  <si>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</si>
  <si>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</si>
  <si>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</si>
  <si>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</si>
  <si>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</si>
  <si>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</si>
  <si>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</si>
  <si>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</si>
  <si>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</si>
  <si>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</si>
  <si>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</si>
  <si>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</si>
  <si>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</si>
  <si>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</si>
  <si>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</si>
  <si>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</si>
  <si>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</si>
  <si>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</si>
  <si>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</si>
  <si>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</si>
  <si>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</si>
  <si>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</si>
  <si>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</si>
  <si>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</si>
  <si>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</si>
  <si>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</si>
  <si>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</si>
  <si>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</si>
  <si>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</si>
  <si>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</si>
  <si>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</si>
  <si>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</si>
  <si>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</si>
  <si>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</si>
  <si>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</si>
  <si>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</si>
  <si>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</si>
  <si>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</si>
  <si>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</si>
  <si>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</si>
  <si>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</si>
  <si>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</si>
  <si>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</si>
  <si>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</si>
  <si>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</si>
  <si>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</si>
  <si>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</si>
  <si>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</si>
  <si>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</si>
  <si>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</si>
  <si>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</si>
  <si>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</si>
  <si>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</si>
  <si>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</si>
  <si>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</si>
  <si>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</si>
  <si>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</si>
  <si>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</si>
  <si>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</si>
  <si>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</si>
  <si>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</si>
  <si>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</si>
  <si>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</si>
  <si>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</si>
  <si>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</si>
  <si>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</si>
  <si>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</si>
  <si>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</si>
  <si>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</si>
  <si>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</si>
  <si>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</si>
  <si>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</si>
  <si>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</si>
  <si>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</si>
  <si>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</si>
  <si>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</si>
  <si>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</si>
  <si>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</si>
  <si>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</si>
  <si>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</si>
  <si>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</si>
  <si>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</si>
  <si>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</si>
  <si>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</si>
  <si>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</si>
  <si>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</si>
  <si>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</si>
  <si>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</si>
  <si>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</si>
  <si>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</si>
  <si>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</si>
  <si>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</si>
  <si>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</si>
  <si>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</si>
  <si>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</si>
  <si>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</si>
  <si>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</si>
  <si>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</si>
  <si>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</si>
  <si>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</si>
  <si>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</si>
  <si>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</si>
  <si>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</si>
  <si>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</si>
  <si>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</si>
  <si>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</si>
  <si>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</si>
  <si>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</si>
  <si>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</si>
  <si>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</si>
  <si>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</si>
  <si>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</si>
  <si>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</si>
  <si>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</si>
  <si>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</si>
  <si>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</si>
  <si>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</si>
  <si>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</si>
  <si>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</si>
  <si>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</si>
  <si>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</si>
  <si>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</si>
  <si>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</si>
  <si>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</si>
  <si>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</si>
  <si>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</si>
  <si>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</si>
  <si>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</si>
  <si>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</si>
  <si>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</si>
  <si>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</si>
  <si>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</si>
  <si>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</si>
  <si>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</si>
  <si>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</si>
  <si>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</si>
  <si>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</si>
  <si>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</si>
  <si>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</si>
  <si>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</si>
  <si>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</si>
  <si>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</si>
  <si>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</si>
  <si>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</si>
  <si>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</si>
  <si>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</si>
  <si>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</si>
  <si>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</si>
  <si>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</si>
  <si>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</si>
  <si>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</si>
  <si>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</si>
  <si>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</si>
  <si>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</si>
  <si>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</si>
  <si>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</si>
  <si>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</si>
  <si>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</si>
  <si>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</si>
  <si>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</si>
  <si>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</si>
  <si>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</si>
  <si>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</si>
  <si>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</si>
  <si>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</si>
  <si>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</si>
  <si>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</si>
  <si>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</si>
  <si>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</si>
  <si>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</si>
  <si>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</si>
  <si>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</si>
  <si>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</si>
  <si>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</si>
  <si>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</si>
  <si>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</si>
  <si>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</si>
  <si>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</si>
  <si>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</si>
  <si>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</si>
  <si>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</si>
  <si>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</si>
  <si>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</si>
  <si>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</si>
  <si>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</si>
  <si>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</si>
  <si>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</si>
  <si>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</si>
  <si>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</si>
  <si>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</si>
  <si>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</si>
  <si>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</si>
  <si>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</si>
  <si>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</si>
  <si>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</si>
  <si>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</si>
  <si>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</si>
  <si>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</si>
  <si>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</si>
  <si>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</si>
  <si>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</si>
  <si>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</si>
  <si>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</si>
  <si>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</si>
  <si>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</si>
  <si>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</si>
  <si>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</si>
  <si>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</si>
  <si>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</si>
  <si>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</si>
  <si>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</si>
  <si>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</si>
  <si>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</si>
  <si>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</si>
  <si>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</si>
  <si>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</si>
  <si>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</si>
  <si>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</si>
  <si>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</si>
  <si>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</si>
  <si>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</si>
  <si>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</si>
  <si>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</si>
  <si>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</si>
  <si>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</si>
  <si>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</si>
  <si>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</si>
  <si>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</si>
  <si>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</si>
  <si>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</si>
  <si>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</si>
  <si>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</si>
  <si>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</si>
  <si>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</si>
  <si>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</si>
  <si>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</si>
  <si>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</si>
  <si>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</si>
  <si>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</si>
  <si>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</si>
  <si>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</si>
  <si>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</si>
  <si>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</si>
  <si>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</si>
  <si>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</si>
  <si>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</si>
  <si>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</si>
  <si>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</si>
  <si>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</si>
  <si>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</si>
  <si>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</si>
  <si>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</si>
  <si>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</si>
  <si>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</si>
  <si>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</si>
  <si>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</si>
  <si>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</si>
  <si>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</si>
  <si>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</si>
  <si>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</si>
  <si>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</si>
  <si>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</si>
  <si>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</si>
  <si>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</si>
  <si>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</si>
  <si>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</si>
  <si>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</si>
  <si>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</si>
  <si>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</si>
  <si>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</si>
  <si>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</si>
  <si>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</si>
  <si>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</si>
  <si>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</si>
  <si>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</si>
  <si>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</si>
  <si>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</si>
  <si>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</si>
  <si>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</si>
  <si>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</si>
  <si>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</si>
  <si>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</si>
  <si>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</si>
  <si>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</si>
  <si>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</si>
  <si>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</si>
  <si>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</si>
  <si>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</si>
  <si>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</si>
  <si>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</si>
  <si>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</si>
  <si>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</si>
  <si>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</si>
  <si>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</si>
  <si>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</si>
  <si>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</si>
  <si>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</si>
  <si>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</si>
  <si>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</si>
  <si>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</si>
  <si>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</si>
  <si>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</si>
  <si>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</si>
  <si>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</si>
  <si>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</si>
  <si>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</si>
  <si>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</si>
  <si>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</si>
  <si>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</si>
  <si>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</si>
  <si>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</si>
  <si>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</si>
  <si>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</si>
  <si>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</si>
  <si>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</si>
  <si>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</si>
  <si>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</si>
  <si>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</si>
  <si>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</si>
  <si>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</si>
  <si>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</si>
  <si>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</si>
  <si>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</si>
  <si>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</si>
  <si>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</si>
  <si>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</si>
  <si>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</si>
  <si>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</si>
  <si>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</si>
  <si>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</si>
  <si>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</si>
  <si>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</si>
  <si>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</si>
  <si>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</si>
  <si>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</si>
  <si>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</si>
  <si>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</si>
  <si>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</si>
  <si>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</si>
  <si>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</si>
  <si>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</si>
  <si>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</si>
  <si>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</si>
  <si>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</si>
  <si>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</si>
  <si>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</si>
  <si>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</si>
  <si>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</si>
  <si>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</si>
  <si>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</si>
  <si>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</si>
  <si>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</si>
  <si>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</si>
  <si>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</si>
  <si>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</si>
  <si>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</si>
  <si>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</si>
  <si>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</si>
  <si>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</si>
  <si>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</si>
  <si>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</si>
  <si>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</si>
  <si>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</si>
  <si>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</si>
  <si>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</si>
  <si>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</si>
  <si>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</si>
  <si>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</si>
  <si>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</si>
  <si>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</si>
  <si>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</si>
  <si>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</si>
  <si>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</si>
  <si>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</si>
  <si>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</si>
  <si>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</si>
  <si>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</si>
  <si>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</si>
  <si>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</si>
  <si>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</si>
  <si>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</si>
  <si>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</si>
  <si>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</si>
  <si>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</si>
  <si>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</si>
  <si>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</si>
  <si>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</si>
  <si>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</si>
  <si>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</si>
  <si>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</si>
  <si>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</si>
  <si>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</si>
  <si>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</si>
  <si>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</si>
  <si>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</si>
  <si>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</si>
  <si>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</si>
  <si>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</si>
  <si>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</si>
  <si>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</si>
  <si>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</si>
  <si>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</si>
  <si>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</si>
  <si>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</si>
  <si>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</si>
  <si>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</si>
  <si>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</si>
  <si>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</si>
  <si>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</si>
  <si>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</si>
  <si>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</si>
  <si>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</si>
  <si>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</si>
  <si>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</si>
  <si>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</si>
  <si>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</si>
  <si>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</si>
  <si>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</si>
  <si>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</si>
  <si>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</si>
  <si>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</si>
  <si>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</si>
  <si>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</si>
  <si>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</si>
  <si>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</si>
  <si>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</si>
  <si>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</si>
  <si>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</si>
  <si>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</si>
  <si>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</si>
  <si>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</si>
  <si>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</si>
  <si>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</si>
  <si>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</si>
  <si>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</si>
  <si>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</si>
  <si>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</si>
  <si>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</si>
  <si>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</si>
  <si>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</si>
  <si>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</si>
  <si>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</si>
  <si>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</si>
  <si>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</si>
  <si>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</si>
  <si>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</si>
  <si>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</si>
  <si>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</si>
  <si>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</si>
  <si>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</si>
  <si>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</si>
  <si>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</si>
  <si>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</si>
  <si>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</si>
  <si>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</si>
  <si>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</si>
  <si>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</si>
  <si>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</si>
  <si>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</si>
  <si>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</si>
  <si>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</si>
  <si>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</si>
  <si>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</si>
  <si>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</si>
  <si>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</si>
  <si>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</si>
  <si>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</si>
  <si>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</si>
  <si>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</si>
  <si>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</si>
  <si>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</si>
  <si>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</si>
  <si>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</si>
  <si>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</si>
  <si>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</si>
  <si>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</si>
  <si>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</si>
  <si>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</si>
  <si>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</si>
  <si>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</si>
  <si>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</si>
  <si>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</si>
  <si>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</si>
  <si>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</si>
  <si>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</si>
  <si>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</si>
  <si>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</si>
  <si>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</si>
  <si>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</si>
  <si>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</si>
  <si>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</si>
  <si>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</si>
  <si>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</si>
  <si>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</si>
  <si>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</si>
  <si>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</si>
  <si>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</si>
  <si>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</si>
  <si>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</si>
  <si>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</si>
  <si>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</si>
  <si>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</si>
  <si>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</si>
  <si>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</si>
  <si>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</si>
  <si>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</si>
  <si>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</si>
  <si>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</si>
  <si>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</si>
  <si>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</si>
  <si>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</si>
  <si>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</si>
  <si>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</si>
  <si>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</si>
  <si>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</si>
  <si>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</si>
  <si>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</si>
  <si>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</si>
  <si>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</si>
  <si>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</si>
  <si>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</si>
  <si>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</si>
  <si>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</si>
  <si>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</si>
  <si>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</si>
  <si>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</si>
  <si>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</si>
  <si>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</si>
  <si>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</si>
  <si>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</si>
  <si>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</si>
  <si>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</si>
  <si>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</si>
  <si>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</si>
  <si>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</si>
  <si>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</si>
  <si>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</si>
  <si>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</si>
  <si>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</si>
  <si>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</si>
  <si>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</si>
  <si>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</si>
  <si>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</si>
  <si>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</si>
  <si>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</si>
  <si>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</si>
  <si>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</si>
  <si>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</si>
  <si>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</si>
  <si>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</si>
  <si>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</si>
  <si>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</si>
  <si>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</si>
  <si>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</si>
  <si>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</si>
  <si>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</si>
  <si>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</si>
  <si>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</si>
  <si>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</si>
  <si>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</si>
  <si>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</si>
  <si>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</si>
  <si>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</si>
  <si>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</si>
  <si>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</si>
  <si>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</si>
  <si>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</si>
  <si>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</si>
  <si>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</si>
  <si>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</si>
  <si>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</si>
  <si>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</si>
  <si>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</si>
  <si>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</si>
  <si>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</si>
  <si>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</si>
  <si>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</si>
  <si>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</si>
  <si>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</si>
  <si>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</si>
  <si>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</si>
  <si>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</si>
  <si>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</si>
  <si>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</si>
  <si>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</si>
  <si>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</si>
  <si>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</si>
  <si>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</si>
  <si>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</si>
  <si>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</si>
  <si>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</si>
  <si>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</si>
  <si>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</si>
  <si>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</si>
  <si>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</si>
  <si>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</si>
  <si>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</si>
  <si>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</si>
  <si>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</si>
  <si>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</si>
  <si>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</si>
  <si>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</si>
  <si>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</si>
  <si>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</si>
  <si>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</si>
  <si>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</si>
  <si>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</si>
  <si>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</si>
  <si>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</si>
  <si>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</si>
  <si>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</si>
  <si>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</si>
  <si>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</si>
  <si>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</si>
  <si>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</si>
  <si>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</si>
  <si>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</si>
  <si>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</si>
  <si>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</si>
  <si>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</si>
  <si>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</si>
  <si>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</si>
  <si>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</si>
  <si>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</si>
  <si>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</si>
  <si>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</si>
  <si>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</si>
  <si>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</si>
  <si>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</si>
  <si>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</si>
  <si>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</si>
  <si>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</si>
  <si>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</si>
  <si>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</si>
  <si>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</si>
  <si>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</si>
  <si>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</si>
  <si>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</si>
  <si>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</si>
  <si>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</si>
  <si>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</si>
  <si>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</si>
  <si>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</si>
  <si>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</si>
  <si>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</si>
  <si>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</si>
  <si>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</si>
  <si>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</si>
  <si>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</si>
  <si>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</si>
  <si>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</si>
  <si>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</si>
  <si>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</si>
  <si>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</si>
  <si>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</si>
  <si>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</si>
  <si>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</si>
  <si>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</si>
  <si>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</si>
  <si>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</si>
  <si>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</si>
  <si>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</si>
  <si>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</si>
  <si>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</si>
  <si>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</si>
  <si>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</si>
  <si>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</si>
  <si>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</si>
  <si>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</si>
  <si>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</si>
  <si>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</si>
  <si>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</si>
  <si>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</si>
  <si>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</si>
  <si>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</si>
  <si>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</si>
  <si>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</si>
  <si>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</si>
  <si>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</si>
  <si>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</si>
  <si>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</si>
  <si>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</si>
  <si>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</si>
  <si>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</si>
  <si>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</si>
  <si>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</si>
  <si>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</si>
  <si>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</si>
  <si>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</si>
  <si>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</si>
  <si>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</si>
  <si>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</si>
  <si>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</si>
  <si>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</si>
  <si>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</si>
  <si>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</si>
  <si>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</si>
  <si>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</si>
  <si>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</si>
  <si>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</si>
  <si>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</si>
  <si>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</si>
  <si>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</si>
  <si>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</si>
  <si>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</si>
  <si>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</si>
  <si>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</si>
  <si>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</si>
  <si>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</si>
  <si>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</si>
  <si>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</si>
  <si>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</si>
  <si>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</si>
  <si>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</si>
  <si>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</si>
  <si>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</si>
  <si>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</si>
  <si>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</si>
  <si>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</si>
  <si>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</si>
  <si>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</si>
  <si>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</si>
  <si>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</si>
  <si>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</si>
  <si>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</si>
  <si>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</si>
  <si>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</si>
  <si>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</si>
  <si>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</si>
  <si>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</si>
  <si>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</si>
  <si>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</si>
  <si>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</si>
  <si>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</si>
  <si>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</si>
  <si>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</si>
  <si>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</si>
  <si>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</si>
  <si>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</si>
  <si>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</si>
  <si>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</si>
  <si>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</si>
  <si>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</si>
  <si>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</si>
  <si>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</si>
  <si>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</si>
  <si>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</si>
  <si>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</si>
  <si>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</si>
  <si>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</si>
  <si>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</si>
  <si>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</si>
  <si>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</si>
  <si>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</si>
  <si>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</si>
  <si>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</si>
  <si>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</si>
  <si>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</si>
  <si>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</si>
  <si>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</si>
  <si>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</si>
  <si>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</si>
  <si>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</si>
  <si>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</si>
  <si>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</si>
  <si>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</si>
  <si>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</si>
  <si>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</si>
  <si>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</si>
  <si>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</si>
  <si>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</si>
  <si>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</si>
  <si>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</si>
  <si>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</si>
  <si>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</si>
  <si>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</si>
  <si>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</si>
  <si>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</si>
  <si>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</si>
  <si>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</si>
  <si>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</si>
  <si>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</si>
  <si>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</si>
  <si>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</si>
  <si>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</si>
  <si>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</si>
  <si>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</si>
  <si>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</si>
  <si>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</si>
  <si>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</si>
  <si>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</si>
  <si>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</si>
  <si>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</si>
  <si>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</si>
  <si>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</si>
  <si>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</si>
  <si>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</si>
  <si>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</si>
  <si>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</si>
  <si>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</si>
  <si>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</si>
  <si>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</si>
  <si>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</si>
  <si>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</si>
  <si>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</si>
  <si>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</si>
  <si>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</si>
  <si>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</si>
  <si>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</si>
  <si>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</si>
  <si>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</si>
  <si>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</si>
  <si>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</si>
  <si>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</si>
  <si>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</si>
  <si>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</si>
  <si>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</si>
  <si>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</si>
  <si>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</si>
  <si>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</si>
  <si>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</si>
  <si>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</si>
  <si>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</si>
  <si>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</si>
  <si>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</si>
  <si>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</si>
  <si>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</si>
  <si>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</si>
  <si>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</si>
  <si>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</si>
  <si>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</si>
  <si>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</si>
  <si>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</si>
  <si>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</si>
  <si>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</si>
  <si>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</si>
  <si>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</si>
  <si>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</si>
  <si>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</si>
  <si>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</si>
  <si>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</si>
  <si>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</si>
  <si>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</si>
  <si>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</si>
  <si>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</si>
  <si>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</si>
  <si>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</si>
  <si>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</si>
  <si>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</si>
  <si>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</si>
  <si>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</si>
  <si>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</si>
  <si>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</si>
  <si>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</si>
  <si>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</si>
  <si>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</si>
  <si>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</si>
  <si>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</si>
  <si>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</si>
  <si>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</si>
  <si>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</si>
  <si>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</si>
  <si>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</si>
  <si>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</si>
  <si>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</si>
  <si>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</si>
  <si>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</si>
  <si>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</si>
  <si>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</si>
  <si>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</si>
  <si>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</si>
  <si>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</si>
  <si>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</si>
  <si>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</si>
  <si>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</si>
  <si>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</si>
  <si>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</si>
  <si>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</si>
  <si>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</si>
  <si>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</si>
  <si>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</si>
  <si>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</si>
  <si>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</si>
  <si>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</si>
  <si>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</si>
  <si>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</si>
  <si>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</si>
  <si>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</si>
  <si>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</si>
  <si>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</si>
  <si>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</si>
  <si>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</si>
  <si>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</si>
  <si>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</si>
  <si>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</si>
  <si>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</si>
  <si>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</si>
  <si>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</si>
  <si>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</si>
  <si>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</si>
  <si>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</si>
  <si>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</si>
  <si>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</si>
  <si>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</si>
  <si>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</si>
  <si>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</si>
  <si>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</si>
  <si>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</si>
  <si>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</si>
  <si>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</si>
  <si>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</si>
  <si>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</si>
  <si>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</si>
  <si>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</si>
  <si>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</si>
  <si>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</si>
  <si>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</si>
  <si>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</si>
  <si>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</si>
  <si>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</si>
  <si>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</si>
  <si>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</si>
  <si>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</si>
  <si>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</si>
  <si>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</si>
  <si>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</si>
  <si>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</si>
  <si>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</si>
  <si>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</si>
  <si>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</si>
  <si>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</si>
  <si>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</si>
  <si>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</si>
  <si>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</si>
  <si>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</si>
  <si>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</si>
  <si>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</si>
  <si>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</si>
  <si>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</si>
  <si>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</si>
  <si>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</si>
  <si>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</si>
  <si>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</si>
  <si>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</si>
  <si>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</si>
  <si>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</si>
  <si>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</si>
  <si>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</si>
  <si>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</si>
  <si>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</si>
  <si>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</si>
  <si>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</si>
  <si>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</si>
  <si>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</si>
  <si>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</si>
  <si>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</si>
  <si>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</si>
  <si>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</si>
  <si>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</si>
  <si>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</si>
  <si>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</si>
  <si>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</si>
  <si>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</si>
  <si>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</si>
  <si>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</si>
  <si>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</si>
  <si>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</si>
  <si>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</si>
  <si>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</si>
  <si>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</si>
  <si>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</si>
  <si>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</si>
  <si>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</si>
  <si>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</si>
  <si>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</si>
  <si>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</si>
  <si>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</si>
  <si>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</si>
  <si>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</si>
  <si>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</si>
  <si>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</si>
  <si>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</si>
  <si>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</si>
  <si>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</si>
  <si>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</si>
  <si>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</si>
  <si>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</si>
  <si>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</si>
  <si>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</si>
  <si>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</si>
  <si>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</si>
  <si>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</si>
  <si>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</si>
  <si>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</si>
  <si>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</si>
  <si>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</si>
  <si>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</si>
  <si>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</si>
  <si>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</si>
  <si>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</si>
  <si>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</si>
  <si>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</si>
  <si>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</si>
  <si>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</si>
  <si>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</si>
  <si>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</si>
  <si>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</si>
  <si>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</si>
  <si>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</si>
  <si>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</si>
  <si>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</si>
  <si>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</si>
  <si>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</si>
  <si>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</si>
  <si>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</si>
  <si>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</si>
  <si>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</si>
  <si>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</si>
  <si>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</si>
  <si>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</si>
  <si>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</si>
  <si>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</si>
  <si>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</si>
  <si>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</si>
  <si>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</si>
  <si>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</si>
  <si>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</si>
  <si>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</si>
  <si>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</si>
  <si>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</si>
  <si>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</si>
  <si>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</si>
  <si>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</si>
  <si>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</si>
  <si>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</si>
  <si>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</si>
  <si>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</si>
  <si>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</si>
  <si>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</si>
  <si>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</si>
  <si>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</si>
  <si>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</si>
  <si>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</si>
  <si>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</si>
  <si>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</si>
  <si>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</si>
  <si>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</si>
  <si>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</si>
  <si>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</si>
  <si>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</si>
  <si>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</si>
  <si>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</si>
  <si>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</si>
  <si>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</si>
  <si>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</si>
  <si>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</si>
  <si>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</si>
  <si>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</si>
  <si>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</si>
  <si>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</si>
  <si>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</si>
  <si>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</si>
  <si>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</si>
  <si>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</si>
  <si>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</si>
  <si>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</si>
  <si>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</si>
  <si>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</si>
  <si>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</si>
  <si>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</si>
  <si>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</si>
  <si>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</si>
  <si>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</si>
  <si>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</si>
  <si>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</si>
  <si>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</si>
  <si>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</si>
  <si>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</si>
  <si>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</si>
  <si>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</si>
  <si>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</si>
  <si>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</si>
  <si>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</si>
  <si>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</si>
  <si>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</si>
  <si>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</si>
  <si>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</si>
  <si>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</si>
  <si>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</si>
  <si>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</si>
  <si>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</si>
  <si>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</si>
  <si>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</si>
  <si>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</si>
  <si>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</si>
  <si>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</si>
  <si>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</si>
  <si>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</si>
  <si>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</si>
  <si>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</si>
  <si>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</si>
  <si>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</si>
  <si>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</si>
  <si>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</si>
  <si>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</si>
  <si>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</si>
  <si>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</si>
  <si>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</si>
  <si>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</si>
  <si>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</si>
  <si>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</si>
  <si>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</si>
  <si>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</si>
  <si>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</si>
  <si>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</si>
  <si>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</si>
  <si>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</si>
  <si>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</si>
  <si>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</si>
  <si>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</si>
  <si>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</si>
  <si>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</si>
  <si>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</si>
  <si>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</si>
  <si>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</si>
  <si>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</si>
  <si>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</si>
  <si>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</si>
  <si>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</si>
  <si>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</si>
  <si>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</si>
  <si>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</si>
  <si>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</si>
  <si>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</si>
  <si>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</si>
  <si>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</si>
  <si>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</si>
  <si>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</si>
  <si>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</si>
  <si>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</si>
  <si>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</si>
  <si>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</si>
  <si>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</si>
  <si>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</si>
  <si>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</si>
  <si>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</si>
  <si>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</si>
  <si>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</si>
  <si>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</si>
  <si>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</si>
  <si>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</si>
  <si>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</si>
  <si>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</si>
  <si>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</si>
  <si>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</si>
  <si>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</si>
  <si>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</si>
  <si>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</si>
  <si>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</si>
  <si>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</si>
  <si>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</si>
  <si>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</si>
  <si>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</si>
  <si>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</si>
  <si>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</si>
  <si>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</si>
  <si>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</si>
  <si>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</si>
  <si>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</si>
  <si>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</si>
  <si>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</si>
  <si>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</si>
  <si>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</si>
  <si>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</si>
  <si>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</si>
  <si>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</si>
  <si>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</si>
  <si>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</si>
  <si>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</si>
  <si>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</si>
  <si>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</si>
  <si>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</si>
  <si>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</si>
  <si>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</si>
  <si>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</si>
  <si>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</si>
  <si>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</si>
  <si>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</si>
  <si>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</si>
  <si>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</si>
  <si>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</si>
  <si>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</si>
  <si>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</si>
  <si>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</si>
  <si>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</si>
  <si>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</si>
  <si>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</si>
  <si>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</si>
  <si>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</si>
  <si>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</si>
  <si>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</si>
  <si>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</si>
  <si>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</si>
  <si>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</si>
  <si>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</si>
  <si>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</si>
  <si>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</si>
  <si>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</si>
  <si>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</si>
  <si>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</si>
  <si>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</si>
  <si>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</si>
  <si>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</si>
  <si>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</si>
  <si>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</si>
  <si>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</si>
  <si>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</si>
  <si>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</si>
  <si>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</si>
  <si>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</si>
  <si>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</si>
  <si>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</si>
  <si>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</si>
  <si>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</si>
  <si>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</si>
  <si>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</si>
  <si>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</si>
  <si>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</si>
  <si>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</si>
  <si>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</si>
  <si>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</si>
  <si>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</si>
  <si>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</si>
  <si>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</si>
  <si>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</si>
  <si>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</si>
  <si>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</si>
  <si>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</si>
  <si>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</si>
  <si>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</si>
  <si>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</si>
  <si>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</si>
  <si>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</si>
  <si>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</si>
  <si>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</si>
  <si>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</si>
  <si>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</si>
  <si>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</si>
  <si>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</si>
  <si>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</si>
  <si>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</si>
  <si>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</si>
  <si>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</si>
  <si>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</si>
  <si>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</si>
  <si>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</si>
  <si>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</si>
  <si>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</si>
  <si>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</si>
  <si>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</si>
  <si>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</si>
  <si>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</si>
  <si>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</si>
  <si>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</si>
  <si>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</si>
  <si>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</si>
  <si>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</si>
  <si>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</si>
  <si>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</si>
  <si>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</si>
  <si>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</si>
  <si>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</si>
  <si>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</si>
  <si>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</si>
  <si>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</si>
  <si>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</si>
  <si>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</si>
  <si>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</si>
  <si>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</si>
  <si>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</si>
  <si>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</si>
  <si>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</si>
  <si>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</si>
  <si>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</si>
  <si>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</si>
  <si>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</si>
  <si>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</si>
  <si>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</si>
  <si>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</si>
  <si>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</si>
  <si>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</si>
  <si>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</si>
  <si>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</si>
  <si>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</si>
  <si>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</si>
  <si>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</si>
  <si>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</si>
  <si>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</si>
  <si>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</si>
  <si>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</si>
  <si>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</si>
  <si>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</si>
  <si>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</si>
  <si>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</si>
  <si>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</si>
  <si>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</si>
  <si>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</si>
  <si>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</si>
  <si>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</si>
  <si>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</si>
  <si>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</si>
  <si>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</si>
  <si>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</si>
  <si>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</si>
  <si>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</si>
  <si>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</si>
  <si>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</si>
  <si>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</si>
  <si>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</si>
  <si>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</si>
  <si>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</si>
  <si>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</si>
  <si>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</si>
  <si>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</si>
  <si>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</si>
  <si>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</si>
  <si>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</si>
  <si>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</si>
  <si>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</si>
  <si>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</si>
  <si>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</si>
  <si>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</si>
  <si>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</si>
  <si>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</si>
  <si>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</si>
  <si>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</si>
  <si>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</si>
  <si>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</si>
  <si>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</si>
  <si>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</si>
  <si>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</si>
  <si>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</si>
  <si>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</si>
  <si>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</si>
  <si>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</si>
  <si>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</si>
  <si>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</si>
  <si>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</si>
  <si>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</si>
  <si>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</si>
  <si>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</si>
  <si>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</si>
  <si>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</si>
  <si>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</si>
  <si>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</si>
  <si>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</si>
  <si>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</si>
  <si>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</si>
  <si>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</si>
  <si>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</si>
  <si>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</si>
  <si>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</si>
  <si>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</si>
  <si>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</si>
  <si>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</si>
  <si>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</si>
  <si>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</si>
  <si>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</si>
  <si>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</si>
  <si>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</si>
  <si>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</si>
  <si>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</si>
  <si>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</si>
  <si>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</si>
  <si>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</si>
  <si>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</si>
  <si>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</si>
  <si>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</si>
  <si>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</si>
  <si>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</si>
  <si>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</si>
  <si>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</si>
  <si>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</si>
  <si>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</si>
  <si>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</si>
  <si>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</si>
  <si>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</si>
  <si>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</si>
  <si>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</si>
  <si>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</si>
  <si>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</si>
  <si>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</si>
  <si>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</si>
  <si>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</si>
  <si>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</si>
  <si>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</si>
  <si>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</si>
  <si>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</si>
  <si>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</si>
  <si>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</si>
  <si>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</si>
  <si>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</si>
  <si>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</si>
  <si>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</si>
  <si>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</si>
  <si>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</si>
  <si>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</si>
  <si>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</si>
  <si>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</si>
  <si>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</si>
  <si>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</si>
  <si>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</si>
  <si>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</si>
  <si>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</si>
  <si>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</si>
  <si>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</si>
  <si>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</si>
  <si>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</si>
  <si>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</si>
  <si>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</si>
  <si>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</si>
  <si>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</si>
  <si>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</si>
  <si>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</si>
  <si>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</si>
  <si>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</si>
  <si>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</si>
  <si>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</si>
  <si>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</si>
  <si>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</si>
  <si>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</si>
  <si>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</si>
  <si>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</si>
  <si>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</si>
  <si>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</si>
  <si>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</si>
  <si>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</si>
  <si>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</si>
  <si>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</si>
  <si>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</si>
  <si>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</si>
  <si>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</si>
  <si>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</si>
  <si>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</si>
  <si>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</si>
  <si>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</si>
  <si>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</si>
  <si>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</si>
  <si>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</si>
  <si>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</si>
  <si>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</si>
  <si>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</si>
  <si>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</si>
  <si>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</si>
  <si>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</si>
  <si>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</si>
  <si>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</si>
  <si>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</si>
  <si>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</si>
  <si>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</si>
  <si>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</si>
  <si>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</si>
  <si>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</si>
  <si>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</si>
  <si>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</si>
  <si>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</si>
  <si>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</si>
  <si>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</si>
  <si>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</si>
  <si>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</si>
  <si>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</si>
  <si>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</si>
  <si>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</si>
  <si>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</si>
  <si>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</si>
  <si>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</si>
  <si>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</si>
  <si>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</si>
  <si>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</si>
  <si>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</si>
  <si>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</si>
  <si>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</si>
  <si>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</si>
  <si>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</si>
  <si>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</si>
  <si>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</si>
  <si>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</si>
  <si>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</si>
  <si>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</si>
  <si>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</si>
  <si>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</si>
  <si>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</si>
  <si>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</si>
  <si>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</si>
  <si>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</si>
  <si>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</si>
  <si>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</si>
  <si>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</si>
  <si>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</si>
  <si>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</si>
  <si>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</si>
  <si>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</si>
  <si>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</si>
  <si>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</si>
  <si>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</si>
  <si>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</si>
  <si>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</si>
  <si>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</si>
  <si>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</si>
  <si>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</si>
  <si>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</si>
  <si>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</si>
  <si>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</si>
  <si>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</si>
  <si>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</si>
  <si>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</si>
  <si>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</si>
  <si>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</si>
  <si>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</si>
  <si>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</si>
  <si>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</si>
  <si>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</si>
  <si>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</si>
  <si>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</si>
  <si>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</si>
  <si>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</si>
  <si>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</si>
  <si>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</si>
  <si>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</si>
  <si>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</si>
  <si>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</si>
  <si>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</si>
  <si>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</si>
  <si>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</si>
  <si>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</si>
  <si>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</si>
  <si>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</si>
  <si>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</si>
  <si>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</si>
  <si>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</si>
  <si>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</si>
  <si>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</si>
  <si>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</si>
  <si>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</si>
  <si>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</si>
  <si>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</si>
  <si>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</si>
  <si>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</si>
  <si>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</si>
  <si>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</si>
  <si>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</si>
  <si>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</si>
  <si>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</si>
  <si>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</si>
  <si>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</si>
  <si>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</si>
  <si>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</si>
  <si>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</si>
  <si>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</si>
  <si>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</si>
  <si>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</si>
  <si>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</si>
  <si>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</si>
  <si>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</si>
  <si>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</si>
  <si>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</si>
  <si>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</si>
  <si>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</si>
  <si>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</si>
  <si>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</si>
  <si>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</si>
  <si>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</si>
  <si>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</si>
  <si>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</si>
  <si>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</si>
  <si>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</si>
  <si>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</si>
  <si>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</si>
  <si>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</si>
  <si>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</si>
  <si>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</si>
  <si>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</si>
  <si>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</si>
  <si>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</si>
  <si>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</si>
  <si>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</si>
  <si>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</si>
  <si>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</si>
  <si>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</si>
  <si>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</si>
  <si>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</si>
  <si>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</si>
  <si>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</si>
  <si>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</si>
  <si>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</si>
  <si>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</si>
  <si>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</si>
  <si>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</si>
  <si>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</si>
  <si>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</si>
  <si>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</si>
  <si>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</si>
  <si>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</si>
  <si>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</si>
  <si>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</si>
  <si>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</si>
  <si>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</si>
  <si>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</si>
  <si>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</si>
  <si>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</si>
  <si>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</si>
  <si>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</si>
  <si>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</si>
  <si>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</si>
  <si>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</si>
  <si>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</si>
  <si>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</si>
  <si>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</si>
  <si>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</si>
  <si>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</si>
  <si>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</si>
  <si>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</si>
  <si>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</si>
  <si>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</si>
  <si>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</si>
  <si>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</si>
  <si>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</si>
  <si>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</si>
  <si>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</si>
  <si>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</si>
  <si>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</si>
  <si>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</si>
  <si>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</si>
  <si>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</si>
  <si>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</si>
  <si>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</si>
  <si>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</si>
  <si>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</si>
  <si>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</si>
  <si>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</si>
  <si>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</si>
  <si>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</si>
  <si>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</si>
  <si>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</si>
  <si>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</si>
  <si>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</si>
  <si>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</si>
  <si>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</si>
  <si>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</si>
  <si>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</si>
  <si>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</si>
  <si>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</si>
  <si>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</si>
  <si>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</si>
  <si>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</si>
  <si>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</si>
  <si>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</si>
  <si>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</si>
  <si>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</si>
  <si>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</si>
  <si>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</si>
  <si>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</si>
  <si>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</si>
  <si>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</si>
  <si>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</si>
  <si>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</si>
  <si>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</si>
  <si>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</si>
  <si>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</si>
  <si>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</si>
  <si>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</si>
  <si>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</si>
  <si>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</si>
  <si>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</si>
  <si>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</si>
  <si>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</si>
  <si>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</si>
  <si>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</si>
  <si>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</si>
  <si>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</si>
  <si>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</si>
  <si>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</si>
  <si>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</si>
  <si>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</si>
  <si>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</si>
  <si>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</si>
  <si>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</si>
  <si>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</si>
  <si>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</si>
  <si>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</si>
  <si>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</si>
  <si>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</si>
  <si>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</si>
  <si>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</si>
  <si>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</si>
  <si>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</si>
  <si>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</si>
  <si>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</si>
  <si>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</si>
  <si>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</si>
  <si>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</si>
  <si>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</si>
  <si>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</si>
  <si>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</si>
  <si>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</si>
  <si>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</si>
  <si>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</si>
  <si>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</si>
  <si>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</si>
  <si>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</si>
  <si>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</si>
  <si>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</si>
  <si>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</si>
  <si>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</si>
  <si>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</si>
  <si>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</si>
  <si>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</si>
  <si>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</si>
  <si>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</si>
  <si>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</si>
  <si>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</si>
  <si>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</si>
  <si>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</si>
  <si>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</si>
  <si>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</si>
  <si>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</si>
  <si>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</si>
  <si>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</si>
  <si>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</si>
  <si>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</si>
  <si>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</si>
  <si>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</si>
  <si>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</si>
  <si>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</si>
  <si>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</si>
  <si>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</si>
  <si>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</si>
  <si>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</si>
  <si>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</si>
  <si>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</si>
  <si>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</si>
  <si>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</si>
  <si>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</si>
  <si>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</si>
  <si>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</si>
  <si>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</si>
  <si>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</si>
  <si>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</si>
  <si>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</si>
  <si>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</si>
  <si>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</si>
  <si>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</si>
  <si>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</si>
  <si>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</si>
  <si>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</si>
  <si>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</si>
  <si>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</si>
  <si>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</si>
  <si>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</si>
  <si>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</si>
  <si>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</si>
  <si>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</si>
  <si>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</si>
  <si>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</si>
  <si>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</si>
  <si>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</si>
  <si>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</si>
  <si>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</si>
  <si>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</si>
  <si>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</si>
  <si>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</si>
  <si>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</si>
  <si>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</si>
  <si>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</si>
  <si>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</si>
  <si>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</si>
  <si>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</si>
  <si>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</si>
  <si>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</si>
  <si>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</si>
  <si>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</si>
  <si>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</si>
  <si>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</si>
  <si>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</si>
  <si>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</si>
  <si>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</si>
  <si>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</si>
  <si>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</si>
  <si>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</si>
  <si>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</si>
  <si>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</si>
  <si>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</si>
  <si>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</si>
  <si>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</si>
  <si>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</si>
  <si>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</si>
  <si>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</si>
  <si>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</si>
  <si>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</si>
  <si>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</si>
  <si>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</si>
  <si>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</si>
  <si>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</si>
  <si>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</si>
  <si>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</si>
  <si>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</si>
  <si>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</si>
  <si>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</si>
  <si>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</si>
  <si>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</si>
  <si>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</si>
  <si>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</si>
  <si>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</si>
  <si>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</si>
  <si>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</si>
  <si>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</si>
  <si>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</si>
  <si>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</si>
  <si>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</si>
  <si>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</si>
  <si>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</si>
  <si>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</si>
  <si>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</si>
  <si>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</si>
  <si>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</si>
  <si>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</si>
  <si>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</si>
  <si>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</si>
  <si>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</si>
  <si>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</si>
  <si>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</si>
  <si>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</si>
  <si>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</si>
  <si>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</si>
  <si>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</si>
  <si>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</si>
  <si>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</si>
  <si>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</si>
  <si>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</si>
  <si>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</si>
  <si>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</si>
  <si>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</si>
  <si>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</si>
  <si>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</si>
  <si>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</si>
  <si>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</si>
  <si>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</si>
  <si>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</si>
  <si>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</si>
  <si>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</si>
  <si>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</si>
  <si>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</si>
  <si>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</si>
  <si>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</si>
  <si>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</si>
  <si>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</si>
  <si>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</si>
  <si>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</si>
  <si>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</si>
  <si>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</si>
  <si>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</si>
  <si>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</si>
  <si>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</si>
  <si>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</si>
  <si>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</si>
  <si>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</si>
  <si>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</si>
  <si>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</si>
  <si>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</si>
  <si>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</si>
  <si>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</si>
  <si>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</si>
  <si>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</si>
  <si>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</si>
  <si>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</si>
  <si>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</si>
  <si>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</si>
  <si>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</si>
  <si>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</si>
  <si>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</si>
  <si>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</si>
  <si>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</si>
  <si>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</si>
  <si>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</si>
  <si>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</si>
  <si>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</si>
  <si>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</si>
  <si>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</si>
  <si>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</si>
  <si>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</si>
  <si>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</si>
  <si>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</si>
  <si>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</si>
  <si>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</si>
  <si>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</si>
  <si>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</si>
  <si>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</si>
  <si>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</si>
  <si>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</si>
  <si>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</si>
  <si>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</si>
  <si>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</si>
  <si>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</si>
  <si>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</si>
  <si>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</si>
  <si>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</si>
  <si>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</si>
  <si>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</si>
  <si>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</si>
  <si>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</si>
  <si>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</si>
  <si>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</si>
  <si>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</si>
  <si>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</si>
  <si>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</si>
  <si>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</si>
  <si>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</si>
  <si>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</si>
  <si>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</si>
  <si>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</si>
  <si>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</si>
  <si>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</si>
  <si>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</si>
  <si>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</si>
  <si>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</si>
  <si>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</si>
  <si>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</si>
  <si>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</si>
  <si>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</si>
  <si>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</si>
  <si>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</si>
  <si>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</si>
  <si>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</si>
  <si>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</si>
  <si>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</si>
  <si>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</si>
  <si>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</si>
  <si>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</si>
  <si>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</si>
  <si>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</si>
  <si>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</si>
  <si>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</si>
  <si>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</si>
  <si>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</si>
  <si>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</si>
  <si>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</si>
  <si>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</si>
  <si>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</si>
  <si>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</si>
  <si>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</si>
  <si>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</si>
  <si>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</si>
  <si>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</si>
  <si>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</si>
  <si>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</si>
  <si>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</si>
  <si>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</si>
  <si>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</si>
  <si>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</si>
  <si>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</si>
  <si>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</si>
  <si>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</si>
  <si>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</si>
  <si>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</si>
  <si>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</si>
  <si>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</si>
  <si>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</si>
  <si>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</si>
  <si>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</si>
  <si>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</si>
  <si>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</si>
  <si>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</si>
  <si>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</si>
  <si>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</si>
  <si>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</si>
  <si>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</si>
  <si>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</si>
  <si>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</si>
  <si>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</si>
  <si>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</si>
  <si>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</si>
  <si>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</si>
  <si>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</si>
  <si>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</si>
  <si>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</si>
  <si>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</si>
  <si>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</si>
  <si>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</si>
  <si>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</si>
  <si>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</si>
  <si>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</si>
  <si>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</si>
  <si>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</si>
  <si>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</si>
  <si>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</si>
  <si>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</si>
  <si>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</si>
  <si>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</si>
  <si>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</si>
  <si>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</si>
  <si>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</si>
  <si>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</si>
  <si>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</si>
  <si>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</si>
  <si>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</si>
  <si>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</si>
  <si>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</si>
  <si>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</si>
  <si>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</si>
  <si>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</si>
  <si>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</si>
  <si>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</si>
  <si>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</si>
  <si>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</si>
  <si>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</si>
  <si>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</si>
  <si>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</si>
  <si>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</si>
  <si>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</si>
  <si>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</si>
  <si>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</si>
  <si>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</si>
  <si>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</si>
  <si>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</si>
  <si>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</si>
  <si>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</si>
  <si>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</si>
  <si>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</si>
  <si>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</si>
  <si>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</si>
  <si>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</si>
  <si>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</si>
  <si>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</si>
  <si>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</si>
  <si>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</si>
  <si>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</si>
  <si>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</si>
  <si>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</si>
  <si>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</si>
  <si>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</si>
  <si>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</si>
  <si>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</si>
  <si>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</si>
  <si>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</si>
  <si>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</si>
  <si>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</si>
  <si>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</si>
  <si>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</si>
  <si>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</si>
  <si>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</si>
  <si>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</si>
  <si>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</si>
  <si>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</si>
  <si>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</si>
  <si>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</si>
  <si>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</si>
  <si>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</si>
  <si>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</si>
  <si>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</si>
  <si>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</si>
  <si>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</si>
  <si>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</si>
  <si>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</si>
  <si>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</si>
  <si>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</si>
  <si>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</si>
  <si>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</si>
  <si>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</si>
  <si>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</si>
  <si>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</si>
  <si>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</si>
  <si>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</si>
  <si>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</si>
  <si>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</si>
  <si>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</si>
  <si>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</si>
  <si>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</si>
  <si>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</si>
  <si>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</si>
  <si>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</si>
  <si>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</si>
  <si>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</si>
  <si>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</si>
  <si>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</si>
  <si>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</si>
  <si>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</si>
  <si>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</si>
  <si>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</si>
  <si>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</si>
  <si>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</si>
  <si>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</si>
  <si>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</si>
  <si>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</si>
  <si>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</si>
  <si>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</si>
  <si>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</si>
  <si>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</si>
  <si>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</si>
  <si>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</si>
  <si>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</si>
  <si>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</si>
  <si>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</si>
  <si>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</si>
  <si>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</si>
  <si>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</si>
  <si>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</si>
  <si>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</si>
  <si>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</si>
  <si>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</si>
  <si>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</si>
  <si>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</si>
  <si>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</si>
  <si>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</si>
  <si>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</si>
  <si>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</si>
  <si>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</si>
  <si>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</si>
  <si>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</si>
  <si>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</si>
  <si>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</si>
  <si>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</si>
  <si>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</si>
  <si>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</si>
  <si>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</si>
  <si>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</si>
  <si>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</si>
  <si>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</si>
  <si>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</si>
  <si>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</si>
  <si>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</si>
  <si>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</si>
  <si>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</si>
  <si>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</si>
  <si>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</si>
  <si>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</si>
  <si>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</si>
  <si>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</si>
  <si>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</si>
  <si>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</si>
  <si>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</si>
  <si>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</si>
  <si>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</si>
  <si>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</si>
  <si>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</si>
  <si>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</si>
  <si>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</si>
  <si>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</si>
  <si>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</si>
  <si>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</si>
  <si>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</si>
  <si>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</si>
  <si>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</si>
  <si>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</si>
  <si>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</si>
  <si>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</si>
  <si>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</si>
  <si>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</si>
  <si>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</si>
  <si>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</si>
  <si>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</si>
  <si>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</si>
  <si>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</si>
  <si>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</si>
  <si>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</si>
  <si>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</si>
  <si>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</si>
  <si>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</si>
  <si>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</si>
  <si>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</si>
  <si>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</si>
  <si>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</si>
  <si>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</si>
  <si>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</si>
  <si>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</si>
  <si>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</si>
  <si>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</si>
  <si>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</si>
  <si>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</si>
  <si>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</si>
  <si>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</si>
  <si>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</si>
  <si>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</si>
  <si>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</si>
  <si>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</si>
  <si>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</si>
  <si>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</si>
  <si>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</si>
  <si>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</si>
  <si>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</si>
  <si>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</si>
  <si>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</si>
  <si>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</si>
  <si>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</si>
  <si>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</si>
  <si>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</si>
  <si>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</si>
  <si>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</si>
  <si>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</si>
  <si>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</si>
  <si>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</si>
  <si>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</si>
  <si>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</si>
  <si>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</si>
  <si>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</si>
  <si>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</si>
  <si>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</si>
  <si>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</si>
  <si>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</si>
  <si>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</si>
  <si>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</si>
  <si>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</si>
  <si>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</si>
  <si>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</si>
  <si>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</si>
  <si>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</si>
  <si>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</si>
  <si>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</si>
  <si>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</si>
  <si>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</si>
  <si>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</si>
  <si>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</si>
  <si>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</si>
  <si>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</si>
  <si>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</si>
  <si>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</si>
  <si>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</si>
  <si>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</si>
  <si>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</si>
  <si>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</si>
  <si>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</si>
  <si>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</si>
  <si>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</si>
  <si>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</si>
  <si>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</si>
  <si>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</si>
  <si>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</si>
  <si>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</si>
  <si>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</si>
  <si>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</si>
  <si>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</si>
  <si>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</si>
  <si>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</si>
  <si>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</si>
  <si>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</si>
  <si>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</si>
  <si>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</si>
  <si>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</si>
  <si>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</si>
  <si>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</si>
  <si>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</si>
  <si>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</si>
  <si>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</si>
  <si>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</si>
  <si>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</si>
  <si>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</si>
  <si>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</si>
  <si>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</si>
  <si>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</si>
  <si>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</si>
  <si>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</si>
  <si>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</si>
  <si>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</si>
  <si>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</si>
  <si>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</si>
  <si>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</si>
  <si>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</si>
  <si>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</si>
  <si>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</si>
  <si>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</si>
  <si>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</si>
  <si>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</si>
  <si>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</si>
  <si>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</si>
  <si>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</si>
  <si>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</si>
  <si>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</si>
  <si>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</si>
  <si>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</si>
  <si>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</si>
  <si>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</si>
  <si>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</si>
  <si>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</si>
  <si>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</si>
  <si>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</si>
  <si>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</si>
  <si>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</si>
  <si>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</si>
  <si>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</si>
  <si>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</si>
  <si>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</si>
  <si>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</si>
  <si>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</si>
  <si>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</si>
  <si>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</si>
  <si>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</si>
  <si>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</si>
  <si>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</si>
  <si>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</si>
  <si>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</si>
  <si>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</si>
  <si>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</si>
  <si>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</si>
  <si>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</si>
  <si>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</si>
  <si>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</si>
  <si>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</si>
  <si>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</si>
  <si>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</si>
  <si>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</si>
  <si>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</si>
  <si>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</si>
  <si>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</si>
  <si>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</si>
  <si>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</si>
  <si>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</si>
  <si>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</si>
  <si>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</si>
  <si>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</si>
  <si>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</si>
  <si>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</si>
  <si>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</si>
  <si>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</si>
  <si>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</si>
  <si>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</si>
  <si>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</si>
  <si>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</si>
  <si>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</si>
  <si>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</si>
  <si>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</si>
  <si>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</si>
  <si>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</si>
  <si>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</si>
  <si>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</si>
  <si>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</si>
  <si>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</si>
  <si>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</si>
  <si>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</si>
  <si>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</si>
  <si>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</si>
  <si>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</si>
  <si>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</si>
  <si>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</si>
  <si>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</si>
  <si>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</si>
  <si>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</si>
  <si>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</si>
  <si>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</si>
  <si>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</si>
  <si>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</si>
  <si>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</si>
  <si>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</si>
  <si>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</si>
  <si>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</si>
  <si>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</si>
  <si>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</si>
  <si>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</si>
  <si>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</si>
  <si>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</si>
  <si>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</si>
  <si>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</si>
  <si>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</si>
  <si>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</si>
  <si>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</si>
  <si>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</si>
  <si>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</si>
  <si>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</si>
  <si>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</si>
  <si>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</si>
  <si>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</si>
  <si>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</si>
  <si>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</si>
  <si>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</si>
  <si>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</si>
  <si>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</si>
  <si>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</si>
  <si>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</si>
  <si>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</si>
  <si>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</si>
  <si>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</si>
  <si>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</si>
  <si>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</si>
  <si>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</si>
  <si>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</si>
  <si>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</si>
  <si>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</si>
  <si>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</si>
  <si>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</si>
  <si>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</si>
  <si>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</si>
  <si>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</si>
  <si>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</si>
  <si>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</si>
  <si>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</si>
  <si>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</si>
  <si>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</si>
  <si>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</si>
  <si>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</si>
  <si>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</si>
  <si>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</si>
  <si>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</si>
  <si>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</si>
  <si>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</si>
  <si>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</si>
  <si>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</si>
  <si>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</si>
  <si>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</si>
  <si>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</si>
  <si>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</si>
  <si>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</si>
  <si>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</si>
  <si>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</si>
  <si>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</si>
  <si>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</si>
  <si>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</si>
  <si>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</si>
  <si>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</si>
  <si>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</si>
  <si>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</si>
  <si>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</si>
  <si>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</si>
  <si>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</si>
  <si>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</si>
  <si>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</si>
  <si>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</si>
  <si>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</si>
  <si>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</si>
  <si>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</si>
  <si>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</si>
  <si>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</si>
  <si>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</si>
  <si>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</si>
  <si>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</si>
  <si>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</si>
  <si>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</si>
  <si>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</si>
  <si>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</si>
  <si>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</si>
  <si>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</si>
  <si>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</si>
  <si>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</si>
  <si>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</si>
  <si>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</si>
  <si>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</si>
  <si>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</si>
  <si>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</si>
  <si>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</si>
  <si>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</si>
  <si>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</si>
  <si>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</si>
  <si>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</si>
  <si>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</si>
  <si>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</si>
  <si>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</si>
  <si>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</si>
  <si>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</si>
  <si>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</si>
  <si>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</si>
  <si>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</si>
  <si>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</si>
  <si>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</si>
  <si>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</si>
  <si>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</si>
  <si>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</si>
  <si>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</si>
  <si>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</si>
  <si>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</si>
  <si>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</si>
  <si>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</si>
  <si>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</si>
  <si>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</si>
  <si>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</si>
  <si>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</si>
  <si>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</si>
  <si>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</si>
  <si>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</si>
  <si>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</si>
  <si>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</si>
  <si>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</si>
  <si>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</si>
  <si>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</si>
  <si>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</si>
  <si>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</si>
  <si>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</si>
  <si>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</si>
  <si>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</si>
  <si>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</si>
  <si>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</si>
  <si>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</si>
  <si>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</si>
  <si>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</si>
  <si>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</si>
  <si>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</si>
  <si>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</si>
  <si>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</si>
  <si>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</si>
  <si>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</si>
  <si>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</si>
  <si>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</si>
  <si>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</si>
  <si>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</si>
  <si>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</si>
  <si>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</si>
  <si>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</si>
  <si>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</si>
  <si>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</si>
  <si>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</si>
  <si>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</si>
  <si>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</si>
  <si>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</si>
  <si>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</si>
  <si>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</si>
  <si>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</si>
  <si>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</si>
  <si>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</si>
  <si>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</si>
  <si>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</si>
  <si>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</si>
  <si>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</si>
  <si>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</si>
  <si>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</si>
  <si>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</si>
  <si>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</si>
  <si>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</si>
  <si>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</si>
  <si>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</si>
  <si>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</si>
  <si>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</si>
  <si>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</si>
  <si>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</si>
  <si>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</si>
  <si>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</si>
  <si>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</si>
  <si>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</si>
  <si>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</si>
  <si>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</si>
  <si>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</si>
  <si>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</si>
  <si>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</si>
  <si>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</si>
  <si>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</si>
  <si>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</si>
  <si>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</si>
  <si>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</si>
  <si>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</si>
  <si>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</si>
  <si>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</si>
  <si>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</si>
  <si>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</si>
  <si>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</si>
  <si>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</si>
  <si>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</si>
  <si>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</si>
  <si>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</si>
  <si>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</si>
  <si>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</si>
  <si>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</si>
  <si>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</si>
  <si>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</si>
  <si>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</si>
  <si>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</si>
  <si>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</si>
  <si>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</si>
  <si>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</si>
  <si>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</si>
  <si>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</si>
  <si>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</si>
  <si>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</si>
  <si>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</si>
  <si>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</si>
  <si>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</si>
  <si>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</si>
  <si>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</si>
  <si>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</si>
  <si>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</si>
  <si>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</si>
  <si>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</si>
  <si>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</si>
  <si>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</si>
  <si>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</si>
  <si>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</si>
  <si>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</si>
  <si>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</si>
  <si>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</si>
  <si>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</si>
  <si>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</si>
  <si>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</si>
  <si>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</si>
  <si>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</si>
  <si>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</si>
  <si>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</si>
  <si>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</si>
  <si>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</si>
  <si>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</si>
  <si>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</si>
  <si>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</si>
  <si>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</si>
  <si>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</si>
  <si>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</si>
  <si>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</si>
  <si>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</si>
  <si>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</si>
  <si>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</si>
  <si>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</si>
  <si>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</si>
  <si>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</si>
  <si>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</si>
  <si>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</si>
  <si>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</si>
  <si>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</si>
  <si>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</si>
  <si>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</si>
  <si>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</si>
  <si>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</si>
  <si>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</si>
  <si>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</si>
  <si>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</si>
  <si>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</si>
  <si>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</si>
  <si>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</si>
  <si>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</si>
  <si>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</si>
  <si>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</si>
  <si>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</si>
  <si>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</si>
  <si>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</si>
  <si>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</si>
  <si>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</si>
  <si>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</si>
  <si>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</si>
  <si>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</si>
  <si>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</si>
  <si>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</si>
  <si>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</si>
  <si>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</si>
  <si>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</si>
  <si>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</si>
  <si>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</si>
  <si>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</si>
  <si>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</si>
  <si>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</si>
  <si>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</si>
  <si>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</si>
  <si>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</si>
  <si>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</si>
  <si>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</si>
  <si>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</si>
  <si>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</si>
  <si>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</si>
  <si>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</si>
  <si>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</si>
  <si>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</si>
  <si>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</si>
  <si>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</si>
  <si>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</si>
  <si>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</si>
  <si>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</si>
  <si>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</si>
  <si>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</si>
  <si>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</si>
  <si>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</si>
  <si>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</si>
  <si>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</si>
  <si>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</si>
  <si>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</si>
  <si>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</si>
  <si>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</si>
  <si>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</si>
  <si>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</si>
  <si>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</si>
  <si>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</si>
  <si>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</si>
  <si>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</si>
  <si>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</si>
  <si>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</si>
  <si>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</si>
  <si>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</si>
  <si>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</si>
  <si>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</si>
  <si>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</si>
  <si>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</si>
  <si>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</si>
  <si>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</si>
  <si>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</si>
  <si>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</si>
  <si>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</si>
  <si>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</si>
  <si>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</si>
  <si>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</si>
  <si>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</si>
  <si>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</si>
  <si>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</si>
  <si>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</si>
  <si>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</si>
  <si>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</si>
  <si>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</si>
  <si>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</si>
  <si>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</si>
  <si>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</si>
  <si>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</si>
  <si>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</si>
  <si>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</si>
  <si>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</si>
  <si>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</si>
  <si>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</si>
  <si>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</si>
  <si>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</si>
  <si>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</si>
  <si>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</si>
  <si>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</si>
  <si>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</si>
  <si>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</si>
  <si>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</si>
  <si>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</si>
  <si>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</si>
  <si>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</si>
  <si>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</si>
  <si>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</si>
  <si>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</si>
  <si>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</si>
  <si>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</si>
  <si>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</si>
  <si>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</si>
  <si>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</si>
  <si>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</si>
  <si>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</si>
  <si>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</si>
  <si>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</si>
  <si>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</si>
  <si>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</si>
  <si>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</si>
  <si>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</si>
  <si>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</si>
  <si>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</si>
  <si>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</si>
  <si>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</si>
  <si>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</si>
  <si>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</si>
  <si>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</si>
  <si>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</si>
  <si>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</si>
  <si>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</si>
  <si>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</si>
  <si>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</si>
  <si>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</si>
  <si>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</si>
  <si>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</si>
  <si>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</si>
  <si>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</si>
  <si>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</si>
  <si>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</si>
  <si>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</si>
  <si>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</si>
  <si>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</si>
  <si>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</si>
  <si>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</si>
  <si>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</si>
  <si>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</si>
  <si>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</si>
  <si>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</si>
  <si>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</si>
  <si>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</si>
  <si>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</si>
  <si>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</si>
  <si>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</si>
  <si>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</si>
  <si>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</si>
  <si>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</si>
  <si>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</si>
  <si>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</si>
  <si>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</si>
  <si>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</si>
  <si>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</si>
  <si>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</si>
  <si>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</si>
  <si>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</si>
  <si>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</si>
  <si>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</si>
  <si>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</si>
  <si>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</si>
  <si>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</si>
  <si>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</si>
  <si>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</si>
  <si>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</si>
  <si>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</si>
  <si>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</si>
  <si>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</si>
  <si>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</si>
  <si>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</si>
  <si>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</si>
  <si>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</si>
  <si>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</si>
  <si>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</si>
  <si>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</si>
  <si>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</si>
  <si>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</si>
  <si>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</si>
  <si>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</si>
  <si>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</si>
  <si>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</si>
  <si>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</si>
  <si>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</si>
  <si>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</si>
  <si>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</si>
  <si>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</si>
  <si>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</si>
  <si>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</si>
  <si>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</si>
  <si>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</si>
  <si>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</si>
  <si>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</si>
  <si>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</si>
  <si>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</si>
  <si>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</si>
  <si>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</si>
  <si>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</si>
  <si>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</si>
  <si>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</si>
  <si>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</si>
  <si>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</si>
  <si>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</si>
  <si>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</si>
  <si>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</si>
  <si>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</si>
  <si>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</si>
  <si>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</si>
  <si>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</si>
  <si>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</si>
  <si>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</si>
  <si>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</si>
  <si>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</si>
  <si>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</si>
  <si>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</si>
  <si>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</si>
  <si>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</si>
  <si>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</si>
  <si>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</si>
  <si>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</si>
  <si>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</si>
  <si>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</si>
  <si>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</si>
  <si>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</si>
  <si>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</si>
  <si>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</si>
  <si>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</si>
  <si>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</si>
  <si>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</si>
  <si>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</si>
  <si>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</si>
  <si>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</si>
  <si>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</si>
  <si>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</si>
  <si>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</si>
  <si>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</si>
  <si>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</si>
  <si>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</si>
  <si>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</si>
  <si>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</si>
  <si>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</si>
  <si>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</si>
  <si>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</si>
  <si>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</si>
  <si>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</si>
  <si>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</si>
  <si>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</si>
  <si>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</si>
  <si>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</si>
  <si>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</si>
  <si>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</si>
  <si>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</si>
  <si>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</si>
  <si>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</si>
  <si>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</si>
  <si>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</si>
  <si>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</si>
  <si>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</si>
  <si>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</si>
  <si>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</si>
  <si>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</si>
  <si>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</si>
  <si>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</si>
  <si>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</si>
  <si>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</si>
  <si>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</si>
  <si>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</si>
  <si>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</si>
  <si>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</si>
  <si>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</si>
  <si>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</si>
  <si>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</si>
  <si>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</si>
  <si>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</si>
  <si>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</si>
  <si>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</si>
  <si>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</si>
  <si>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</si>
  <si>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</si>
  <si>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</si>
  <si>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</si>
  <si>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</si>
  <si>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</si>
  <si>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</si>
  <si>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</si>
  <si>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</si>
  <si>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</si>
  <si>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</si>
  <si>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</si>
  <si>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</si>
  <si>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</si>
  <si>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</si>
  <si>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</si>
  <si>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</si>
  <si>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</si>
  <si>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</si>
  <si>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</si>
  <si>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</si>
  <si>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</si>
  <si>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</si>
  <si>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</si>
  <si>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</si>
  <si>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</si>
  <si>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</si>
  <si>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</si>
  <si>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</si>
  <si>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</si>
  <si>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</si>
  <si>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</si>
  <si>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</si>
  <si>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</si>
  <si>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</si>
  <si>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</si>
  <si>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</si>
  <si>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</si>
  <si>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</si>
  <si>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</si>
  <si>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</si>
  <si>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</si>
  <si>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</si>
  <si>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</si>
  <si>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</si>
  <si>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</si>
  <si>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</si>
  <si>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</si>
  <si>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</si>
  <si>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</si>
  <si>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</si>
  <si>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</si>
  <si>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</si>
  <si>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</si>
  <si>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</si>
  <si>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</si>
  <si>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</si>
  <si>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</si>
  <si>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</si>
  <si>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</si>
  <si>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</si>
  <si>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</si>
  <si>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</si>
  <si>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</si>
  <si>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</si>
  <si>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</si>
  <si>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</si>
  <si>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</si>
  <si>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</si>
  <si>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</si>
  <si>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</si>
  <si>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</si>
  <si>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</si>
  <si>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</si>
  <si>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</si>
  <si>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</si>
  <si>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</si>
  <si>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</si>
  <si>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</si>
  <si>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</si>
  <si>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</si>
  <si>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</si>
  <si>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</si>
  <si>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</si>
  <si>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</si>
  <si>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</si>
  <si>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</si>
  <si>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</si>
  <si>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</si>
  <si>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</si>
  <si>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</si>
  <si>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</si>
  <si>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</si>
  <si>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</si>
  <si>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</si>
  <si>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</si>
  <si>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</si>
  <si>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</si>
  <si>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</si>
  <si>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</si>
  <si>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</si>
  <si>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</si>
  <si>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</si>
  <si>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</si>
  <si>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</si>
  <si>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</si>
  <si>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</si>
  <si>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</si>
  <si>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</si>
  <si>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</si>
  <si>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</si>
  <si>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</si>
  <si>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</si>
  <si>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</si>
  <si>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</si>
  <si>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</si>
  <si>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</si>
  <si>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</si>
  <si>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</si>
  <si>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</si>
  <si>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</si>
  <si>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</si>
  <si>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</si>
  <si>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</si>
  <si>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</si>
  <si>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</si>
  <si>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</si>
  <si>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</si>
  <si>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</si>
  <si>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</si>
  <si>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</si>
  <si>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</si>
  <si>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</si>
  <si>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</si>
  <si>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</si>
  <si>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</si>
  <si>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</si>
  <si>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</si>
  <si>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</si>
  <si>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</si>
  <si>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</si>
  <si>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</si>
  <si>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</si>
  <si>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</si>
  <si>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</si>
  <si>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</si>
  <si>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</si>
  <si>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</si>
  <si>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</si>
  <si>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</si>
  <si>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</si>
  <si>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</si>
  <si>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</si>
  <si>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</si>
  <si>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</si>
  <si>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</si>
  <si>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</si>
  <si>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</si>
  <si>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</si>
  <si>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</si>
  <si>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</si>
  <si>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</si>
  <si>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</si>
  <si>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</si>
  <si>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</si>
  <si>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</si>
  <si>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</si>
  <si>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</si>
  <si>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</si>
  <si>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</si>
  <si>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</si>
  <si>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</si>
  <si>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</si>
  <si>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</si>
  <si>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</si>
  <si>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</si>
  <si>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</si>
  <si>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</si>
  <si>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</si>
  <si>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</si>
  <si>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</si>
  <si>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</si>
  <si>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</si>
  <si>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</si>
  <si>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</si>
  <si>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</si>
  <si>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</si>
  <si>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</si>
  <si>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</si>
  <si>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</si>
  <si>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</si>
  <si>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</si>
  <si>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</si>
  <si>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</si>
  <si>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</si>
  <si>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</si>
  <si>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</si>
  <si>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</si>
  <si>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</si>
  <si>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</si>
  <si>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</si>
  <si>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</si>
  <si>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</si>
  <si>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</si>
  <si>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</si>
  <si>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</si>
  <si>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</si>
  <si>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</si>
  <si>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</si>
  <si>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</si>
  <si>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</si>
  <si>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</si>
  <si>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</si>
  <si>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</si>
  <si>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</si>
  <si>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</si>
  <si>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</si>
  <si>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</si>
  <si>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</si>
  <si>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</si>
  <si>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</si>
  <si>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</si>
  <si>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</si>
  <si>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</si>
  <si>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</si>
  <si>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</si>
  <si>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</si>
  <si>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</si>
  <si>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</si>
  <si>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</si>
  <si>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</si>
  <si>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</si>
  <si>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</si>
  <si>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</si>
  <si>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</si>
  <si>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</si>
  <si>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</si>
  <si>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</si>
  <si>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</si>
  <si>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</si>
  <si>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</si>
  <si>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</si>
  <si>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</si>
  <si>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</si>
  <si>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</si>
  <si>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</si>
  <si>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</si>
  <si>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</si>
  <si>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</si>
  <si>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</si>
  <si>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</si>
  <si>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</si>
  <si>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</si>
  <si>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</si>
  <si>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</si>
  <si>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</si>
  <si>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</si>
  <si>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</si>
  <si>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</si>
  <si>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</si>
  <si>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</si>
  <si>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</si>
  <si>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</si>
  <si>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</si>
  <si>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</si>
  <si>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</si>
  <si>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</si>
  <si>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</si>
  <si>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</si>
  <si>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</si>
  <si>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</si>
  <si>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</si>
  <si>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</si>
  <si>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</si>
  <si>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</si>
  <si>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</si>
  <si>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</si>
  <si>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</si>
  <si>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</si>
  <si>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</si>
  <si>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</si>
  <si>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</si>
  <si>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</si>
  <si>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</si>
  <si>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</si>
  <si>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</si>
  <si>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</si>
  <si>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</si>
  <si>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</si>
  <si>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</si>
  <si>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</si>
  <si>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</si>
  <si>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</si>
  <si>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</si>
  <si>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</si>
  <si>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</si>
  <si>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</si>
  <si>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</si>
  <si>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</si>
  <si>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</si>
  <si>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</si>
  <si>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</si>
  <si>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</si>
  <si>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</si>
  <si>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</si>
  <si>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</si>
  <si>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</si>
  <si>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</si>
  <si>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</si>
  <si>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</si>
  <si>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</si>
  <si>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</si>
  <si>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</si>
  <si>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</si>
  <si>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</si>
  <si>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</si>
  <si>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</si>
  <si>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</si>
  <si>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</si>
  <si>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</si>
  <si>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</si>
  <si>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</si>
  <si>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</si>
  <si>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</si>
  <si>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</si>
  <si>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</si>
  <si>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</si>
  <si>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</si>
  <si>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</si>
  <si>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</si>
  <si>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</si>
  <si>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</si>
  <si>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</si>
  <si>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</si>
  <si>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</si>
  <si>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</si>
  <si>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</si>
  <si>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</si>
  <si>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</si>
  <si>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</si>
  <si>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</si>
  <si>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</si>
  <si>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</si>
  <si>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</si>
  <si>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</si>
  <si>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</si>
  <si>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</si>
  <si>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</si>
  <si>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</si>
  <si>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</si>
  <si>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</si>
  <si>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</si>
  <si>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</si>
  <si>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</si>
  <si>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</si>
  <si>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</si>
  <si>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</si>
  <si>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</si>
  <si>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</si>
  <si>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</si>
  <si>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</si>
  <si>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</si>
  <si>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</si>
  <si>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</si>
  <si>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</si>
  <si>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</si>
  <si>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</si>
  <si>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</si>
  <si>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</si>
  <si>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</si>
  <si>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</si>
  <si>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</si>
  <si>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</si>
  <si>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</si>
  <si>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</si>
  <si>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</si>
  <si>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</si>
  <si>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</si>
  <si>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</si>
  <si>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</si>
  <si>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</si>
  <si>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</si>
  <si>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</si>
  <si>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</si>
  <si>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</si>
  <si>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</si>
  <si>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</si>
  <si>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</si>
  <si>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</si>
  <si>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</si>
  <si>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</si>
  <si>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</si>
  <si>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</si>
  <si>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</si>
  <si>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</si>
  <si>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</si>
  <si>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</si>
  <si>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</si>
  <si>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</si>
  <si>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</si>
  <si>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</si>
  <si>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</si>
  <si>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</si>
  <si>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</si>
  <si>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</si>
  <si>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</si>
  <si>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</si>
  <si>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</si>
  <si>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</si>
  <si>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</si>
  <si>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</si>
  <si>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</si>
  <si>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</si>
  <si>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</si>
  <si>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</si>
  <si>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</si>
  <si>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</si>
  <si>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</si>
  <si>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</si>
  <si>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</si>
  <si>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</si>
  <si>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</si>
  <si>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</si>
  <si>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</si>
  <si>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</si>
  <si>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</si>
  <si>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</si>
  <si>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</si>
  <si>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</si>
  <si>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</si>
  <si>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</si>
  <si>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</si>
  <si>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</si>
  <si>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</si>
  <si>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</si>
  <si>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</si>
  <si>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</si>
  <si>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</si>
  <si>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</si>
  <si>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</si>
  <si>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</si>
  <si>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</si>
  <si>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</si>
  <si>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</si>
  <si>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</si>
  <si>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</si>
  <si>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</si>
  <si>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</si>
  <si>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</si>
  <si>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</si>
  <si>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</si>
  <si>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</si>
  <si>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</si>
  <si>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</si>
  <si>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</si>
  <si>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</si>
  <si>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</si>
  <si>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</si>
  <si>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</si>
  <si>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</si>
  <si>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</si>
  <si>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</si>
  <si>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</si>
  <si>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</si>
  <si>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</si>
  <si>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</si>
  <si>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</si>
  <si>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</si>
  <si>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</si>
  <si>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</si>
  <si>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</si>
  <si>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</si>
  <si>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</si>
  <si>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</si>
  <si>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</si>
  <si>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</si>
  <si>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</si>
  <si>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</si>
  <si>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</si>
  <si>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</si>
  <si>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</si>
  <si>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</si>
  <si>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</si>
  <si>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</si>
  <si>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</si>
  <si>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</si>
  <si>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</si>
  <si>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</si>
  <si>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</si>
  <si>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</si>
  <si>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</si>
  <si>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</si>
  <si>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</si>
  <si>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</si>
  <si>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</si>
  <si>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</si>
  <si>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</si>
  <si>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</si>
  <si>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</si>
  <si>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</si>
  <si>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</si>
  <si>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</si>
  <si>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</si>
  <si>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</si>
  <si>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</si>
  <si>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</si>
  <si>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</si>
  <si>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</si>
  <si>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</si>
  <si>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</si>
  <si>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</si>
  <si>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</si>
  <si>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</si>
  <si>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</si>
  <si>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</si>
  <si>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</si>
  <si>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</si>
  <si>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</si>
  <si>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</si>
  <si>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</si>
  <si>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</si>
  <si>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</si>
  <si>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</si>
  <si>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</si>
  <si>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</si>
  <si>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</si>
  <si>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</si>
  <si>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</si>
  <si>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</si>
  <si>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</si>
  <si>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</si>
  <si>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</si>
  <si>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</si>
  <si>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</si>
  <si>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</si>
  <si>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</si>
  <si>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</si>
  <si>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</si>
  <si>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</si>
  <si>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</si>
  <si>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</si>
  <si>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</si>
  <si>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</si>
  <si>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</si>
  <si>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</si>
  <si>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</si>
  <si>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</si>
  <si>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</si>
  <si>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</si>
  <si>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</si>
  <si>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</si>
  <si>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</si>
  <si>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</si>
  <si>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</si>
  <si>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</si>
  <si>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</si>
  <si>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</si>
  <si>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</si>
  <si>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</si>
  <si>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</si>
  <si>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</si>
  <si>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</si>
  <si>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</si>
  <si>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</si>
  <si>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</si>
  <si>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</si>
  <si>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</si>
  <si>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</si>
  <si>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</si>
  <si>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</si>
  <si>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</si>
  <si>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</si>
  <si>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</si>
  <si>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</si>
  <si>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</si>
  <si>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</si>
  <si>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</si>
  <si>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</si>
  <si>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</si>
  <si>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</si>
  <si>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</si>
  <si>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</si>
  <si>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</si>
  <si>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</si>
  <si>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</si>
  <si>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</si>
  <si>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</si>
  <si>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</si>
  <si>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</si>
  <si>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</si>
  <si>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</si>
  <si>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</si>
  <si>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</si>
  <si>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</si>
  <si>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</si>
  <si>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</si>
  <si>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</si>
  <si>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</si>
  <si>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</si>
  <si>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</si>
  <si>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</si>
  <si>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</si>
  <si>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</si>
  <si>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</si>
  <si>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</si>
  <si>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</si>
  <si>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</si>
  <si>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</si>
  <si>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</si>
  <si>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</si>
  <si>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</si>
  <si>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</si>
  <si>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</si>
  <si>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</si>
  <si>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</si>
  <si>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</si>
  <si>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</si>
  <si>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</si>
  <si>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</si>
  <si>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</si>
  <si>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</si>
  <si>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</si>
  <si>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</si>
  <si>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</si>
  <si>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</si>
  <si>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</si>
  <si>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</si>
  <si>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</si>
  <si>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</si>
  <si>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</si>
  <si>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</si>
  <si>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</si>
  <si>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</si>
  <si>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</si>
  <si>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</si>
  <si>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</si>
  <si>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</si>
  <si>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</si>
  <si>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</si>
  <si>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</si>
  <si>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</si>
  <si>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</si>
  <si>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</si>
  <si>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</si>
  <si>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</si>
  <si>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</si>
  <si>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</si>
  <si>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</si>
  <si>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</si>
  <si>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</si>
  <si>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</si>
  <si>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</si>
  <si>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</si>
  <si>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</si>
  <si>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</si>
  <si>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</si>
  <si>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</si>
  <si>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</si>
  <si>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</si>
  <si>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</si>
  <si>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</si>
  <si>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</si>
  <si>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</si>
  <si>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</si>
  <si>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</si>
  <si>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</si>
  <si>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</si>
  <si>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</si>
  <si>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</si>
  <si>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</si>
  <si>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</si>
  <si>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</si>
  <si>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</si>
  <si>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</si>
  <si>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</si>
  <si>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</si>
  <si>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</si>
  <si>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</si>
  <si>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</si>
  <si>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</si>
  <si>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</si>
  <si>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</si>
  <si>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</si>
  <si>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</si>
  <si>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</si>
  <si>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</si>
  <si>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</si>
  <si>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</si>
  <si>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</si>
  <si>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</si>
  <si>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</si>
  <si>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</si>
  <si>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</si>
  <si>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</si>
  <si>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</si>
  <si>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</si>
  <si>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</si>
  <si>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</si>
  <si>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</si>
  <si>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</si>
  <si>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</si>
  <si>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</si>
  <si>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</si>
  <si>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</si>
  <si>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</si>
  <si>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</si>
  <si>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</si>
  <si>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</si>
  <si>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</si>
  <si>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</si>
  <si>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</si>
  <si>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</si>
  <si>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</si>
  <si>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</si>
  <si>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</si>
  <si>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</si>
  <si>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</si>
  <si>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</si>
  <si>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</si>
  <si>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</si>
  <si>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</si>
  <si>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</si>
  <si>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</si>
  <si>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</si>
  <si>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</si>
  <si>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</si>
  <si>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</si>
  <si>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</si>
  <si>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</si>
  <si>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</si>
  <si>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</si>
  <si>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</si>
  <si>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</si>
  <si>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</si>
  <si>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</si>
  <si>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</si>
  <si>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</si>
  <si>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</si>
  <si>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</si>
  <si>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</si>
  <si>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</si>
  <si>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</si>
  <si>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</si>
  <si>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</si>
  <si>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</si>
  <si>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</si>
  <si>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</si>
  <si>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</si>
  <si>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</si>
  <si>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</si>
  <si>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</si>
  <si>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</si>
  <si>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</si>
  <si>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</si>
  <si>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</si>
  <si>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</si>
  <si>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</si>
  <si>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</si>
  <si>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</si>
  <si>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</si>
  <si>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</si>
  <si>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</si>
  <si>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</si>
  <si>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</si>
  <si>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</si>
  <si>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</si>
  <si>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</si>
  <si>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</si>
  <si>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</si>
  <si>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</si>
  <si>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</si>
  <si>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</si>
  <si>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</si>
  <si>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</si>
  <si>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</si>
  <si>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</si>
  <si>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</si>
  <si>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</si>
  <si>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</si>
  <si>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</si>
  <si>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</si>
  <si>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</si>
  <si>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</si>
  <si>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</si>
  <si>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</si>
  <si>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</si>
  <si>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</si>
  <si>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</si>
  <si>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</si>
  <si>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</si>
  <si>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</si>
  <si>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</si>
  <si>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</si>
  <si>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</si>
  <si>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</si>
  <si>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</si>
  <si>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</si>
  <si>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</si>
  <si>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</si>
  <si>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</si>
  <si>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</si>
  <si>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</si>
  <si>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</si>
  <si>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</si>
  <si>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</si>
  <si>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</si>
  <si>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</si>
  <si>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</si>
  <si>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</si>
  <si>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</si>
  <si>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</si>
  <si>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</si>
  <si>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</si>
  <si>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</si>
  <si>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</si>
  <si>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</si>
  <si>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</si>
  <si>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</si>
  <si>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</si>
  <si>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</si>
  <si>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</si>
  <si>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</si>
  <si>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</si>
  <si>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</si>
  <si>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</si>
  <si>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</si>
  <si>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</si>
  <si>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</si>
  <si>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</si>
  <si>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</si>
  <si>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</si>
  <si>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</si>
  <si>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</si>
  <si>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</si>
  <si>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</si>
  <si>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</si>
  <si>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</si>
  <si>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</si>
  <si>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</si>
  <si>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</si>
  <si>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</si>
  <si>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</si>
  <si>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</si>
  <si>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</si>
  <si>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</si>
  <si>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</si>
  <si>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</si>
  <si>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</si>
  <si>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</si>
  <si>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</si>
  <si>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</si>
  <si>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</si>
  <si>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</si>
  <si>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</si>
  <si>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</si>
  <si>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</si>
  <si>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</si>
  <si>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</si>
  <si>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</si>
  <si>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</si>
  <si>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</si>
  <si>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</si>
  <si>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</si>
  <si>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</si>
  <si>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</si>
  <si>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</si>
  <si>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</si>
  <si>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</si>
  <si>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</si>
  <si>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</si>
  <si>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</si>
  <si>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</si>
  <si>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</si>
  <si>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</si>
  <si>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</si>
  <si>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</si>
  <si>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</si>
  <si>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</si>
  <si>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</si>
  <si>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</si>
  <si>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</si>
  <si>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</si>
  <si>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</si>
  <si>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</si>
  <si>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</si>
  <si>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</si>
  <si>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</si>
  <si>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</si>
  <si>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</si>
  <si>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</si>
  <si>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</si>
  <si>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</si>
  <si>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</si>
  <si>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</si>
  <si>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</si>
  <si>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</si>
  <si>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</si>
  <si>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</si>
  <si>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</si>
  <si>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</si>
  <si>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</si>
  <si>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</si>
  <si>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</si>
  <si>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</si>
  <si>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</si>
  <si>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</si>
  <si>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</si>
  <si>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</si>
  <si>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</si>
  <si>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</si>
  <si>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</si>
  <si>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</si>
  <si>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</si>
  <si>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</si>
  <si>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</si>
  <si>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</si>
  <si>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</si>
  <si>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</si>
  <si>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</si>
  <si>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</si>
  <si>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</si>
  <si>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</si>
  <si>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</si>
  <si>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</si>
  <si>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</si>
  <si>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</si>
  <si>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</si>
  <si>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</si>
  <si>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</si>
  <si>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</si>
  <si>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</si>
  <si>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</si>
  <si>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</si>
  <si>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</si>
  <si>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</si>
  <si>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</si>
  <si>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</si>
  <si>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</si>
  <si>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</si>
  <si>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</si>
  <si>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</si>
  <si>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</si>
  <si>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</si>
  <si>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</si>
  <si>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</si>
  <si>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</si>
  <si>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</si>
  <si>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</si>
  <si>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</si>
  <si>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</si>
  <si>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</si>
  <si>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</si>
  <si>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</si>
  <si>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</si>
  <si>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</si>
  <si>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</si>
  <si>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</si>
  <si>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</si>
  <si>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</si>
  <si>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</si>
  <si>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</si>
  <si>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</si>
  <si>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</si>
  <si>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</si>
  <si>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</si>
  <si>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</si>
  <si>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</si>
  <si>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</si>
  <si>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</si>
  <si>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</si>
  <si>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</si>
  <si>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</si>
  <si>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</si>
  <si>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</si>
  <si>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</si>
  <si>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</si>
  <si>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</si>
  <si>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</si>
  <si>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</si>
  <si>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</si>
  <si>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</si>
  <si>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</si>
  <si>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</si>
  <si>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</si>
  <si>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</si>
  <si>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</si>
  <si>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</si>
  <si>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</si>
  <si>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</si>
  <si>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</si>
  <si>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</si>
  <si>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</si>
  <si>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</si>
  <si>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</si>
  <si>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</si>
  <si>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</si>
  <si>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</si>
  <si>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</si>
  <si>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</si>
  <si>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</si>
  <si>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</si>
  <si>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</si>
  <si>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</si>
  <si>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</si>
  <si>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</si>
  <si>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</si>
  <si>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</si>
  <si>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</si>
  <si>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</si>
  <si>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</si>
  <si>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</si>
  <si>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</si>
  <si>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</si>
  <si>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</si>
  <si>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</si>
  <si>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</si>
  <si>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</si>
  <si>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</si>
  <si>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</si>
  <si>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</si>
  <si>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</si>
  <si>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</si>
  <si>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</si>
  <si>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</si>
  <si>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</si>
  <si>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</si>
  <si>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</si>
  <si>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</si>
  <si>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</si>
  <si>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</si>
  <si>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</si>
  <si>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</si>
  <si>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</si>
  <si>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</si>
  <si>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</si>
  <si>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</si>
  <si>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</si>
  <si>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</si>
  <si>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</si>
  <si>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</si>
  <si>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</si>
  <si>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</si>
  <si>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</si>
  <si>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</si>
  <si>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</si>
  <si>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</si>
  <si>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</si>
  <si>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</si>
  <si>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</si>
  <si>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</si>
  <si>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</si>
  <si>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</si>
  <si>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</si>
  <si>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</si>
  <si>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</si>
  <si>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</si>
  <si>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</si>
  <si>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</si>
  <si>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</si>
  <si>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</si>
  <si>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</si>
  <si>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</si>
  <si>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</si>
  <si>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</si>
  <si>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</si>
  <si>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</si>
  <si>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</si>
  <si>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</si>
  <si>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</si>
  <si>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</si>
  <si>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</si>
  <si>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</si>
  <si>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</si>
  <si>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</si>
  <si>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</si>
  <si>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</si>
  <si>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</si>
  <si>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</si>
  <si>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</si>
  <si>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</si>
  <si>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</si>
  <si>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</si>
  <si>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</si>
  <si>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</si>
  <si>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</si>
  <si>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</si>
  <si>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</si>
  <si>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</si>
  <si>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</si>
  <si>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</si>
  <si>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</si>
  <si>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</si>
  <si>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</si>
  <si>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</si>
  <si>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</si>
  <si>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</si>
  <si>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</si>
  <si>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</si>
  <si>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</si>
  <si>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</si>
  <si>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</si>
  <si>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</si>
  <si>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</si>
  <si>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</si>
  <si>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</si>
  <si>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</si>
  <si>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</si>
  <si>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</si>
  <si>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</si>
  <si>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</si>
  <si>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</si>
  <si>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</si>
  <si>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</si>
  <si>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</si>
  <si>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</si>
  <si>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</si>
  <si>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</si>
  <si>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</si>
  <si>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</si>
  <si>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</si>
  <si>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</si>
  <si>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</si>
  <si>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</si>
  <si>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</si>
  <si>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</si>
  <si>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</si>
  <si>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</si>
  <si>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</si>
  <si>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</si>
  <si>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</si>
  <si>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</si>
  <si>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</si>
  <si>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</si>
  <si>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</si>
  <si>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</si>
  <si>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</si>
  <si>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</si>
  <si>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</si>
  <si>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</si>
  <si>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</si>
  <si>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</si>
  <si>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</si>
  <si>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</si>
  <si>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</si>
  <si>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</si>
  <si>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</si>
  <si>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</si>
  <si>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</si>
  <si>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</si>
  <si>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</si>
  <si>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</si>
  <si>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</si>
  <si>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</si>
  <si>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</si>
  <si>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</si>
  <si>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</si>
  <si>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</si>
  <si>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</si>
  <si>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</si>
  <si>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</si>
  <si>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</si>
  <si>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</si>
  <si>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</si>
  <si>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</si>
  <si>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</si>
  <si>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</si>
  <si>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</si>
  <si>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</si>
  <si>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</si>
  <si>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</si>
  <si>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</si>
  <si>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</si>
  <si>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</si>
  <si>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</si>
  <si>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</si>
  <si>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</si>
  <si>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</si>
  <si>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</si>
  <si>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</si>
  <si>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</si>
  <si>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</si>
  <si>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</si>
  <si>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</si>
  <si>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</si>
  <si>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</si>
  <si>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</si>
  <si>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</si>
  <si>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</si>
  <si>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</si>
  <si>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</si>
  <si>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</si>
  <si>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</si>
  <si>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</si>
  <si>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</si>
  <si>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</si>
  <si>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</si>
  <si>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</si>
  <si>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</si>
  <si>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</si>
  <si>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</si>
  <si>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</si>
  <si>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</si>
  <si>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</si>
  <si>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</si>
  <si>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</si>
  <si>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</si>
  <si>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</si>
  <si>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</si>
  <si>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</si>
  <si>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</si>
  <si>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</si>
  <si>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</si>
  <si>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</si>
  <si>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</si>
  <si>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</si>
  <si>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</si>
  <si>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</si>
  <si>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</si>
  <si>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</si>
  <si>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</si>
  <si>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</si>
  <si>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</si>
  <si>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</si>
  <si>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</si>
  <si>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</si>
  <si>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</si>
  <si>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</si>
  <si>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</si>
  <si>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</si>
  <si>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</si>
  <si>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</si>
  <si>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</si>
  <si>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</si>
  <si>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</si>
  <si>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</si>
  <si>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</si>
  <si>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</si>
  <si>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</si>
  <si>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</si>
  <si>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</si>
  <si>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</si>
  <si>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</si>
  <si>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</si>
  <si>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</si>
  <si>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</si>
  <si>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</si>
  <si>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</si>
  <si>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</si>
  <si>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</si>
  <si>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</si>
  <si>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</si>
  <si>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</si>
  <si>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</si>
  <si>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</si>
  <si>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</si>
  <si>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</si>
  <si>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</si>
  <si>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</si>
  <si>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</si>
  <si>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</si>
  <si>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</si>
  <si>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</si>
  <si>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</si>
  <si>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</si>
  <si>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</si>
  <si>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</si>
  <si>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</si>
  <si>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</si>
  <si>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</si>
  <si>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</si>
  <si>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</si>
  <si>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</si>
  <si>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</si>
  <si>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</si>
  <si>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</si>
  <si>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</si>
  <si>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</si>
  <si>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</si>
  <si>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</si>
  <si>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</si>
  <si>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</si>
  <si>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</si>
  <si>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</si>
  <si>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</si>
  <si>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</si>
  <si>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</si>
  <si>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</si>
  <si>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</si>
  <si>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</si>
  <si>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</si>
  <si>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</si>
  <si>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</si>
  <si>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</si>
  <si>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</si>
  <si>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</si>
  <si>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</si>
  <si>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</si>
  <si>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</si>
  <si>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</si>
  <si>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</si>
  <si>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</si>
  <si>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</si>
  <si>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</si>
  <si>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</si>
  <si>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</si>
  <si>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</si>
  <si>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</si>
  <si>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</si>
  <si>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</si>
  <si>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</si>
  <si>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</si>
  <si>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</si>
  <si>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</si>
  <si>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</si>
  <si>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</si>
  <si>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</si>
  <si>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</si>
  <si>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</si>
  <si>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</si>
  <si>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</si>
  <si>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</si>
  <si>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</si>
  <si>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</si>
  <si>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</si>
  <si>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</si>
  <si>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</si>
  <si>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</si>
  <si>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</si>
  <si>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</si>
  <si>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</si>
  <si>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</si>
  <si>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</si>
  <si>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</si>
  <si>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</si>
  <si>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</si>
  <si>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</si>
  <si>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</si>
  <si>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</si>
  <si>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</si>
  <si>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</si>
  <si>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</si>
  <si>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</si>
  <si>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</si>
  <si>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</si>
  <si>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</si>
  <si>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</si>
  <si>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</si>
  <si>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</si>
  <si>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</si>
  <si>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</si>
  <si>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</si>
  <si>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</si>
  <si>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</si>
  <si>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</si>
  <si>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</si>
  <si>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</si>
  <si>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</si>
  <si>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</si>
  <si>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</si>
  <si>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</si>
  <si>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</si>
  <si>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</si>
  <si>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</si>
  <si>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</si>
  <si>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</si>
  <si>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</si>
  <si>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</si>
  <si>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</si>
  <si>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</si>
  <si>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</si>
  <si>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</si>
  <si>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</si>
  <si>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</si>
  <si>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</si>
  <si>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</si>
  <si>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</si>
  <si>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</si>
  <si>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</si>
  <si>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</si>
  <si>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</si>
  <si>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</si>
  <si>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</si>
  <si>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</si>
  <si>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</si>
  <si>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</si>
  <si>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</si>
  <si>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</si>
  <si>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</si>
  <si>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</si>
  <si>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</si>
  <si>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</si>
  <si>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</si>
  <si>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</si>
  <si>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</si>
  <si>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</si>
  <si>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</si>
  <si>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</si>
  <si>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</si>
  <si>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</si>
  <si>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</si>
  <si>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</si>
  <si>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</si>
  <si>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</si>
  <si>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</si>
  <si>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</si>
  <si>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</si>
  <si>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</si>
  <si>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</si>
  <si>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</si>
  <si>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</si>
  <si>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</si>
  <si>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</si>
  <si>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</si>
  <si>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</si>
  <si>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</si>
  <si>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</si>
  <si>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</si>
  <si>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</si>
  <si>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</si>
  <si>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</si>
  <si>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</si>
  <si>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</si>
  <si>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</si>
  <si>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</si>
  <si>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</si>
  <si>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</si>
  <si>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</si>
  <si>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</si>
  <si>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</si>
  <si>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</si>
  <si>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</si>
  <si>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</si>
  <si>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</si>
  <si>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</si>
  <si>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</si>
  <si>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</si>
  <si>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</si>
  <si>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</si>
  <si>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</si>
  <si>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</si>
  <si>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</si>
  <si>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</si>
  <si>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</si>
  <si>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</si>
  <si>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</si>
  <si>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</si>
  <si>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</si>
  <si>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</si>
  <si>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</si>
  <si>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</si>
  <si>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</si>
  <si>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</si>
  <si>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</si>
  <si>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</si>
  <si>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</si>
  <si>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</si>
  <si>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</si>
  <si>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</si>
  <si>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</si>
  <si>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</si>
  <si>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</si>
  <si>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</si>
  <si>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</si>
  <si>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</si>
  <si>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</si>
  <si>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</si>
  <si>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</si>
  <si>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</si>
  <si>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</si>
  <si>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</si>
  <si>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</si>
  <si>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</si>
  <si>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</si>
  <si>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</si>
  <si>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</si>
  <si>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</si>
  <si>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</si>
  <si>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</si>
  <si>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</si>
  <si>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</si>
  <si>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</si>
  <si>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</si>
  <si>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</si>
  <si>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</si>
  <si>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</si>
  <si>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</si>
  <si>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</si>
  <si>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</si>
  <si>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</si>
  <si>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</si>
  <si>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</si>
  <si>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</si>
  <si>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</si>
  <si>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</si>
  <si>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</si>
  <si>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</si>
  <si>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</si>
  <si>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</si>
  <si>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</si>
  <si>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</si>
  <si>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</si>
  <si>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</si>
  <si>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</si>
  <si>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</si>
  <si>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</si>
  <si>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</si>
  <si>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</si>
  <si>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</si>
  <si>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</si>
  <si>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</si>
  <si>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</si>
  <si>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</si>
  <si>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</si>
  <si>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</si>
  <si>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</si>
  <si>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</si>
  <si>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</si>
  <si>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</si>
  <si>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</si>
  <si>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</si>
  <si>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</si>
  <si>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</si>
  <si>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</si>
  <si>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</si>
  <si>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</si>
  <si>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</si>
  <si>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</si>
  <si>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</si>
  <si>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</si>
  <si>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</si>
  <si>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</si>
  <si>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</si>
  <si>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</si>
  <si>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</si>
  <si>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</si>
  <si>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</si>
  <si>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</si>
  <si>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</si>
  <si>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</si>
  <si>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</si>
  <si>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</si>
  <si>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</si>
  <si>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</si>
  <si>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</si>
  <si>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</si>
  <si>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</si>
  <si>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</si>
  <si>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</si>
  <si>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</si>
  <si>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</si>
  <si>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</si>
  <si>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</si>
  <si>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</si>
  <si>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</si>
  <si>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</si>
  <si>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</si>
  <si>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</si>
  <si>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</si>
  <si>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</si>
  <si>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</si>
  <si>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</si>
  <si>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</si>
  <si>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</si>
  <si>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</si>
  <si>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</si>
  <si>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</si>
  <si>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</si>
  <si>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</si>
  <si>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</si>
  <si>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</si>
  <si>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</si>
  <si>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</si>
  <si>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</si>
  <si>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</si>
  <si>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</si>
  <si>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</si>
  <si>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</si>
  <si>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</si>
  <si>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</si>
  <si>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</si>
  <si>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</si>
  <si>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</si>
  <si>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</si>
  <si>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</si>
  <si>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</si>
  <si>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</si>
  <si>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</si>
  <si>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</si>
  <si>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</si>
  <si>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</si>
  <si>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</si>
  <si>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</si>
  <si>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</si>
  <si>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</si>
  <si>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</si>
  <si>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</si>
  <si>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</si>
  <si>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</si>
  <si>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</si>
  <si>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</si>
  <si>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</si>
  <si>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</si>
  <si>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</si>
  <si>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</si>
  <si>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</si>
  <si>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</si>
  <si>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</si>
  <si>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</si>
  <si>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</si>
  <si>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</si>
  <si>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</si>
  <si>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</si>
  <si>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</si>
  <si>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</si>
  <si>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</si>
  <si>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</si>
  <si>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</si>
  <si>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</si>
  <si>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</si>
  <si>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</si>
  <si>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</si>
  <si>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</si>
  <si>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</si>
  <si>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</si>
  <si>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</si>
  <si>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</si>
  <si>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</si>
  <si>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</si>
  <si>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</si>
  <si>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</si>
  <si>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</si>
  <si>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</si>
  <si>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</si>
  <si>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</si>
  <si>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</si>
  <si>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</si>
  <si>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</si>
  <si>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</si>
  <si>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</si>
  <si>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</si>
  <si>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</si>
  <si>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</si>
  <si>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</si>
  <si>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</si>
  <si>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</si>
  <si>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</si>
  <si>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</si>
  <si>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</si>
  <si>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</si>
  <si>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</si>
  <si>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</si>
  <si>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</si>
  <si>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</si>
  <si>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</si>
  <si>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</si>
  <si>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</si>
  <si>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</si>
  <si>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</si>
  <si>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</si>
  <si>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</si>
  <si>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</si>
  <si>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</si>
  <si>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</si>
  <si>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</si>
  <si>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</si>
  <si>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</si>
  <si>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</si>
  <si>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</si>
  <si>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</si>
  <si>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</si>
  <si>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</si>
  <si>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</si>
  <si>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</si>
  <si>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</si>
  <si>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</si>
  <si>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</si>
  <si>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</si>
  <si>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</si>
  <si>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</si>
  <si>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</si>
  <si>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</si>
  <si>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</si>
  <si>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</si>
  <si>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</si>
  <si>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</si>
  <si>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</si>
  <si>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</si>
  <si>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</si>
  <si>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</si>
  <si>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</si>
  <si>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</si>
  <si>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</si>
  <si>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</si>
  <si>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</si>
  <si>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</si>
  <si>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</si>
  <si>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</si>
  <si>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</si>
  <si>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</si>
  <si>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</si>
  <si>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</si>
  <si>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</si>
  <si>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</si>
  <si>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</si>
  <si>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</si>
  <si>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</si>
  <si>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</si>
  <si>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</si>
  <si>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</si>
  <si>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</si>
  <si>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</si>
  <si>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</si>
  <si>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</si>
  <si>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</si>
  <si>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</si>
  <si>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</si>
  <si>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</si>
  <si>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</si>
  <si>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</si>
  <si>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</si>
  <si>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</si>
  <si>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</si>
  <si>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</si>
  <si>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</si>
  <si>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</si>
  <si>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</si>
  <si>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</si>
  <si>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</si>
  <si>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</si>
  <si>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</si>
  <si>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</si>
  <si>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</si>
  <si>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</si>
  <si>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</si>
  <si>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</si>
  <si>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</si>
  <si>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</si>
  <si>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</si>
  <si>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</si>
  <si>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</si>
  <si>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</si>
  <si>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</si>
  <si>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</si>
  <si>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</si>
  <si>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</si>
  <si>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</si>
  <si>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</si>
  <si>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</si>
  <si>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</si>
  <si>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</si>
  <si>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</si>
  <si>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</si>
  <si>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</si>
  <si>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</si>
  <si>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</si>
  <si>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</si>
  <si>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</si>
  <si>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</si>
  <si>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</si>
  <si>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</si>
  <si>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</si>
  <si>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</si>
  <si>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</si>
  <si>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</si>
  <si>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</si>
  <si>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</si>
  <si>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</si>
  <si>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</si>
  <si>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</si>
  <si>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</si>
  <si>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</si>
  <si>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</si>
  <si>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</si>
  <si>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</si>
  <si>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</si>
  <si>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</si>
  <si>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</si>
  <si>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</si>
  <si>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</si>
  <si>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</si>
  <si>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</si>
  <si>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</si>
  <si>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</si>
  <si>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</si>
  <si>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</si>
  <si>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</si>
  <si>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</si>
  <si>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</si>
  <si>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</si>
  <si>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</si>
  <si>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</si>
  <si>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</si>
  <si>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</si>
  <si>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</si>
  <si>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</si>
  <si>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</si>
  <si>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</si>
  <si>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</si>
  <si>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</si>
  <si>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</si>
  <si>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</si>
  <si>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</si>
  <si>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</si>
  <si>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</si>
  <si>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</si>
  <si>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</si>
  <si>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</si>
  <si>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</si>
  <si>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</si>
  <si>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</si>
  <si>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</si>
  <si>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</si>
  <si>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</si>
  <si>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</si>
  <si>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</si>
  <si>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</si>
  <si>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</si>
  <si>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</si>
  <si>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</si>
  <si>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</si>
  <si>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</si>
  <si>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</si>
  <si>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</si>
  <si>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</si>
  <si>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</si>
  <si>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</si>
  <si>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</si>
  <si>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</si>
  <si>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</si>
  <si>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</si>
  <si>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</si>
  <si>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</si>
  <si>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</si>
  <si>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</si>
  <si>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</si>
  <si>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</si>
  <si>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</si>
  <si>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</si>
  <si>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</si>
  <si>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</si>
  <si>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</si>
  <si>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</si>
  <si>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</si>
  <si>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</si>
  <si>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</si>
  <si>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</si>
  <si>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</si>
  <si>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</si>
  <si>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</si>
  <si>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</si>
  <si>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</si>
  <si>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</si>
  <si>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</si>
  <si>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</si>
  <si>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</si>
  <si>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</si>
  <si>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</si>
  <si>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</si>
  <si>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</si>
  <si>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</si>
  <si>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</si>
  <si>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</si>
  <si>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</si>
  <si>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</si>
  <si>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</si>
  <si>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</si>
  <si>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</si>
  <si>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</si>
  <si>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</si>
  <si>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</si>
  <si>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</si>
  <si>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</si>
  <si>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</si>
  <si>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</si>
  <si>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</si>
  <si>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</si>
  <si>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</si>
  <si>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</si>
  <si>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</si>
  <si>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</si>
  <si>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</si>
  <si>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</si>
  <si>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</si>
  <si>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</si>
  <si>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</si>
  <si>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</si>
  <si>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</si>
  <si>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</si>
  <si>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</si>
  <si>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</si>
  <si>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</si>
  <si>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</si>
  <si>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</si>
  <si>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</si>
  <si>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</si>
  <si>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</si>
  <si>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</si>
  <si>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</si>
  <si>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</si>
  <si>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</si>
  <si>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</si>
  <si>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</si>
  <si>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</si>
  <si>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</si>
  <si>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</si>
  <si>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</si>
  <si>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</si>
  <si>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</si>
  <si>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</si>
  <si>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</si>
  <si>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</si>
  <si>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</si>
  <si>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</si>
  <si>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</si>
  <si>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</si>
  <si>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</si>
  <si>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</si>
  <si>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</si>
  <si>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</si>
  <si>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</si>
  <si>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</si>
  <si>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</si>
  <si>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</si>
  <si>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</si>
  <si>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</si>
  <si>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</si>
  <si>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</si>
  <si>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</si>
  <si>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</si>
  <si>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</si>
  <si>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</si>
  <si>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</si>
  <si>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</si>
  <si>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</si>
  <si>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</si>
  <si>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</si>
  <si>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</si>
  <si>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</si>
  <si>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</si>
  <si>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</si>
  <si>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</si>
  <si>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</si>
  <si>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</si>
  <si>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</si>
  <si>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</si>
  <si>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</si>
  <si>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</si>
  <si>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</si>
  <si>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</si>
  <si>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</si>
  <si>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</si>
  <si>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</si>
  <si>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</si>
  <si>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</si>
  <si>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</si>
  <si>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</si>
  <si>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</si>
  <si>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</si>
  <si>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</si>
  <si>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</si>
  <si>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</si>
  <si>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</si>
  <si>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</si>
  <si>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</si>
  <si>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</si>
  <si>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</si>
  <si>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</si>
  <si>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</si>
  <si>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</si>
  <si>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</si>
  <si>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</si>
  <si>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</si>
  <si>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</si>
  <si>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</si>
  <si>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</si>
  <si>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</si>
  <si>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</si>
  <si>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</si>
  <si>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</si>
  <si>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</si>
  <si>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</si>
  <si>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</si>
  <si>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</si>
  <si>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</si>
  <si>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</si>
  <si>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</si>
  <si>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</si>
  <si>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</si>
  <si>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</si>
  <si>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</si>
  <si>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</si>
  <si>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</si>
  <si>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</si>
  <si>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</si>
  <si>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</si>
  <si>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</si>
  <si>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</si>
  <si>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</si>
  <si>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</si>
  <si>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</si>
  <si>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</si>
  <si>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</si>
  <si>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</si>
  <si>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</si>
  <si>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</si>
  <si>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</si>
  <si>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</si>
  <si>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</si>
  <si>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</si>
  <si>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</si>
  <si>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</si>
  <si>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</si>
  <si>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</si>
  <si>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</si>
  <si>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</si>
  <si>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</si>
  <si>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</si>
  <si>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</si>
  <si>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</si>
  <si>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</si>
  <si>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</si>
  <si>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</si>
  <si>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</si>
  <si>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</si>
  <si>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</si>
  <si>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</si>
  <si>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</si>
  <si>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</si>
  <si>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</si>
  <si>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</si>
  <si>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</si>
  <si>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</si>
  <si>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</si>
  <si>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</si>
  <si>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</si>
  <si>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</si>
  <si>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</si>
  <si>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</si>
  <si>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</si>
  <si>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</si>
  <si>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</si>
  <si>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</si>
  <si>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</si>
  <si>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</si>
  <si>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</si>
  <si>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</si>
  <si>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</si>
  <si>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</si>
  <si>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</si>
  <si>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</si>
  <si>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</si>
  <si>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</si>
  <si>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</si>
  <si>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</si>
  <si>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</si>
  <si>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</si>
  <si>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</si>
  <si>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</si>
  <si>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</si>
  <si>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</si>
  <si>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</si>
  <si>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</si>
  <si>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</si>
  <si>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</si>
  <si>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</si>
  <si>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</si>
  <si>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</si>
  <si>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</si>
  <si>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</si>
  <si>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</si>
  <si>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</si>
  <si>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</si>
  <si>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</si>
  <si>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</si>
  <si>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</si>
  <si>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</si>
  <si>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</si>
  <si>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</si>
  <si>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</si>
  <si>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</si>
  <si>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</si>
  <si>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</si>
  <si>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</si>
  <si>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</si>
  <si>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</si>
  <si>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</si>
  <si>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</si>
  <si>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</si>
  <si>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</si>
  <si>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</si>
  <si>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</si>
  <si>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</si>
  <si>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</si>
  <si>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</si>
  <si>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</si>
  <si>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</si>
  <si>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</si>
  <si>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</si>
  <si>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</si>
  <si>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</si>
  <si>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</si>
  <si>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</si>
  <si>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</si>
  <si>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</si>
  <si>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</si>
  <si>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</si>
  <si>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</si>
  <si>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</si>
  <si>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</si>
  <si>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</si>
  <si>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</si>
  <si>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</si>
  <si>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</si>
  <si>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</si>
  <si>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</si>
  <si>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Form Number</t>
  </si>
  <si>
    <t>Ver. 04.17.25</t>
  </si>
  <si>
    <t>AssetPoolId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</si>
</sst>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2"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13" borderId="0" xfId="0" applyFont="1" applyFill="1" applyAlignment="1">
      <alignment horizontal="center"/>
    </xf>
    <xf numFmtId="0" fontId="44" fillId="0" borderId="0" xfId="0" applyFont="1" applyAlignment="1">
      <alignment horizontal="center"/>
    </xf>
    <xf numFmtId="0" fontId="116" fillId="0" borderId="0" xfId="0" applyFont="1" applyAlignment="1">
      <alignment horizontal="left" vertical="top" wrapText="1"/>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8"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8"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backgroundRefresh="0" connectionId="6"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 backgroundRefresh="0" connectionId="5" xr16:uid="{AAC63674-15A5-41B6-A547-CCDB3BA24A96}"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65"/>
    <tableColumn id="18" xr3:uid="{5DE66976-8962-4778-9F2F-F1825B5EABCC}" uniqueName="18" name="Address1" queryTableFieldId="18" dataDxfId="64"/>
    <tableColumn id="19" xr3:uid="{31D68568-B5E1-4705-9496-19F08F967786}" uniqueName="19" name="Address2" queryTableFieldId="19" dataDxfId="63"/>
    <tableColumn id="20" xr3:uid="{5AE80B19-572A-40D3-B26F-1A4C57286083}" uniqueName="20" name="Merged" queryTableFieldId="20" dataDxfId="62"/>
    <tableColumn id="1" xr3:uid="{937E5B89-42F7-4DEC-A227-75548CDE4F9D}" uniqueName="1" name="CompanyId" queryTableFieldId="21"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2" displayName="ClientAssets_2" ref="A1:AT2" tableType="queryTable" totalsRowShown="0" headerRowDxfId="192" dataDxfId="191">
  <autoFilter ref="A1:AT2" xr:uid="{A274804B-99F1-44FB-92BC-D164E6289DDA}"/>
  <tableColumns count="46">
    <tableColumn id="1" xr3:uid="{EAC6D7E4-B2A3-4627-933E-DD71D842A917}" uniqueName="1" name="CompanyId" queryTableFieldId="1" dataDxfId="45"/>
    <tableColumn id="2" xr3:uid="{0FA75F58-4125-42EC-BD14-294977DA97DB}" uniqueName="2" name="AssetId" queryTableFieldId="2" dataDxfId="44"/>
    <tableColumn id="3" xr3:uid="{5BF963B6-E4BC-43DF-9164-EDA2E9AC7AD6}" uniqueName="3" name="SerialNumber" queryTableFieldId="3" dataDxfId="43"/>
    <tableColumn id="4" xr3:uid="{BEEE5E7F-780E-44E4-B31B-A8B2E6F4D03A}" uniqueName="4" name="AssetUser" queryTableFieldId="4" dataDxfId="42"/>
    <tableColumn id="5" xr3:uid="{055872E1-81FE-453F-AE3C-5E38534B84CC}" uniqueName="5" name="AssetTag" queryTableFieldId="5" dataDxfId="41"/>
    <tableColumn id="6" xr3:uid="{32476223-99F8-4CF0-8127-EED9E48AB6A8}" uniqueName="6" name="EquipmentId" queryTableFieldId="6" dataDxfId="40"/>
    <tableColumn id="7" xr3:uid="{FAEBBB13-B142-46A2-A2EB-A8587FA90C6D}" uniqueName="7" name="AssetStatus" queryTableFieldId="7" dataDxfId="39"/>
    <tableColumn id="8" xr3:uid="{E828F966-F867-410A-9DBF-BE4FFECD5AD2}" uniqueName="8" name="AssetName" queryTableFieldId="8" dataDxfId="38"/>
    <tableColumn id="9" xr3:uid="{CC78C0E1-BA0A-4C89-81EF-BB8F73DFC9C9}" uniqueName="9" name="AssetDescription" queryTableFieldId="9" dataDxfId="37"/>
    <tableColumn id="10" xr3:uid="{3C8F8836-2E87-4A5B-9CE9-563693E168A5}" uniqueName="10" name="AssetMaker" queryTableFieldId="10" dataDxfId="36"/>
    <tableColumn id="11" xr3:uid="{EEE724E0-0EDE-42B6-B2EF-9797866CE681}" uniqueName="11" name="Location" queryTableFieldId="11" dataDxfId="35"/>
    <tableColumn id="12" xr3:uid="{6D0E696C-CE3A-4076-AD88-EC1B1F19759A}" uniqueName="12" name="RoomNumber" queryTableFieldId="12" dataDxfId="34"/>
    <tableColumn id="13" xr3:uid="{F04E50C8-4A7E-4819-A240-7889E58D9C1B}" uniqueName="13" name="Barcode" queryTableFieldId="13" dataDxfId="33"/>
    <tableColumn id="14" xr3:uid="{56E8DC7F-7C2A-4104-9854-E0F399D52451}" uniqueName="14" name="LegacyIdentifier" queryTableFieldId="14" dataDxfId="32"/>
    <tableColumn id="15" xr3:uid="{046B296C-51A8-4E7F-9A58-50DC86D95E3B}" uniqueName="15" name="RootCategoryName" queryTableFieldId="15" dataDxfId="31"/>
    <tableColumn id="16" xr3:uid="{C32A3E0A-B8D8-4B03-8961-AA02841CF8AF}" uniqueName="16" name="CategoryName" queryTableFieldId="16" dataDxfId="30"/>
    <tableColumn id="17" xr3:uid="{6192A3E9-AC70-4349-9CEC-D6DB3ADAC88F}" uniqueName="17" name="Class" queryTableFieldId="17" dataDxfId="29"/>
    <tableColumn id="18" xr3:uid="{D3EF1C70-5537-4EB7-B6B3-8A174DC6544B}" uniqueName="18" name="CustodianEmail" queryTableFieldId="18" dataDxfId="28"/>
    <tableColumn id="19" xr3:uid="{B60E35CA-133A-4104-8F11-57F27B773030}" uniqueName="19" name="CustodianName" queryTableFieldId="19" dataDxfId="27"/>
    <tableColumn id="20" xr3:uid="{3B956444-3999-45C8-99C3-A643D84A396E}" uniqueName="20" name="Department" queryTableFieldId="20" dataDxfId="26"/>
    <tableColumn id="21" xr3:uid="{60B40141-2419-493C-B805-7BB962095222}" uniqueName="21" name="Station" queryTableFieldId="21" dataDxfId="25"/>
    <tableColumn id="22" xr3:uid="{6BA61444-F7CF-42D1-BA65-3AC9D09C39DE}" uniqueName="22" name="Notes" queryTableFieldId="22" dataDxfId="24"/>
    <tableColumn id="23" xr3:uid="{6412C1F7-B5E9-4762-9E3C-9B38F8EE7063}" uniqueName="23" name="DocumentNumber" queryTableFieldId="23" dataDxfId="23"/>
    <tableColumn id="24" xr3:uid="{ECDF6478-DDFC-4D2E-981C-341622008055}" uniqueName="24" name="DocumentSection" queryTableFieldId="24" dataDxfId="22"/>
    <tableColumn id="25" xr3:uid="{5428022D-956B-4351-BD25-CB9314F716F8}" uniqueName="25" name="CumulativeServiceCost" queryTableFieldId="25" dataDxfId="21"/>
    <tableColumn id="26" xr3:uid="{AE7A9F61-F597-4253-8900-7C03E8ACA6F3}" uniqueName="26" name="ProductId" queryTableFieldId="26" dataDxfId="20"/>
    <tableColumn id="27" xr3:uid="{55C07B81-61A2-438A-A9EA-45A7E802A515}" uniqueName="27" name="ManufacturerPartNumber" queryTableFieldId="27" dataDxfId="19"/>
    <tableColumn id="28" xr3:uid="{655B483B-C8A4-4DE9-8ED9-3840C9805A01}" uniqueName="28" name="ProductName" queryTableFieldId="28" dataDxfId="18"/>
    <tableColumn id="29" xr3:uid="{286E59E8-5B27-47B5-998D-9CCBA4BE286C}" uniqueName="29" name="ProductDescription" queryTableFieldId="29" dataDxfId="17"/>
    <tableColumn id="30" xr3:uid="{CDBAC17E-3BFC-441E-A59B-DB9717B9A5DA}" uniqueName="30" name="ProductManufacturer" queryTableFieldId="30" dataDxfId="16"/>
    <tableColumn id="31" xr3:uid="{BA252CAA-3B94-4D72-98DA-67E2829231E8}" uniqueName="31" name="SiteName" queryTableFieldId="31" dataDxfId="15"/>
    <tableColumn id="32" xr3:uid="{22E77385-E664-4424-8D74-BDDE114D8E88}" uniqueName="32" name="SiteId" queryTableFieldId="32" dataDxfId="14"/>
    <tableColumn id="33" xr3:uid="{0E0C43F5-821A-4428-B22F-0DB564727CAB}" uniqueName="33" name="Condition" queryTableFieldId="33" dataDxfId="13"/>
    <tableColumn id="34" xr3:uid="{2861F3EA-9D52-4062-88E1-FE35E1F516CF}" uniqueName="34" name="Criticality" queryTableFieldId="34" dataDxfId="12"/>
    <tableColumn id="35" xr3:uid="{A2373E19-71F0-49A1-928C-822D24D31FCB}" uniqueName="35" name="Pool" queryTableFieldId="35" dataDxfId="11"/>
    <tableColumn id="36" xr3:uid="{E97B7E33-8A19-47B3-BEAA-63572B41F8C7}" uniqueName="36" name="PurchaseDate" queryTableFieldId="36" dataDxfId="10"/>
    <tableColumn id="37" xr3:uid="{442EB070-7D7C-4CFC-B9CD-A9D2E0BA9298}" uniqueName="37" name="PurchaseCost" queryTableFieldId="37" dataDxfId="9"/>
    <tableColumn id="38" xr3:uid="{2AE61D1A-1049-491C-9842-9AFA4C49BE64}" uniqueName="38" name="LifeSpanMonths" queryTableFieldId="38" dataDxfId="8"/>
    <tableColumn id="39" xr3:uid="{A9F24BC4-FEC8-485A-9061-E4095C5A52E1}" uniqueName="39" name="ActivationDate" queryTableFieldId="39" dataDxfId="7"/>
    <tableColumn id="40" xr3:uid="{ABFEF8D6-DF64-42C7-A2B5-157EC270C59E}" uniqueName="40" name="DepreciationBasis" queryTableFieldId="40" dataDxfId="6"/>
    <tableColumn id="41" xr3:uid="{852FFFB2-9B18-4BD9-BE95-B5CC31685BC3}" uniqueName="41" name="DepreciationMethod" queryTableFieldId="41" dataDxfId="5"/>
    <tableColumn id="42" xr3:uid="{A353548E-EA44-448F-8038-2B256209051B}" uniqueName="42" name="RetirementDate" queryTableFieldId="42" dataDxfId="4"/>
    <tableColumn id="43" xr3:uid="{82917293-1921-4B4D-874B-3205B2701EDE}" uniqueName="43" name="SalvageValue" queryTableFieldId="43" dataDxfId="3"/>
    <tableColumn id="44" xr3:uid="{20A565C4-DE21-47E9-B58F-FB885284512F}" uniqueName="44" name="RetirmentReason" queryTableFieldId="44" dataDxfId="2"/>
    <tableColumn id="45" xr3:uid="{3BA82FF8-9D2C-4E77-BF8E-73E8E3125339}" uniqueName="45" name="CompositeParentId" queryTableFieldId="45" dataDxfId="1"/>
    <tableColumn id="46" xr3:uid="{2D48C41D-5217-4FD7-9034-7F6E792D8081}" uniqueName="46" name="CompositeChildCount" queryTableFieldId="46"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90" dataDxfId="189">
  <autoFilter ref="A1:O71" xr:uid="{B7DAA5D0-88EA-445C-9A72-D29C019D034E}"/>
  <tableColumns count="15">
    <tableColumn id="1" xr3:uid="{12283C1A-6994-47F7-AF4D-C43742C4D014}" uniqueName="1" name="AssetId" queryTableFieldId="1" dataDxfId="60"/>
    <tableColumn id="2" xr3:uid="{CB5573B6-B28A-4716-B652-26F10985AEB3}" uniqueName="2" name="SerialNumber" queryTableFieldId="2" dataDxfId="59"/>
    <tableColumn id="3" xr3:uid="{432AC706-5812-46FA-AB87-43CD0D547CD9}" uniqueName="3" name="AssetUser" queryTableFieldId="3" dataDxfId="58"/>
    <tableColumn id="4" xr3:uid="{7272864B-CAB3-4C23-9FCC-93F1E22EEC23}" uniqueName="4" name="AssetTag" queryTableFieldId="4" dataDxfId="57"/>
    <tableColumn id="5" xr3:uid="{7FFF2583-ECEA-4DE3-A5D5-B1E209DA3322}" uniqueName="5" name="AssetName" queryTableFieldId="5" dataDxfId="56"/>
    <tableColumn id="6" xr3:uid="{299D4E0C-13E8-406E-9D83-23A2515A3BBC}" uniqueName="6" name="AssetDescription" queryTableFieldId="6" dataDxfId="55"/>
    <tableColumn id="7" xr3:uid="{91B08AF0-372F-45DD-956B-C22EF90F587D}" uniqueName="7" name="AssetMaker" queryTableFieldId="7" dataDxfId="54"/>
    <tableColumn id="8" xr3:uid="{40701A37-7265-47E9-AA2D-AEA5D4F82866}" uniqueName="8" name="RootCategoryName" queryTableFieldId="8" dataDxfId="53"/>
    <tableColumn id="9" xr3:uid="{79BFA242-2CA8-4FE5-B23B-EA1BC49C229B}" uniqueName="9" name="CategoryName" queryTableFieldId="9" dataDxfId="52"/>
    <tableColumn id="10" xr3:uid="{D1669272-0806-4D59-87F6-1DB49CA0B0C1}" uniqueName="10" name="Department" queryTableFieldId="10" dataDxfId="51"/>
    <tableColumn id="11" xr3:uid="{48BC425D-225D-4DB3-A151-D583A73AA082}" uniqueName="11" name="Notes" queryTableFieldId="11" dataDxfId="50"/>
    <tableColumn id="12" xr3:uid="{FC54C917-CD88-4717-9F41-614EEFC8EF62}" uniqueName="12" name="ManufacturerPartNumber" queryTableFieldId="12" dataDxfId="49"/>
    <tableColumn id="13" xr3:uid="{962AAB86-70A9-44B7-B3C0-B860881B5B57}" uniqueName="13" name="ProductName" queryTableFieldId="13" dataDxfId="48"/>
    <tableColumn id="14" xr3:uid="{1E573EC1-2B26-4E5E-9B95-83541F3BA1E8}" uniqueName="14" name="ProductDescription" queryTableFieldId="14" dataDxfId="47"/>
    <tableColumn id="15" xr3:uid="{145A72CA-E9E9-4531-9C9D-FAC6CE82F904}" uniqueName="15" name="ProductManufacturer" queryTableFieldId="15" dataDxfId="4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6AE8D2-C5EA-4915-9EB3-7EE28CE94B9A}" name="ClientAssetAttributes" displayName="ClientAssetAttributes" ref="A1:B25" tableType="queryTable" totalsRowShown="0">
  <autoFilter ref="A1:B25" xr:uid="{E66AE8D2-C5EA-4915-9EB3-7EE28CE94B9A}"/>
  <tableColumns count="2">
    <tableColumn id="1" xr3:uid="{F8540D2E-D56E-49F9-8628-429417BEA77D}" uniqueName="1" name="Column1" queryTableFieldId="1"/>
    <tableColumn id="2" xr3:uid="{58B0ADE0-21C5-4B22-9614-3800AE602A12}" uniqueName="2" name="Column2"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88" dataDxfId="187">
  <autoFilter ref="B1:E524" xr:uid="{00000000-0009-0000-0100-000001000000}"/>
  <tableColumns count="4">
    <tableColumn id="1" xr3:uid="{00000000-0010-0000-0000-000001000000}" name="account__r.name" dataDxfId="186"/>
    <tableColumn id="2" xr3:uid="{00000000-0010-0000-0000-000002000000}" name="account__c" dataDxfId="185"/>
    <tableColumn id="3" xr3:uid="{00000000-0010-0000-0000-000003000000}" name="name" dataDxfId="184"/>
    <tableColumn id="4" xr3:uid="{00000000-0010-0000-0000-000004000000}" name="id" dataDxfId="18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82" dataDxfId="181">
  <autoFilter ref="N1:O14" xr:uid="{00000000-0009-0000-0100-000002000000}"/>
  <tableColumns count="2">
    <tableColumn id="1" xr3:uid="{00000000-0010-0000-0100-000001000000}" name="id" dataDxfId="180"/>
    <tableColumn id="2" xr3:uid="{00000000-0010-0000-0100-000002000000}" name="Inspectors_Name__c" dataDxfId="179"/>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78" dataDxfId="177">
  <autoFilter ref="Q1:V81" xr:uid="{00000000-0009-0000-0100-000003000000}"/>
  <tableColumns count="6">
    <tableColumn id="1" xr3:uid="{00000000-0010-0000-0200-000001000000}" name="id" dataDxfId="176"/>
    <tableColumn id="2" xr3:uid="{00000000-0010-0000-0200-000002000000}" name="name" dataDxfId="175"/>
    <tableColumn id="3" xr3:uid="{00000000-0010-0000-0200-000003000000}" name="model_number__c" dataDxfId="174"/>
    <tableColumn id="4" xr3:uid="{00000000-0010-0000-0200-000004000000}" name="CategoryName" dataDxfId="173"/>
    <tableColumn id="5" xr3:uid="{00000000-0010-0000-0200-000005000000}" name="AssetTag" dataDxfId="172"/>
    <tableColumn id="6" xr3:uid="{00000000-0010-0000-0200-000006000000}" name="SerialNumber" dataDxfId="17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70" dataDxfId="169">
  <autoFilter ref="X1:Y3" xr:uid="{00000000-0009-0000-0100-000004000000}"/>
  <tableColumns count="2">
    <tableColumn id="1" xr3:uid="{00000000-0010-0000-0300-000001000000}" name="id" dataDxfId="168"/>
    <tableColumn id="2" xr3:uid="{00000000-0010-0000-0300-000002000000}" name="name" dataDxfId="16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66" dataDxfId="165">
  <autoFilter ref="AA1:AB2" xr:uid="{00000000-0009-0000-0100-000005000000}"/>
  <tableColumns count="2">
    <tableColumn id="1" xr3:uid="{00000000-0010-0000-0400-000001000000}" name="id" dataDxfId="164"/>
    <tableColumn id="2" xr3:uid="{00000000-0010-0000-0400-000002000000}" name="name" dataDxfId="16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62" dataDxfId="161">
  <autoFilter ref="AD1:AH2" xr:uid="{00000000-0009-0000-0100-000006000000}"/>
  <tableColumns count="5">
    <tableColumn id="1" xr3:uid="{00000000-0010-0000-0500-000001000000}" name="id" dataDxfId="160"/>
    <tableColumn id="2" xr3:uid="{00000000-0010-0000-0500-000002000000}" name="name" dataDxfId="159"/>
    <tableColumn id="3" xr3:uid="{00000000-0010-0000-0500-000003000000}" name="Revision_Date__c" dataDxfId="158"/>
    <tableColumn id="4" xr3:uid="{00000000-0010-0000-0500-000004000000}" name="Current_Revision__c" dataDxfId="157"/>
    <tableColumn id="5" xr3:uid="{00000000-0010-0000-0500-000005000000}" name="Tool__c" dataDxfId="15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55" dataDxfId="154">
  <autoFilter ref="A1:AP524" xr:uid="{52283BBB-F64D-40EC-A855-EA187553BDB5}"/>
  <tableColumns count="42">
    <tableColumn id="1" xr3:uid="{A987BB49-0CAD-4504-840A-C5054006E8B1}" name="Column1" dataDxfId="153"/>
    <tableColumn id="2" xr3:uid="{9B49AB3A-BA03-441C-973E-37C13FD71EDA}" name="Customer" dataDxfId="152"/>
    <tableColumn id="3" xr3:uid="{8F8D5C19-E6F3-4A6A-85B6-2737B3806A69}" name="Furnace" dataDxfId="151"/>
    <tableColumn id="4" xr3:uid="{37536E97-8FAD-42E5-B467-C028EBF1FD67}" name="Concatenated Reference" dataDxfId="150"/>
    <tableColumn id="5" xr3:uid="{5CC99D59-066B-4C4B-948B-95B9C27DE3C7}" name="Address Line 1" dataDxfId="149"/>
    <tableColumn id="6" xr3:uid="{E67099E9-4051-42BB-B63D-500A1D2B560A}" name="Address Line 2" dataDxfId="148"/>
    <tableColumn id="7" xr3:uid="{61A93EEF-0CE9-4D8E-95C5-FD32A5A4BC8E}" name="Address Line 3" dataDxfId="147"/>
    <tableColumn id="8" xr3:uid="{2F0DB7F6-3B08-4390-9DF6-540465A65961}" name="Form Number:" dataDxfId="146"/>
    <tableColumn id="9" xr3:uid="{5AF32C11-B524-4825-A4C3-76B8A2FF1C94}" name="Calibration Method" dataDxfId="145"/>
    <tableColumn id="10" xr3:uid="{526EA414-CA16-4AF3-9117-A7DE7D6BC013}" name="Tolerance Source" dataDxfId="144"/>
    <tableColumn id="11" xr3:uid="{D502D306-59C0-4D92-B0C8-AAFB6632A667}" name="Item" dataDxfId="143"/>
    <tableColumn id="12" xr3:uid="{797754D1-931C-4C52-A2C4-612FF381BC48}" name="Model Number" dataDxfId="142"/>
    <tableColumn id="13" xr3:uid="{BBEB7322-B09B-4208-966B-8DE9D7F2CFC0}" name="Serial Number" dataDxfId="141"/>
    <tableColumn id="14" xr3:uid="{696AC0B4-7919-4B5D-B714-F63A8070B923}" name="Unit Number" dataDxfId="140"/>
    <tableColumn id="15" xr3:uid="{70D21DFD-588A-4161-B95E-EBE5B34A50E3}" name="Class" dataDxfId="139"/>
    <tableColumn id="16" xr3:uid="{0EBE7F60-1E92-4DD1-94E4-EB9813385557}" name="Range" dataDxfId="138"/>
    <tableColumn id="17" xr3:uid="{C67F2B6F-1AE4-4EF5-ACDB-079D17A3EC54}" name="Tolerance" dataDxfId="137"/>
    <tableColumn id="18" xr3:uid="{21A0C815-9D2F-4301-B7A4-53F0C7B9E691}" name="Heating Method" dataDxfId="136"/>
    <tableColumn id="19" xr3:uid="{91B76172-A766-495D-91B5-57968753A0A6}" name="Working Zone Size" dataDxfId="135"/>
    <tableColumn id="20" xr3:uid="{29FA2FFE-23F0-4B31-824B-25B30CE5D087}" name="Cubic Feet" dataDxfId="134"/>
    <tableColumn id="21" xr3:uid="{2A0866BE-9774-4AA4-BABB-7F13A689062E}" name="Cal. Interval" dataDxfId="133"/>
    <tableColumn id="22" xr3:uid="{62C65A52-85A6-4762-A05A-C38EAF3E3228}" name="Controller" dataDxfId="132"/>
    <tableColumn id="23" xr3:uid="{4FED36EA-F57D-4588-B504-B403675027AC}" name="Cont S/N" dataDxfId="131"/>
    <tableColumn id="24" xr3:uid="{3CA0C733-7C4A-4224-881D-3922A674A378}" name="Cont Tol." dataDxfId="130"/>
    <tableColumn id="25" xr3:uid="{0A968E33-8069-42C6-8632-634E7C7E055C}" name="Recorder" dataDxfId="129"/>
    <tableColumn id="26" xr3:uid="{935D9B22-9631-4B0A-AD26-E313F61FD100}" name="Rec S/N" dataDxfId="128"/>
    <tableColumn id="27" xr3:uid="{4852C9B9-5C1E-414B-A725-9D9E5FBE1880}" name="Rec Tol." dataDxfId="127"/>
    <tableColumn id="28" xr3:uid="{F0744C7D-E7C1-4117-9DCF-C011CC116BEF}" name="Furnace Specific Comments" dataDxfId="126"/>
    <tableColumn id="29" xr3:uid="{1D4C4ABD-093F-4012-BB97-849B89CCF511}" name="Test Location" dataDxfId="125"/>
    <tableColumn id="30" xr3:uid="{B17CEE47-005B-4C5E-97FF-7817C982F050}" name="Oven Location" dataDxfId="124"/>
    <tableColumn id="31" xr3:uid="{A3FB0B73-6760-4F45-A7BD-98BDBEC512C3}" name="Condition" dataDxfId="123"/>
    <tableColumn id="32" xr3:uid="{980EF1C5-9BCB-48F8-A39F-07D3430296B9}" name="PB" dataDxfId="122"/>
    <tableColumn id="33" xr3:uid="{2F436CAE-1E97-4231-9DA4-B673A4CB7F4E}" name="Intergral" dataDxfId="121"/>
    <tableColumn id="34" xr3:uid="{D1AABE92-4EC2-4ECF-8027-B0AABE469674}" name="Derivative" dataDxfId="120"/>
    <tableColumn id="35" xr3:uid="{B2F598DB-FD0C-4ABA-8C48-8E99BFBE1788}" name="Other 1" dataDxfId="119"/>
    <tableColumn id="36" xr3:uid="{273FF7AF-5D95-48B4-933B-32309F5AF9FE}" name="Other 2" dataDxfId="118"/>
    <tableColumn id="37" xr3:uid="{01D307CC-841C-4BD5-B290-2A3BE09DE96C}" name="Fine Print" dataDxfId="117"/>
    <tableColumn id="38" xr3:uid="{13AEA69B-7C28-4D2C-9925-580CB4591308}" name="Check Rec" dataDxfId="116"/>
    <tableColumn id="39" xr3:uid="{5F4A1A72-54D4-4A82-AA84-D8715EC24190}" name="Load" dataDxfId="115"/>
    <tableColumn id="40" xr3:uid="{A292DE76-023E-4C51-BC22-BC36C0020C5F}" name="Lag Limit" dataDxfId="114"/>
    <tableColumn id="41" xr3:uid="{2CF6E803-8BAB-4910-82F4-97A52950BA71}" name="Recovery Limit" dataDxfId="113"/>
    <tableColumn id="42" xr3:uid="{966CA662-2FAA-45E6-885F-89DA490C05D6}" name="Furnace Lookup" dataDxfId="11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9" dataDxfId="68" headerRowCellStyle="Normal 2" dataCellStyle="Normal 2">
  <autoFilter ref="U11:V25" xr:uid="{DCCFF26E-EC5C-4962-98DB-A7DA1F3C8CE2}"/>
  <tableColumns count="2">
    <tableColumn id="1" xr3:uid="{DFC40837-B092-4826-9847-4A23BE22020F}" name="4" dataDxfId="67" dataCellStyle="Normal 2"/>
    <tableColumn id="2" xr3:uid="{0711DB07-19DA-4D5E-A417-C242A0304453}" name="10" dataDxfId="6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ustomProperty" Target="../customProperty10.bin"/><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9.xml"/><Relationship Id="rId5" Type="http://schemas.openxmlformats.org/officeDocument/2006/relationships/customProperty" Target="../customProperty12.bin"/><Relationship Id="rId10" Type="http://schemas.openxmlformats.org/officeDocument/2006/relationships/table" Target="../tables/table8.xml"/><Relationship Id="rId4" Type="http://schemas.openxmlformats.org/officeDocument/2006/relationships/customProperty" Target="../customProperty11.bin"/><Relationship Id="rId9"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1.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2.xml"/><Relationship Id="rId4"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19" customWidth="1"/>
    <col min="2" max="2" width="12.85546875" style="296" customWidth="1"/>
    <col min="3" max="3" width="16.5703125" style="308"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4" t="s">
        <v>5539</v>
      </c>
      <c r="B1" s="197"/>
      <c r="C1" s="579" t="s">
        <v>64</v>
      </c>
      <c r="D1" s="580"/>
      <c r="E1" s="580"/>
      <c r="F1" s="580"/>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09"/>
      <c r="E3" s="200"/>
      <c r="F3" s="200"/>
      <c r="G3" s="200"/>
      <c r="H3" s="200"/>
      <c r="I3" s="200"/>
      <c r="J3" s="581" t="s">
        <v>131</v>
      </c>
      <c r="K3" s="582"/>
      <c r="L3" s="583"/>
      <c r="M3" s="200"/>
      <c r="N3" s="600" t="s">
        <v>120</v>
      </c>
      <c r="O3" s="600"/>
      <c r="P3" s="600"/>
      <c r="Q3" s="600"/>
      <c r="R3" s="600"/>
      <c r="S3" s="600"/>
      <c r="T3" s="206"/>
      <c r="U3" s="206"/>
      <c r="V3" s="206"/>
      <c r="W3" s="209"/>
      <c r="X3" s="209"/>
      <c r="Y3" s="209"/>
      <c r="Z3" s="209"/>
      <c r="AA3" s="209"/>
      <c r="AB3" s="209"/>
      <c r="AC3" s="209"/>
    </row>
    <row r="4" spans="1:29" x14ac:dyDescent="0.2">
      <c r="A4" s="202"/>
      <c r="B4" s="207"/>
      <c r="C4" s="208" t="s">
        <v>1332</v>
      </c>
      <c r="D4" s="344" t="s">
        <v>1455</v>
      </c>
      <c r="E4" s="200"/>
      <c r="F4" s="200"/>
      <c r="G4" s="200"/>
      <c r="H4" s="200"/>
      <c r="I4" s="200"/>
      <c r="J4" s="586" t="s">
        <v>4</v>
      </c>
      <c r="K4" s="587"/>
      <c r="L4" s="210">
        <f ca="1">IF(ISERROR(Access_Data!$D$33),0,Access_Data!$D$33)</f>
        <v>0</v>
      </c>
      <c r="M4" s="200"/>
      <c r="N4" s="211" t="s">
        <v>119</v>
      </c>
      <c r="O4" s="212" t="s">
        <v>118</v>
      </c>
      <c r="P4" s="584" t="s">
        <v>129</v>
      </c>
      <c r="Q4" s="585"/>
      <c r="R4" s="213" t="s">
        <v>213</v>
      </c>
      <c r="S4" s="213" t="s">
        <v>217</v>
      </c>
      <c r="T4" s="206"/>
      <c r="U4" s="480"/>
      <c r="V4" s="480"/>
      <c r="W4" s="480"/>
      <c r="X4" s="480"/>
      <c r="Y4" s="480"/>
      <c r="Z4" s="480"/>
      <c r="AA4" s="480"/>
      <c r="AB4" s="480"/>
      <c r="AC4" s="209"/>
    </row>
    <row r="5" spans="1:29" x14ac:dyDescent="0.2">
      <c r="A5" s="202"/>
      <c r="B5" s="207"/>
      <c r="C5" s="208" t="s">
        <v>54</v>
      </c>
      <c r="D5" s="557"/>
      <c r="E5" s="558"/>
      <c r="F5" s="558"/>
      <c r="G5" s="558"/>
      <c r="H5" s="559"/>
      <c r="I5" s="556" t="e">
        <f>VLOOKUP(D5,customers[],5,FALSE)</f>
        <v>#N/A</v>
      </c>
      <c r="J5" s="586" t="s">
        <v>5</v>
      </c>
      <c r="K5" s="587"/>
      <c r="L5" s="210">
        <f ca="1">IF(ISERROR(Access_Data!$D$33),0,Access_Data!$H$33)</f>
        <v>0</v>
      </c>
      <c r="M5" s="200"/>
      <c r="N5" s="211">
        <v>1</v>
      </c>
      <c r="O5" s="214"/>
      <c r="P5" s="215" t="str">
        <f>IF(Access_Data!$K37=0,"",Access_Data!$K37)</f>
        <v/>
      </c>
      <c r="Q5" s="216"/>
      <c r="R5" s="217" t="str">
        <f>IF(Access_Data!$K37&lt;&gt;0,IF(RIGHT($P5,3)="Low",Access_Data!$L37,IF(RIGHT($P5,4)="High",Access_Data!$J37,"")),"")</f>
        <v/>
      </c>
      <c r="S5" s="218" t="str">
        <f>IF(Access_Data!$M37&lt;&gt;0,Access_Data!$M37,"")</f>
        <v/>
      </c>
      <c r="T5" s="206"/>
      <c r="U5" s="480"/>
      <c r="V5" s="480"/>
      <c r="W5" s="480"/>
      <c r="X5" s="480" t="str">
        <f t="shared" ref="X5:X7" si="0">IF(O5="","",1)</f>
        <v/>
      </c>
      <c r="Y5" s="480"/>
      <c r="Z5" s="480"/>
      <c r="AA5" s="480"/>
      <c r="AB5" s="480"/>
      <c r="AC5" s="209"/>
    </row>
    <row r="6" spans="1:29" x14ac:dyDescent="0.2">
      <c r="A6" s="202"/>
      <c r="B6" s="207"/>
      <c r="C6" s="208" t="s">
        <v>53</v>
      </c>
      <c r="D6" s="603"/>
      <c r="E6" s="604"/>
      <c r="F6" s="604"/>
      <c r="G6" s="604"/>
      <c r="H6" s="605"/>
      <c r="I6" s="556" t="e">
        <f>_xlfn.XLOOKUP(D6,ClientAssets_2[AssetName],ClientAssets_2[AssetId],NA())</f>
        <v>#N/A</v>
      </c>
      <c r="J6" s="586" t="s">
        <v>130</v>
      </c>
      <c r="K6" s="587"/>
      <c r="L6" s="210">
        <f>IF(ISERROR(Access_Data!$A$52),0,Access_Data!$A$52)</f>
        <v>1.5</v>
      </c>
      <c r="M6" s="200"/>
      <c r="N6" s="211">
        <v>2</v>
      </c>
      <c r="O6" s="214"/>
      <c r="P6" s="215" t="str">
        <f>IF(Access_Data!$K38=0,"",Access_Data!$K38)</f>
        <v/>
      </c>
      <c r="Q6" s="219"/>
      <c r="R6" s="217" t="str">
        <f>IF(Access_Data!$K38&lt;&gt;0,IF(RIGHT($P6,3)="Low",Access_Data!$L38,IF(RIGHT($P6,4)="High",Access_Data!$J38,"")),"")</f>
        <v/>
      </c>
      <c r="S6" s="218" t="str">
        <f>IF(Access_Data!$M38&lt;&gt;0,Access_Data!$M38,"")</f>
        <v/>
      </c>
      <c r="T6" s="206"/>
      <c r="U6" s="480"/>
      <c r="V6" s="480"/>
      <c r="W6" s="480"/>
      <c r="X6" s="480" t="str">
        <f t="shared" si="0"/>
        <v/>
      </c>
      <c r="Y6" s="480"/>
      <c r="Z6" s="480"/>
      <c r="AA6" s="480"/>
      <c r="AB6" s="480"/>
      <c r="AC6" s="209"/>
    </row>
    <row r="7" spans="1:29" x14ac:dyDescent="0.2">
      <c r="A7" s="202"/>
      <c r="B7" s="220"/>
      <c r="C7" s="221" t="s">
        <v>40</v>
      </c>
      <c r="D7" s="222"/>
      <c r="E7" s="200"/>
      <c r="F7" s="200"/>
      <c r="G7" s="200"/>
      <c r="H7" s="200"/>
      <c r="I7" s="200"/>
      <c r="J7" s="223"/>
      <c r="K7" s="223"/>
      <c r="L7" s="223"/>
      <c r="M7" s="200"/>
      <c r="N7" s="211">
        <v>3</v>
      </c>
      <c r="O7" s="214"/>
      <c r="P7" s="215" t="str">
        <f>IF(Access_Data!$K39=0,"",Access_Data!$K39)</f>
        <v/>
      </c>
      <c r="Q7" s="216"/>
      <c r="R7" s="217" t="str">
        <f>IF(Access_Data!$K39&lt;&gt;0,IF(RIGHT($P7,3)="Low",Access_Data!$L39,IF(RIGHT($P7,4)="High",Access_Data!$J39,"")),"")</f>
        <v/>
      </c>
      <c r="S7" s="218" t="str">
        <f>IF(Access_Data!$M39&lt;&gt;0,Access_Data!$M39,"")</f>
        <v/>
      </c>
      <c r="T7" s="206"/>
      <c r="U7" s="480"/>
      <c r="V7" s="480"/>
      <c r="W7" s="480"/>
      <c r="X7" s="480" t="str">
        <f t="shared" si="0"/>
        <v/>
      </c>
      <c r="Y7" s="480"/>
      <c r="Z7" s="480"/>
      <c r="AA7" s="480"/>
      <c r="AB7" s="480"/>
      <c r="AC7" s="209"/>
    </row>
    <row r="8" spans="1:29" x14ac:dyDescent="0.2">
      <c r="A8" s="202"/>
      <c r="B8" s="224"/>
      <c r="C8" s="225"/>
      <c r="D8" s="226"/>
      <c r="E8" s="200"/>
      <c r="F8" s="454" t="e">
        <f>IF(N49="","CHECK TUNING CONSTANTS","")</f>
        <v>#N/A</v>
      </c>
      <c r="G8" s="200"/>
      <c r="H8" s="200"/>
      <c r="I8" s="200"/>
      <c r="J8" s="200"/>
      <c r="K8" s="200"/>
      <c r="L8" s="200"/>
      <c r="M8" s="200"/>
      <c r="N8" s="211">
        <v>4</v>
      </c>
      <c r="O8" s="214"/>
      <c r="P8" s="215" t="str">
        <f>IF(Access_Data!$K40=0,"",Access_Data!$K40)</f>
        <v/>
      </c>
      <c r="Q8" s="219"/>
      <c r="R8" s="217" t="str">
        <f>IF(Access_Data!$K40&lt;&gt;0,IF(RIGHT($P8,3)="Low",Access_Data!$L40,IF(RIGHT($P8,4)="High",Access_Data!$J40,"")),"")</f>
        <v/>
      </c>
      <c r="S8" s="218" t="str">
        <f>IF(Access_Data!$M40&lt;&gt;0,Access_Data!$M40,"")</f>
        <v/>
      </c>
      <c r="T8" s="206"/>
      <c r="U8" s="480"/>
      <c r="V8" s="480"/>
      <c r="W8" s="480"/>
      <c r="X8" s="480" t="str">
        <f>IF(O8="","",1)</f>
        <v/>
      </c>
      <c r="Y8" s="480"/>
      <c r="Z8" s="480"/>
      <c r="AA8" s="480"/>
      <c r="AB8" s="480"/>
      <c r="AC8" s="209"/>
    </row>
    <row r="9" spans="1:29" ht="12.75" customHeight="1" x14ac:dyDescent="0.2">
      <c r="A9" s="202"/>
      <c r="B9" s="207"/>
      <c r="C9" s="227" t="s">
        <v>87</v>
      </c>
      <c r="D9" s="428"/>
      <c r="E9" s="200"/>
      <c r="F9" s="200"/>
      <c r="G9" s="200"/>
      <c r="H9" s="200"/>
      <c r="I9" s="200"/>
      <c r="J9" s="200"/>
      <c r="K9" s="200"/>
      <c r="L9" s="200"/>
      <c r="M9" s="200"/>
      <c r="N9" s="211">
        <v>5</v>
      </c>
      <c r="O9" s="214"/>
      <c r="P9" s="215" t="str">
        <f>IF(Access_Data!$K41=0,"",Access_Data!$K41)</f>
        <v/>
      </c>
      <c r="Q9" s="216"/>
      <c r="R9" s="217" t="str">
        <f>IF(Access_Data!$K41&lt;&gt;0,IF(RIGHT($P9,3)="Low",Access_Data!$L41,IF(RIGHT($P9,4)="High",Access_Data!$J41,"")),"")</f>
        <v/>
      </c>
      <c r="S9" s="218" t="str">
        <f>IF(Access_Data!$M41&lt;&gt;0,Access_Data!$M41,"")</f>
        <v/>
      </c>
      <c r="T9" s="206"/>
      <c r="U9" s="480"/>
      <c r="V9" s="480"/>
      <c r="W9" s="480"/>
      <c r="X9" s="480" t="str">
        <f t="shared" ref="X9:X44" si="1">IF(O9="","",1)</f>
        <v/>
      </c>
      <c r="Y9" s="480"/>
      <c r="Z9" s="480"/>
      <c r="AA9" s="480"/>
      <c r="AB9" s="480"/>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4"/>
      <c r="P10" s="215" t="str">
        <f>IF(Access_Data!$K42=0,"",Access_Data!$K42)</f>
        <v/>
      </c>
      <c r="Q10" s="219"/>
      <c r="R10" s="217" t="str">
        <f>IF(Access_Data!$K42&lt;&gt;0,IF(RIGHT($P10,3)="Low",Access_Data!$L42,IF(RIGHT($P10,4)="High",Access_Data!$J42,"")),"")</f>
        <v/>
      </c>
      <c r="S10" s="218" t="str">
        <f>IF(Access_Data!$M42&lt;&gt;0,Access_Data!$M42,"")</f>
        <v/>
      </c>
      <c r="T10" s="206"/>
      <c r="U10" s="480"/>
      <c r="V10" s="480"/>
      <c r="W10" s="480"/>
      <c r="X10" s="480" t="str">
        <f t="shared" si="1"/>
        <v/>
      </c>
      <c r="Y10" s="480"/>
      <c r="Z10" s="480"/>
      <c r="AA10" s="480"/>
      <c r="AB10" s="480"/>
      <c r="AC10" s="209"/>
    </row>
    <row r="11" spans="1:29" x14ac:dyDescent="0.2">
      <c r="A11" s="202"/>
      <c r="B11" s="228"/>
      <c r="C11" s="229" t="s">
        <v>71</v>
      </c>
      <c r="D11" s="230" t="e">
        <f>VLOOKUP(D9,Standards_Info!A2:C11,3)</f>
        <v>#N/A</v>
      </c>
      <c r="E11" s="231"/>
      <c r="F11" s="200"/>
      <c r="G11" s="205" t="str">
        <f>IF(OR(ISBLANK(D3),ISBLANK(D13)),"",IF(D13&lt;D3,"!!!!! DAQBOOK IS OUT OF CERTIFICATION !!!!!",""))</f>
        <v/>
      </c>
      <c r="H11" s="200"/>
      <c r="I11" s="200"/>
      <c r="J11" s="200"/>
      <c r="K11" s="200"/>
      <c r="L11" s="200"/>
      <c r="M11" s="200"/>
      <c r="N11" s="211">
        <v>7</v>
      </c>
      <c r="O11" s="214"/>
      <c r="P11" s="215" t="str">
        <f>IF(Access_Data!$K43=0,"",Access_Data!$K43)</f>
        <v/>
      </c>
      <c r="Q11" s="219"/>
      <c r="R11" s="217" t="str">
        <f>IF(Access_Data!$K43&lt;&gt;0,IF(RIGHT($P11,3)="Low",Access_Data!$L43,IF(RIGHT($P11,4)="High",Access_Data!$J43,"")),"")</f>
        <v/>
      </c>
      <c r="S11" s="218" t="str">
        <f>IF(Access_Data!$M43&lt;&gt;0,Access_Data!$M43,"")</f>
        <v/>
      </c>
      <c r="T11" s="206"/>
      <c r="U11" s="480"/>
      <c r="V11" s="480"/>
      <c r="W11" s="480"/>
      <c r="X11" s="480" t="str">
        <f t="shared" si="1"/>
        <v/>
      </c>
      <c r="Y11" s="480"/>
      <c r="Z11" s="480"/>
      <c r="AA11" s="480"/>
      <c r="AB11" s="480"/>
      <c r="AC11" s="209"/>
    </row>
    <row r="12" spans="1:29" x14ac:dyDescent="0.2">
      <c r="A12" s="202"/>
      <c r="B12" s="207"/>
      <c r="C12" s="227" t="s">
        <v>116</v>
      </c>
      <c r="D12" s="424"/>
      <c r="E12" s="200"/>
      <c r="F12" s="200"/>
      <c r="G12" s="205" t="str">
        <f>IF(Access_Data!$B$52=1,"!!!!! OVEN OVERSHOT IN POINTS 1-14 !!!!!","")</f>
        <v/>
      </c>
      <c r="H12" s="200"/>
      <c r="I12" s="200"/>
      <c r="J12" s="223"/>
      <c r="K12" s="223"/>
      <c r="L12" s="223"/>
      <c r="M12" s="200"/>
      <c r="N12" s="211">
        <v>8</v>
      </c>
      <c r="O12" s="214"/>
      <c r="P12" s="215" t="str">
        <f>IF(Access_Data!$K44=0,"",Access_Data!$K44)</f>
        <v/>
      </c>
      <c r="Q12" s="219"/>
      <c r="R12" s="217" t="str">
        <f>IF(Access_Data!$K44&lt;&gt;0,IF(RIGHT($P12,3)="Low",Access_Data!$L44,IF(RIGHT($P12,4)="High",Access_Data!$J44,"")),"")</f>
        <v/>
      </c>
      <c r="S12" s="218" t="str">
        <f>IF(Access_Data!$M44&lt;&gt;0,Access_Data!$M44,"")</f>
        <v/>
      </c>
      <c r="T12" s="206"/>
      <c r="U12" s="480"/>
      <c r="V12" s="480"/>
      <c r="W12" s="480"/>
      <c r="X12" s="480" t="str">
        <f t="shared" si="1"/>
        <v/>
      </c>
      <c r="Y12" s="480"/>
      <c r="Z12" s="480"/>
      <c r="AA12" s="480"/>
      <c r="AB12" s="480"/>
      <c r="AC12" s="209"/>
    </row>
    <row r="13" spans="1:29" x14ac:dyDescent="0.2">
      <c r="A13" s="202"/>
      <c r="B13" s="228"/>
      <c r="C13" s="229" t="s">
        <v>115</v>
      </c>
      <c r="D13" s="425"/>
      <c r="E13" s="200"/>
      <c r="F13" s="232"/>
      <c r="G13" s="233" t="str">
        <f>IF(Access_Data!$C$52=1,"!!!!! OVEN OVERSHOT IN POINTS 15-28 !!!!!","")</f>
        <v/>
      </c>
      <c r="H13" s="200"/>
      <c r="I13" s="200"/>
      <c r="J13" s="410" t="s">
        <v>3447</v>
      </c>
      <c r="K13" s="598"/>
      <c r="L13" s="599"/>
      <c r="M13" s="200"/>
      <c r="N13" s="211">
        <v>9</v>
      </c>
      <c r="O13" s="214"/>
      <c r="P13" s="215" t="str">
        <f>IF(Access_Data!$K45=0,"",Access_Data!$K45)</f>
        <v/>
      </c>
      <c r="Q13" s="216"/>
      <c r="R13" s="217" t="str">
        <f>IF(Access_Data!$K45&lt;&gt;0,IF(RIGHT($P13,3)="Low",Access_Data!$L45,IF(RIGHT($P13,4)="High",Access_Data!$J45,"")),"")</f>
        <v/>
      </c>
      <c r="S13" s="218" t="str">
        <f>IF(Access_Data!$M45&lt;&gt;0,Access_Data!$M45,"")</f>
        <v/>
      </c>
      <c r="T13" s="206"/>
      <c r="U13" s="480"/>
      <c r="V13" s="480"/>
      <c r="W13" s="480"/>
      <c r="X13" s="480" t="str">
        <f t="shared" si="1"/>
        <v/>
      </c>
      <c r="Y13" s="480"/>
      <c r="Z13" s="480"/>
      <c r="AA13" s="480"/>
      <c r="AB13" s="480"/>
      <c r="AC13" s="209"/>
    </row>
    <row r="14" spans="1:29" x14ac:dyDescent="0.2">
      <c r="A14" s="202"/>
      <c r="B14" s="207"/>
      <c r="C14" s="227" t="s">
        <v>117</v>
      </c>
      <c r="D14" s="601" t="str">
        <f>IF(MONTH(D13-D12)=1,D9&amp;TEXT(D12,"mmddyy"),CONCATENATE(D9&amp;"_"&amp;TEXT(D12,"mmyy")))</f>
        <v>010000</v>
      </c>
      <c r="E14" s="602"/>
      <c r="F14" s="200"/>
      <c r="G14" s="205" t="str">
        <f>IF(Access_Data!$D$52=1,"!!!!! OVEN OVERSHOT IN POINTS 29-40","")</f>
        <v/>
      </c>
      <c r="H14" s="200"/>
      <c r="I14" s="200"/>
      <c r="J14" s="234" t="s">
        <v>209</v>
      </c>
      <c r="K14" s="592"/>
      <c r="L14" s="593"/>
      <c r="M14" s="200"/>
      <c r="N14" s="211">
        <v>10</v>
      </c>
      <c r="O14" s="214"/>
      <c r="P14" s="215" t="str">
        <f>IF(Access_Data!$K46=0,"",Access_Data!$K46)</f>
        <v/>
      </c>
      <c r="Q14" s="219"/>
      <c r="R14" s="217" t="str">
        <f>IF(Access_Data!$K46&lt;&gt;0,IF(RIGHT($P14,3)="Low",Access_Data!$L46,IF(RIGHT($P14,4)="High",Access_Data!$J46,"")),"")</f>
        <v/>
      </c>
      <c r="S14" s="218" t="str">
        <f>IF(Access_Data!$M46&lt;&gt;0,Access_Data!$M46,"")</f>
        <v/>
      </c>
      <c r="T14" s="206"/>
      <c r="U14" s="480"/>
      <c r="V14" s="480"/>
      <c r="W14" s="480"/>
      <c r="X14" s="480" t="str">
        <f t="shared" si="1"/>
        <v/>
      </c>
      <c r="Y14" s="480"/>
      <c r="Z14" s="480"/>
      <c r="AA14" s="480"/>
      <c r="AB14" s="480"/>
      <c r="AC14" s="209"/>
    </row>
    <row r="15" spans="1:29" x14ac:dyDescent="0.2">
      <c r="A15" s="202"/>
      <c r="B15" s="349"/>
      <c r="C15" s="346" t="s">
        <v>86</v>
      </c>
      <c r="D15" s="348"/>
      <c r="E15" s="345"/>
      <c r="F15" s="200"/>
      <c r="G15" s="200"/>
      <c r="H15" s="451" t="b">
        <v>1</v>
      </c>
      <c r="I15" s="200"/>
      <c r="J15" s="235" t="s">
        <v>203</v>
      </c>
      <c r="K15" s="590"/>
      <c r="L15" s="591"/>
      <c r="M15" s="200"/>
      <c r="N15" s="211">
        <v>11</v>
      </c>
      <c r="O15" s="214"/>
      <c r="P15" s="215" t="str">
        <f>IF(Access_Data!$K47=0,"",Access_Data!$K47)</f>
        <v/>
      </c>
      <c r="Q15" s="216"/>
      <c r="R15" s="217" t="str">
        <f>IF(Access_Data!$K47&lt;&gt;0,IF(RIGHT($P15,3)="Low",Access_Data!$L47,IF(RIGHT($P15,4)="High",Access_Data!$J47,"")),"")</f>
        <v/>
      </c>
      <c r="S15" s="218" t="str">
        <f>IF(Access_Data!$M47&lt;&gt;0,Access_Data!$M47,"")</f>
        <v/>
      </c>
      <c r="T15" s="206"/>
      <c r="U15" s="480"/>
      <c r="V15" s="480"/>
      <c r="W15" s="480"/>
      <c r="X15" s="480" t="str">
        <f t="shared" si="1"/>
        <v/>
      </c>
      <c r="Y15" s="480"/>
      <c r="Z15" s="480"/>
      <c r="AA15" s="480"/>
      <c r="AB15" s="480"/>
      <c r="AC15" s="209"/>
    </row>
    <row r="16" spans="1:29" x14ac:dyDescent="0.2">
      <c r="A16" s="202"/>
      <c r="B16" s="236"/>
      <c r="C16" s="347" t="s">
        <v>1573</v>
      </c>
      <c r="D16" s="426"/>
      <c r="E16" s="200"/>
      <c r="F16" s="234" t="s">
        <v>106</v>
      </c>
      <c r="G16" s="339" t="s">
        <v>1641</v>
      </c>
      <c r="H16" s="238"/>
      <c r="I16" s="200"/>
      <c r="J16" s="609" t="s">
        <v>254</v>
      </c>
      <c r="K16" s="610"/>
      <c r="L16" s="239"/>
      <c r="M16" s="200"/>
      <c r="N16" s="211">
        <v>12</v>
      </c>
      <c r="O16" s="214"/>
      <c r="P16" s="215" t="str">
        <f>IF(Access_Data!$K48=0,"",Access_Data!$K48)</f>
        <v/>
      </c>
      <c r="Q16" s="219"/>
      <c r="R16" s="217" t="str">
        <f>IF(Access_Data!$K48&lt;&gt;0,IF(RIGHT($P16,3)="Low",Access_Data!$L48,IF(RIGHT($P16,4)="High",Access_Data!$J48,"")),"")</f>
        <v/>
      </c>
      <c r="S16" s="218" t="str">
        <f>IF(Access_Data!$M48&lt;&gt;0,Access_Data!$M48,"")</f>
        <v/>
      </c>
      <c r="T16" s="206"/>
      <c r="U16" s="480"/>
      <c r="V16" s="480"/>
      <c r="W16" s="480"/>
      <c r="X16" s="480" t="str">
        <f t="shared" si="1"/>
        <v/>
      </c>
      <c r="Y16" s="480"/>
      <c r="Z16" s="480"/>
      <c r="AA16" s="480"/>
      <c r="AB16" s="480"/>
      <c r="AC16" s="209"/>
    </row>
    <row r="17" spans="1:29" x14ac:dyDescent="0.2">
      <c r="A17" s="202"/>
      <c r="B17" s="207"/>
      <c r="C17" s="208" t="s">
        <v>85</v>
      </c>
      <c r="D17" s="427"/>
      <c r="E17" s="200"/>
      <c r="F17" s="235" t="s">
        <v>125</v>
      </c>
      <c r="G17" s="450" t="e">
        <f>'Header Info'!CC2</f>
        <v>#N/A</v>
      </c>
      <c r="I17" s="205"/>
      <c r="J17" s="609" t="s">
        <v>255</v>
      </c>
      <c r="K17" s="610"/>
      <c r="L17" s="240" t="str">
        <f>IF(K15="SIM Load Hot",TEXT(D26,"hh:mm"),"")</f>
        <v/>
      </c>
      <c r="M17" s="200"/>
      <c r="N17" s="211">
        <v>13</v>
      </c>
      <c r="O17" s="214"/>
      <c r="P17" s="215" t="str">
        <f>IF(Access_Data!$K49=0,"",Access_Data!$K49)</f>
        <v/>
      </c>
      <c r="Q17" s="216"/>
      <c r="R17" s="217" t="str">
        <f>IF(Access_Data!$K49&lt;&gt;0,IF(RIGHT($P17,3)="Low",Access_Data!$L49,IF(RIGHT($P17,4)="High",Access_Data!$J49,"")),"")</f>
        <v/>
      </c>
      <c r="S17" s="218" t="str">
        <f>IF(Access_Data!$M49&lt;&gt;0,Access_Data!$M49,"")</f>
        <v/>
      </c>
      <c r="T17" s="206"/>
      <c r="U17" s="480"/>
      <c r="V17" s="480"/>
      <c r="W17" s="480"/>
      <c r="X17" s="480" t="str">
        <f t="shared" si="1"/>
        <v/>
      </c>
      <c r="Y17" s="480"/>
      <c r="Z17" s="480"/>
      <c r="AA17" s="480"/>
      <c r="AB17" s="480"/>
      <c r="AC17" s="209"/>
    </row>
    <row r="18" spans="1:29" x14ac:dyDescent="0.2">
      <c r="A18" s="202"/>
      <c r="B18" s="228"/>
      <c r="C18" s="241" t="s">
        <v>88</v>
      </c>
      <c r="D18" s="428"/>
      <c r="E18" s="200"/>
      <c r="F18" s="243" t="s">
        <v>107</v>
      </c>
      <c r="G18" s="339" t="s">
        <v>31</v>
      </c>
      <c r="H18" s="244"/>
      <c r="I18" s="205"/>
      <c r="J18" s="245"/>
      <c r="K18" s="200"/>
      <c r="L18" s="205"/>
      <c r="M18" s="200"/>
      <c r="N18" s="211">
        <v>14</v>
      </c>
      <c r="O18" s="214"/>
      <c r="P18" s="215" t="str">
        <f>IF(Access_Data!$K50=0,"",Access_Data!$K50)</f>
        <v/>
      </c>
      <c r="Q18" s="219"/>
      <c r="R18" s="217" t="str">
        <f>IF(Access_Data!$K50&lt;&gt;0,IF(RIGHT($P18,3)="Low",Access_Data!$L50,IF(RIGHT($P18,4)="High",Access_Data!$J50,"")),"")</f>
        <v/>
      </c>
      <c r="S18" s="218" t="str">
        <f>IF(Access_Data!$M50&lt;&gt;0,Access_Data!$M50,"")</f>
        <v/>
      </c>
      <c r="T18" s="206"/>
      <c r="U18" s="480"/>
      <c r="V18" s="480"/>
      <c r="W18" s="480"/>
      <c r="X18" s="480" t="str">
        <f t="shared" si="1"/>
        <v/>
      </c>
      <c r="Y18" s="480"/>
      <c r="Z18" s="480"/>
      <c r="AA18" s="480"/>
      <c r="AB18" s="480"/>
      <c r="AC18" s="209"/>
    </row>
    <row r="19" spans="1:29" x14ac:dyDescent="0.2">
      <c r="A19" s="202"/>
      <c r="B19" s="207"/>
      <c r="C19" s="208" t="s">
        <v>22</v>
      </c>
      <c r="D19" s="429"/>
      <c r="E19" s="200"/>
      <c r="F19" s="235" t="s">
        <v>108</v>
      </c>
      <c r="G19" s="588" t="str">
        <f>IF(K15="Salt",0, IF(OR(K15="Hot",K15="SIM Load Hot"),IF(OR(D26="",D28=""),"N/A",IF(ISBLANK(D26),"N/A",D28-D26)),"N/A"))</f>
        <v>N/A</v>
      </c>
      <c r="H19" s="589"/>
      <c r="I19" s="246" t="str">
        <f>IF(G19="N/A","N/A",IF(G19=0,"&lt;2",ROUND(IF(LEN(G19)&gt;3,G19*1440,RIGHT(TEXT(G19,"hh:mm"),2)),0))&amp;" MINUTES")</f>
        <v>N/A</v>
      </c>
      <c r="J19" s="245"/>
      <c r="K19" s="200"/>
      <c r="L19" s="205"/>
      <c r="M19" s="200"/>
      <c r="N19" s="211">
        <v>15</v>
      </c>
      <c r="O19" s="214"/>
      <c r="P19" s="215" t="str">
        <f>IF(Access_Data!$K51=0,"",Access_Data!$K51)</f>
        <v/>
      </c>
      <c r="Q19" s="216"/>
      <c r="R19" s="217" t="str">
        <f>IF(Access_Data!$K51&lt;&gt;0,IF(RIGHT($P19,3)="Low",Access_Data!$L51,IF(RIGHT($P19,4)="High",Access_Data!$J51,"")),"")</f>
        <v/>
      </c>
      <c r="S19" s="218" t="str">
        <f>IF(Access_Data!$M51&lt;&gt;0,Access_Data!$M51,"")</f>
        <v/>
      </c>
      <c r="T19" s="206"/>
      <c r="U19" s="480"/>
      <c r="V19" s="480"/>
      <c r="W19" s="480"/>
      <c r="X19" s="480" t="str">
        <f t="shared" si="1"/>
        <v/>
      </c>
      <c r="Y19" s="480"/>
      <c r="Z19" s="480"/>
      <c r="AA19" s="480"/>
      <c r="AB19" s="480"/>
      <c r="AC19" s="209"/>
    </row>
    <row r="20" spans="1:29" ht="13.7" customHeight="1" x14ac:dyDescent="0.2">
      <c r="A20" s="202"/>
      <c r="B20" s="594" t="str">
        <f>IF(I94=TRUE,"SAT Tolerance (per AMS2750):","SAT Tolerance (per BAC5621):")</f>
        <v>SAT Tolerance (per AMS2750):</v>
      </c>
      <c r="C20" s="595"/>
      <c r="D20" s="247" t="e">
        <f>G94</f>
        <v>#N/A</v>
      </c>
      <c r="E20" s="205"/>
      <c r="I20" s="205"/>
      <c r="J20" s="200"/>
      <c r="K20" s="200"/>
      <c r="L20" s="205"/>
      <c r="M20" s="200"/>
      <c r="N20" s="211">
        <v>16</v>
      </c>
      <c r="O20" s="214"/>
      <c r="P20" s="215" t="str">
        <f>IF(Access_Data!$K52=0,"",Access_Data!$K52)</f>
        <v/>
      </c>
      <c r="Q20" s="219"/>
      <c r="R20" s="217" t="str">
        <f>IF(Access_Data!$K52&lt;&gt;0,IF(RIGHT($P20,3)="Low",Access_Data!$L52,IF(RIGHT($P20,4)="High",Access_Data!$J52,"")),"")</f>
        <v/>
      </c>
      <c r="S20" s="218" t="str">
        <f>IF(Access_Data!$M52&lt;&gt;0,Access_Data!$M52,"")</f>
        <v/>
      </c>
      <c r="T20" s="206"/>
      <c r="U20" s="480"/>
      <c r="V20" s="480"/>
      <c r="W20" s="480"/>
      <c r="X20" s="480" t="str">
        <f t="shared" si="1"/>
        <v/>
      </c>
      <c r="Y20" s="480"/>
      <c r="Z20" s="480"/>
      <c r="AA20" s="480"/>
      <c r="AB20" s="480"/>
      <c r="AC20" s="209"/>
    </row>
    <row r="21" spans="1:29" x14ac:dyDescent="0.2">
      <c r="A21" s="202"/>
      <c r="B21" s="224"/>
      <c r="C21" s="248"/>
      <c r="D21" s="226"/>
      <c r="E21" s="200"/>
      <c r="F21" s="200"/>
      <c r="G21" s="200"/>
      <c r="H21" s="200"/>
      <c r="I21" s="205"/>
      <c r="J21" s="200"/>
      <c r="K21" s="200"/>
      <c r="L21" s="205"/>
      <c r="M21" s="200"/>
      <c r="N21" s="211">
        <v>17</v>
      </c>
      <c r="O21" s="214"/>
      <c r="P21" s="215" t="str">
        <f>IF(Access_Data!$K53=0,"",Access_Data!$K53)</f>
        <v/>
      </c>
      <c r="Q21" s="216"/>
      <c r="R21" s="217" t="str">
        <f>IF(Access_Data!$K53&lt;&gt;0,IF(RIGHT($P21,3)="Low",Access_Data!$L53,IF(RIGHT($P21,4)="High",Access_Data!$J53,"")),"")</f>
        <v/>
      </c>
      <c r="S21" s="218" t="str">
        <f>IF(Access_Data!$M53&lt;&gt;0,Access_Data!$M53,"")</f>
        <v/>
      </c>
      <c r="T21" s="206"/>
      <c r="U21" s="480"/>
      <c r="V21" s="480"/>
      <c r="W21" s="480"/>
      <c r="X21" s="480" t="str">
        <f t="shared" si="1"/>
        <v/>
      </c>
      <c r="Y21" s="480"/>
      <c r="Z21" s="480"/>
      <c r="AA21" s="480"/>
      <c r="AB21" s="480"/>
      <c r="AC21" s="209"/>
    </row>
    <row r="22" spans="1:29" x14ac:dyDescent="0.2">
      <c r="A22" s="202"/>
      <c r="B22" s="236"/>
      <c r="C22" s="237" t="s">
        <v>55</v>
      </c>
      <c r="D22" s="430"/>
      <c r="E22" s="200"/>
      <c r="F22" s="249"/>
      <c r="G22" s="200"/>
      <c r="H22" s="200"/>
      <c r="I22" s="205"/>
      <c r="J22" s="200"/>
      <c r="K22" s="200"/>
      <c r="L22" s="205"/>
      <c r="M22" s="200"/>
      <c r="N22" s="211">
        <v>18</v>
      </c>
      <c r="O22" s="214"/>
      <c r="P22" s="215" t="str">
        <f>IF(Access_Data!$K54=0,"",Access_Data!$K54)</f>
        <v/>
      </c>
      <c r="Q22" s="219"/>
      <c r="R22" s="217" t="str">
        <f>IF(Access_Data!$K54&lt;&gt;0,IF(RIGHT($P22,3)="Low",Access_Data!$L54,IF(RIGHT($P22,4)="High",Access_Data!$J54,"")),"")</f>
        <v/>
      </c>
      <c r="S22" s="218" t="str">
        <f>IF(Access_Data!$M54&lt;&gt;0,Access_Data!$M54,"")</f>
        <v/>
      </c>
      <c r="T22" s="206"/>
      <c r="U22" s="480"/>
      <c r="V22" s="480"/>
      <c r="W22" s="480"/>
      <c r="X22" s="480" t="str">
        <f t="shared" si="1"/>
        <v/>
      </c>
      <c r="Y22" s="480"/>
      <c r="Z22" s="480"/>
      <c r="AA22" s="480"/>
      <c r="AB22" s="480"/>
      <c r="AC22" s="209"/>
    </row>
    <row r="23" spans="1:29" x14ac:dyDescent="0.2">
      <c r="A23" s="202"/>
      <c r="B23" s="207"/>
      <c r="C23" s="208" t="s">
        <v>89</v>
      </c>
      <c r="D23" s="428"/>
      <c r="E23" s="200"/>
      <c r="F23" s="250" t="s">
        <v>126</v>
      </c>
      <c r="G23" s="353" t="s">
        <v>5087</v>
      </c>
      <c r="H23" s="252"/>
      <c r="I23" s="252"/>
      <c r="J23" s="252"/>
      <c r="K23" s="238"/>
      <c r="L23" s="205"/>
      <c r="M23" s="200"/>
      <c r="N23" s="211">
        <v>19</v>
      </c>
      <c r="O23" s="214"/>
      <c r="P23" s="215" t="str">
        <f>IF(Access_Data!$K55=0,"",Access_Data!$K55)</f>
        <v/>
      </c>
      <c r="Q23" s="216"/>
      <c r="R23" s="217" t="str">
        <f>IF(Access_Data!$K55&lt;&gt;0,IF(RIGHT($P23,3)="Low",Access_Data!$L55,IF(RIGHT($P23,4)="High",Access_Data!$J55,"")),"")</f>
        <v/>
      </c>
      <c r="S23" s="218" t="str">
        <f>IF(Access_Data!$M55&lt;&gt;0,Access_Data!$M55,"")</f>
        <v/>
      </c>
      <c r="T23" s="206"/>
      <c r="U23" s="480" t="str">
        <f>IF(X45=10,Z23,IF(X45=11,Z24,IF(X45=12,Z25,IF(X45=13,Z26,IF(X45=14,Z27,"")))))</f>
        <v/>
      </c>
      <c r="V23" s="480"/>
      <c r="W23" s="480"/>
      <c r="X23" s="480" t="str">
        <f t="shared" si="1"/>
        <v/>
      </c>
      <c r="Y23" s="480">
        <v>10</v>
      </c>
      <c r="Z23" s="480" t="s">
        <v>5082</v>
      </c>
      <c r="AA23" s="480"/>
      <c r="AB23" s="480"/>
      <c r="AC23" s="209"/>
    </row>
    <row r="24" spans="1:29" x14ac:dyDescent="0.2">
      <c r="A24" s="202"/>
      <c r="B24" s="596" t="s">
        <v>4939</v>
      </c>
      <c r="C24" s="597"/>
      <c r="D24" s="333"/>
      <c r="E24" s="200"/>
      <c r="F24" s="250" t="s">
        <v>127</v>
      </c>
      <c r="G24" s="251"/>
      <c r="H24" s="252"/>
      <c r="I24" s="252"/>
      <c r="J24" s="252"/>
      <c r="K24" s="238"/>
      <c r="L24" s="205"/>
      <c r="M24" s="200"/>
      <c r="N24" s="211">
        <v>20</v>
      </c>
      <c r="O24" s="214"/>
      <c r="P24" s="215" t="str">
        <f>IF(Access_Data!$K56=0,"",Access_Data!$K56)</f>
        <v/>
      </c>
      <c r="Q24" s="219"/>
      <c r="R24" s="217" t="str">
        <f>IF(Access_Data!$K56&lt;&gt;0,IF(RIGHT($P24,3)="Low",Access_Data!$L56,IF(RIGHT($P24,4)="High",Access_Data!$J56,"")),"")</f>
        <v/>
      </c>
      <c r="S24" s="218" t="str">
        <f>IF(Access_Data!$M56&lt;&gt;0,Access_Data!$M56,"")</f>
        <v/>
      </c>
      <c r="T24" s="206"/>
      <c r="U24" s="480" t="b">
        <v>0</v>
      </c>
      <c r="V24" s="480"/>
      <c r="W24" s="480"/>
      <c r="X24" s="480" t="str">
        <f t="shared" si="1"/>
        <v/>
      </c>
      <c r="Y24" s="480">
        <v>11</v>
      </c>
      <c r="Z24" s="480" t="s">
        <v>5083</v>
      </c>
      <c r="AA24" s="480"/>
      <c r="AB24" s="480"/>
      <c r="AC24" s="209"/>
    </row>
    <row r="25" spans="1:29" x14ac:dyDescent="0.2">
      <c r="A25" s="202"/>
      <c r="B25" s="224"/>
      <c r="C25" s="233"/>
      <c r="D25" s="226"/>
      <c r="E25" s="200"/>
      <c r="F25" s="250" t="s">
        <v>128</v>
      </c>
      <c r="G25" s="253"/>
      <c r="H25" s="254"/>
      <c r="I25" s="254"/>
      <c r="J25" s="254"/>
      <c r="K25" s="255"/>
      <c r="L25" s="205"/>
      <c r="M25" s="200"/>
      <c r="N25" s="211">
        <v>21</v>
      </c>
      <c r="O25" s="214"/>
      <c r="P25" s="215" t="str">
        <f>IF(Access_Data!$K57=0,"",Access_Data!$K57)</f>
        <v/>
      </c>
      <c r="Q25" s="216"/>
      <c r="R25" s="217" t="str">
        <f>IF(Access_Data!$K57&lt;&gt;0,IF(RIGHT($P25,3)="Low",Access_Data!$L57,IF(RIGHT($P25,4)="High",Access_Data!$J57,"")),"")</f>
        <v/>
      </c>
      <c r="S25" s="218" t="str">
        <f>IF(Access_Data!$M57&lt;&gt;0,Access_Data!$M57,"")</f>
        <v/>
      </c>
      <c r="T25" s="206"/>
      <c r="U25" s="480" t="str">
        <f>IF(U24=TRUE,U23,IF(U30=TRUE,U29,""))</f>
        <v/>
      </c>
      <c r="V25" s="480"/>
      <c r="W25" s="480"/>
      <c r="X25" s="480" t="str">
        <f t="shared" si="1"/>
        <v/>
      </c>
      <c r="Y25" s="480">
        <v>12</v>
      </c>
      <c r="Z25" s="480" t="s">
        <v>5084</v>
      </c>
      <c r="AA25" s="480"/>
      <c r="AB25" s="480"/>
      <c r="AC25" s="209"/>
    </row>
    <row r="26" spans="1:29" x14ac:dyDescent="0.2">
      <c r="A26" s="202"/>
      <c r="B26" s="236"/>
      <c r="C26" s="237" t="s">
        <v>81</v>
      </c>
      <c r="D26" s="431"/>
      <c r="E26" s="256" t="str">
        <f>TEXT(D26,"hh:mm")</f>
        <v>00:00</v>
      </c>
      <c r="F26" s="205"/>
      <c r="G26" s="205"/>
      <c r="H26" s="205"/>
      <c r="I26" s="205"/>
      <c r="J26" s="205"/>
      <c r="K26" s="205"/>
      <c r="L26" s="205"/>
      <c r="M26" s="200"/>
      <c r="N26" s="211">
        <v>22</v>
      </c>
      <c r="O26" s="214"/>
      <c r="P26" s="215" t="str">
        <f>IF(Access_Data!$K58=0,"",Access_Data!$K58)</f>
        <v/>
      </c>
      <c r="Q26" s="219"/>
      <c r="R26" s="217" t="str">
        <f>IF(Access_Data!$K58&lt;&gt;0,IF(RIGHT($P26,3)="Low",Access_Data!$L58,IF(RIGHT($P26,4)="High",Access_Data!$J58,"")),"")</f>
        <v/>
      </c>
      <c r="S26" s="218" t="str">
        <f>IF(Access_Data!$M58&lt;&gt;0,Access_Data!$M58,"")</f>
        <v/>
      </c>
      <c r="T26" s="206"/>
      <c r="U26" s="480"/>
      <c r="V26" s="480"/>
      <c r="W26" s="480"/>
      <c r="X26" s="480" t="str">
        <f t="shared" si="1"/>
        <v/>
      </c>
      <c r="Y26" s="480">
        <v>13</v>
      </c>
      <c r="Z26" s="480" t="s">
        <v>5085</v>
      </c>
      <c r="AA26" s="480"/>
      <c r="AB26" s="480"/>
      <c r="AC26" s="209"/>
    </row>
    <row r="27" spans="1:29" x14ac:dyDescent="0.2">
      <c r="A27" s="202"/>
      <c r="B27" s="257">
        <v>10</v>
      </c>
      <c r="C27" s="208" t="s">
        <v>82</v>
      </c>
      <c r="D27" s="431"/>
      <c r="E27" s="256"/>
      <c r="F27" s="410" t="s">
        <v>1801</v>
      </c>
      <c r="G27" s="408" t="e">
        <f>IF('Header Info'!CB$2="y","Cal by Customer",D$3)</f>
        <v>#N/A</v>
      </c>
      <c r="H27" s="615" t="str">
        <f>IF(ISBLANK(D6),"",IF('Header Info'!CB2="x","CHECK INSTRUMENT CAL DATES!!!!             CHECK INSTRUMENT CAL DATES!!!!",""))</f>
        <v/>
      </c>
      <c r="I27" s="616"/>
      <c r="J27" s="616"/>
      <c r="K27" s="616"/>
      <c r="L27" s="205"/>
      <c r="M27" s="200"/>
      <c r="N27" s="211">
        <v>23</v>
      </c>
      <c r="O27" s="214"/>
      <c r="P27" s="215" t="str">
        <f>IF(Access_Data!$K59=0,"",Access_Data!$K59)</f>
        <v/>
      </c>
      <c r="Q27" s="216"/>
      <c r="R27" s="217" t="str">
        <f>IF(Access_Data!$K59&lt;&gt;0,IF(RIGHT($P27,3)="Low",Access_Data!$L59,IF(RIGHT($P27,4)="High",Access_Data!$J59,"")),"")</f>
        <v/>
      </c>
      <c r="S27" s="218" t="str">
        <f>IF(Access_Data!$M59&lt;&gt;0,Access_Data!$M59,"")</f>
        <v/>
      </c>
      <c r="T27" s="206"/>
      <c r="U27" s="480"/>
      <c r="V27" s="480"/>
      <c r="W27" s="480"/>
      <c r="X27" s="480" t="str">
        <f t="shared" si="1"/>
        <v/>
      </c>
      <c r="Y27" s="480">
        <v>14</v>
      </c>
      <c r="Z27" s="480" t="s">
        <v>5086</v>
      </c>
      <c r="AA27" s="480"/>
      <c r="AB27" s="480"/>
      <c r="AC27" s="209"/>
    </row>
    <row r="28" spans="1:29" x14ac:dyDescent="0.2">
      <c r="A28" s="202"/>
      <c r="B28" s="258">
        <v>30</v>
      </c>
      <c r="C28" s="241" t="s">
        <v>83</v>
      </c>
      <c r="D28" s="431"/>
      <c r="E28" s="256"/>
      <c r="F28" s="410" t="s">
        <v>1802</v>
      </c>
      <c r="G28" s="408" t="e">
        <f>IF('Header Info'!CB$2="y","Cal by Customer",D$3)</f>
        <v>#N/A</v>
      </c>
      <c r="H28" s="615"/>
      <c r="I28" s="616"/>
      <c r="J28" s="616"/>
      <c r="K28" s="616"/>
      <c r="L28" s="205"/>
      <c r="M28" s="200"/>
      <c r="N28" s="211">
        <v>24</v>
      </c>
      <c r="O28" s="214"/>
      <c r="P28" s="215" t="str">
        <f>IF(Access_Data!$K60=0,"",Access_Data!$K60)</f>
        <v/>
      </c>
      <c r="Q28" s="219"/>
      <c r="R28" s="217" t="str">
        <f>IF(Access_Data!$K60&lt;&gt;0,IF(RIGHT($P28,3)="Low",Access_Data!$L60,IF(RIGHT($P28,4)="High",Access_Data!$J60,"")),"")</f>
        <v/>
      </c>
      <c r="S28" s="218" t="str">
        <f>IF(Access_Data!$M60&lt;&gt;0,Access_Data!$M60,"")</f>
        <v/>
      </c>
      <c r="T28" s="206"/>
      <c r="U28" s="480"/>
      <c r="V28" s="480"/>
      <c r="W28" s="480"/>
      <c r="X28" s="480" t="str">
        <f t="shared" si="1"/>
        <v/>
      </c>
      <c r="Y28" s="480"/>
      <c r="Z28" s="480"/>
      <c r="AA28" s="480"/>
      <c r="AB28" s="480"/>
      <c r="AC28" s="209"/>
    </row>
    <row r="29" spans="1:29" x14ac:dyDescent="0.2">
      <c r="A29" s="202"/>
      <c r="B29" s="257">
        <v>40</v>
      </c>
      <c r="C29" s="208" t="s">
        <v>102</v>
      </c>
      <c r="D29" s="259" t="str">
        <f>(IF(OR(D27="",D28=""),"",IF(ISBLANK(D27),"",D28-D27)))</f>
        <v/>
      </c>
      <c r="E29" s="260" t="e">
        <f>IF(D29=0,"&lt;2",ROUND(IF(LEN(D29)&gt;3,D29*1440,TEXT(D29,"hh:mm")),0)) &amp;" MINUTES"</f>
        <v>#VALUE!</v>
      </c>
      <c r="F29" s="359" t="s">
        <v>1803</v>
      </c>
      <c r="G29" s="205"/>
      <c r="H29" s="205"/>
      <c r="I29" s="205"/>
      <c r="J29" s="205"/>
      <c r="K29" s="205"/>
      <c r="L29" s="205"/>
      <c r="M29" s="200"/>
      <c r="N29" s="211">
        <v>25</v>
      </c>
      <c r="O29" s="214"/>
      <c r="P29" s="215" t="str">
        <f>IF(Access_Data!$K61=0,"",Access_Data!$K61)</f>
        <v/>
      </c>
      <c r="Q29" s="216"/>
      <c r="R29" s="217" t="str">
        <f>IF(Access_Data!$K61&lt;&gt;0,IF(RIGHT($P29,3)="Low",Access_Data!$L61,IF(RIGHT($P29,4)="High",Access_Data!$J61,"")),"")</f>
        <v/>
      </c>
      <c r="S29" s="218" t="str">
        <f>IF(Access_Data!$M61&lt;&gt;0,Access_Data!$M61,"")</f>
        <v/>
      </c>
      <c r="T29" s="206"/>
      <c r="U29" s="480" t="str">
        <f>IF(X45=10,Z29,IF(X45=11,Z30,IF(X45=12,Z31,"")))</f>
        <v/>
      </c>
      <c r="V29" s="480"/>
      <c r="W29" s="480"/>
      <c r="X29" s="480" t="str">
        <f t="shared" si="1"/>
        <v/>
      </c>
      <c r="Y29" s="480">
        <v>10</v>
      </c>
      <c r="Z29" s="480" t="s">
        <v>5088</v>
      </c>
      <c r="AA29" s="480"/>
      <c r="AB29" s="480"/>
      <c r="AC29" s="209"/>
    </row>
    <row r="30" spans="1:29" x14ac:dyDescent="0.2">
      <c r="A30" s="202"/>
      <c r="B30" s="481">
        <v>45</v>
      </c>
      <c r="C30" s="241" t="s">
        <v>84</v>
      </c>
      <c r="D30" s="530"/>
      <c r="E30" s="261" t="str">
        <f>IF(ISBLANK(D30), "", TEXT(D30, "H:mm"))</f>
        <v/>
      </c>
      <c r="G30" s="461">
        <f>IF(D29="",0,D29)</f>
        <v>0</v>
      </c>
      <c r="H30" s="460">
        <f>D28-D26</f>
        <v>0</v>
      </c>
      <c r="I30" s="205"/>
      <c r="J30" s="205"/>
      <c r="K30" s="205"/>
      <c r="L30" s="457"/>
      <c r="M30" s="200"/>
      <c r="N30" s="211">
        <v>26</v>
      </c>
      <c r="O30" s="214"/>
      <c r="P30" s="215" t="str">
        <f>IF(Access_Data!$K62=0,"",Access_Data!$K62)</f>
        <v/>
      </c>
      <c r="Q30" s="219"/>
      <c r="R30" s="217" t="str">
        <f>IF(Access_Data!$K62&lt;&gt;0,IF(RIGHT($P30,3)="Low",Access_Data!$L62,IF(RIGHT($P30,4)="High",Access_Data!$J62,"")),"")</f>
        <v/>
      </c>
      <c r="S30" s="218" t="str">
        <f>IF(Access_Data!$M62&lt;&gt;0,Access_Data!$M62,"")</f>
        <v/>
      </c>
      <c r="T30" s="206"/>
      <c r="U30" s="480" t="b">
        <v>0</v>
      </c>
      <c r="V30" s="480"/>
      <c r="W30" s="480"/>
      <c r="X30" s="480" t="str">
        <f t="shared" si="1"/>
        <v/>
      </c>
      <c r="Y30" s="480">
        <v>11</v>
      </c>
      <c r="Z30" s="480" t="s">
        <v>5089</v>
      </c>
      <c r="AA30" s="480"/>
      <c r="AB30" s="480"/>
      <c r="AC30" s="209"/>
    </row>
    <row r="31" spans="1:29" x14ac:dyDescent="0.2">
      <c r="A31" s="202"/>
      <c r="B31" s="207"/>
      <c r="C31" s="208" t="s">
        <v>70</v>
      </c>
      <c r="D31" s="531">
        <f>D30+TIME(0,D32,0)</f>
        <v>2.0833333333333332E-2</v>
      </c>
      <c r="E31" s="200"/>
      <c r="F31" s="456" t="e">
        <f>IF(AND(L31&gt;0,G30&gt;L31),"LAG TIME TOO HIGH!!!","")</f>
        <v>#N/A</v>
      </c>
      <c r="G31" s="205"/>
      <c r="H31" s="459" t="e">
        <f>IF(AND(M31&gt;0,H30&gt;M31),"RECOVERY TIME TOO HIGH!!!!","")</f>
        <v>#N/A</v>
      </c>
      <c r="I31" s="205"/>
      <c r="J31" s="205"/>
      <c r="K31" s="205"/>
      <c r="L31" s="458" t="e">
        <f>'Header Info'!CD2</f>
        <v>#N/A</v>
      </c>
      <c r="M31" s="458" t="e">
        <f>'Header Info'!CE2</f>
        <v>#N/A</v>
      </c>
      <c r="N31" s="211">
        <v>27</v>
      </c>
      <c r="O31" s="214"/>
      <c r="P31" s="215" t="str">
        <f>IF(Access_Data!$K63=0,"",Access_Data!$K63)</f>
        <v/>
      </c>
      <c r="Q31" s="216"/>
      <c r="R31" s="217" t="str">
        <f>IF(Access_Data!$K63&lt;&gt;0,IF(RIGHT($P31,3)="Low",Access_Data!$L63,IF(RIGHT($P31,4)="High",Access_Data!$J63,"")),"")</f>
        <v/>
      </c>
      <c r="S31" s="218" t="str">
        <f>IF(Access_Data!$M63&lt;&gt;0,Access_Data!$M63,"")</f>
        <v/>
      </c>
      <c r="T31" s="206"/>
      <c r="U31" s="480"/>
      <c r="V31" s="480"/>
      <c r="W31" s="480"/>
      <c r="X31" s="480" t="str">
        <f t="shared" si="1"/>
        <v/>
      </c>
      <c r="Y31" s="480">
        <v>12</v>
      </c>
      <c r="Z31" s="480" t="s">
        <v>5090</v>
      </c>
      <c r="AA31" s="480"/>
      <c r="AB31" s="480"/>
      <c r="AC31" s="209"/>
    </row>
    <row r="32" spans="1:29" x14ac:dyDescent="0.2">
      <c r="A32" s="248"/>
      <c r="B32" s="262"/>
      <c r="C32" s="263" t="s">
        <v>110</v>
      </c>
      <c r="D32" s="242">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4"/>
      <c r="P32" s="215" t="str">
        <f>IF(Access_Data!$K64=0,"",Access_Data!$K64)</f>
        <v/>
      </c>
      <c r="Q32" s="219"/>
      <c r="R32" s="217" t="str">
        <f>IF(Access_Data!$K64&lt;&gt;0,IF(RIGHT($P32,3)="Low",Access_Data!$L64,IF(RIGHT($P32,4)="High",Access_Data!$J64,"")),"")</f>
        <v/>
      </c>
      <c r="S32" s="218" t="str">
        <f>IF(Access_Data!$M64&lt;&gt;0,Access_Data!$M64,"")</f>
        <v/>
      </c>
      <c r="T32" s="206"/>
      <c r="U32" s="480"/>
      <c r="V32" s="480"/>
      <c r="W32" s="480"/>
      <c r="X32" s="480" t="str">
        <f t="shared" si="1"/>
        <v/>
      </c>
      <c r="Y32" s="480"/>
      <c r="Z32" s="480"/>
      <c r="AA32" s="480"/>
      <c r="AB32" s="480"/>
      <c r="AC32" s="209"/>
    </row>
    <row r="33" spans="1:29" x14ac:dyDescent="0.2">
      <c r="A33" s="202"/>
      <c r="B33" s="224"/>
      <c r="C33" s="264"/>
      <c r="D33" s="265"/>
      <c r="E33" s="265"/>
      <c r="F33" s="205"/>
      <c r="G33" s="205"/>
      <c r="H33" s="205"/>
      <c r="I33" s="205"/>
      <c r="J33" s="205"/>
      <c r="K33" s="205"/>
      <c r="L33" s="205"/>
      <c r="M33" s="200"/>
      <c r="N33" s="211">
        <v>29</v>
      </c>
      <c r="O33" s="214"/>
      <c r="P33" s="215" t="str">
        <f>IF(Access_Data!$K65=0,"",Access_Data!$K65)</f>
        <v/>
      </c>
      <c r="Q33" s="216"/>
      <c r="R33" s="217" t="str">
        <f>IF(Access_Data!$K65&lt;&gt;0,IF(RIGHT($P33,3)="Low",Access_Data!$L65,IF(RIGHT($P33,4)="High",Access_Data!$J65,"")),"")</f>
        <v/>
      </c>
      <c r="S33" s="218" t="str">
        <f>IF(Access_Data!$M65&lt;&gt;0,Access_Data!$M65,"")</f>
        <v/>
      </c>
      <c r="T33" s="206"/>
      <c r="U33" s="480"/>
      <c r="V33" s="480"/>
      <c r="W33" s="480"/>
      <c r="X33" s="480" t="str">
        <f t="shared" si="1"/>
        <v/>
      </c>
      <c r="Y33" s="480"/>
      <c r="Z33" s="480"/>
      <c r="AA33" s="480"/>
      <c r="AB33" s="480"/>
      <c r="AC33" s="209"/>
    </row>
    <row r="34" spans="1:29" ht="12.75" customHeight="1" x14ac:dyDescent="0.2">
      <c r="A34" s="202"/>
      <c r="B34" s="581" t="s">
        <v>63</v>
      </c>
      <c r="C34" s="582"/>
      <c r="D34" s="582"/>
      <c r="E34" s="582"/>
      <c r="F34" s="582"/>
      <c r="G34" s="582"/>
      <c r="H34" s="582"/>
      <c r="I34" s="582"/>
      <c r="J34" s="582"/>
      <c r="K34" s="582"/>
      <c r="L34" s="583"/>
      <c r="M34" s="200"/>
      <c r="N34" s="211">
        <v>30</v>
      </c>
      <c r="O34" s="214"/>
      <c r="P34" s="215" t="str">
        <f>IF(Access_Data!$K66=0,"",Access_Data!$K66)</f>
        <v/>
      </c>
      <c r="Q34" s="219"/>
      <c r="R34" s="217" t="str">
        <f>IF(Access_Data!$K66&lt;&gt;0,IF(RIGHT($P34,3)="Low",Access_Data!$L66,IF(RIGHT($P34,4)="High",Access_Data!$J66,"")),"")</f>
        <v/>
      </c>
      <c r="S34" s="218" t="str">
        <f>IF(Access_Data!$M66&lt;&gt;0,Access_Data!$M66,"")</f>
        <v/>
      </c>
      <c r="T34" s="209"/>
      <c r="U34" s="480"/>
      <c r="V34" s="480"/>
      <c r="W34" s="480"/>
      <c r="X34" s="480" t="str">
        <f t="shared" si="1"/>
        <v/>
      </c>
      <c r="Y34" s="480"/>
      <c r="Z34" s="480"/>
      <c r="AA34" s="480"/>
      <c r="AB34" s="480"/>
      <c r="AC34" s="209"/>
    </row>
    <row r="35" spans="1:29" ht="12.75" customHeight="1" x14ac:dyDescent="0.2">
      <c r="A35" s="202"/>
      <c r="B35" s="266"/>
      <c r="C35" s="267"/>
      <c r="D35" s="268" t="str">
        <f>IF(ISBLANK(D30),"",D30)</f>
        <v/>
      </c>
      <c r="E35" s="269" t="str">
        <f>IF(ISBLANK($D$30),"",IF($D$18=4,D35+TIME(0,4,0),D35+TIME(0,10,0)))</f>
        <v/>
      </c>
      <c r="F35" s="269" t="str">
        <f>IF(ISBLANK(D30),"",IF($D$18=4,E35+TIME(0,4,0),E35+TIME(0,10,0)))</f>
        <v/>
      </c>
      <c r="G35" s="269" t="str">
        <f>IF(ISBLANK(D30),"",IF($D$18=4,F35+TIME(0,4,0),F35+TIME(0,10,0)))</f>
        <v/>
      </c>
      <c r="H35" s="269" t="str">
        <f>IF(ISBLANK(D30),"",IF($D$18=4,G35+TIME(0,4,0),""))</f>
        <v/>
      </c>
      <c r="I35" s="269" t="str">
        <f>IF(ISBLANK(D30),"",IF($D$18=4,H35+TIME(0,4,0),""))</f>
        <v/>
      </c>
      <c r="J35" s="269" t="str">
        <f>IF(ISBLANK(D30),"",IF($D$18=4,I35+TIME(0,4,0),""))</f>
        <v/>
      </c>
      <c r="K35" s="269" t="str">
        <f>IF(ISBLANK(D30),"",IF($D$18=4,J35+TIME(0,4,0),""))</f>
        <v/>
      </c>
      <c r="L35" s="269" t="str">
        <f>IF(ISBLANK(D30),"",IF($D$18=4,K35+TIME(0,2,0),""))</f>
        <v/>
      </c>
      <c r="M35" s="200"/>
      <c r="N35" s="211">
        <v>31</v>
      </c>
      <c r="O35" s="214"/>
      <c r="P35" s="215" t="str">
        <f>IF(Access_Data!$K67=0,"",Access_Data!$K67)</f>
        <v/>
      </c>
      <c r="Q35" s="216"/>
      <c r="R35" s="217" t="str">
        <f>IF(Access_Data!$K67&lt;&gt;0,IF(RIGHT($P35,3)="Low",Access_Data!$L67,IF(RIGHT($P35,4)="High",Access_Data!$J67,"")),"")</f>
        <v/>
      </c>
      <c r="S35" s="218" t="str">
        <f>IF(Access_Data!$M67&lt;&gt;0,Access_Data!$M67,"")</f>
        <v/>
      </c>
      <c r="T35" s="209"/>
      <c r="U35" s="480"/>
      <c r="V35" s="480"/>
      <c r="W35" s="480"/>
      <c r="X35" s="480" t="str">
        <f t="shared" si="1"/>
        <v/>
      </c>
      <c r="Y35" s="480"/>
      <c r="Z35" s="480"/>
      <c r="AA35" s="480"/>
      <c r="AB35" s="480"/>
      <c r="AC35" s="209"/>
    </row>
    <row r="36" spans="1:29" ht="13.5" thickBot="1" x14ac:dyDescent="0.25">
      <c r="A36" s="270"/>
      <c r="B36" s="271" t="s">
        <v>24</v>
      </c>
      <c r="C36" s="272" t="s">
        <v>61</v>
      </c>
      <c r="D36" s="273" t="s">
        <v>56</v>
      </c>
      <c r="E36" s="273" t="s">
        <v>57</v>
      </c>
      <c r="F36" s="273" t="s">
        <v>58</v>
      </c>
      <c r="G36" s="273" t="s">
        <v>59</v>
      </c>
      <c r="H36" s="273" t="str">
        <f>IF(D18=4,"Reading 5","")</f>
        <v/>
      </c>
      <c r="I36" s="273" t="str">
        <f>IF(D18=4,"Reading 6","")</f>
        <v/>
      </c>
      <c r="J36" s="273" t="str">
        <f>IF(D18=4,"Reading 7","")</f>
        <v/>
      </c>
      <c r="K36" s="273" t="str">
        <f>IF(D18=4,"Reading 8","")</f>
        <v/>
      </c>
      <c r="L36" s="273" t="str">
        <f>IF(D18=4,"Reading 9","")</f>
        <v/>
      </c>
      <c r="M36" s="200"/>
      <c r="N36" s="211">
        <v>32</v>
      </c>
      <c r="O36" s="214"/>
      <c r="P36" s="215" t="str">
        <f>IF(Access_Data!$K68=0,"",Access_Data!$K68)</f>
        <v/>
      </c>
      <c r="Q36" s="219"/>
      <c r="R36" s="217" t="str">
        <f>IF(Access_Data!$K68&lt;&gt;0,IF(RIGHT($P36,3)="Low",Access_Data!$L68,IF(RIGHT($P36,4)="High",Access_Data!$J68,"")),"")</f>
        <v/>
      </c>
      <c r="S36" s="218" t="str">
        <f>IF(Access_Data!$M68&lt;&gt;0,Access_Data!$M68,"")</f>
        <v/>
      </c>
      <c r="T36" s="209"/>
      <c r="U36" s="480"/>
      <c r="V36" s="480"/>
      <c r="W36" s="480"/>
      <c r="X36" s="480" t="str">
        <f t="shared" si="1"/>
        <v/>
      </c>
      <c r="Y36" s="480"/>
      <c r="Z36" s="480"/>
      <c r="AA36" s="480"/>
      <c r="AB36" s="480"/>
      <c r="AC36" s="209"/>
    </row>
    <row r="37" spans="1:29" x14ac:dyDescent="0.2">
      <c r="A37" s="202"/>
      <c r="B37" s="355"/>
      <c r="C37" s="340"/>
      <c r="D37" s="356"/>
      <c r="E37" s="356"/>
      <c r="F37" s="356"/>
      <c r="G37" s="356"/>
      <c r="H37" s="356"/>
      <c r="I37" s="274"/>
      <c r="J37" s="274"/>
      <c r="K37" s="274"/>
      <c r="L37" s="274"/>
      <c r="M37" s="200"/>
      <c r="N37" s="211">
        <v>33</v>
      </c>
      <c r="O37" s="214"/>
      <c r="P37" s="215" t="str">
        <f>IF(Access_Data!$K69=0,"",Access_Data!$K69)</f>
        <v/>
      </c>
      <c r="Q37" s="216"/>
      <c r="R37" s="217" t="str">
        <f>IF(Access_Data!$K69&lt;&gt;0,IF(RIGHT($P37,3)="Low",Access_Data!$L69,IF(RIGHT($P37,4)="High",Access_Data!$J69,"")),"")</f>
        <v/>
      </c>
      <c r="S37" s="218" t="str">
        <f>IF(Access_Data!$M69&lt;&gt;0,Access_Data!$M69,"")</f>
        <v/>
      </c>
      <c r="T37" s="209"/>
      <c r="U37" s="480"/>
      <c r="V37" s="480"/>
      <c r="W37" s="480"/>
      <c r="X37" s="480" t="str">
        <f t="shared" si="1"/>
        <v/>
      </c>
      <c r="Y37" s="480"/>
      <c r="Z37" s="480"/>
      <c r="AA37" s="480"/>
      <c r="AB37" s="480"/>
      <c r="AC37" s="209"/>
    </row>
    <row r="38" spans="1:29" x14ac:dyDescent="0.2">
      <c r="A38" s="202"/>
      <c r="B38" s="357"/>
      <c r="C38" s="341"/>
      <c r="D38" s="356"/>
      <c r="E38" s="356"/>
      <c r="F38" s="356"/>
      <c r="G38" s="356"/>
      <c r="H38" s="356"/>
      <c r="I38" s="274"/>
      <c r="J38" s="274"/>
      <c r="K38" s="274"/>
      <c r="L38" s="274"/>
      <c r="M38" s="200"/>
      <c r="N38" s="211">
        <v>34</v>
      </c>
      <c r="O38" s="214"/>
      <c r="P38" s="215" t="str">
        <f>IF(Access_Data!$K70=0,"",Access_Data!$K70)</f>
        <v/>
      </c>
      <c r="Q38" s="219"/>
      <c r="R38" s="217" t="str">
        <f>IF(Access_Data!$K70&lt;&gt;0,IF(RIGHT($P38,3)="Low",Access_Data!$L70,IF(RIGHT($P38,4)="High",Access_Data!$J70,"")),"")</f>
        <v/>
      </c>
      <c r="S38" s="218" t="str">
        <f>IF(Access_Data!$M70&lt;&gt;0,Access_Data!$M70,"")</f>
        <v/>
      </c>
      <c r="T38" s="209"/>
      <c r="U38" s="480"/>
      <c r="V38" s="480"/>
      <c r="W38" s="480"/>
      <c r="X38" s="480" t="str">
        <f t="shared" si="1"/>
        <v/>
      </c>
      <c r="Y38" s="480"/>
      <c r="Z38" s="480"/>
      <c r="AA38" s="480"/>
      <c r="AB38" s="480"/>
      <c r="AC38" s="209"/>
    </row>
    <row r="39" spans="1:29" x14ac:dyDescent="0.2">
      <c r="A39" s="202"/>
      <c r="B39" s="357"/>
      <c r="C39" s="341"/>
      <c r="D39" s="356"/>
      <c r="E39" s="356"/>
      <c r="F39" s="356"/>
      <c r="G39" s="356"/>
      <c r="H39" s="274"/>
      <c r="I39" s="274"/>
      <c r="J39" s="274"/>
      <c r="K39" s="274"/>
      <c r="L39" s="274"/>
      <c r="M39" s="200"/>
      <c r="N39" s="211">
        <v>35</v>
      </c>
      <c r="O39" s="214"/>
      <c r="P39" s="215" t="str">
        <f>IF(Access_Data!$K71=0,"",Access_Data!$K71)</f>
        <v/>
      </c>
      <c r="Q39" s="216"/>
      <c r="R39" s="217" t="str">
        <f>IF(Access_Data!$K71&lt;&gt;0,IF(RIGHT($P39,3)="Low",Access_Data!$L71,IF(RIGHT($P39,4)="High",Access_Data!$J71,"")),"")</f>
        <v/>
      </c>
      <c r="S39" s="218" t="str">
        <f>IF(Access_Data!$M71&lt;&gt;0,Access_Data!$M71,"")</f>
        <v/>
      </c>
      <c r="T39" s="209"/>
      <c r="U39" s="480"/>
      <c r="V39" s="480"/>
      <c r="W39" s="480"/>
      <c r="X39" s="480" t="str">
        <f t="shared" si="1"/>
        <v/>
      </c>
      <c r="Y39" s="480"/>
      <c r="Z39" s="480"/>
      <c r="AA39" s="480"/>
      <c r="AB39" s="480"/>
      <c r="AC39" s="209"/>
    </row>
    <row r="40" spans="1:29" x14ac:dyDescent="0.2">
      <c r="A40" s="202"/>
      <c r="B40" s="357"/>
      <c r="C40" s="341"/>
      <c r="D40" s="356"/>
      <c r="E40" s="356"/>
      <c r="F40" s="356"/>
      <c r="G40" s="356"/>
      <c r="H40" s="274"/>
      <c r="I40" s="274"/>
      <c r="J40" s="274"/>
      <c r="K40" s="274"/>
      <c r="L40" s="274"/>
      <c r="M40" s="200"/>
      <c r="N40" s="211">
        <v>36</v>
      </c>
      <c r="O40" s="214"/>
      <c r="P40" s="215" t="str">
        <f>IF(Access_Data!$K72=0,"",Access_Data!$K72)</f>
        <v/>
      </c>
      <c r="Q40" s="219"/>
      <c r="R40" s="217" t="str">
        <f>IF(Access_Data!$K72&lt;&gt;0,IF(RIGHT($P40,3)="Low",Access_Data!$L72,IF(RIGHT($P40,4)="High",Access_Data!$J72,"")),"")</f>
        <v/>
      </c>
      <c r="S40" s="218" t="str">
        <f>IF(Access_Data!$M72&lt;&gt;0,Access_Data!$M72,"")</f>
        <v/>
      </c>
      <c r="T40" s="209"/>
      <c r="U40" s="480"/>
      <c r="V40" s="480"/>
      <c r="W40" s="480"/>
      <c r="X40" s="480" t="str">
        <f t="shared" si="1"/>
        <v/>
      </c>
      <c r="Y40" s="480"/>
      <c r="Z40" s="480"/>
      <c r="AA40" s="480"/>
      <c r="AB40" s="480"/>
      <c r="AC40" s="209"/>
    </row>
    <row r="41" spans="1:29" x14ac:dyDescent="0.2">
      <c r="A41" s="202"/>
      <c r="B41" s="275"/>
      <c r="C41" s="276"/>
      <c r="D41" s="277"/>
      <c r="E41" s="277"/>
      <c r="F41" s="277"/>
      <c r="G41" s="277"/>
      <c r="H41" s="277"/>
      <c r="I41" s="277"/>
      <c r="J41" s="277"/>
      <c r="K41" s="277"/>
      <c r="L41" s="277"/>
      <c r="M41" s="200"/>
      <c r="N41" s="211">
        <v>37</v>
      </c>
      <c r="O41" s="214"/>
      <c r="P41" s="215" t="str">
        <f>IF(Access_Data!$K73=0,"",Access_Data!$K73)</f>
        <v/>
      </c>
      <c r="Q41" s="216"/>
      <c r="R41" s="217" t="str">
        <f>IF(Access_Data!$K73&lt;&gt;0,IF(RIGHT($P41,3)="Low",Access_Data!$L73,IF(RIGHT($P41,4)="High",Access_Data!$J73,"")),"")</f>
        <v/>
      </c>
      <c r="S41" s="218" t="str">
        <f>IF(Access_Data!$M73&lt;&gt;0,Access_Data!$M73,"")</f>
        <v/>
      </c>
      <c r="T41" s="209"/>
      <c r="U41" s="480"/>
      <c r="V41" s="480"/>
      <c r="W41" s="480"/>
      <c r="X41" s="480" t="str">
        <f t="shared" si="1"/>
        <v/>
      </c>
      <c r="Y41" s="480"/>
      <c r="Z41" s="480"/>
      <c r="AA41" s="480"/>
      <c r="AB41" s="480"/>
      <c r="AC41" s="209"/>
    </row>
    <row r="42" spans="1:29" x14ac:dyDescent="0.2">
      <c r="A42" s="202"/>
      <c r="B42" s="275"/>
      <c r="C42" s="276"/>
      <c r="D42" s="277"/>
      <c r="E42" s="277"/>
      <c r="F42" s="277"/>
      <c r="G42" s="277"/>
      <c r="H42" s="277"/>
      <c r="I42" s="277"/>
      <c r="J42" s="277"/>
      <c r="K42" s="277"/>
      <c r="L42" s="277"/>
      <c r="M42" s="200"/>
      <c r="N42" s="211">
        <v>38</v>
      </c>
      <c r="O42" s="214"/>
      <c r="P42" s="215" t="str">
        <f>IF(Access_Data!$K74=0,"",Access_Data!$K74)</f>
        <v/>
      </c>
      <c r="Q42" s="219"/>
      <c r="R42" s="217" t="str">
        <f>IF(Access_Data!$K74&lt;&gt;0,IF(RIGHT($P42,3)="Low",Access_Data!$L74,IF(RIGHT($P42,4)="High",Access_Data!$J74,"")),"")</f>
        <v/>
      </c>
      <c r="S42" s="218" t="str">
        <f>IF(Access_Data!$M74&lt;&gt;0,Access_Data!$M74,"")</f>
        <v/>
      </c>
      <c r="T42" s="209"/>
      <c r="U42" s="480"/>
      <c r="V42" s="480"/>
      <c r="W42" s="480"/>
      <c r="X42" s="480" t="str">
        <f t="shared" si="1"/>
        <v/>
      </c>
      <c r="Y42" s="480"/>
      <c r="Z42" s="480"/>
      <c r="AA42" s="480"/>
      <c r="AB42" s="480"/>
      <c r="AC42" s="209"/>
    </row>
    <row r="43" spans="1:29" x14ac:dyDescent="0.2">
      <c r="A43" s="202"/>
      <c r="B43" s="275"/>
      <c r="C43" s="276"/>
      <c r="D43" s="277"/>
      <c r="E43" s="277"/>
      <c r="F43" s="277"/>
      <c r="G43" s="277"/>
      <c r="H43" s="277"/>
      <c r="I43" s="277"/>
      <c r="J43" s="277"/>
      <c r="K43" s="277"/>
      <c r="L43" s="277"/>
      <c r="M43" s="200"/>
      <c r="N43" s="211">
        <v>39</v>
      </c>
      <c r="O43" s="214"/>
      <c r="P43" s="215" t="str">
        <f>IF(Access_Data!$K75=0,"",Access_Data!$K75)</f>
        <v/>
      </c>
      <c r="Q43" s="216"/>
      <c r="R43" s="217" t="str">
        <f>IF(Access_Data!$K75&lt;&gt;0,IF(RIGHT($P43,3)="Low",Access_Data!$L75,IF(RIGHT($P43,4)="High",Access_Data!$J75,"")),"")</f>
        <v/>
      </c>
      <c r="S43" s="218" t="str">
        <f>IF(Access_Data!$M75&lt;&gt;0,Access_Data!$M75,"")</f>
        <v/>
      </c>
      <c r="T43" s="209"/>
      <c r="U43" s="480"/>
      <c r="V43" s="480"/>
      <c r="W43" s="480"/>
      <c r="X43" s="480" t="str">
        <f t="shared" si="1"/>
        <v/>
      </c>
      <c r="Y43" s="480"/>
      <c r="Z43" s="480"/>
      <c r="AA43" s="480"/>
      <c r="AB43" s="480"/>
      <c r="AC43" s="209"/>
    </row>
    <row r="44" spans="1:29" x14ac:dyDescent="0.2">
      <c r="A44" s="202"/>
      <c r="B44" s="275"/>
      <c r="C44" s="276"/>
      <c r="D44" s="277"/>
      <c r="E44" s="277"/>
      <c r="F44" s="277"/>
      <c r="G44" s="277"/>
      <c r="H44" s="277"/>
      <c r="I44" s="277"/>
      <c r="J44" s="277"/>
      <c r="K44" s="277"/>
      <c r="L44" s="277"/>
      <c r="M44" s="200"/>
      <c r="N44" s="211">
        <v>40</v>
      </c>
      <c r="O44" s="214"/>
      <c r="P44" s="215" t="str">
        <f>IF(Access_Data!$K76=0,"",Access_Data!$K76)</f>
        <v/>
      </c>
      <c r="Q44" s="219"/>
      <c r="R44" s="217" t="str">
        <f>IF(Access_Data!$K76&lt;&gt;0,IF(RIGHT($P44,3)="Low",Access_Data!$L76,IF(RIGHT($P44,4)="High",Access_Data!$J76,"")),"")</f>
        <v/>
      </c>
      <c r="S44" s="218" t="str">
        <f>IF(Access_Data!$M76&lt;&gt;0,Access_Data!$M76,"")</f>
        <v/>
      </c>
      <c r="T44" s="209"/>
      <c r="U44" s="480"/>
      <c r="V44" s="480"/>
      <c r="W44" s="480"/>
      <c r="X44" s="480" t="str">
        <f t="shared" si="1"/>
        <v/>
      </c>
      <c r="Y44" s="480"/>
      <c r="Z44" s="480"/>
      <c r="AA44" s="480"/>
      <c r="AB44" s="480"/>
      <c r="AC44" s="209"/>
    </row>
    <row r="45" spans="1:29" x14ac:dyDescent="0.2">
      <c r="A45" s="202"/>
      <c r="B45" s="278"/>
      <c r="C45" s="279"/>
      <c r="D45" s="200"/>
      <c r="E45" s="200"/>
      <c r="F45" s="200"/>
      <c r="G45" s="200"/>
      <c r="H45" s="200"/>
      <c r="I45" s="200"/>
      <c r="J45" s="200"/>
      <c r="K45" s="334"/>
      <c r="L45" s="200"/>
      <c r="M45" s="200"/>
      <c r="N45" s="256"/>
      <c r="O45" s="256"/>
      <c r="P45" s="256"/>
      <c r="Q45" s="256"/>
      <c r="R45" s="209"/>
      <c r="S45" s="209"/>
      <c r="T45" s="209"/>
      <c r="U45" s="480"/>
      <c r="V45" s="480"/>
      <c r="W45" s="480"/>
      <c r="X45" s="480">
        <f>SUM(X5:X44)</f>
        <v>0</v>
      </c>
      <c r="Y45" s="480"/>
      <c r="Z45" s="480"/>
      <c r="AA45" s="480"/>
      <c r="AB45" s="480"/>
      <c r="AC45" s="209"/>
    </row>
    <row r="46" spans="1:29" x14ac:dyDescent="0.2">
      <c r="A46" s="225"/>
      <c r="B46" s="280"/>
      <c r="C46" s="281"/>
      <c r="D46" s="606" t="s">
        <v>46</v>
      </c>
      <c r="E46" s="607"/>
      <c r="F46" s="607"/>
      <c r="G46" s="607"/>
      <c r="H46" s="607"/>
      <c r="I46" s="608"/>
      <c r="J46" s="411"/>
      <c r="K46" s="411"/>
      <c r="L46" s="411"/>
      <c r="M46" s="560" t="s">
        <v>3524</v>
      </c>
      <c r="N46" s="561"/>
      <c r="O46" s="562"/>
      <c r="P46" s="563"/>
      <c r="Q46" s="359"/>
      <c r="R46" s="359"/>
      <c r="S46" s="412"/>
      <c r="T46" s="412"/>
      <c r="U46" s="412"/>
    </row>
    <row r="47" spans="1:29" x14ac:dyDescent="0.2">
      <c r="A47" s="225"/>
      <c r="B47" s="280"/>
      <c r="C47" s="419" t="s">
        <v>80</v>
      </c>
      <c r="D47" s="342"/>
      <c r="E47" s="342"/>
      <c r="F47" s="342"/>
      <c r="G47" s="342"/>
      <c r="H47" s="342"/>
      <c r="I47" s="342"/>
      <c r="J47" s="411" t="str" cm="1">
        <f t="array" ref="J47:J52">TRANSPOSE(IF(Main!D47:I47 = "", "", _xlfn.XLOOKUP(Main!D47:I47, Standards_Info!G2:G4, Standards_Info!H2:H4, "")))</f>
        <v/>
      </c>
      <c r="K47" s="411" t="str" cm="1">
        <f t="array" ref="K47:K52">TRANSPOSE(IF(D48:I48="", "", _xlfn.XLOOKUP(D48:I48, Table3[SerialNumber], Table3[id])))</f>
        <v/>
      </c>
      <c r="L47" s="411"/>
      <c r="M47" s="414" t="s">
        <v>3525</v>
      </c>
      <c r="N47" s="435" t="s">
        <v>3526</v>
      </c>
      <c r="O47" s="436"/>
      <c r="P47" s="613" t="s">
        <v>3527</v>
      </c>
      <c r="Q47" s="613"/>
      <c r="R47" s="416" t="s">
        <v>3528</v>
      </c>
      <c r="S47" s="412"/>
      <c r="T47" s="412"/>
      <c r="U47" s="412"/>
    </row>
    <row r="48" spans="1:29" x14ac:dyDescent="0.2">
      <c r="A48" s="202"/>
      <c r="B48" s="280"/>
      <c r="C48" s="419" t="s">
        <v>47</v>
      </c>
      <c r="D48" s="343"/>
      <c r="E48" s="343"/>
      <c r="F48" s="343"/>
      <c r="G48" s="343"/>
      <c r="H48" s="343"/>
      <c r="I48" s="343"/>
      <c r="J48" s="411" t="str">
        <v/>
      </c>
      <c r="K48" s="411" t="str">
        <v/>
      </c>
      <c r="L48" s="411"/>
      <c r="M48" s="614" t="s">
        <v>3529</v>
      </c>
      <c r="N48" s="614"/>
      <c r="O48" s="437"/>
      <c r="P48" s="576" t="s">
        <v>5328</v>
      </c>
      <c r="Q48" s="577"/>
      <c r="R48" s="578"/>
      <c r="S48" s="486"/>
      <c r="T48" s="490"/>
      <c r="U48" s="576" t="s">
        <v>5331</v>
      </c>
      <c r="V48" s="577"/>
      <c r="W48" s="578"/>
    </row>
    <row r="49" spans="1:24" x14ac:dyDescent="0.2">
      <c r="A49" s="202"/>
      <c r="B49" s="282"/>
      <c r="C49" s="419" t="s">
        <v>48</v>
      </c>
      <c r="D49" s="358"/>
      <c r="E49" s="358"/>
      <c r="F49" s="358"/>
      <c r="G49" s="358"/>
      <c r="H49" s="358"/>
      <c r="I49" s="358"/>
      <c r="J49" s="411" t="str">
        <v/>
      </c>
      <c r="K49" s="411" t="str">
        <v/>
      </c>
      <c r="L49" s="411"/>
      <c r="M49" s="414" t="s">
        <v>3530</v>
      </c>
      <c r="N49" s="417" t="e">
        <f>IF('Header Info'!BV2="","",'Header Info'!BV2)</f>
        <v>#N/A</v>
      </c>
      <c r="O49" s="336"/>
      <c r="P49" s="564" t="s">
        <v>5333</v>
      </c>
      <c r="Q49" s="565"/>
      <c r="R49" s="566"/>
      <c r="S49" s="510"/>
      <c r="T49" s="492"/>
      <c r="U49" s="564" t="s">
        <v>5332</v>
      </c>
      <c r="V49" s="565"/>
      <c r="W49" s="566"/>
      <c r="X49" s="438"/>
    </row>
    <row r="50" spans="1:24" x14ac:dyDescent="0.2">
      <c r="A50" s="202"/>
      <c r="B50" s="283"/>
      <c r="C50" s="419" t="s">
        <v>49</v>
      </c>
      <c r="D50" s="358"/>
      <c r="E50" s="358"/>
      <c r="F50" s="358"/>
      <c r="G50" s="358"/>
      <c r="H50" s="358"/>
      <c r="I50" s="358"/>
      <c r="J50" s="411" t="str">
        <v/>
      </c>
      <c r="K50" s="411" t="str">
        <v/>
      </c>
      <c r="L50" s="411"/>
      <c r="M50" s="414" t="s">
        <v>3531</v>
      </c>
      <c r="N50" s="417" t="e">
        <f>IF('Header Info'!BW2="","",'Header Info'!BW2)</f>
        <v>#N/A</v>
      </c>
      <c r="O50" s="336"/>
      <c r="P50" s="567" t="s">
        <v>3532</v>
      </c>
      <c r="Q50" s="568"/>
      <c r="R50" s="569"/>
      <c r="S50" s="489"/>
      <c r="T50" s="493"/>
      <c r="U50" s="567" t="s">
        <v>3532</v>
      </c>
      <c r="V50" s="568"/>
      <c r="W50" s="569"/>
      <c r="X50" s="412"/>
    </row>
    <row r="51" spans="1:24" x14ac:dyDescent="0.2">
      <c r="A51" s="202"/>
      <c r="B51" s="284"/>
      <c r="C51" s="419" t="s">
        <v>78</v>
      </c>
      <c r="D51" s="343"/>
      <c r="E51" s="343"/>
      <c r="F51" s="343"/>
      <c r="G51" s="343"/>
      <c r="H51" s="343"/>
      <c r="I51" s="343"/>
      <c r="J51" s="411" t="str">
        <v/>
      </c>
      <c r="K51" s="478" t="str">
        <v/>
      </c>
      <c r="L51" s="411"/>
      <c r="M51" s="418" t="s">
        <v>3533</v>
      </c>
      <c r="N51" s="417" t="e">
        <f>IF('Header Info'!BX2="","",'Header Info'!BX2)</f>
        <v>#N/A</v>
      </c>
      <c r="P51" s="564" t="s">
        <v>5329</v>
      </c>
      <c r="Q51" s="565"/>
      <c r="R51" s="566"/>
      <c r="S51" s="510"/>
      <c r="T51" s="495"/>
      <c r="U51" s="564" t="s">
        <v>5334</v>
      </c>
      <c r="V51" s="565"/>
      <c r="W51" s="566"/>
      <c r="X51" s="438"/>
    </row>
    <row r="52" spans="1:24" x14ac:dyDescent="0.2">
      <c r="A52" s="202"/>
      <c r="B52" s="280"/>
      <c r="C52" s="419" t="s">
        <v>3539</v>
      </c>
      <c r="D52" s="343"/>
      <c r="E52" s="343"/>
      <c r="F52" s="343"/>
      <c r="G52" s="343"/>
      <c r="H52" s="343"/>
      <c r="I52" s="343"/>
      <c r="J52" s="411" t="str">
        <v/>
      </c>
      <c r="K52" s="478" t="str">
        <v/>
      </c>
      <c r="L52" s="411"/>
      <c r="M52" s="418" t="s">
        <v>3534</v>
      </c>
      <c r="N52" s="417" t="e">
        <f>IF('Header Info'!BY2="","",'Header Info'!BY2)</f>
        <v>#N/A</v>
      </c>
      <c r="O52" s="336"/>
      <c r="P52" s="567" t="s">
        <v>3532</v>
      </c>
      <c r="Q52" s="568"/>
      <c r="R52" s="569"/>
      <c r="S52" s="489"/>
      <c r="T52" s="494"/>
      <c r="U52" s="567" t="s">
        <v>3532</v>
      </c>
      <c r="V52" s="568"/>
      <c r="W52" s="569"/>
      <c r="X52" s="412"/>
    </row>
    <row r="53" spans="1:24" ht="12.75" customHeight="1" x14ac:dyDescent="0.2">
      <c r="A53" s="202"/>
      <c r="B53" s="280"/>
      <c r="C53" s="419" t="s">
        <v>79</v>
      </c>
      <c r="D53" s="423"/>
      <c r="E53" s="423"/>
      <c r="F53" s="423"/>
      <c r="G53" s="423"/>
      <c r="H53" s="423"/>
      <c r="I53" s="423"/>
      <c r="J53" s="411"/>
      <c r="K53" s="479"/>
      <c r="L53" s="479"/>
      <c r="M53" s="463" t="s">
        <v>3534</v>
      </c>
      <c r="N53" s="417" t="e">
        <f>IF('Header Info'!BZ2="","",'Header Info'!BZ2)</f>
        <v>#N/A</v>
      </c>
      <c r="O53" s="336"/>
      <c r="P53" s="570" t="s">
        <v>5330</v>
      </c>
      <c r="Q53" s="571"/>
      <c r="R53" s="572"/>
      <c r="S53" s="511"/>
      <c r="T53" s="491"/>
      <c r="U53" s="570" t="s">
        <v>5335</v>
      </c>
      <c r="V53" s="571"/>
      <c r="W53" s="572"/>
      <c r="X53" s="439"/>
    </row>
    <row r="54" spans="1:24" x14ac:dyDescent="0.2">
      <c r="A54" s="202"/>
      <c r="B54" s="280"/>
      <c r="C54" s="420" t="s">
        <v>111</v>
      </c>
      <c r="D54" s="343"/>
      <c r="E54" s="343"/>
      <c r="F54" s="343"/>
      <c r="G54" s="343"/>
      <c r="H54" s="343"/>
      <c r="I54" s="343"/>
      <c r="J54" s="337"/>
      <c r="K54" s="464"/>
      <c r="L54" s="465"/>
      <c r="M54" s="466" t="s">
        <v>4731</v>
      </c>
      <c r="N54" s="475" t="s">
        <v>4735</v>
      </c>
      <c r="O54" s="256"/>
      <c r="P54" s="573"/>
      <c r="Q54" s="574"/>
      <c r="R54" s="575"/>
      <c r="S54" s="488"/>
      <c r="T54" s="485"/>
      <c r="U54" s="573"/>
      <c r="V54" s="574"/>
      <c r="W54" s="575"/>
    </row>
    <row r="55" spans="1:24" x14ac:dyDescent="0.2">
      <c r="A55" s="202"/>
      <c r="B55" s="280"/>
      <c r="C55" s="420" t="s">
        <v>236</v>
      </c>
      <c r="D55" s="343"/>
      <c r="E55" s="343"/>
      <c r="F55" s="343"/>
      <c r="G55" s="343"/>
      <c r="H55" s="343"/>
      <c r="I55" s="343"/>
      <c r="J55" s="338"/>
      <c r="K55" s="467"/>
      <c r="L55" s="468"/>
      <c r="M55" s="469" t="s">
        <v>4732</v>
      </c>
      <c r="N55" s="476" t="s">
        <v>4735</v>
      </c>
      <c r="O55" s="256"/>
      <c r="P55" s="440" t="s">
        <v>3535</v>
      </c>
      <c r="Q55" s="440" t="s">
        <v>26</v>
      </c>
      <c r="R55" s="496" t="s">
        <v>3536</v>
      </c>
      <c r="S55" s="500"/>
      <c r="T55" s="498"/>
      <c r="U55" s="443" t="s">
        <v>3537</v>
      </c>
      <c r="V55" s="440" t="s">
        <v>26</v>
      </c>
      <c r="W55" s="440" t="s">
        <v>3538</v>
      </c>
    </row>
    <row r="56" spans="1:24" x14ac:dyDescent="0.2">
      <c r="A56" s="202"/>
      <c r="B56" s="285"/>
      <c r="C56" s="420" t="s">
        <v>237</v>
      </c>
      <c r="D56" s="343"/>
      <c r="E56" s="343"/>
      <c r="F56" s="343"/>
      <c r="G56" s="343"/>
      <c r="H56" s="343"/>
      <c r="I56" s="343"/>
      <c r="J56" s="335"/>
      <c r="K56" s="470"/>
      <c r="L56" s="471"/>
      <c r="M56" s="469" t="s">
        <v>4733</v>
      </c>
      <c r="N56" s="476" t="s">
        <v>4735</v>
      </c>
      <c r="O56" s="256"/>
      <c r="P56" s="441"/>
      <c r="Q56" s="442"/>
      <c r="R56" s="497"/>
      <c r="S56" s="501"/>
      <c r="T56" s="499"/>
      <c r="U56" s="444"/>
      <c r="V56" s="442"/>
      <c r="W56" s="441"/>
    </row>
    <row r="57" spans="1:24" x14ac:dyDescent="0.2">
      <c r="A57" s="202"/>
      <c r="B57" s="278"/>
      <c r="C57" s="410" t="s">
        <v>3540</v>
      </c>
      <c r="D57" s="415"/>
      <c r="E57" s="415"/>
      <c r="F57" s="415"/>
      <c r="G57" s="415"/>
      <c r="H57" s="415"/>
      <c r="I57" s="415"/>
      <c r="J57" s="200"/>
      <c r="K57" s="472"/>
      <c r="L57" s="473"/>
      <c r="M57" s="474" t="s">
        <v>4734</v>
      </c>
      <c r="N57" s="476" t="s">
        <v>4735</v>
      </c>
      <c r="O57" s="256"/>
    </row>
    <row r="58" spans="1:24" x14ac:dyDescent="0.2">
      <c r="A58" s="202"/>
      <c r="B58" s="278"/>
      <c r="C58" s="606" t="s">
        <v>247</v>
      </c>
      <c r="D58" s="607"/>
      <c r="E58" s="607"/>
      <c r="F58" s="607"/>
      <c r="G58" s="607"/>
      <c r="H58" s="607"/>
      <c r="I58" s="607"/>
      <c r="J58" s="607"/>
      <c r="K58" s="611"/>
      <c r="L58" s="612"/>
      <c r="M58" s="359"/>
      <c r="N58" s="359"/>
      <c r="O58" s="359"/>
      <c r="P58" s="359"/>
      <c r="Q58" s="359"/>
      <c r="R58" s="412"/>
      <c r="S58" s="412"/>
      <c r="T58" s="412"/>
      <c r="U58" s="412"/>
    </row>
    <row r="59" spans="1:24" x14ac:dyDescent="0.2">
      <c r="A59" s="202"/>
      <c r="B59" s="278"/>
      <c r="C59" s="606" t="s">
        <v>252</v>
      </c>
      <c r="D59" s="607"/>
      <c r="E59" s="607"/>
      <c r="F59" s="607"/>
      <c r="G59" s="607"/>
      <c r="H59" s="607"/>
      <c r="I59" s="607"/>
      <c r="J59" s="607"/>
      <c r="K59" s="607"/>
      <c r="L59" s="608"/>
      <c r="M59" s="359"/>
      <c r="N59" s="336" t="str">
        <f>"DOORS OPENED FOR " &amp;L16&amp; " SECONDS TO SIMULATE LOAD ENTRY AT " &amp;L17&amp; "."</f>
        <v>DOORS OPENED FOR  SECONDS TO SIMULATE LOAD ENTRY AT .</v>
      </c>
      <c r="O59" s="336"/>
      <c r="P59" s="336"/>
      <c r="Q59" s="336"/>
      <c r="R59" s="432"/>
      <c r="S59" s="432"/>
      <c r="T59" s="432"/>
      <c r="U59" s="432"/>
      <c r="V59" s="432"/>
    </row>
    <row r="60" spans="1:24" x14ac:dyDescent="0.2">
      <c r="A60" s="286"/>
      <c r="B60" s="287"/>
      <c r="C60" s="288"/>
      <c r="D60" s="289" t="s">
        <v>250</v>
      </c>
      <c r="E60" s="290"/>
      <c r="F60" s="291" t="s">
        <v>248</v>
      </c>
      <c r="G60" s="292"/>
      <c r="H60" s="292"/>
      <c r="I60" s="292"/>
      <c r="J60" s="293"/>
      <c r="K60" s="290"/>
      <c r="L60" s="294" t="s">
        <v>249</v>
      </c>
      <c r="M60" s="413"/>
      <c r="N60" s="433" t="str">
        <f>"AFTER TUS, HIGH LIMIT SET AT " &amp;E60&amp; "°F AND OVEN SETPOINT RAISED UNTIL HIGH LIMIT SYSTEM ACTIVATED AT " &amp;K60&amp; "°F."</f>
        <v>AFTER TUS, HIGH LIMIT SET AT °F AND OVEN SETPOINT RAISED UNTIL HIGH LIMIT SYSTEM ACTIVATED AT °F.</v>
      </c>
      <c r="O60" s="433"/>
      <c r="P60" s="336"/>
      <c r="Q60" s="336"/>
      <c r="R60" s="432"/>
      <c r="S60" s="432"/>
      <c r="T60" s="432"/>
      <c r="U60" s="432"/>
      <c r="V60" s="432"/>
    </row>
    <row r="61" spans="1:24" x14ac:dyDescent="0.2">
      <c r="A61" s="295"/>
      <c r="C61" s="289"/>
      <c r="D61" s="289" t="s">
        <v>251</v>
      </c>
      <c r="E61" s="290"/>
      <c r="F61" s="297" t="s">
        <v>253</v>
      </c>
      <c r="G61" s="298"/>
      <c r="H61" s="298"/>
      <c r="I61" s="299"/>
      <c r="J61" s="290"/>
      <c r="K61" s="300" t="s">
        <v>249</v>
      </c>
      <c r="M61" s="412"/>
      <c r="N61" s="433" t="str">
        <f>"AFTER TUS, HIGH LIMIT READING " &amp;E61&amp; "°F AND HIGH LIMIT SETPOINT LOWERED UNTIL ACTIVATION AT " &amp;J61&amp; "°F."</f>
        <v>AFTER TUS, HIGH LIMIT READING °F AND HIGH LIMIT SETPOINT LOWERED UNTIL ACTIVATION AT °F.</v>
      </c>
      <c r="O61" s="434"/>
      <c r="P61" s="432"/>
      <c r="Q61" s="432"/>
      <c r="R61" s="432"/>
      <c r="S61" s="432"/>
      <c r="T61" s="432"/>
      <c r="U61" s="432"/>
      <c r="V61" s="432"/>
    </row>
    <row r="62" spans="1:24" x14ac:dyDescent="0.2">
      <c r="A62" s="295"/>
      <c r="F62" s="359" t="s">
        <v>4042</v>
      </c>
      <c r="G62" s="265"/>
      <c r="H62" s="302"/>
      <c r="I62" s="302"/>
      <c r="M62" s="445"/>
      <c r="N62" s="434"/>
      <c r="O62" s="434"/>
      <c r="P62" s="432"/>
      <c r="Q62" s="432"/>
      <c r="R62" s="432"/>
      <c r="S62" s="432"/>
      <c r="T62" s="432"/>
      <c r="U62" s="432"/>
      <c r="V62" s="432"/>
    </row>
    <row r="63" spans="1:24" x14ac:dyDescent="0.2">
      <c r="A63" s="295"/>
      <c r="C63" s="301"/>
      <c r="D63" s="302"/>
      <c r="E63" s="302"/>
      <c r="F63" s="302"/>
      <c r="G63" s="302"/>
      <c r="H63" s="302"/>
      <c r="I63" s="302"/>
      <c r="M63" s="412"/>
      <c r="N63" s="411"/>
      <c r="O63" s="411"/>
      <c r="P63" s="412"/>
      <c r="Q63" s="412"/>
      <c r="R63" s="412"/>
      <c r="S63" s="412"/>
      <c r="T63" s="412"/>
      <c r="U63" s="412"/>
    </row>
    <row r="64" spans="1:24" x14ac:dyDescent="0.2">
      <c r="A64" s="304"/>
      <c r="C64" s="301"/>
      <c r="D64" s="302"/>
      <c r="E64" s="302"/>
      <c r="F64" s="302"/>
      <c r="G64" s="302"/>
      <c r="H64" s="302"/>
      <c r="I64" s="302"/>
      <c r="M64" s="412"/>
      <c r="N64" s="411"/>
      <c r="O64" s="411"/>
      <c r="P64" s="412"/>
      <c r="Q64" s="412"/>
      <c r="R64" s="412"/>
      <c r="S64" s="412"/>
      <c r="T64" s="412"/>
      <c r="U64" s="412"/>
    </row>
    <row r="65" spans="1:17" x14ac:dyDescent="0.2">
      <c r="A65" s="305"/>
      <c r="C65" s="301"/>
      <c r="D65" s="302"/>
      <c r="E65" s="302"/>
      <c r="F65" s="302"/>
      <c r="G65" s="302"/>
      <c r="H65" s="302"/>
      <c r="I65" s="302"/>
      <c r="N65" s="303"/>
      <c r="O65" s="303"/>
    </row>
    <row r="66" spans="1:17" x14ac:dyDescent="0.2">
      <c r="A66" s="306"/>
      <c r="C66" s="301"/>
      <c r="D66" s="302"/>
      <c r="E66" s="302"/>
      <c r="F66" s="302"/>
      <c r="G66" s="302"/>
      <c r="H66" s="302"/>
      <c r="I66" s="302"/>
      <c r="N66" s="307"/>
      <c r="O66" s="307"/>
    </row>
    <row r="67" spans="1:17" x14ac:dyDescent="0.2">
      <c r="A67" s="295"/>
      <c r="C67" s="301"/>
      <c r="D67" s="302"/>
      <c r="E67" s="302"/>
      <c r="F67" s="302"/>
      <c r="G67" s="302"/>
      <c r="H67" s="302"/>
      <c r="I67" s="302"/>
      <c r="N67" s="307"/>
      <c r="O67" s="307"/>
    </row>
    <row r="68" spans="1:17" x14ac:dyDescent="0.2">
      <c r="A68" s="295"/>
      <c r="C68" s="301"/>
      <c r="D68" s="302"/>
      <c r="E68" s="302"/>
      <c r="F68" s="302"/>
      <c r="G68" s="302"/>
      <c r="H68" s="302"/>
      <c r="I68" s="302"/>
      <c r="N68" s="307"/>
      <c r="O68" s="307"/>
    </row>
    <row r="69" spans="1:17" ht="24.75" customHeight="1" x14ac:dyDescent="0.2">
      <c r="A69" s="295"/>
      <c r="C69" s="301"/>
      <c r="D69" s="302"/>
      <c r="E69" s="302"/>
      <c r="F69" s="302"/>
      <c r="G69" s="302"/>
      <c r="H69" s="302"/>
      <c r="I69" s="302"/>
      <c r="N69" s="307"/>
      <c r="O69" s="307"/>
    </row>
    <row r="70" spans="1:17" x14ac:dyDescent="0.2">
      <c r="A70" s="295"/>
      <c r="N70" s="281"/>
      <c r="O70" s="281"/>
    </row>
    <row r="71" spans="1:17" x14ac:dyDescent="0.2">
      <c r="A71" s="309"/>
      <c r="O71" s="281"/>
    </row>
    <row r="72" spans="1:17" x14ac:dyDescent="0.2">
      <c r="A72" s="310"/>
      <c r="B72" s="311" t="str" cm="1">
        <f t="array" ref="B72:B85">TRANSPOSE(TUS_Worksheet!C$13:P$13)</f>
        <v/>
      </c>
      <c r="C72" s="312">
        <v>1</v>
      </c>
      <c r="D72" s="313" t="str" cm="1">
        <f t="array" ref="D72:D111">IF(B72:B111="","",C72:C111)</f>
        <v/>
      </c>
      <c r="E72" s="313"/>
      <c r="F72" s="313"/>
      <c r="G72" s="313"/>
      <c r="H72" s="313"/>
      <c r="I72" s="313"/>
      <c r="J72" s="313"/>
      <c r="K72" s="313"/>
      <c r="L72" s="313"/>
      <c r="M72" s="313"/>
      <c r="N72" s="314">
        <f ca="1">IF(Access_Data!B$27="",0,Access_Data!B$27)</f>
        <v>0</v>
      </c>
      <c r="O72" s="314">
        <f ca="1">IF(Access_Data!$B$29="",0,Access_Data!$B$29)</f>
        <v>0</v>
      </c>
      <c r="P72" s="314" t="str">
        <f ca="1">IFERROR(Access_Data!$B$31,0)</f>
        <v/>
      </c>
      <c r="Q72" s="313"/>
    </row>
    <row r="73" spans="1:17" x14ac:dyDescent="0.2">
      <c r="A73" s="310"/>
      <c r="B73" s="311" t="str">
        <v/>
      </c>
      <c r="C73" s="312">
        <v>2</v>
      </c>
      <c r="D73" s="313" t="str">
        <v/>
      </c>
      <c r="E73" s="313"/>
      <c r="F73" s="313"/>
      <c r="G73" s="313"/>
      <c r="H73" s="313"/>
      <c r="I73" s="313"/>
      <c r="J73" s="313"/>
      <c r="K73" s="313"/>
      <c r="L73" s="313"/>
      <c r="M73" s="313"/>
      <c r="N73" s="314">
        <f ca="1">IF(Access_Data!C$27="",0,Access_Data!C$27)</f>
        <v>0</v>
      </c>
      <c r="O73" s="314">
        <f ca="1">IF(Access_Data!$C$29="",0,Access_Data!$C$29)</f>
        <v>0</v>
      </c>
      <c r="P73" s="314" t="str">
        <f ca="1">IF(ISERROR(Access_Data!$C$31),0,Access_Data!$C$31)</f>
        <v/>
      </c>
      <c r="Q73" s="313"/>
    </row>
    <row r="74" spans="1:17" x14ac:dyDescent="0.2">
      <c r="A74" s="310"/>
      <c r="B74" s="311" t="str">
        <v/>
      </c>
      <c r="C74" s="312">
        <v>3</v>
      </c>
      <c r="D74" s="313" t="str">
        <v/>
      </c>
      <c r="E74" s="313"/>
      <c r="F74" s="313"/>
      <c r="G74" s="313"/>
      <c r="H74" s="313"/>
      <c r="I74" s="313"/>
      <c r="J74" s="313"/>
      <c r="K74" s="313"/>
      <c r="L74" s="313"/>
      <c r="M74" s="313"/>
      <c r="N74" s="314">
        <f ca="1">IF(Access_Data!D$27="",0,Access_Data!D$27)</f>
        <v>0</v>
      </c>
      <c r="O74" s="314">
        <f ca="1">IF(Access_Data!$D$29="",0,Access_Data!$D$29)</f>
        <v>0</v>
      </c>
      <c r="P74" s="314" t="str">
        <f ca="1">IF(ISERROR(Access_Data!$D$31),0,Access_Data!$D$31)</f>
        <v/>
      </c>
      <c r="Q74" s="313"/>
    </row>
    <row r="75" spans="1:17" x14ac:dyDescent="0.2">
      <c r="A75" s="310"/>
      <c r="B75" s="311" t="str">
        <v/>
      </c>
      <c r="C75" s="312">
        <v>4</v>
      </c>
      <c r="D75" s="313" t="str">
        <v/>
      </c>
      <c r="E75" s="313"/>
      <c r="F75" s="313"/>
      <c r="G75" s="313"/>
      <c r="H75" s="313"/>
      <c r="I75" s="313"/>
      <c r="J75" s="313"/>
      <c r="K75" s="313"/>
      <c r="L75" s="313"/>
      <c r="M75" s="313"/>
      <c r="N75" s="314">
        <f ca="1">IF(Access_Data!E$27="",0,Access_Data!E$27)</f>
        <v>0</v>
      </c>
      <c r="O75" s="314">
        <f ca="1">IF(Access_Data!$E$29="",0,Access_Data!$E$29)</f>
        <v>0</v>
      </c>
      <c r="P75" s="314" t="str">
        <f ca="1">IF(ISERROR(Access_Data!$E$31),0,Access_Data!$E$31)</f>
        <v/>
      </c>
      <c r="Q75" s="313"/>
    </row>
    <row r="76" spans="1:17" x14ac:dyDescent="0.2">
      <c r="A76" s="310"/>
      <c r="B76" s="311" t="str">
        <v/>
      </c>
      <c r="C76" s="312">
        <v>5</v>
      </c>
      <c r="D76" s="313" t="str">
        <v/>
      </c>
      <c r="E76" s="313"/>
      <c r="F76" s="313"/>
      <c r="G76" s="313"/>
      <c r="H76" s="313"/>
      <c r="I76" s="313"/>
      <c r="J76" s="313"/>
      <c r="K76" s="313"/>
      <c r="L76" s="313"/>
      <c r="M76" s="313"/>
      <c r="N76" s="314">
        <f ca="1">IF(Access_Data!F$27="",0,Access_Data!F$27)</f>
        <v>0</v>
      </c>
      <c r="O76" s="314">
        <f ca="1">IF(Access_Data!$F$29="",0,Access_Data!$F$29)</f>
        <v>0</v>
      </c>
      <c r="P76" s="314" t="str">
        <f ca="1">IF(ISERROR(Access_Data!$F$31),0,Access_Data!$F$31)</f>
        <v/>
      </c>
      <c r="Q76" s="313"/>
    </row>
    <row r="77" spans="1:17" x14ac:dyDescent="0.2">
      <c r="A77" s="310"/>
      <c r="B77" s="311" t="str">
        <v/>
      </c>
      <c r="C77" s="312">
        <v>6</v>
      </c>
      <c r="D77" s="313" t="str">
        <v/>
      </c>
      <c r="E77" s="313"/>
      <c r="F77" s="313"/>
      <c r="G77" s="313"/>
      <c r="H77" s="313"/>
      <c r="I77" s="313"/>
      <c r="J77" s="313"/>
      <c r="K77" s="313"/>
      <c r="L77" s="313"/>
      <c r="M77" s="313"/>
      <c r="N77" s="314">
        <f ca="1">IF(Access_Data!G$27="",0,Access_Data!G$27)</f>
        <v>0</v>
      </c>
      <c r="O77" s="314">
        <f ca="1">IF(Access_Data!$G$29="",0,Access_Data!$G$29)</f>
        <v>0</v>
      </c>
      <c r="P77" s="314" t="str">
        <f ca="1">IF(ISERROR(Access_Data!$G$31),0,Access_Data!$G$31)</f>
        <v/>
      </c>
      <c r="Q77" s="313"/>
    </row>
    <row r="78" spans="1:17" x14ac:dyDescent="0.2">
      <c r="A78" s="310"/>
      <c r="B78" s="311" t="str">
        <v/>
      </c>
      <c r="C78" s="312">
        <v>7</v>
      </c>
      <c r="D78" s="313" t="str">
        <v/>
      </c>
      <c r="E78" s="313"/>
      <c r="F78" s="313"/>
      <c r="G78" s="313"/>
      <c r="H78" s="313"/>
      <c r="I78" s="313"/>
      <c r="J78" s="313"/>
      <c r="K78" s="313"/>
      <c r="L78" s="313"/>
      <c r="M78" s="313"/>
      <c r="N78" s="314">
        <f ca="1">IF(Access_Data!H$27="",0,Access_Data!H$27)</f>
        <v>0</v>
      </c>
      <c r="O78" s="314">
        <f ca="1">IF(Access_Data!$H$29="",0,Access_Data!$H$29)</f>
        <v>0</v>
      </c>
      <c r="P78" s="314" t="str">
        <f ca="1">IF(ISERROR(Access_Data!$H$31),0,Access_Data!$H$31)</f>
        <v/>
      </c>
      <c r="Q78" s="313"/>
    </row>
    <row r="79" spans="1:17" x14ac:dyDescent="0.2">
      <c r="A79" s="310"/>
      <c r="B79" s="311" t="str">
        <v/>
      </c>
      <c r="C79" s="312">
        <v>8</v>
      </c>
      <c r="D79" s="313" t="str">
        <v/>
      </c>
      <c r="E79" s="313"/>
      <c r="F79" s="313"/>
      <c r="G79" s="313"/>
      <c r="H79" s="313"/>
      <c r="I79" s="313"/>
      <c r="J79" s="313"/>
      <c r="K79" s="313"/>
      <c r="L79" s="313"/>
      <c r="M79" s="313"/>
      <c r="N79" s="314">
        <f ca="1">IF(Access_Data!I$27="",0,Access_Data!I$27)</f>
        <v>0</v>
      </c>
      <c r="O79" s="314">
        <f ca="1">IF(Access_Data!$I$29="",0,Access_Data!$I$29)</f>
        <v>0</v>
      </c>
      <c r="P79" s="314" t="str">
        <f ca="1">IF(ISERROR(Access_Data!$I$31),0,Access_Data!$I$31)</f>
        <v/>
      </c>
      <c r="Q79" s="313"/>
    </row>
    <row r="80" spans="1:17" x14ac:dyDescent="0.2">
      <c r="A80" s="310"/>
      <c r="B80" s="311" t="str">
        <v/>
      </c>
      <c r="C80" s="312">
        <v>9</v>
      </c>
      <c r="D80" s="313" t="str">
        <v/>
      </c>
      <c r="E80" s="313"/>
      <c r="F80" s="313"/>
      <c r="G80" s="313"/>
      <c r="H80" s="313"/>
      <c r="I80" s="313"/>
      <c r="J80" s="313"/>
      <c r="K80" s="313"/>
      <c r="L80" s="313"/>
      <c r="M80" s="313"/>
      <c r="N80" s="314">
        <f ca="1">IF(Access_Data!J$27="",0,Access_Data!J$27)</f>
        <v>0</v>
      </c>
      <c r="O80" s="314">
        <f ca="1">IF(Access_Data!$J$29="",0,Access_Data!$J$29)</f>
        <v>0</v>
      </c>
      <c r="P80" s="314" t="str">
        <f ca="1">IF(ISERROR(Access_Data!$J$31),0,Access_Data!$J$31)</f>
        <v/>
      </c>
      <c r="Q80" s="313"/>
    </row>
    <row r="81" spans="1:17" x14ac:dyDescent="0.2">
      <c r="A81" s="310"/>
      <c r="B81" s="311" t="str">
        <v/>
      </c>
      <c r="C81" s="312">
        <v>10</v>
      </c>
      <c r="D81" s="313" t="str">
        <v/>
      </c>
      <c r="E81" s="313"/>
      <c r="F81" s="313"/>
      <c r="G81" s="313"/>
      <c r="H81" s="313"/>
      <c r="I81" s="313"/>
      <c r="J81" s="313"/>
      <c r="K81" s="313"/>
      <c r="L81" s="313"/>
      <c r="M81" s="313"/>
      <c r="N81" s="314">
        <f ca="1">IF(Access_Data!K$27="",0,Access_Data!K$27)</f>
        <v>0</v>
      </c>
      <c r="O81" s="314">
        <f ca="1">IF(Access_Data!$K$29="",0,Access_Data!$K$29)</f>
        <v>0</v>
      </c>
      <c r="P81" s="314" t="str">
        <f ca="1">IF(ISERROR(Access_Data!$K$31),0,Access_Data!$K$31)</f>
        <v/>
      </c>
      <c r="Q81" s="313"/>
    </row>
    <row r="82" spans="1:17" x14ac:dyDescent="0.2">
      <c r="A82" s="310"/>
      <c r="B82" s="311" t="str">
        <v/>
      </c>
      <c r="C82" s="312">
        <v>11</v>
      </c>
      <c r="D82" s="313" t="str">
        <v/>
      </c>
      <c r="E82" s="313"/>
      <c r="F82" s="313"/>
      <c r="G82" s="313"/>
      <c r="H82" s="313"/>
      <c r="I82" s="313"/>
      <c r="J82" s="313"/>
      <c r="K82" s="313"/>
      <c r="L82" s="313"/>
      <c r="M82" s="313"/>
      <c r="N82" s="314">
        <f ca="1">IF(Access_Data!L$27="",0,Access_Data!L$27)</f>
        <v>0</v>
      </c>
      <c r="O82" s="314">
        <f ca="1">IF(Access_Data!$L$29="",0,Access_Data!$L$29)</f>
        <v>0</v>
      </c>
      <c r="P82" s="314" t="str">
        <f ca="1">IF(ISERROR(Access_Data!$L$31),0,Access_Data!$L$31)</f>
        <v/>
      </c>
      <c r="Q82" s="313"/>
    </row>
    <row r="83" spans="1:17" x14ac:dyDescent="0.2">
      <c r="A83" s="310"/>
      <c r="B83" s="311" t="str">
        <v/>
      </c>
      <c r="C83" s="312">
        <v>12</v>
      </c>
      <c r="D83" s="313" t="str">
        <v/>
      </c>
      <c r="E83" s="320"/>
      <c r="F83" s="321"/>
      <c r="G83" s="322"/>
      <c r="H83" s="323"/>
      <c r="I83" s="320"/>
      <c r="J83" s="321"/>
      <c r="K83" s="322"/>
      <c r="L83" s="323"/>
      <c r="M83" s="313"/>
      <c r="N83" s="314">
        <f ca="1">IF(Access_Data!M$27="",0,Access_Data!M$27)</f>
        <v>0</v>
      </c>
      <c r="O83" s="314">
        <f ca="1">IF(Access_Data!$M$29="",0,Access_Data!$M$29)</f>
        <v>0</v>
      </c>
      <c r="P83" s="314" t="str">
        <f ca="1">IF(ISERROR(Access_Data!$M$31),0,Access_Data!$M$31)</f>
        <v/>
      </c>
      <c r="Q83" s="313"/>
    </row>
    <row r="84" spans="1:17" x14ac:dyDescent="0.2">
      <c r="A84" s="310"/>
      <c r="B84" s="311" t="str">
        <v/>
      </c>
      <c r="C84" s="312">
        <v>13</v>
      </c>
      <c r="D84" s="313" t="str">
        <v/>
      </c>
      <c r="E84" s="325"/>
      <c r="F84" s="329" t="s">
        <v>232</v>
      </c>
      <c r="G84" s="330"/>
      <c r="H84" s="331"/>
      <c r="I84" s="332"/>
      <c r="J84" s="321"/>
      <c r="K84" s="322"/>
      <c r="L84" s="323"/>
      <c r="M84" s="313"/>
      <c r="N84" s="314">
        <f ca="1">IF(Access_Data!N$27="",0,Access_Data!N$27)</f>
        <v>0</v>
      </c>
      <c r="O84" s="314">
        <f ca="1">IF(Access_Data!$N$29="",0,Access_Data!$N$29)</f>
        <v>0</v>
      </c>
      <c r="P84" s="314" t="str">
        <f ca="1">IF(ISERROR(Access_Data!$N$31),0,Access_Data!$N$31)</f>
        <v/>
      </c>
      <c r="Q84" s="313"/>
    </row>
    <row r="85" spans="1:17" x14ac:dyDescent="0.2">
      <c r="A85" s="310"/>
      <c r="B85" s="311" t="str">
        <v/>
      </c>
      <c r="C85" s="312">
        <v>14</v>
      </c>
      <c r="D85" s="313" t="str">
        <v/>
      </c>
      <c r="E85" s="325"/>
      <c r="F85" s="329" t="s">
        <v>233</v>
      </c>
      <c r="G85" s="330" t="s">
        <v>231</v>
      </c>
      <c r="H85" s="331" t="s">
        <v>230</v>
      </c>
      <c r="I85" s="332"/>
      <c r="J85" s="321"/>
      <c r="K85" s="322"/>
      <c r="L85" s="323"/>
      <c r="M85" s="313"/>
      <c r="N85" s="314">
        <f ca="1">IF(Access_Data!O$27="",0,Access_Data!O$27)</f>
        <v>0</v>
      </c>
      <c r="O85" s="314">
        <f ca="1">IF(Access_Data!$O$29="",0,Access_Data!$O$29)</f>
        <v>0</v>
      </c>
      <c r="P85" s="314" t="str">
        <f ca="1">IF(ISERROR(Access_Data!$O$31),0,Access_Data!$O$31)</f>
        <v/>
      </c>
      <c r="Q85" s="313"/>
    </row>
    <row r="86" spans="1:17" x14ac:dyDescent="0.2">
      <c r="A86" s="310"/>
      <c r="B86" s="311" t="str" cm="1">
        <f t="array" ref="B86:B99">TRANSPOSE(TUS_Worksheet!C$19:P$19)</f>
        <v/>
      </c>
      <c r="C86" s="312">
        <v>15</v>
      </c>
      <c r="D86" s="313" t="str">
        <v/>
      </c>
      <c r="E86" s="325"/>
      <c r="F86" s="329">
        <v>1</v>
      </c>
      <c r="G86" s="330">
        <v>5</v>
      </c>
      <c r="H86" s="453">
        <f>MAX(I86:J86)</f>
        <v>2</v>
      </c>
      <c r="I86" s="332">
        <f>D16*0.002</f>
        <v>0</v>
      </c>
      <c r="J86" s="452">
        <v>2</v>
      </c>
      <c r="K86" s="322"/>
      <c r="L86" s="323"/>
      <c r="M86" s="313"/>
      <c r="N86" s="314">
        <f ca="1">IF(Access_Data!V$27="",0,Access_Data!V$27)</f>
        <v>0</v>
      </c>
      <c r="O86" s="314">
        <f ca="1">IF(Access_Data!$V$29="",0,Access_Data!$V$29)</f>
        <v>0</v>
      </c>
      <c r="P86" s="314" t="str">
        <f ca="1">IF(ISERROR(Access_Data!$V$31),0,Access_Data!$V$31)</f>
        <v/>
      </c>
      <c r="Q86" s="313"/>
    </row>
    <row r="87" spans="1:17" x14ac:dyDescent="0.2">
      <c r="A87" s="310"/>
      <c r="B87" s="311" t="str">
        <v/>
      </c>
      <c r="C87" s="312">
        <v>16</v>
      </c>
      <c r="D87" s="313" t="str">
        <v/>
      </c>
      <c r="E87" s="325"/>
      <c r="F87" s="329">
        <v>2</v>
      </c>
      <c r="G87" s="330">
        <v>10</v>
      </c>
      <c r="H87" s="453">
        <f t="shared" ref="H87:H91" si="2">MAX(I87:J87)</f>
        <v>3</v>
      </c>
      <c r="I87" s="332">
        <f>D16*0.003</f>
        <v>0</v>
      </c>
      <c r="J87" s="452">
        <v>3</v>
      </c>
      <c r="K87" s="322"/>
      <c r="L87" s="323"/>
      <c r="M87" s="313"/>
      <c r="N87" s="314">
        <f ca="1">IF(Access_Data!W$27="",0,Access_Data!W$27)</f>
        <v>0</v>
      </c>
      <c r="O87" s="314">
        <f ca="1">IF(Access_Data!$W$29="",0,Access_Data!$W$29)</f>
        <v>0</v>
      </c>
      <c r="P87" s="314" t="str">
        <f ca="1">IF(ISERROR(Access_Data!$W$31),0,Access_Data!$W$31)</f>
        <v/>
      </c>
      <c r="Q87" s="313"/>
    </row>
    <row r="88" spans="1:17" x14ac:dyDescent="0.2">
      <c r="A88" s="310"/>
      <c r="B88" s="311" t="str">
        <v/>
      </c>
      <c r="C88" s="312">
        <v>17</v>
      </c>
      <c r="D88" s="313" t="str">
        <v/>
      </c>
      <c r="E88" s="325"/>
      <c r="F88" s="329">
        <v>3</v>
      </c>
      <c r="G88" s="330">
        <v>15</v>
      </c>
      <c r="H88" s="453">
        <f t="shared" si="2"/>
        <v>4</v>
      </c>
      <c r="I88" s="332">
        <f>D16*0.004</f>
        <v>0</v>
      </c>
      <c r="J88" s="452">
        <v>4</v>
      </c>
      <c r="K88" s="322"/>
      <c r="L88" s="323"/>
      <c r="M88" s="313"/>
      <c r="N88" s="314">
        <f ca="1">IF(Access_Data!X$27="",0,Access_Data!X$27)</f>
        <v>0</v>
      </c>
      <c r="O88" s="314">
        <f ca="1">IF(Access_Data!$X$29="",0,Access_Data!$X$29)</f>
        <v>0</v>
      </c>
      <c r="P88" s="314" t="str">
        <f ca="1">IF(ISERROR(Access_Data!$X$31),0,Access_Data!$X$31)</f>
        <v/>
      </c>
      <c r="Q88" s="313"/>
    </row>
    <row r="89" spans="1:17" x14ac:dyDescent="0.2">
      <c r="A89" s="310"/>
      <c r="B89" s="311" t="str">
        <v/>
      </c>
      <c r="C89" s="312">
        <v>18</v>
      </c>
      <c r="D89" s="313" t="str">
        <v/>
      </c>
      <c r="E89" s="325"/>
      <c r="F89" s="329">
        <v>4</v>
      </c>
      <c r="G89" s="330">
        <v>20</v>
      </c>
      <c r="H89" s="453">
        <f t="shared" si="2"/>
        <v>4</v>
      </c>
      <c r="I89" s="332">
        <f>D16*0.004</f>
        <v>0</v>
      </c>
      <c r="J89" s="452">
        <v>4</v>
      </c>
      <c r="K89" s="322"/>
      <c r="L89" s="323"/>
      <c r="M89" s="313"/>
      <c r="N89" s="314">
        <f ca="1">IF(Access_Data!Y$27="",0,Access_Data!Y$27)</f>
        <v>0</v>
      </c>
      <c r="O89" s="314">
        <f ca="1">IF(Access_Data!$Y$29="",0,Access_Data!$Y$29)</f>
        <v>0</v>
      </c>
      <c r="P89" s="314" t="str">
        <f ca="1">IF(ISERROR(Access_Data!$Y$31),0,Access_Data!$Y$31)</f>
        <v/>
      </c>
      <c r="Q89" s="313"/>
    </row>
    <row r="90" spans="1:17" x14ac:dyDescent="0.2">
      <c r="A90" s="310"/>
      <c r="B90" s="311" t="str">
        <v/>
      </c>
      <c r="C90" s="312">
        <v>19</v>
      </c>
      <c r="D90" s="313" t="str">
        <v/>
      </c>
      <c r="E90" s="325"/>
      <c r="F90" s="329">
        <v>5</v>
      </c>
      <c r="G90" s="330">
        <v>25</v>
      </c>
      <c r="H90" s="453">
        <f t="shared" si="2"/>
        <v>5</v>
      </c>
      <c r="I90" s="332">
        <f>D16*0.005</f>
        <v>0</v>
      </c>
      <c r="J90" s="452">
        <v>5</v>
      </c>
      <c r="K90" s="322"/>
      <c r="L90" s="323"/>
      <c r="M90" s="313"/>
      <c r="N90" s="314">
        <f ca="1">IF(Access_Data!Z$27="",0,Access_Data!Z$27)</f>
        <v>0</v>
      </c>
      <c r="O90" s="314">
        <f ca="1">IF(Access_Data!$Z$29="",0,Access_Data!$Z$29)</f>
        <v>0</v>
      </c>
      <c r="P90" s="314" t="str">
        <f ca="1">IF(ISERROR(Access_Data!$Z$31),0,Access_Data!$Z$31)</f>
        <v/>
      </c>
      <c r="Q90" s="313"/>
    </row>
    <row r="91" spans="1:17" x14ac:dyDescent="0.2">
      <c r="A91" s="310"/>
      <c r="B91" s="311" t="str">
        <v/>
      </c>
      <c r="C91" s="312">
        <v>20</v>
      </c>
      <c r="D91" s="313" t="str">
        <v/>
      </c>
      <c r="E91" s="325"/>
      <c r="F91" s="329">
        <v>6</v>
      </c>
      <c r="G91" s="330">
        <v>50</v>
      </c>
      <c r="H91" s="453">
        <f t="shared" si="2"/>
        <v>10</v>
      </c>
      <c r="I91" s="332">
        <f>D16*0.01</f>
        <v>0</v>
      </c>
      <c r="J91" s="452">
        <v>10</v>
      </c>
      <c r="K91" s="322"/>
      <c r="L91" s="323"/>
      <c r="M91" s="313"/>
      <c r="N91" s="314">
        <f ca="1">IF(Access_Data!AA$27="",0,Access_Data!AA$27)</f>
        <v>0</v>
      </c>
      <c r="O91" s="314">
        <f ca="1">IF(Access_Data!$AA$29="",0,Access_Data!$AA$29)</f>
        <v>0</v>
      </c>
      <c r="P91" s="314" t="str">
        <f ca="1">IF(ISERROR(Access_Data!$AA$31),0,Access_Data!$AA$31)</f>
        <v/>
      </c>
      <c r="Q91" s="313"/>
    </row>
    <row r="92" spans="1:17" x14ac:dyDescent="0.2">
      <c r="A92" s="310"/>
      <c r="B92" s="311" t="str">
        <v/>
      </c>
      <c r="C92" s="312">
        <v>21</v>
      </c>
      <c r="D92" s="313" t="str">
        <v/>
      </c>
      <c r="E92" s="325"/>
      <c r="F92" s="329"/>
      <c r="G92" s="330"/>
      <c r="H92" s="331"/>
      <c r="I92" s="332"/>
      <c r="J92" s="321"/>
      <c r="K92" s="322"/>
      <c r="L92" s="323"/>
      <c r="M92" s="313"/>
      <c r="N92" s="314">
        <f ca="1">IF(Access_Data!AB$27="",0,Access_Data!AB$27)</f>
        <v>0</v>
      </c>
      <c r="O92" s="314">
        <f ca="1">IF(Access_Data!$AB$29="",0,Access_Data!$AB$29)</f>
        <v>0</v>
      </c>
      <c r="P92" s="314" t="str">
        <f ca="1">IF(ISERROR(Access_Data!$AB$31),0,Access_Data!$AB$31)</f>
        <v/>
      </c>
      <c r="Q92" s="313"/>
    </row>
    <row r="93" spans="1:17" x14ac:dyDescent="0.2">
      <c r="A93" s="310"/>
      <c r="B93" s="311" t="str">
        <v/>
      </c>
      <c r="C93" s="312">
        <v>22</v>
      </c>
      <c r="D93" s="313" t="str">
        <v/>
      </c>
      <c r="E93" s="325"/>
      <c r="F93" s="329" t="s">
        <v>1612</v>
      </c>
      <c r="G93" s="330" t="e">
        <f>VLOOKUP(D19,G86:H91,2,FALSE)</f>
        <v>#N/A</v>
      </c>
      <c r="H93" s="331" t="s">
        <v>1613</v>
      </c>
      <c r="I93" s="332"/>
      <c r="J93" s="321"/>
      <c r="K93" s="322"/>
      <c r="L93" s="323"/>
      <c r="M93" s="313"/>
      <c r="N93" s="314">
        <f ca="1">IF(Access_Data!AC$27="",0,Access_Data!AC$27)</f>
        <v>0</v>
      </c>
      <c r="O93" s="314">
        <f ca="1">IF(Access_Data!$AC$29="",0,Access_Data!$AC$29)</f>
        <v>0</v>
      </c>
      <c r="P93" s="314" t="str">
        <f ca="1">IF(ISERROR(Access_Data!$AC$31),0,Access_Data!$AC$31)</f>
        <v/>
      </c>
      <c r="Q93" s="313"/>
    </row>
    <row r="94" spans="1:17" x14ac:dyDescent="0.2">
      <c r="A94" s="310"/>
      <c r="B94" s="311" t="str">
        <v/>
      </c>
      <c r="C94" s="312">
        <v>23</v>
      </c>
      <c r="D94" s="313" t="str">
        <v/>
      </c>
      <c r="E94" s="325"/>
      <c r="F94" s="326"/>
      <c r="G94" s="327" t="e">
        <f>CONCATENATE(F93,G93,H93)</f>
        <v>#N/A</v>
      </c>
      <c r="H94" s="328"/>
      <c r="I94" s="325" t="b">
        <v>1</v>
      </c>
      <c r="J94" s="321"/>
      <c r="K94" s="322"/>
      <c r="L94" s="323"/>
      <c r="M94" s="313"/>
      <c r="N94" s="314">
        <f ca="1">IF(Access_Data!AD$27="",0,Access_Data!AD$27)</f>
        <v>0</v>
      </c>
      <c r="O94" s="314">
        <f ca="1">IF(Access_Data!$AD27="",0,Access_Data!$AD$29)</f>
        <v>0</v>
      </c>
      <c r="P94" s="314" t="str">
        <f ca="1">IF(ISERROR(Access_Data!$AD31),0,Access_Data!$AD$31)</f>
        <v/>
      </c>
      <c r="Q94" s="313"/>
    </row>
    <row r="95" spans="1:17" x14ac:dyDescent="0.2">
      <c r="A95" s="310"/>
      <c r="B95" s="311" t="str">
        <v/>
      </c>
      <c r="C95" s="312">
        <v>24</v>
      </c>
      <c r="D95" s="313" t="str">
        <v/>
      </c>
      <c r="E95" s="320"/>
      <c r="F95" s="321"/>
      <c r="G95" s="322" t="e">
        <f>ROUNDDOWN(G93,2-(1+INT(LOG10(ABS(G93)))))</f>
        <v>#N/A</v>
      </c>
      <c r="H95" s="323"/>
      <c r="I95" s="320"/>
      <c r="J95" s="321"/>
      <c r="K95" s="322"/>
      <c r="L95" s="323"/>
      <c r="M95" s="313"/>
      <c r="N95" s="314">
        <f ca="1">IF(Access_Data!AE$27="",0,Access_Data!AE$27)</f>
        <v>0</v>
      </c>
      <c r="O95" s="314">
        <f ca="1">IF(Access_Data!$AE$29="",0,Access_Data!$AE$29)</f>
        <v>0</v>
      </c>
      <c r="P95" s="314" t="str">
        <f ca="1">IF(ISERROR(Access_Data!$AE$31),0,Access_Data!$AE$31)</f>
        <v/>
      </c>
      <c r="Q95" s="313"/>
    </row>
    <row r="96" spans="1:17" x14ac:dyDescent="0.2">
      <c r="A96" s="310"/>
      <c r="B96" s="311" t="str">
        <v/>
      </c>
      <c r="C96" s="312">
        <v>25</v>
      </c>
      <c r="D96" s="313" t="str">
        <v/>
      </c>
      <c r="E96" s="310"/>
      <c r="F96" s="311"/>
      <c r="G96" s="312"/>
      <c r="H96" s="313"/>
      <c r="I96" s="310"/>
      <c r="J96" s="311"/>
      <c r="K96" s="312"/>
      <c r="L96" s="313"/>
      <c r="M96" s="313"/>
      <c r="N96" s="314">
        <f ca="1">IF(Access_Data!AF$27="",0,Access_Data!AF$27)</f>
        <v>0</v>
      </c>
      <c r="O96" s="314">
        <f ca="1">IF(Access_Data!$AF$29="",0,Access_Data!$AF$29)</f>
        <v>0</v>
      </c>
      <c r="P96" s="314" t="str">
        <f ca="1">IF(ISERROR(Access_Data!$AF$31),0,Access_Data!$AF$31)</f>
        <v/>
      </c>
      <c r="Q96" s="313"/>
    </row>
    <row r="97" spans="1:17" x14ac:dyDescent="0.2">
      <c r="A97" s="310"/>
      <c r="B97" s="311" t="str">
        <v/>
      </c>
      <c r="C97" s="312">
        <v>26</v>
      </c>
      <c r="D97" s="313" t="str">
        <v/>
      </c>
      <c r="E97" s="310"/>
      <c r="F97" s="311"/>
      <c r="G97" s="312"/>
      <c r="H97" s="313"/>
      <c r="I97" s="310"/>
      <c r="J97" s="311"/>
      <c r="K97" s="312"/>
      <c r="L97" s="313"/>
      <c r="M97" s="313"/>
      <c r="N97" s="314">
        <f ca="1">IF(Access_Data!AG$27="",0,Access_Data!AG$27)</f>
        <v>0</v>
      </c>
      <c r="O97" s="314">
        <f ca="1">IF(Access_Data!$AG$29="",0,Access_Data!$AG$29)</f>
        <v>0</v>
      </c>
      <c r="P97" s="314" t="str">
        <f ca="1">IF(ISERROR(Access_Data!$AG$31),0,Access_Data!$AG$31)</f>
        <v/>
      </c>
      <c r="Q97" s="313"/>
    </row>
    <row r="98" spans="1:17" x14ac:dyDescent="0.2">
      <c r="A98" s="310"/>
      <c r="B98" s="311" t="str">
        <v/>
      </c>
      <c r="C98" s="312">
        <v>27</v>
      </c>
      <c r="D98" s="313" t="str">
        <v/>
      </c>
      <c r="E98" s="313"/>
      <c r="F98" s="313"/>
      <c r="G98" s="313"/>
      <c r="H98" s="313"/>
      <c r="I98" s="313"/>
      <c r="J98" s="313"/>
      <c r="K98" s="313"/>
      <c r="L98" s="313"/>
      <c r="M98" s="313"/>
      <c r="N98" s="314">
        <f ca="1">IF(Access_Data!AH$27="",0,Access_Data!AH$27)</f>
        <v>0</v>
      </c>
      <c r="O98" s="314">
        <f ca="1">IF(Access_Data!$AH$29="",0,Access_Data!$AH$29)</f>
        <v>0</v>
      </c>
      <c r="P98" s="314" t="str">
        <f ca="1">IF(ISERROR(Access_Data!$AH$31),0,Access_Data!$AH$31)</f>
        <v/>
      </c>
      <c r="Q98" s="313"/>
    </row>
    <row r="99" spans="1:17" x14ac:dyDescent="0.2">
      <c r="A99" s="310"/>
      <c r="B99" s="311" t="str">
        <v/>
      </c>
      <c r="C99" s="312">
        <v>28</v>
      </c>
      <c r="D99" s="313" t="str">
        <v/>
      </c>
      <c r="E99" s="313"/>
      <c r="F99" s="313"/>
      <c r="G99" s="313"/>
      <c r="H99" s="313"/>
      <c r="I99" s="313"/>
      <c r="J99" s="313"/>
      <c r="K99" s="313"/>
      <c r="L99" s="313"/>
      <c r="M99" s="313"/>
      <c r="N99" s="314">
        <f ca="1">IF(Access_Data!AI$27="",0,Access_Data!AI$27)</f>
        <v>0</v>
      </c>
      <c r="O99" s="314">
        <f ca="1">IF(Access_Data!$AI$29="",0,Access_Data!$AI$29)</f>
        <v>0</v>
      </c>
      <c r="P99" s="314" t="str">
        <f ca="1">IF(ISERROR(Access_Data!$AI$31),0,Access_Data!$AI$31)</f>
        <v/>
      </c>
      <c r="Q99" s="313"/>
    </row>
    <row r="100" spans="1:17" x14ac:dyDescent="0.2">
      <c r="A100" s="310"/>
      <c r="B100" s="311" t="str" cm="1">
        <f t="array" ref="B100:B111">TRANSPOSE(TUS_Worksheet!C$25:N$25)</f>
        <v/>
      </c>
      <c r="C100" s="312">
        <v>29</v>
      </c>
      <c r="D100" s="313" t="str">
        <v/>
      </c>
      <c r="E100" s="313"/>
      <c r="F100" s="313"/>
      <c r="G100" s="313"/>
      <c r="H100" s="313"/>
      <c r="I100" s="313"/>
      <c r="J100" s="313"/>
      <c r="K100" s="313"/>
      <c r="L100" s="313"/>
      <c r="M100" s="313"/>
      <c r="N100" s="314">
        <f ca="1">IF(Access_Data!AP$27="",0,Access_Data!AP$27)</f>
        <v>0</v>
      </c>
      <c r="O100" s="314">
        <f ca="1">IF(Access_Data!$AP$29="",0,Access_Data!$AP$29)</f>
        <v>0</v>
      </c>
      <c r="P100" s="314" t="str">
        <f ca="1">IF(ISERROR(Access_Data!$AP$31),0,Access_Data!$AP$31)</f>
        <v/>
      </c>
      <c r="Q100" s="313"/>
    </row>
    <row r="101" spans="1:17" x14ac:dyDescent="0.2">
      <c r="A101" s="310"/>
      <c r="B101" s="311" t="str">
        <v/>
      </c>
      <c r="C101" s="312">
        <v>30</v>
      </c>
      <c r="D101" s="313" t="str">
        <v/>
      </c>
      <c r="E101" s="313"/>
      <c r="F101" s="313"/>
      <c r="G101" s="313"/>
      <c r="H101" s="313"/>
      <c r="I101" s="313"/>
      <c r="J101" s="313"/>
      <c r="K101" s="313"/>
      <c r="L101" s="313"/>
      <c r="M101" s="313"/>
      <c r="N101" s="314">
        <f ca="1">IF(Access_Data!AQ$27="",0,Access_Data!AQ$27)</f>
        <v>0</v>
      </c>
      <c r="O101" s="314">
        <f ca="1">IF(Access_Data!$AQ$29="",0,Access_Data!$AQ$29)</f>
        <v>0</v>
      </c>
      <c r="P101" s="314">
        <f ca="1">IF(ISERROR(Access_Data!$AQ$31),0,Access_Data!$AQ$31)</f>
        <v>0</v>
      </c>
      <c r="Q101" s="313"/>
    </row>
    <row r="102" spans="1:17" x14ac:dyDescent="0.2">
      <c r="A102" s="310"/>
      <c r="B102" s="311" t="str">
        <v/>
      </c>
      <c r="C102" s="312">
        <v>31</v>
      </c>
      <c r="D102" s="313" t="str">
        <v/>
      </c>
      <c r="E102" s="313"/>
      <c r="F102" s="313"/>
      <c r="G102" s="313"/>
      <c r="H102" s="313"/>
      <c r="I102" s="313"/>
      <c r="J102" s="313"/>
      <c r="K102" s="313"/>
      <c r="L102" s="313"/>
      <c r="M102" s="313"/>
      <c r="N102" s="314">
        <f ca="1">IF(Access_Data!AR$27="",0,Access_Data!AR$27)</f>
        <v>0</v>
      </c>
      <c r="O102" s="314">
        <f ca="1">IF(Access_Data!$AR$29="",0,Access_Data!$AR$29)</f>
        <v>0</v>
      </c>
      <c r="P102" s="314">
        <f ca="1">IF(ISERROR(Access_Data!$AR$31),0,Access_Data!$AR$31)</f>
        <v>0</v>
      </c>
      <c r="Q102" s="313"/>
    </row>
    <row r="103" spans="1:17" x14ac:dyDescent="0.2">
      <c r="A103" s="310"/>
      <c r="B103" s="311" t="str">
        <v/>
      </c>
      <c r="C103" s="312">
        <v>32</v>
      </c>
      <c r="D103" s="313" t="str">
        <v/>
      </c>
      <c r="E103" s="313"/>
      <c r="F103" s="313"/>
      <c r="G103" s="313"/>
      <c r="H103" s="313"/>
      <c r="I103" s="313"/>
      <c r="J103" s="313"/>
      <c r="K103" s="313"/>
      <c r="L103" s="313"/>
      <c r="M103" s="313"/>
      <c r="N103" s="314">
        <f ca="1">IF(Access_Data!AS$27="",0,Access_Data!AS$27)</f>
        <v>0</v>
      </c>
      <c r="O103" s="314">
        <f ca="1">IF(Access_Data!$AS$29="",0,Access_Data!$AS$29)</f>
        <v>0</v>
      </c>
      <c r="P103" s="314">
        <f ca="1">IF(ISERROR(Access_Data!$AS$31),0,Access_Data!$AS$31)</f>
        <v>0</v>
      </c>
      <c r="Q103" s="313"/>
    </row>
    <row r="104" spans="1:17" x14ac:dyDescent="0.2">
      <c r="A104" s="310"/>
      <c r="B104" s="311" t="str">
        <v/>
      </c>
      <c r="C104" s="312">
        <v>33</v>
      </c>
      <c r="D104" s="313" t="str">
        <v/>
      </c>
      <c r="E104" s="313"/>
      <c r="F104" s="313"/>
      <c r="G104" s="313"/>
      <c r="H104" s="313"/>
      <c r="I104" s="313"/>
      <c r="J104" s="313"/>
      <c r="K104" s="313"/>
      <c r="L104" s="313"/>
      <c r="M104" s="313"/>
      <c r="N104" s="314">
        <f ca="1">IF(Access_Data!AT$27="",0,Access_Data!AT$27)</f>
        <v>0</v>
      </c>
      <c r="O104" s="314">
        <f ca="1">IF(Access_Data!$AT$29="",0,Access_Data!$AT$29)</f>
        <v>0</v>
      </c>
      <c r="P104" s="314">
        <f ca="1">IF(ISERROR(Access_Data!$AT$31),0,Access_Data!$AT$31)</f>
        <v>0</v>
      </c>
      <c r="Q104" s="313"/>
    </row>
    <row r="105" spans="1:17" x14ac:dyDescent="0.2">
      <c r="A105" s="310"/>
      <c r="B105" s="311" t="str">
        <v/>
      </c>
      <c r="C105" s="312">
        <v>34</v>
      </c>
      <c r="D105" s="313" t="str">
        <v/>
      </c>
      <c r="E105" s="313"/>
      <c r="F105" s="313"/>
      <c r="G105" s="313"/>
      <c r="H105" s="313"/>
      <c r="I105" s="313"/>
      <c r="J105" s="313"/>
      <c r="K105" s="313"/>
      <c r="L105" s="313"/>
      <c r="M105" s="313"/>
      <c r="N105" s="314">
        <f ca="1">IF(Access_Data!AU$27="",0,Access_Data!AU$27)</f>
        <v>0</v>
      </c>
      <c r="O105" s="314">
        <f ca="1">IF(Access_Data!$AU$29="",0,Access_Data!$AU$29)</f>
        <v>0</v>
      </c>
      <c r="P105" s="314">
        <f ca="1">IF(ISERROR(Access_Data!$AU$31),0,Access_Data!$AU$31)</f>
        <v>0</v>
      </c>
      <c r="Q105" s="313"/>
    </row>
    <row r="106" spans="1:17" x14ac:dyDescent="0.2">
      <c r="A106" s="310"/>
      <c r="B106" s="311" t="str">
        <v/>
      </c>
      <c r="C106" s="312">
        <v>35</v>
      </c>
      <c r="D106" s="313" t="str">
        <v/>
      </c>
      <c r="E106" s="313"/>
      <c r="F106" s="313"/>
      <c r="G106" s="313"/>
      <c r="H106" s="313"/>
      <c r="I106" s="313"/>
      <c r="J106" s="313"/>
      <c r="K106" s="313"/>
      <c r="L106" s="313"/>
      <c r="M106" s="313"/>
      <c r="N106" s="314">
        <f ca="1">IF(Access_Data!AV$27="",0,Access_Data!AV$27)</f>
        <v>0</v>
      </c>
      <c r="O106" s="314">
        <f ca="1">IF(Access_Data!$AV$29="",0,Access_Data!$AV$29)</f>
        <v>0</v>
      </c>
      <c r="P106" s="314">
        <f ca="1">IF(ISERROR(Access_Data!$AV$31),0,Access_Data!$AV$31)</f>
        <v>0</v>
      </c>
      <c r="Q106" s="313"/>
    </row>
    <row r="107" spans="1:17" x14ac:dyDescent="0.2">
      <c r="A107" s="310"/>
      <c r="B107" s="311" t="str">
        <v/>
      </c>
      <c r="C107" s="312">
        <v>36</v>
      </c>
      <c r="D107" s="313" t="str">
        <v/>
      </c>
      <c r="E107" s="313"/>
      <c r="F107" s="313"/>
      <c r="G107" s="313"/>
      <c r="H107" s="313"/>
      <c r="I107" s="313"/>
      <c r="J107" s="313"/>
      <c r="K107" s="313"/>
      <c r="L107" s="313"/>
      <c r="M107" s="313"/>
      <c r="N107" s="314">
        <f ca="1">IF(Access_Data!AW$27="",0,Access_Data!AW$27)</f>
        <v>0</v>
      </c>
      <c r="O107" s="314">
        <f ca="1">IF(Access_Data!$AW$29="",0,Access_Data!$AW$29)</f>
        <v>0</v>
      </c>
      <c r="P107" s="314">
        <f ca="1">IF(ISERROR(Access_Data!$AW$31),0,Access_Data!$AW$31)</f>
        <v>0</v>
      </c>
      <c r="Q107" s="313"/>
    </row>
    <row r="108" spans="1:17" x14ac:dyDescent="0.2">
      <c r="A108" s="310"/>
      <c r="B108" s="311" t="str">
        <v/>
      </c>
      <c r="C108" s="312">
        <v>37</v>
      </c>
      <c r="D108" s="313" t="str">
        <v/>
      </c>
      <c r="E108" s="313"/>
      <c r="F108" s="313"/>
      <c r="G108" s="313"/>
      <c r="H108" s="313"/>
      <c r="I108" s="313"/>
      <c r="J108" s="313"/>
      <c r="K108" s="313"/>
      <c r="L108" s="313"/>
      <c r="M108" s="313"/>
      <c r="N108" s="314">
        <f ca="1">IF(Access_Data!AX$27="",0,Access_Data!AX$27)</f>
        <v>0</v>
      </c>
      <c r="O108" s="314">
        <f ca="1">IF(Access_Data!$AX$29="",0,Access_Data!$AX$29)</f>
        <v>0</v>
      </c>
      <c r="P108" s="314">
        <f ca="1">IF(ISERROR(Access_Data!$AX$31),0,Access_Data!$AX$31)</f>
        <v>0</v>
      </c>
      <c r="Q108" s="313"/>
    </row>
    <row r="109" spans="1:17" x14ac:dyDescent="0.2">
      <c r="A109" s="310"/>
      <c r="B109" s="311" t="str">
        <v/>
      </c>
      <c r="C109" s="312">
        <v>38</v>
      </c>
      <c r="D109" s="313" t="str">
        <v/>
      </c>
      <c r="E109" s="313"/>
      <c r="F109" s="313"/>
      <c r="G109" s="313"/>
      <c r="H109" s="313"/>
      <c r="I109" s="313"/>
      <c r="J109" s="313"/>
      <c r="K109" s="313"/>
      <c r="L109" s="313"/>
      <c r="M109" s="313"/>
      <c r="N109" s="314">
        <f ca="1">IF(Access_Data!AY$27="",0,Access_Data!AY$27)</f>
        <v>0</v>
      </c>
      <c r="O109" s="314">
        <f ca="1">IF(Access_Data!$AY$29="",0,Access_Data!$AY$29)</f>
        <v>0</v>
      </c>
      <c r="P109" s="314">
        <f ca="1">IF(ISERROR(Access_Data!$AY$31),0,Access_Data!$AY$31)</f>
        <v>0</v>
      </c>
      <c r="Q109" s="313"/>
    </row>
    <row r="110" spans="1:17" x14ac:dyDescent="0.2">
      <c r="A110" s="310"/>
      <c r="B110" s="311" t="str">
        <v/>
      </c>
      <c r="C110" s="312">
        <v>39</v>
      </c>
      <c r="D110" s="313" t="str">
        <v/>
      </c>
      <c r="E110" s="313"/>
      <c r="F110" s="313"/>
      <c r="G110" s="313"/>
      <c r="H110" s="313"/>
      <c r="I110" s="313"/>
      <c r="J110" s="313"/>
      <c r="K110" s="313"/>
      <c r="L110" s="313"/>
      <c r="M110" s="313"/>
      <c r="N110" s="314">
        <f ca="1">IF(Access_Data!AZ$27="",0,Access_Data!AZ$27)</f>
        <v>0</v>
      </c>
      <c r="O110" s="314">
        <f ca="1">IF(Access_Data!$AZ$29="",0,Access_Data!$AZ$29)</f>
        <v>0</v>
      </c>
      <c r="P110" s="314">
        <f ca="1">IF(ISERROR(Access_Data!$AZ$31),0,Access_Data!$AZ$31)</f>
        <v>0</v>
      </c>
      <c r="Q110" s="313"/>
    </row>
    <row r="111" spans="1:17" x14ac:dyDescent="0.2">
      <c r="A111" s="310"/>
      <c r="B111" s="311" t="str">
        <v/>
      </c>
      <c r="C111" s="312">
        <v>40</v>
      </c>
      <c r="D111" s="313" t="str">
        <v/>
      </c>
      <c r="E111" s="313"/>
      <c r="F111" s="313"/>
      <c r="G111" s="313"/>
      <c r="H111" s="313"/>
      <c r="I111" s="313"/>
      <c r="J111" s="313"/>
      <c r="K111" s="313"/>
      <c r="L111" s="313"/>
      <c r="M111" s="313"/>
      <c r="N111" s="314">
        <f ca="1">IF(Access_Data!BA$27="",0,Access_Data!BA$27)</f>
        <v>0</v>
      </c>
      <c r="O111" s="314">
        <f ca="1">IF(Access_Data!$BA$29="",0,Access_Data!$BA$29)</f>
        <v>0</v>
      </c>
      <c r="P111" s="314">
        <f ca="1">IF(ISERROR(Access_Data!$BA$31),0,Access_Data!$BA$31)</f>
        <v>0</v>
      </c>
      <c r="Q111" s="313"/>
    </row>
    <row r="112" spans="1:17" x14ac:dyDescent="0.2">
      <c r="A112" s="310"/>
      <c r="B112" s="311"/>
      <c r="C112" s="312"/>
      <c r="D112" s="313"/>
      <c r="E112" s="313"/>
      <c r="F112" s="313"/>
      <c r="G112" s="313"/>
      <c r="H112" s="313"/>
      <c r="I112" s="313"/>
      <c r="J112" s="313"/>
      <c r="K112" s="313"/>
      <c r="L112" s="313"/>
      <c r="M112" s="313"/>
      <c r="N112" s="315"/>
      <c r="O112" s="315"/>
      <c r="P112" s="315"/>
      <c r="Q112" s="313"/>
    </row>
    <row r="113" spans="1:17" x14ac:dyDescent="0.2">
      <c r="A113" s="310"/>
      <c r="B113" s="311"/>
      <c r="C113" s="312"/>
      <c r="D113" s="313"/>
      <c r="E113" s="313"/>
      <c r="F113" s="313"/>
      <c r="G113" s="313"/>
      <c r="H113" s="313"/>
      <c r="I113" s="313"/>
      <c r="J113" s="313"/>
      <c r="K113" s="313"/>
      <c r="L113" s="313"/>
      <c r="M113" s="313"/>
      <c r="N113" s="315"/>
      <c r="O113" s="315"/>
      <c r="P113" s="315"/>
      <c r="Q113" s="313"/>
    </row>
    <row r="114" spans="1:17" x14ac:dyDescent="0.2">
      <c r="A114" s="310"/>
      <c r="B114" s="311"/>
      <c r="C114" s="312"/>
      <c r="D114" s="313"/>
      <c r="E114" s="313"/>
      <c r="F114" s="313"/>
      <c r="G114" s="313"/>
      <c r="H114" s="313"/>
      <c r="I114" s="313"/>
      <c r="J114" s="313"/>
      <c r="K114" s="313"/>
      <c r="L114" s="313"/>
      <c r="M114" s="313"/>
      <c r="N114" s="315"/>
      <c r="O114" s="315"/>
      <c r="P114" s="315"/>
      <c r="Q114" s="313"/>
    </row>
    <row r="115" spans="1:17" x14ac:dyDescent="0.2">
      <c r="A115" s="310"/>
      <c r="B115" s="311"/>
      <c r="C115" s="312"/>
      <c r="D115" s="313"/>
      <c r="E115" s="313"/>
      <c r="F115" s="313"/>
      <c r="G115" s="313"/>
      <c r="H115" s="313"/>
      <c r="I115" s="313"/>
      <c r="J115" s="313"/>
      <c r="K115" s="313"/>
      <c r="L115" s="313"/>
      <c r="M115" s="313"/>
      <c r="N115" s="315"/>
      <c r="O115" s="315"/>
      <c r="P115" s="315"/>
      <c r="Q115" s="313"/>
    </row>
    <row r="116" spans="1:17" x14ac:dyDescent="0.2">
      <c r="A116" s="310"/>
      <c r="B116" s="311"/>
      <c r="C116" s="312"/>
      <c r="D116" s="313"/>
      <c r="E116" s="313"/>
      <c r="F116" s="313"/>
      <c r="G116" s="313"/>
      <c r="H116" s="313"/>
      <c r="I116" s="313"/>
      <c r="J116" s="313"/>
      <c r="K116" s="313"/>
      <c r="L116" s="313"/>
      <c r="M116" s="313"/>
      <c r="N116" s="313"/>
      <c r="O116" s="313"/>
      <c r="P116" s="313"/>
      <c r="Q116" s="313"/>
    </row>
    <row r="117" spans="1:17" x14ac:dyDescent="0.2">
      <c r="A117" s="316"/>
      <c r="B117" s="317"/>
      <c r="C117" s="318"/>
      <c r="D117" s="209"/>
      <c r="E117" s="209"/>
      <c r="F117" s="209"/>
      <c r="G117" s="209"/>
      <c r="H117" s="209"/>
      <c r="I117" s="209"/>
    </row>
    <row r="118" spans="1:17" x14ac:dyDescent="0.2">
      <c r="A118" s="316"/>
      <c r="B118" s="317"/>
      <c r="C118" s="318"/>
      <c r="D118" s="209"/>
      <c r="E118" s="209"/>
      <c r="F118" s="209"/>
      <c r="G118" s="209"/>
      <c r="H118" s="209"/>
      <c r="I118" s="209"/>
    </row>
    <row r="119" spans="1:17" x14ac:dyDescent="0.2">
      <c r="A119" s="316"/>
      <c r="B119" s="317"/>
      <c r="C119" s="318"/>
      <c r="D119" s="209"/>
      <c r="E119" s="209"/>
      <c r="F119" s="209"/>
      <c r="G119" s="209"/>
      <c r="H119" s="209"/>
      <c r="I119" s="209"/>
    </row>
  </sheetData>
  <sheetProtection algorithmName="SHA-512" hashValue="xt1BHwyj+OxvUpqaA8U9zvdjTyqxwyduinFtGSZILwgwA8BuUu4jEkk/EspF9mAteBQBmFOr/L3VNaXrFKtw+A==" saltValue="unMxiJPVuDFTedWR+XRr4g==" spinCount="100000" sheet="1" objects="1" scenarios="1" selectLockedCells="1" autoFilter="0"/>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6"/>
      <c r="D1" s="632" t="s">
        <v>188</v>
      </c>
      <c r="E1" s="632"/>
      <c r="F1" s="632"/>
      <c r="G1" s="632"/>
      <c r="H1" s="632"/>
      <c r="I1" s="632"/>
      <c r="J1" s="632"/>
      <c r="K1" s="632"/>
      <c r="L1" s="632"/>
      <c r="M1" s="632"/>
    </row>
    <row r="2" spans="1:18" ht="23.25" customHeight="1" x14ac:dyDescent="0.3">
      <c r="C2" s="397"/>
      <c r="D2" s="397" t="s">
        <v>1877</v>
      </c>
      <c r="E2" s="397"/>
      <c r="F2" s="397"/>
      <c r="G2" s="397"/>
      <c r="H2" s="397"/>
      <c r="I2" s="397"/>
      <c r="J2" s="397"/>
      <c r="K2" s="397"/>
      <c r="L2" s="397"/>
      <c r="M2" s="397"/>
    </row>
    <row r="3" spans="1:18" ht="23.25" x14ac:dyDescent="0.35">
      <c r="C3" s="633"/>
      <c r="D3" s="633"/>
      <c r="E3" s="633"/>
      <c r="F3" s="633"/>
      <c r="G3" s="633"/>
      <c r="H3" s="633"/>
      <c r="I3" s="633"/>
      <c r="J3" s="633"/>
      <c r="K3" s="633"/>
      <c r="L3" s="633"/>
      <c r="M3" s="633"/>
    </row>
    <row r="4" spans="1:18" ht="23.25" x14ac:dyDescent="0.35">
      <c r="C4" s="381"/>
      <c r="D4" s="381"/>
      <c r="E4" s="381"/>
      <c r="F4" s="381"/>
      <c r="G4" s="381"/>
      <c r="H4" s="381"/>
      <c r="I4" s="381"/>
      <c r="J4" s="381"/>
      <c r="K4" s="381"/>
      <c r="L4" s="381"/>
      <c r="M4" s="381"/>
    </row>
    <row r="5" spans="1:18" ht="23.25" x14ac:dyDescent="0.35">
      <c r="C5" s="650" t="s">
        <v>18</v>
      </c>
      <c r="D5" s="650"/>
      <c r="E5" s="650"/>
      <c r="F5" s="650"/>
      <c r="G5" s="650"/>
      <c r="H5" s="650"/>
      <c r="I5" s="650"/>
      <c r="J5" s="650"/>
      <c r="K5" s="650"/>
      <c r="L5" s="650"/>
      <c r="M5" s="650"/>
    </row>
    <row r="6" spans="1:18" ht="23.25" x14ac:dyDescent="0.35">
      <c r="C6" s="382"/>
      <c r="D6" s="382"/>
      <c r="E6" s="617" t="str">
        <f>IF(Main!K14="","",CONCATENATE("Report Number: ",Main!K14,Main!D24))</f>
        <v/>
      </c>
      <c r="F6" s="617"/>
      <c r="G6" s="617"/>
      <c r="H6" s="617"/>
      <c r="I6" s="617"/>
      <c r="J6" s="617"/>
      <c r="K6" s="617"/>
      <c r="L6" s="382"/>
      <c r="M6" s="382"/>
    </row>
    <row r="7" spans="1:18" ht="18.75" customHeight="1" x14ac:dyDescent="0.3">
      <c r="G7" s="629"/>
      <c r="H7" s="629"/>
      <c r="I7" s="354"/>
      <c r="R7" t="str">
        <f>CONCATENATE("Page ",Main!L9," of ",Main!L10)</f>
        <v xml:space="preserve">Page  of </v>
      </c>
    </row>
    <row r="8" spans="1:18" ht="18" customHeight="1" x14ac:dyDescent="0.25">
      <c r="G8" s="645"/>
      <c r="H8" s="645"/>
      <c r="J8" s="117"/>
      <c r="K8" s="383" t="s">
        <v>1874</v>
      </c>
      <c r="L8" s="378" t="e">
        <f>'Header Info'!AX2</f>
        <v>#N/A</v>
      </c>
      <c r="M8" s="378"/>
      <c r="N8" s="378"/>
      <c r="O8" s="378"/>
    </row>
    <row r="9" spans="1:18" ht="18" customHeight="1" x14ac:dyDescent="0.25">
      <c r="A9" s="383" t="s">
        <v>1826</v>
      </c>
      <c r="B9" s="38">
        <f>Main!D5</f>
        <v>0</v>
      </c>
      <c r="J9" s="117"/>
      <c r="K9" s="383" t="s">
        <v>1875</v>
      </c>
      <c r="L9" s="630" t="e">
        <f>'Header Info'!AY2</f>
        <v>#N/A</v>
      </c>
      <c r="M9" s="630"/>
      <c r="N9" s="630"/>
      <c r="O9" s="630"/>
    </row>
    <row r="10" spans="1:18" ht="18" customHeight="1" x14ac:dyDescent="0.25">
      <c r="A10" s="129"/>
      <c r="B10" s="378" t="str">
        <f>IF('Header Info'!AU2=0,"",'Header Info'!AU2)</f>
        <v>3838 W. MAY ST.</v>
      </c>
      <c r="J10" s="117"/>
      <c r="K10" s="383"/>
      <c r="L10" s="630"/>
      <c r="M10" s="630"/>
      <c r="N10" s="630"/>
      <c r="O10" s="630"/>
    </row>
    <row r="11" spans="1:18" ht="18" customHeight="1" x14ac:dyDescent="0.25">
      <c r="A11" s="129"/>
      <c r="B11" s="378" t="str">
        <f>IF('Header Info'!AV2=0,"",'Header Info'!AV2)</f>
        <v>WICHITA, KS 67213</v>
      </c>
      <c r="J11" s="117"/>
      <c r="K11" s="383" t="s">
        <v>1876</v>
      </c>
      <c r="L11" s="378" t="e">
        <f>'Header Info'!AZ2</f>
        <v>#N/A</v>
      </c>
      <c r="M11" s="378"/>
      <c r="N11" s="378"/>
      <c r="O11" s="378"/>
    </row>
    <row r="12" spans="1:18" ht="18" customHeight="1" x14ac:dyDescent="0.25">
      <c r="A12" s="129"/>
      <c r="B12" s="378" t="str">
        <f>IF('Header Info'!AW2=0,"",'Header Info'!AW2)</f>
        <v/>
      </c>
      <c r="J12" s="117"/>
      <c r="K12" s="383"/>
      <c r="L12" s="384"/>
      <c r="M12" s="384"/>
      <c r="N12" s="384"/>
      <c r="O12" s="384"/>
    </row>
    <row r="13" spans="1:18" ht="8.1" customHeight="1" x14ac:dyDescent="0.2">
      <c r="A13" s="129"/>
      <c r="K13" s="371"/>
    </row>
    <row r="14" spans="1:18" ht="18" customHeight="1" x14ac:dyDescent="0.25">
      <c r="A14" s="388" t="s">
        <v>1827</v>
      </c>
      <c r="B14" s="385" t="str">
        <f>'Header Info'!BA2</f>
        <v>CURE OVEN</v>
      </c>
      <c r="C14" s="386"/>
      <c r="D14" s="386"/>
      <c r="E14" s="386"/>
      <c r="F14" s="360"/>
      <c r="G14" s="374" t="s">
        <v>1832</v>
      </c>
      <c r="H14" s="385" t="e">
        <f>'Header Info'!BF2</f>
        <v>#N/A</v>
      </c>
      <c r="I14" s="360"/>
      <c r="J14" s="360"/>
      <c r="K14" s="360"/>
      <c r="L14" s="360"/>
      <c r="M14" s="374" t="s">
        <v>1837</v>
      </c>
      <c r="N14" s="385">
        <f>Main!D7</f>
        <v>0</v>
      </c>
      <c r="O14" s="361"/>
    </row>
    <row r="15" spans="1:18" ht="18" customHeight="1" x14ac:dyDescent="0.25">
      <c r="A15" s="389" t="s">
        <v>1828</v>
      </c>
      <c r="B15" s="387" t="e">
        <f>'Header Info'!BB2</f>
        <v>#N/A</v>
      </c>
      <c r="C15" s="378"/>
      <c r="D15" s="378"/>
      <c r="E15" s="378"/>
      <c r="G15" s="383" t="s">
        <v>1833</v>
      </c>
      <c r="H15" s="387" t="e">
        <f>'Header Info'!BG2</f>
        <v>#N/A</v>
      </c>
      <c r="M15" s="383" t="s">
        <v>1838</v>
      </c>
      <c r="N15" s="391">
        <f>Main!D3</f>
        <v>0</v>
      </c>
      <c r="O15" s="362"/>
    </row>
    <row r="16" spans="1:18" ht="18" customHeight="1" x14ac:dyDescent="0.25">
      <c r="A16" s="389" t="s">
        <v>1829</v>
      </c>
      <c r="B16" s="647" t="e">
        <f>'Header Info'!BC2</f>
        <v>#N/A</v>
      </c>
      <c r="C16" s="647"/>
      <c r="D16" s="647"/>
      <c r="E16" s="647"/>
      <c r="G16" s="383" t="s">
        <v>1834</v>
      </c>
      <c r="H16" s="387" t="e">
        <f>'Header Info'!BH2</f>
        <v>#N/A</v>
      </c>
      <c r="M16" s="383" t="s">
        <v>1839</v>
      </c>
      <c r="N16" s="391" t="e">
        <f>IF('Header Info'!BK2="M",EDATE(N15,1),IF('Header Info'!BK2="2 Mo",EDATE(N15,2),IF('Header Info'!BK2="Q",EDATE(N15,3),IF('Header Info'!BK2="4 Mo",EDATE(N15,4),IF('Header Info'!BK2="6 Mo",EDATE(N15,6),IF('Header Info'!BK2="A",EDATE(N15,12),IF('Header Info'!BK2="2Yr",EDATE(N15,24),IF('Header Info'!BK2="3Yr",EDATE(N15,36),IF('Header Info'!BK2="N/A","N/A","")))))))))</f>
        <v>#N/A</v>
      </c>
      <c r="O16" s="362"/>
    </row>
    <row r="17" spans="1:19" ht="18" customHeight="1" x14ac:dyDescent="0.25">
      <c r="A17" s="389" t="s">
        <v>1830</v>
      </c>
      <c r="B17" s="449" t="str">
        <f>'Header Info'!BD2</f>
        <v>Oven No. 1</v>
      </c>
      <c r="C17" s="378"/>
      <c r="D17" s="378"/>
      <c r="E17" s="378"/>
      <c r="G17" s="383" t="s">
        <v>1835</v>
      </c>
      <c r="H17" s="387" t="e">
        <f>'Header Info'!BI2</f>
        <v>#N/A</v>
      </c>
      <c r="M17" s="383" t="str">
        <f>IF(Main!K13="","","PO:")</f>
        <v/>
      </c>
      <c r="N17" s="387" t="str">
        <f>IF(Main!K13="","",Main!K13)</f>
        <v/>
      </c>
      <c r="O17" s="362"/>
    </row>
    <row r="18" spans="1:19" ht="18" customHeight="1" x14ac:dyDescent="0.25">
      <c r="A18" s="389" t="s">
        <v>1831</v>
      </c>
      <c r="B18" s="636" t="e">
        <f>'Header Info'!BE2</f>
        <v>#N/A</v>
      </c>
      <c r="C18" s="636"/>
      <c r="D18" s="636"/>
      <c r="E18" s="636"/>
      <c r="G18" s="383" t="s">
        <v>1836</v>
      </c>
      <c r="H18" s="387" t="e">
        <f>'Header Info'!BJ2</f>
        <v>#N/A</v>
      </c>
      <c r="M18" s="383" t="s">
        <v>1840</v>
      </c>
      <c r="N18" s="387" t="str">
        <f>Main!G18</f>
        <v>ACCEPTED</v>
      </c>
      <c r="O18" s="362"/>
    </row>
    <row r="19" spans="1:19" ht="18" customHeight="1" x14ac:dyDescent="0.25">
      <c r="A19" s="373"/>
      <c r="B19" s="637"/>
      <c r="C19" s="637"/>
      <c r="D19" s="637"/>
      <c r="E19" s="637"/>
      <c r="F19" s="363"/>
      <c r="G19" s="375"/>
      <c r="H19" s="390"/>
      <c r="I19" s="363"/>
      <c r="J19" s="363"/>
      <c r="K19" s="363"/>
      <c r="L19" s="363"/>
      <c r="M19" s="375"/>
      <c r="N19" s="390"/>
      <c r="O19" s="364"/>
    </row>
    <row r="20" spans="1:19" ht="8.1" customHeight="1" x14ac:dyDescent="0.2">
      <c r="A20" s="44"/>
      <c r="B20" s="367"/>
      <c r="C20" s="367"/>
      <c r="D20" s="367"/>
      <c r="N20" s="370"/>
    </row>
    <row r="21" spans="1:19" ht="18" customHeight="1" x14ac:dyDescent="0.25">
      <c r="A21" s="388" t="s">
        <v>1845</v>
      </c>
      <c r="B21" s="648" t="e">
        <f>'Header Info'!BL2</f>
        <v>#N/A</v>
      </c>
      <c r="C21" s="648"/>
      <c r="D21" s="648"/>
      <c r="E21" s="648"/>
      <c r="F21" s="374" t="s">
        <v>1847</v>
      </c>
      <c r="G21" s="648" t="e">
        <f>'Header Info'!BM2</f>
        <v>#N/A</v>
      </c>
      <c r="H21" s="648"/>
      <c r="I21" s="648"/>
      <c r="J21" s="374" t="s">
        <v>1848</v>
      </c>
      <c r="K21" s="386" t="e">
        <f>'Header Info'!BN2</f>
        <v>#N/A</v>
      </c>
      <c r="L21" s="360"/>
      <c r="M21" s="374" t="s">
        <v>1849</v>
      </c>
      <c r="N21" s="399" t="e">
        <f>Main!G27</f>
        <v>#N/A</v>
      </c>
      <c r="O21" s="361"/>
    </row>
    <row r="22" spans="1:19" ht="18" customHeight="1" x14ac:dyDescent="0.25">
      <c r="A22" s="392" t="s">
        <v>1846</v>
      </c>
      <c r="B22" s="649" t="e">
        <f>'Header Info'!BO2</f>
        <v>#N/A</v>
      </c>
      <c r="C22" s="649"/>
      <c r="D22" s="649"/>
      <c r="E22" s="649"/>
      <c r="F22" s="375" t="s">
        <v>1847</v>
      </c>
      <c r="G22" s="649" t="e">
        <f>'Header Info'!BP2</f>
        <v>#N/A</v>
      </c>
      <c r="H22" s="649"/>
      <c r="I22" s="649"/>
      <c r="J22" s="375" t="s">
        <v>1848</v>
      </c>
      <c r="K22" s="398" t="e">
        <f>'Header Info'!BQ2</f>
        <v>#N/A</v>
      </c>
      <c r="L22" s="363"/>
      <c r="M22" s="375" t="s">
        <v>1849</v>
      </c>
      <c r="N22" s="400" t="e">
        <f>Main!G28</f>
        <v>#N/A</v>
      </c>
      <c r="O22" s="364"/>
    </row>
    <row r="23" spans="1:19" ht="8.1" customHeight="1" x14ac:dyDescent="0.25">
      <c r="A23" s="117"/>
      <c r="B23" s="378"/>
      <c r="C23" s="378"/>
      <c r="D23" s="378"/>
      <c r="E23" s="367"/>
    </row>
    <row r="24" spans="1:19" ht="18" customHeight="1" x14ac:dyDescent="0.25">
      <c r="A24" s="388" t="s">
        <v>1850</v>
      </c>
      <c r="B24" s="394">
        <f>Main!D16</f>
        <v>0</v>
      </c>
      <c r="C24" s="386"/>
      <c r="D24" s="386"/>
      <c r="E24" s="368"/>
      <c r="F24" s="360"/>
      <c r="G24" s="374" t="s">
        <v>1853</v>
      </c>
      <c r="H24" s="376">
        <f>Main!D26</f>
        <v>0</v>
      </c>
      <c r="I24" s="360"/>
      <c r="J24" s="360"/>
      <c r="K24" s="360"/>
      <c r="L24" s="372"/>
      <c r="M24" s="374" t="s">
        <v>1857</v>
      </c>
      <c r="N24" s="386" t="str">
        <f ca="1">TEXT(Access_Data!D33,"0.0") &amp; "°F / " &amp; TEXT(Access_Data!H33,"0.0") &amp; "°F"</f>
        <v>0.0°F / 0.0°F</v>
      </c>
      <c r="O24" s="361"/>
    </row>
    <row r="25" spans="1:19" ht="18" customHeight="1" x14ac:dyDescent="0.25">
      <c r="A25" s="389" t="s">
        <v>1851</v>
      </c>
      <c r="B25" s="395">
        <f>Main!D15</f>
        <v>0</v>
      </c>
      <c r="C25" s="378"/>
      <c r="D25" s="378"/>
      <c r="E25" s="367"/>
      <c r="G25" s="383" t="s">
        <v>1854</v>
      </c>
      <c r="H25" s="377" t="e">
        <f>Main!E29</f>
        <v>#VALUE!</v>
      </c>
      <c r="L25" s="117"/>
      <c r="M25" s="383" t="s">
        <v>1858</v>
      </c>
      <c r="N25" s="378" t="e">
        <f>IF(Main!H15=TRUE,Main!G17,"VERIFY LOAD!!!")</f>
        <v>#N/A</v>
      </c>
      <c r="O25" s="362"/>
      <c r="R25" s="194"/>
      <c r="S25" s="111"/>
    </row>
    <row r="26" spans="1:19" ht="18" customHeight="1" x14ac:dyDescent="0.25">
      <c r="A26" s="389" t="s">
        <v>1852</v>
      </c>
      <c r="B26" s="378" t="s">
        <v>1641</v>
      </c>
      <c r="C26" s="378"/>
      <c r="D26" s="378"/>
      <c r="E26" s="367"/>
      <c r="G26" s="383" t="s">
        <v>1855</v>
      </c>
      <c r="H26" s="378" t="str">
        <f>Main!I19</f>
        <v>N/A</v>
      </c>
      <c r="L26" s="117"/>
      <c r="M26" s="383" t="s">
        <v>1856</v>
      </c>
      <c r="N26" s="378" t="e">
        <f ca="1">TEXT(Access_Data!K33,"0.0") &amp; "°F"</f>
        <v>#VALUE!</v>
      </c>
      <c r="O26" s="362"/>
    </row>
    <row r="27" spans="1:19" ht="18" customHeight="1" x14ac:dyDescent="0.2">
      <c r="A27" s="393"/>
      <c r="B27" s="363"/>
      <c r="C27" s="646" t="s">
        <v>1859</v>
      </c>
      <c r="D27" s="646"/>
      <c r="E27" s="646"/>
      <c r="F27" s="646"/>
      <c r="G27" s="646"/>
      <c r="H27" s="646"/>
      <c r="I27" s="646"/>
      <c r="J27" s="646"/>
      <c r="K27" s="646"/>
      <c r="L27" s="646"/>
      <c r="M27" s="646"/>
      <c r="N27" s="363"/>
      <c r="O27" s="364"/>
    </row>
    <row r="28" spans="1:19" ht="8.1" customHeight="1" x14ac:dyDescent="0.2"/>
    <row r="29" spans="1:19" ht="18" customHeight="1" x14ac:dyDescent="0.2">
      <c r="A29" s="642" t="s">
        <v>1806</v>
      </c>
      <c r="B29" s="643"/>
      <c r="C29" s="644"/>
      <c r="D29" s="642" t="s">
        <v>1860</v>
      </c>
      <c r="E29" s="643"/>
      <c r="F29" s="643"/>
      <c r="G29" s="644"/>
      <c r="H29" s="642" t="s">
        <v>1807</v>
      </c>
      <c r="I29" s="643"/>
      <c r="J29" s="643"/>
      <c r="K29" s="644"/>
      <c r="L29" s="642" t="s">
        <v>1453</v>
      </c>
      <c r="M29" s="643"/>
      <c r="N29" s="643"/>
      <c r="O29" s="644"/>
    </row>
    <row r="30" spans="1:19" ht="18" customHeight="1" x14ac:dyDescent="0.2">
      <c r="A30" s="379"/>
      <c r="B30" s="369" t="e">
        <f>'Header Info'!BS2</f>
        <v>#N/A</v>
      </c>
      <c r="C30" s="380"/>
      <c r="D30" s="639" t="str">
        <f>CONCATENATE(Main!D22,"°F"," / ",Main!D23,"% RH")</f>
        <v>°F / % RH</v>
      </c>
      <c r="E30" s="640"/>
      <c r="F30" s="640"/>
      <c r="G30" s="641"/>
      <c r="H30" s="639" t="e">
        <f>'Header Info'!BT2</f>
        <v>#N/A</v>
      </c>
      <c r="I30" s="640"/>
      <c r="J30" s="640"/>
      <c r="K30" s="641"/>
      <c r="L30" s="639" t="e">
        <f>'Header Info'!BU2</f>
        <v>#N/A</v>
      </c>
      <c r="M30" s="640"/>
      <c r="N30" s="640"/>
      <c r="O30" s="641"/>
    </row>
    <row r="31" spans="1:19" ht="18" customHeight="1" x14ac:dyDescent="0.2"/>
    <row r="32" spans="1:19" ht="18" customHeight="1" x14ac:dyDescent="0.25">
      <c r="A32" s="402" t="s">
        <v>1861</v>
      </c>
      <c r="B32" s="631" t="s">
        <v>1862</v>
      </c>
      <c r="C32" s="631"/>
      <c r="D32" s="402" t="s">
        <v>1783</v>
      </c>
      <c r="E32" s="402" t="s">
        <v>1782</v>
      </c>
      <c r="F32" s="402" t="s">
        <v>1863</v>
      </c>
      <c r="G32" s="117"/>
      <c r="H32" s="117"/>
      <c r="I32" s="402" t="s">
        <v>1861</v>
      </c>
      <c r="J32" s="631" t="s">
        <v>1862</v>
      </c>
      <c r="K32" s="631"/>
      <c r="L32" s="402" t="s">
        <v>1783</v>
      </c>
      <c r="M32" s="402" t="s">
        <v>1782</v>
      </c>
      <c r="N32" s="402" t="s">
        <v>1863</v>
      </c>
    </row>
    <row r="33" spans="1:14" ht="18" customHeight="1" x14ac:dyDescent="0.2">
      <c r="A33" s="403" t="str">
        <f>IF(B33="","",1)</f>
        <v/>
      </c>
      <c r="B33" s="629" t="str">
        <f>IF(Main!O5="","",Main!O5)</f>
        <v/>
      </c>
      <c r="C33" s="629"/>
      <c r="D33" s="404" t="str">
        <f ca="1">IF(Access_Data!B27="","",Access_Data!B27)</f>
        <v/>
      </c>
      <c r="E33" s="404" t="str">
        <f ca="1">IF(Access_Data!B29="","",Access_Data!B29)</f>
        <v/>
      </c>
      <c r="F33" s="404" t="str">
        <f ca="1">IF(Access_Data!B31="","",Access_Data!B31)</f>
        <v/>
      </c>
      <c r="G33" s="117"/>
      <c r="H33" s="117"/>
      <c r="I33" s="403" t="str">
        <f>IF(J33="","",21)</f>
        <v/>
      </c>
      <c r="J33" s="629" t="str">
        <f>IF(Main!O25="","",Main!O25)</f>
        <v/>
      </c>
      <c r="K33" s="629"/>
      <c r="L33" s="404" t="str">
        <f ca="1">IF(Access_Data!AB27="","",Access_Data!AB27)</f>
        <v/>
      </c>
      <c r="M33" s="404" t="str">
        <f ca="1">IF(Access_Data!AB29="","",Access_Data!AB29)</f>
        <v/>
      </c>
      <c r="N33" s="404" t="str">
        <f ca="1">IF(Access_Data!AB31="","",Access_Data!AB31)</f>
        <v/>
      </c>
    </row>
    <row r="34" spans="1:14" ht="18" customHeight="1" x14ac:dyDescent="0.2">
      <c r="A34" s="403" t="str">
        <f>IF(B34="","",2)</f>
        <v/>
      </c>
      <c r="B34" s="629" t="str">
        <f>IF(Main!O6="","",Main!O6)</f>
        <v/>
      </c>
      <c r="C34" s="629"/>
      <c r="D34" s="404" t="str">
        <f ca="1">IF(Access_Data!C27="","",Access_Data!C27)</f>
        <v/>
      </c>
      <c r="E34" s="404" t="str">
        <f ca="1">IF(Access_Data!C29="","",Access_Data!C29)</f>
        <v/>
      </c>
      <c r="F34" s="404" t="str">
        <f ca="1">IF(Access_Data!C31="","",Access_Data!C31)</f>
        <v/>
      </c>
      <c r="G34" s="117"/>
      <c r="H34" s="117"/>
      <c r="I34" s="403" t="str">
        <f>IF(J34="","",22)</f>
        <v/>
      </c>
      <c r="J34" s="629" t="str">
        <f>IF(Main!O26="","",Main!O26)</f>
        <v/>
      </c>
      <c r="K34" s="629"/>
      <c r="L34" s="404" t="str">
        <f ca="1">IF(Access_Data!AC27="","",Access_Data!AC27)</f>
        <v/>
      </c>
      <c r="M34" s="404" t="str">
        <f ca="1">IF(Access_Data!AC29="","",Access_Data!AC29)</f>
        <v/>
      </c>
      <c r="N34" s="404" t="str">
        <f ca="1">IF(Access_Data!AC31="","",Access_Data!AC31)</f>
        <v/>
      </c>
    </row>
    <row r="35" spans="1:14" ht="18" customHeight="1" x14ac:dyDescent="0.2">
      <c r="A35" s="403" t="str">
        <f>IF(B35="","",3)</f>
        <v/>
      </c>
      <c r="B35" s="629" t="str">
        <f>IF(Main!O7="","",Main!O7)</f>
        <v/>
      </c>
      <c r="C35" s="629"/>
      <c r="D35" s="404" t="str">
        <f ca="1">IF(Access_Data!D27="","",Access_Data!D27)</f>
        <v/>
      </c>
      <c r="E35" s="404" t="str">
        <f ca="1">IF(Access_Data!D29="","",Access_Data!D29)</f>
        <v/>
      </c>
      <c r="F35" s="404" t="str">
        <f ca="1">IF(Access_Data!D31="","",Access_Data!D31)</f>
        <v/>
      </c>
      <c r="G35" s="117"/>
      <c r="H35" s="117"/>
      <c r="I35" s="403" t="str">
        <f>IF(J35="","",23)</f>
        <v/>
      </c>
      <c r="J35" s="629" t="str">
        <f>IF(Main!O27="","",Main!O27)</f>
        <v/>
      </c>
      <c r="K35" s="629"/>
      <c r="L35" s="404" t="str">
        <f ca="1">IF(Access_Data!AD27="","",Access_Data!AD27)</f>
        <v/>
      </c>
      <c r="M35" s="404" t="str">
        <f ca="1">IF(Access_Data!AD29="","",Access_Data!AD29)</f>
        <v/>
      </c>
      <c r="N35" s="404" t="str">
        <f ca="1">IF(Access_Data!AD31="","",Access_Data!AD31)</f>
        <v/>
      </c>
    </row>
    <row r="36" spans="1:14" ht="18" customHeight="1" x14ac:dyDescent="0.2">
      <c r="A36" s="403" t="str">
        <f>IF(B36="","",4)</f>
        <v/>
      </c>
      <c r="B36" s="629" t="str">
        <f>IF(Main!O8="","",Main!O8)</f>
        <v/>
      </c>
      <c r="C36" s="629"/>
      <c r="D36" s="404" t="str">
        <f ca="1">IF(Access_Data!E27="","",Access_Data!E27)</f>
        <v/>
      </c>
      <c r="E36" s="404" t="str">
        <f ca="1">IF(Access_Data!E29="","",Access_Data!E29)</f>
        <v/>
      </c>
      <c r="F36" s="404" t="str">
        <f ca="1">IF(Access_Data!E31="","",Access_Data!E31)</f>
        <v/>
      </c>
      <c r="G36" s="117"/>
      <c r="H36" s="117"/>
      <c r="I36" s="403" t="str">
        <f>IF(J36="","",24)</f>
        <v/>
      </c>
      <c r="J36" s="629" t="str">
        <f>IF(Main!O28="","",Main!O28)</f>
        <v/>
      </c>
      <c r="K36" s="629"/>
      <c r="L36" s="404" t="str">
        <f ca="1">IF(Access_Data!AE27="","",Access_Data!AE27)</f>
        <v/>
      </c>
      <c r="M36" s="404" t="str">
        <f ca="1">IF(Access_Data!AE29="","",Access_Data!AE29)</f>
        <v/>
      </c>
      <c r="N36" s="404" t="str">
        <f ca="1">IF(Access_Data!AE31="","",Access_Data!AE31)</f>
        <v/>
      </c>
    </row>
    <row r="37" spans="1:14" ht="18" customHeight="1" x14ac:dyDescent="0.2">
      <c r="A37" s="403" t="str">
        <f>IF(B37="","",5)</f>
        <v/>
      </c>
      <c r="B37" s="629" t="str">
        <f>IF(Main!O9="","",Main!O9)</f>
        <v/>
      </c>
      <c r="C37" s="629"/>
      <c r="D37" s="404" t="str">
        <f ca="1">IF(Access_Data!F27="","",Access_Data!F27)</f>
        <v/>
      </c>
      <c r="E37" s="404" t="str">
        <f ca="1">IF(Access_Data!F29="","",Access_Data!F29)</f>
        <v/>
      </c>
      <c r="F37" s="404" t="str">
        <f ca="1">IF(Access_Data!F31="","",Access_Data!F31)</f>
        <v/>
      </c>
      <c r="G37" s="117"/>
      <c r="H37" s="117"/>
      <c r="I37" s="403" t="str">
        <f>IF(J37="","",25)</f>
        <v/>
      </c>
      <c r="J37" s="629" t="str">
        <f>IF(Main!O29="","",Main!O29)</f>
        <v/>
      </c>
      <c r="K37" s="629"/>
      <c r="L37" s="404" t="str">
        <f ca="1">IF(Access_Data!AF27="","",Access_Data!AF27)</f>
        <v/>
      </c>
      <c r="M37" s="404" t="str">
        <f ca="1">IF(Access_Data!AF29="","",Access_Data!AF29)</f>
        <v/>
      </c>
      <c r="N37" s="404" t="str">
        <f ca="1">IF(Access_Data!AF31="","",Access_Data!AF31)</f>
        <v/>
      </c>
    </row>
    <row r="38" spans="1:14" ht="18" customHeight="1" x14ac:dyDescent="0.2">
      <c r="A38" s="403" t="str">
        <f>IF(B38="","",6)</f>
        <v/>
      </c>
      <c r="B38" s="629" t="str">
        <f>IF(Main!O10="","",Main!O10)</f>
        <v/>
      </c>
      <c r="C38" s="629"/>
      <c r="D38" s="404" t="str">
        <f ca="1">IF(Access_Data!G27="","",Access_Data!G27)</f>
        <v/>
      </c>
      <c r="E38" s="404" t="str">
        <f ca="1">IF(Access_Data!G29="","",Access_Data!G29)</f>
        <v/>
      </c>
      <c r="F38" s="404" t="str">
        <f ca="1">IF(Access_Data!G31="","",Access_Data!G31)</f>
        <v/>
      </c>
      <c r="G38" s="117"/>
      <c r="H38" s="117"/>
      <c r="I38" s="403" t="str">
        <f>IF(J38="","",26)</f>
        <v/>
      </c>
      <c r="J38" s="629" t="str">
        <f>IF(Main!O30="","",Main!O30)</f>
        <v/>
      </c>
      <c r="K38" s="629"/>
      <c r="L38" s="404" t="str">
        <f ca="1">IF(Access_Data!AG27="","",Access_Data!AG27)</f>
        <v/>
      </c>
      <c r="M38" s="404" t="str">
        <f ca="1">IF(Access_Data!AG29="","",Access_Data!AG29)</f>
        <v/>
      </c>
      <c r="N38" s="404" t="str">
        <f ca="1">IF(Access_Data!AG31="","",Access_Data!AG31)</f>
        <v/>
      </c>
    </row>
    <row r="39" spans="1:14" ht="18" customHeight="1" x14ac:dyDescent="0.2">
      <c r="A39" s="403" t="str">
        <f>IF(B39="","",7)</f>
        <v/>
      </c>
      <c r="B39" s="629" t="str">
        <f>IF(Main!O11="","",Main!O11)</f>
        <v/>
      </c>
      <c r="C39" s="629"/>
      <c r="D39" s="404" t="str">
        <f ca="1">IF(Access_Data!H27="","",Access_Data!H27)</f>
        <v/>
      </c>
      <c r="E39" s="404" t="str">
        <f ca="1">IF(Access_Data!H29="","",Access_Data!H29)</f>
        <v/>
      </c>
      <c r="F39" s="404" t="str">
        <f ca="1">IF(Access_Data!H31="","",Access_Data!H31)</f>
        <v/>
      </c>
      <c r="G39" s="117"/>
      <c r="H39" s="117"/>
      <c r="I39" s="403" t="str">
        <f>IF(J39="","",27)</f>
        <v/>
      </c>
      <c r="J39" s="629" t="str">
        <f>IF(Main!O31="","",Main!O31)</f>
        <v/>
      </c>
      <c r="K39" s="629"/>
      <c r="L39" s="404" t="str">
        <f ca="1">IF(Access_Data!AH27="","",Access_Data!AH27)</f>
        <v/>
      </c>
      <c r="M39" s="404" t="str">
        <f ca="1">IF(Access_Data!AH29="","",Access_Data!AH29)</f>
        <v/>
      </c>
      <c r="N39" s="404" t="str">
        <f ca="1">IF(Access_Data!AH31="","",Access_Data!AH31)</f>
        <v/>
      </c>
    </row>
    <row r="40" spans="1:14" ht="18" customHeight="1" x14ac:dyDescent="0.2">
      <c r="A40" s="403" t="str">
        <f>IF(B40="","",8)</f>
        <v/>
      </c>
      <c r="B40" s="629" t="str">
        <f>IF(Main!O12="","",Main!O12)</f>
        <v/>
      </c>
      <c r="C40" s="629"/>
      <c r="D40" s="404" t="str">
        <f ca="1">IF(Access_Data!I27="","",Access_Data!I27)</f>
        <v/>
      </c>
      <c r="E40" s="404" t="str">
        <f ca="1">IF(Access_Data!I29="","",Access_Data!I29)</f>
        <v/>
      </c>
      <c r="F40" s="404" t="str">
        <f ca="1">IF(Access_Data!I31="","",Access_Data!I31)</f>
        <v/>
      </c>
      <c r="G40" s="117"/>
      <c r="H40" s="117"/>
      <c r="I40" s="403" t="str">
        <f>IF(J40="","",28)</f>
        <v/>
      </c>
      <c r="J40" s="629" t="str">
        <f>IF(Main!O32="","",Main!O32)</f>
        <v/>
      </c>
      <c r="K40" s="629"/>
      <c r="L40" s="404" t="str">
        <f ca="1">IF(Access_Data!AI27="","",Access_Data!AI27)</f>
        <v/>
      </c>
      <c r="M40" s="404" t="str">
        <f ca="1">IF(Access_Data!AI29="","",Access_Data!AI29)</f>
        <v/>
      </c>
      <c r="N40" s="404" t="str">
        <f ca="1">IF(Access_Data!AI31="","",Access_Data!AI31)</f>
        <v/>
      </c>
    </row>
    <row r="41" spans="1:14" ht="18" customHeight="1" x14ac:dyDescent="0.2">
      <c r="A41" s="403" t="str">
        <f>IF(B41="","",9)</f>
        <v/>
      </c>
      <c r="B41" s="629" t="str">
        <f>IF(Main!O13="","",Main!O13)</f>
        <v/>
      </c>
      <c r="C41" s="629"/>
      <c r="D41" s="404" t="str">
        <f ca="1">IF(Access_Data!J27="","",Access_Data!J27)</f>
        <v/>
      </c>
      <c r="E41" s="404" t="str">
        <f ca="1">IF(Access_Data!J29="","",Access_Data!J29)</f>
        <v/>
      </c>
      <c r="F41" s="404" t="str">
        <f ca="1">IF(Access_Data!J31="","",Access_Data!J31)</f>
        <v/>
      </c>
      <c r="G41" s="117"/>
      <c r="H41" s="117"/>
      <c r="I41" s="403" t="str">
        <f>IF(J41="","",29)</f>
        <v/>
      </c>
      <c r="J41" s="629" t="str">
        <f>IF(Main!O33="","",Main!O33)</f>
        <v/>
      </c>
      <c r="K41" s="629"/>
      <c r="L41" s="404" t="str">
        <f ca="1">IF(Access_Data!AP27="","",Access_Data!AP27)</f>
        <v/>
      </c>
      <c r="M41" s="404" t="str">
        <f ca="1">IF(Access_Data!AP29="","",Access_Data!AP29)</f>
        <v/>
      </c>
      <c r="N41" s="404" t="str">
        <f ca="1">IF(Access_Data!AP31="","",Access_Data!AP31)</f>
        <v/>
      </c>
    </row>
    <row r="42" spans="1:14" ht="18" customHeight="1" x14ac:dyDescent="0.2">
      <c r="A42" s="403" t="str">
        <f>IF(B42="","",10)</f>
        <v/>
      </c>
      <c r="B42" s="629" t="str">
        <f>IF(Main!O14="","",Main!O14)</f>
        <v/>
      </c>
      <c r="C42" s="629"/>
      <c r="D42" s="404" t="str">
        <f ca="1">IF(Access_Data!K27="","",Access_Data!K27)</f>
        <v/>
      </c>
      <c r="E42" s="404" t="str">
        <f ca="1">IF(Access_Data!K29="","",Access_Data!K29)</f>
        <v/>
      </c>
      <c r="F42" s="404" t="str">
        <f ca="1">IF(Access_Data!K31="","",Access_Data!K31)</f>
        <v/>
      </c>
      <c r="G42" s="117"/>
      <c r="H42" s="117"/>
      <c r="I42" s="403" t="str">
        <f>IF(J42="","",30)</f>
        <v/>
      </c>
      <c r="J42" s="629" t="str">
        <f>IF(Main!O34="","",Main!O34)</f>
        <v/>
      </c>
      <c r="K42" s="629"/>
      <c r="L42" s="404" t="str">
        <f ca="1">IF(Access_Data!AQ27="","",Access_Data!AQ27)</f>
        <v/>
      </c>
      <c r="M42" s="404" t="str">
        <f ca="1">IF(Access_Data!AQ29="","",Access_Data!AQ29)</f>
        <v/>
      </c>
      <c r="N42" s="404">
        <f ca="1">IF(Access_Data!AQ31="","",Access_Data!AQ31)</f>
        <v>0</v>
      </c>
    </row>
    <row r="43" spans="1:14" ht="18" customHeight="1" x14ac:dyDescent="0.2">
      <c r="A43" s="403" t="str">
        <f>IF(B43="","",11)</f>
        <v/>
      </c>
      <c r="B43" s="629" t="str">
        <f>IF(Main!O15="","",Main!O15)</f>
        <v/>
      </c>
      <c r="C43" s="629"/>
      <c r="D43" s="404" t="str">
        <f ca="1">IF(Access_Data!L27="","",Access_Data!L27)</f>
        <v/>
      </c>
      <c r="E43" s="404" t="str">
        <f ca="1">IF(Access_Data!L29="","",Access_Data!L29)</f>
        <v/>
      </c>
      <c r="F43" s="404" t="str">
        <f ca="1">IF(Access_Data!L31="","",Access_Data!L31)</f>
        <v/>
      </c>
      <c r="G43" s="117"/>
      <c r="H43" s="117"/>
      <c r="I43" s="403" t="str">
        <f>IF(J43="","",31)</f>
        <v/>
      </c>
      <c r="J43" s="629" t="str">
        <f>IF(Main!O35="","",Main!O35)</f>
        <v/>
      </c>
      <c r="K43" s="629"/>
      <c r="L43" s="404" t="str">
        <f ca="1">IF(Access_Data!AR27="","",Access_Data!AR27)</f>
        <v/>
      </c>
      <c r="M43" s="404" t="str">
        <f ca="1">IF(Access_Data!AR29="","",Access_Data!AR29)</f>
        <v/>
      </c>
      <c r="N43" s="404">
        <f ca="1">IF(Access_Data!AR31="","",Access_Data!AR31)</f>
        <v>0</v>
      </c>
    </row>
    <row r="44" spans="1:14" ht="18" customHeight="1" x14ac:dyDescent="0.2">
      <c r="A44" s="403" t="str">
        <f>IF(B44="","",12)</f>
        <v/>
      </c>
      <c r="B44" s="629" t="str">
        <f>IF(Main!O16="","",Main!O16)</f>
        <v/>
      </c>
      <c r="C44" s="629"/>
      <c r="D44" s="404" t="str">
        <f ca="1">IF(Access_Data!M27="","",Access_Data!M27)</f>
        <v/>
      </c>
      <c r="E44" s="404" t="str">
        <f ca="1">IF(Access_Data!M29="","",Access_Data!M29)</f>
        <v/>
      </c>
      <c r="F44" s="404" t="str">
        <f ca="1">IF(Access_Data!M31="","",Access_Data!M31)</f>
        <v/>
      </c>
      <c r="G44" s="117"/>
      <c r="H44" s="117"/>
      <c r="I44" s="403" t="str">
        <f>IF(J44="","",32)</f>
        <v/>
      </c>
      <c r="J44" s="629" t="str">
        <f>IF(Main!O36="","",Main!O36)</f>
        <v/>
      </c>
      <c r="K44" s="629"/>
      <c r="L44" s="404" t="str">
        <f ca="1">IF(Access_Data!AS27="","",Access_Data!AS27)</f>
        <v/>
      </c>
      <c r="M44" s="404" t="str">
        <f ca="1">IF(Access_Data!AS29="","",Access_Data!AS29)</f>
        <v/>
      </c>
      <c r="N44" s="404">
        <f ca="1">IF(Access_Data!AS31="","",Access_Data!AS31)</f>
        <v>0</v>
      </c>
    </row>
    <row r="45" spans="1:14" ht="18" customHeight="1" x14ac:dyDescent="0.2">
      <c r="A45" s="403" t="str">
        <f>IF(B45="","",13)</f>
        <v/>
      </c>
      <c r="B45" s="629" t="str">
        <f>IF(Main!O17="","",Main!O17)</f>
        <v/>
      </c>
      <c r="C45" s="629"/>
      <c r="D45" s="404" t="str">
        <f ca="1">IF(Access_Data!N27="","",Access_Data!N27)</f>
        <v/>
      </c>
      <c r="E45" s="404" t="str">
        <f ca="1">IF(Access_Data!N29="","",Access_Data!N29)</f>
        <v/>
      </c>
      <c r="F45" s="404" t="str">
        <f ca="1">IF(Access_Data!N31="","",Access_Data!N31)</f>
        <v/>
      </c>
      <c r="G45" s="117"/>
      <c r="H45" s="117"/>
      <c r="I45" s="403" t="str">
        <f>IF(J45="","",33)</f>
        <v/>
      </c>
      <c r="J45" s="629" t="str">
        <f>IF(Main!O37="","",Main!O37)</f>
        <v/>
      </c>
      <c r="K45" s="629"/>
      <c r="L45" s="404" t="str">
        <f ca="1">IF(Access_Data!AT27="","",Access_Data!AT27)</f>
        <v/>
      </c>
      <c r="M45" s="404" t="str">
        <f ca="1">IF(Access_Data!AT29="","",Access_Data!AT29)</f>
        <v/>
      </c>
      <c r="N45" s="404">
        <f ca="1">IF(Access_Data!AT31="","",Access_Data!AT31)</f>
        <v>0</v>
      </c>
    </row>
    <row r="46" spans="1:14" ht="18" customHeight="1" x14ac:dyDescent="0.2">
      <c r="A46" s="403" t="str">
        <f>IF(B46="","",14)</f>
        <v/>
      </c>
      <c r="B46" s="629" t="str">
        <f>IF(Main!O18="","",Main!O18)</f>
        <v/>
      </c>
      <c r="C46" s="629"/>
      <c r="D46" s="404" t="str">
        <f ca="1">IF(Access_Data!O27="","",Access_Data!O27)</f>
        <v/>
      </c>
      <c r="E46" s="404" t="str">
        <f ca="1">IF(Access_Data!O29="","",Access_Data!O29)</f>
        <v/>
      </c>
      <c r="F46" s="404" t="str">
        <f ca="1">IF(Access_Data!O31="","",Access_Data!O31)</f>
        <v/>
      </c>
      <c r="G46" s="117"/>
      <c r="H46" s="117"/>
      <c r="I46" s="403" t="str">
        <f>IF(J46="","",34)</f>
        <v/>
      </c>
      <c r="J46" s="629" t="str">
        <f>IF(Main!O38="","",Main!O38)</f>
        <v/>
      </c>
      <c r="K46" s="629"/>
      <c r="L46" s="404" t="str">
        <f ca="1">IF(Access_Data!AU27="","",Access_Data!AU27)</f>
        <v/>
      </c>
      <c r="M46" s="404" t="str">
        <f ca="1">IF(Access_Data!AU29="","",Access_Data!AU29)</f>
        <v/>
      </c>
      <c r="N46" s="404">
        <f ca="1">IF(Access_Data!AU31="","",Access_Data!AU31)</f>
        <v>0</v>
      </c>
    </row>
    <row r="47" spans="1:14" ht="18" customHeight="1" x14ac:dyDescent="0.2">
      <c r="A47" s="403" t="str">
        <f>IF(B47="","",15)</f>
        <v/>
      </c>
      <c r="B47" s="629" t="str">
        <f>IF(Main!O19="","",Main!O19)</f>
        <v/>
      </c>
      <c r="C47" s="629"/>
      <c r="D47" s="404" t="str">
        <f ca="1">IF(Access_Data!V27="","",Access_Data!V27)</f>
        <v/>
      </c>
      <c r="E47" s="404" t="str">
        <f ca="1">IF(Access_Data!V29="","",Access_Data!V29)</f>
        <v/>
      </c>
      <c r="F47" s="404" t="str">
        <f ca="1">IF(Access_Data!V31="","",Access_Data!V31)</f>
        <v/>
      </c>
      <c r="G47" s="117"/>
      <c r="H47" s="117"/>
      <c r="I47" s="403" t="str">
        <f>IF(J47="","",35)</f>
        <v/>
      </c>
      <c r="J47" s="629" t="str">
        <f>IF(Main!O39="","",Main!O39)</f>
        <v/>
      </c>
      <c r="K47" s="629"/>
      <c r="L47" s="404" t="str">
        <f ca="1">IF(Access_Data!AV27="","",Access_Data!AV27)</f>
        <v/>
      </c>
      <c r="M47" s="404" t="str">
        <f ca="1">IF(Access_Data!AV29="","",Access_Data!AV29)</f>
        <v/>
      </c>
      <c r="N47" s="404">
        <f ca="1">IF(Access_Data!AV31="","",Access_Data!AV31)</f>
        <v>0</v>
      </c>
    </row>
    <row r="48" spans="1:14" ht="18" customHeight="1" x14ac:dyDescent="0.2">
      <c r="A48" s="403" t="str">
        <f>IF(B48="","",16)</f>
        <v/>
      </c>
      <c r="B48" s="629" t="str">
        <f>IF(Main!O20="","",Main!O20)</f>
        <v/>
      </c>
      <c r="C48" s="629"/>
      <c r="D48" s="404" t="str">
        <f ca="1">IF(Access_Data!W27="","",Access_Data!W27)</f>
        <v/>
      </c>
      <c r="E48" s="404" t="str">
        <f ca="1">IF(Access_Data!W29="","",Access_Data!W29)</f>
        <v/>
      </c>
      <c r="F48" s="404" t="str">
        <f ca="1">IF(Access_Data!W31="","",Access_Data!W31)</f>
        <v/>
      </c>
      <c r="G48" s="117"/>
      <c r="H48" s="117"/>
      <c r="I48" s="403" t="str">
        <f>IF(J48="","",36)</f>
        <v/>
      </c>
      <c r="J48" s="629" t="str">
        <f>IF(Main!O40="","",Main!O40)</f>
        <v/>
      </c>
      <c r="K48" s="629"/>
      <c r="L48" s="404" t="str">
        <f ca="1">IF(Access_Data!AW27="","",Access_Data!AW27)</f>
        <v/>
      </c>
      <c r="M48" s="404" t="str">
        <f ca="1">IF(Access_Data!AW29="","",Access_Data!AW29)</f>
        <v/>
      </c>
      <c r="N48" s="404">
        <f ca="1">IF(Access_Data!AW31="","",Access_Data!AW31)</f>
        <v>0</v>
      </c>
    </row>
    <row r="49" spans="1:23" ht="18" customHeight="1" x14ac:dyDescent="0.2">
      <c r="A49" s="403" t="str">
        <f>IF(B49="","",17)</f>
        <v/>
      </c>
      <c r="B49" s="629" t="str">
        <f>IF(Main!O21="","",Main!O21)</f>
        <v/>
      </c>
      <c r="C49" s="629"/>
      <c r="D49" s="404" t="str">
        <f ca="1">IF(Access_Data!X27="","",Access_Data!X27)</f>
        <v/>
      </c>
      <c r="E49" s="404" t="str">
        <f ca="1">IF(Access_Data!X29="","",Access_Data!X29)</f>
        <v/>
      </c>
      <c r="F49" s="404" t="str">
        <f ca="1">IF(Access_Data!X31="","",Access_Data!X31)</f>
        <v/>
      </c>
      <c r="G49" s="117"/>
      <c r="H49" s="117"/>
      <c r="I49" s="403" t="str">
        <f>IF(J49="","",37)</f>
        <v/>
      </c>
      <c r="J49" s="629" t="str">
        <f>IF(Main!O41="","",Main!O41)</f>
        <v/>
      </c>
      <c r="K49" s="629"/>
      <c r="L49" s="404" t="str">
        <f ca="1">IF(Access_Data!AX27="","",Access_Data!AX27)</f>
        <v/>
      </c>
      <c r="M49" s="404" t="str">
        <f ca="1">IF(Access_Data!AX29="","",Access_Data!AX29)</f>
        <v/>
      </c>
      <c r="N49" s="404">
        <f ca="1">IF(Access_Data!AX31="","",Access_Data!AX31)</f>
        <v>0</v>
      </c>
    </row>
    <row r="50" spans="1:23" ht="18" customHeight="1" x14ac:dyDescent="0.2">
      <c r="A50" s="403" t="str">
        <f>IF(B50="","",18)</f>
        <v/>
      </c>
      <c r="B50" s="629" t="str">
        <f>IF(Main!O22="","",Main!O22)</f>
        <v/>
      </c>
      <c r="C50" s="629"/>
      <c r="D50" s="404" t="str">
        <f ca="1">IF(Access_Data!Y27="","",Access_Data!Y27)</f>
        <v/>
      </c>
      <c r="E50" s="404" t="str">
        <f ca="1">IF(Access_Data!Y29="","",Access_Data!Y29)</f>
        <v/>
      </c>
      <c r="F50" s="404" t="str">
        <f ca="1">IF(Access_Data!Y31="","",Access_Data!Y31)</f>
        <v/>
      </c>
      <c r="G50" s="117"/>
      <c r="H50" s="117"/>
      <c r="I50" s="403" t="str">
        <f>IF(J50="","",38)</f>
        <v/>
      </c>
      <c r="J50" s="629" t="str">
        <f>IF(Main!O42="","",Main!O42)</f>
        <v/>
      </c>
      <c r="K50" s="629"/>
      <c r="L50" s="404" t="str">
        <f ca="1">IF(Access_Data!AY27="","",Access_Data!AY27)</f>
        <v/>
      </c>
      <c r="M50" s="404" t="str">
        <f ca="1">IF(Access_Data!AY29="","",Access_Data!AY29)</f>
        <v/>
      </c>
      <c r="N50" s="404">
        <f ca="1">IF(Access_Data!AY31="","",Access_Data!AY31)</f>
        <v>0</v>
      </c>
    </row>
    <row r="51" spans="1:23" ht="18" customHeight="1" x14ac:dyDescent="0.2">
      <c r="A51" s="403" t="str">
        <f>IF(B51="","",19)</f>
        <v/>
      </c>
      <c r="B51" s="629" t="str">
        <f>IF(Main!O23="","",Main!O23)</f>
        <v/>
      </c>
      <c r="C51" s="629"/>
      <c r="D51" s="404" t="str">
        <f ca="1">IF(Access_Data!Z27="","",Access_Data!X27)</f>
        <v/>
      </c>
      <c r="E51" s="404" t="str">
        <f ca="1">IF(Access_Data!Z29="","",Access_Data!Z29)</f>
        <v/>
      </c>
      <c r="F51" s="404" t="str">
        <f ca="1">IF(Access_Data!Z31="","",Access_Data!Z31)</f>
        <v/>
      </c>
      <c r="G51" s="117"/>
      <c r="H51" s="117"/>
      <c r="I51" s="403" t="str">
        <f>IF(J51="","",39)</f>
        <v/>
      </c>
      <c r="J51" s="629" t="str">
        <f>IF(Main!O43="","",Main!O43)</f>
        <v/>
      </c>
      <c r="K51" s="629"/>
      <c r="L51" s="404" t="str">
        <f ca="1">IF(Access_Data!AZ27="","",Access_Data!AZ27)</f>
        <v/>
      </c>
      <c r="M51" s="404" t="str">
        <f ca="1">IF(Access_Data!AZ29="","",Access_Data!AZ29)</f>
        <v/>
      </c>
      <c r="N51" s="404">
        <f ca="1">IF(Access_Data!AZ31="","",Access_Data!AZ31)</f>
        <v>0</v>
      </c>
    </row>
    <row r="52" spans="1:23" ht="18" customHeight="1" x14ac:dyDescent="0.2">
      <c r="A52" s="403" t="str">
        <f>IF(B52="","",20)</f>
        <v/>
      </c>
      <c r="B52" s="629" t="str">
        <f>IF(Main!O24="","",Main!O24)</f>
        <v/>
      </c>
      <c r="C52" s="629"/>
      <c r="D52" s="404" t="str">
        <f ca="1">IF(Access_Data!AA27="","",Access_Data!AA27)</f>
        <v/>
      </c>
      <c r="E52" s="404" t="str">
        <f ca="1">IF(Access_Data!AA29="","",Access_Data!AA29)</f>
        <v/>
      </c>
      <c r="F52" s="404" t="str">
        <f ca="1">IF(Access_Data!AA31="","",Access_Data!AA31)</f>
        <v/>
      </c>
      <c r="G52" s="117"/>
      <c r="H52" s="117"/>
      <c r="I52" s="403" t="str">
        <f>IF(J52="","",40)</f>
        <v/>
      </c>
      <c r="J52" s="629" t="str">
        <f>IF(Main!O44="","",Main!O44)</f>
        <v/>
      </c>
      <c r="K52" s="629"/>
      <c r="L52" s="404" t="str">
        <f ca="1">IF(Access_Data!BA27="","",Access_Data!BA27)</f>
        <v/>
      </c>
      <c r="M52" s="404" t="str">
        <f ca="1">IF(Access_Data!BA29="","",Access_Data!BA29)</f>
        <v/>
      </c>
      <c r="N52" s="404">
        <f ca="1">IF(Access_Data!BA31="","",Access_Data!BA31)</f>
        <v>0</v>
      </c>
    </row>
    <row r="53" spans="1:23" ht="18" customHeight="1" x14ac:dyDescent="0.2">
      <c r="B53" s="635" t="s">
        <v>1864</v>
      </c>
      <c r="C53" s="635"/>
      <c r="D53" s="635"/>
      <c r="E53" s="635"/>
      <c r="F53" s="635"/>
      <c r="G53" s="635"/>
      <c r="H53" s="635"/>
      <c r="I53" s="635"/>
      <c r="J53" s="635"/>
      <c r="K53" s="635"/>
      <c r="L53" s="635"/>
      <c r="M53" s="635"/>
      <c r="N53" s="635"/>
    </row>
    <row r="54" spans="1:23" ht="18" customHeight="1" x14ac:dyDescent="0.25">
      <c r="A54" s="405" t="s">
        <v>1865</v>
      </c>
      <c r="B54" s="630" t="e">
        <f>CONCATENATE(Main!G23,"  ",'Header Info'!BR2,Main!U25)</f>
        <v>#N/A</v>
      </c>
      <c r="C54" s="630"/>
      <c r="D54" s="630"/>
      <c r="E54" s="630"/>
      <c r="F54" s="630"/>
      <c r="G54" s="630"/>
      <c r="H54" s="630"/>
      <c r="I54" s="630"/>
      <c r="J54" s="630"/>
      <c r="K54" s="630"/>
      <c r="L54" s="630"/>
      <c r="M54" s="630"/>
      <c r="N54" s="630"/>
      <c r="O54" s="630"/>
    </row>
    <row r="55" spans="1:23" ht="18" customHeight="1" x14ac:dyDescent="0.25">
      <c r="A55" s="114"/>
      <c r="B55" s="630"/>
      <c r="C55" s="630"/>
      <c r="D55" s="630"/>
      <c r="E55" s="630"/>
      <c r="F55" s="630"/>
      <c r="G55" s="630"/>
      <c r="H55" s="630"/>
      <c r="I55" s="630"/>
      <c r="J55" s="630"/>
      <c r="K55" s="630"/>
      <c r="L55" s="630"/>
      <c r="M55" s="630"/>
      <c r="N55" s="630"/>
      <c r="O55" s="630"/>
    </row>
    <row r="56" spans="1:23" ht="18" customHeight="1" x14ac:dyDescent="0.25">
      <c r="A56" s="114"/>
      <c r="B56" s="630"/>
      <c r="C56" s="630"/>
      <c r="D56" s="630"/>
      <c r="E56" s="630"/>
      <c r="F56" s="630"/>
      <c r="G56" s="630"/>
      <c r="H56" s="630"/>
      <c r="I56" s="630"/>
      <c r="J56" s="630"/>
      <c r="K56" s="630"/>
      <c r="L56" s="630"/>
      <c r="M56" s="630"/>
      <c r="N56" s="630"/>
      <c r="O56" s="630"/>
    </row>
    <row r="57" spans="1:23" ht="18" customHeight="1" x14ac:dyDescent="0.25">
      <c r="A57" s="114"/>
      <c r="B57" s="630"/>
      <c r="C57" s="630"/>
      <c r="D57" s="630"/>
      <c r="E57" s="630"/>
      <c r="F57" s="630"/>
      <c r="G57" s="630"/>
      <c r="H57" s="630"/>
      <c r="I57" s="630"/>
      <c r="J57" s="630"/>
      <c r="K57" s="630"/>
      <c r="L57" s="630"/>
      <c r="M57" s="630"/>
      <c r="N57" s="630"/>
      <c r="O57" s="630"/>
    </row>
    <row r="58" spans="1:23" ht="18" customHeight="1" x14ac:dyDescent="0.25">
      <c r="A58" s="114"/>
      <c r="B58" s="630"/>
      <c r="C58" s="630"/>
      <c r="D58" s="630"/>
      <c r="E58" s="630"/>
      <c r="F58" s="630"/>
      <c r="G58" s="630"/>
      <c r="H58" s="630"/>
      <c r="I58" s="630"/>
      <c r="J58" s="630"/>
      <c r="K58" s="630"/>
      <c r="L58" s="630"/>
      <c r="M58" s="630"/>
      <c r="N58" s="630"/>
      <c r="O58" s="630"/>
    </row>
    <row r="59" spans="1:23" ht="18" customHeight="1" x14ac:dyDescent="0.25">
      <c r="A59" s="114"/>
      <c r="B59" s="630"/>
      <c r="C59" s="630"/>
      <c r="D59" s="630"/>
      <c r="E59" s="630"/>
      <c r="F59" s="630"/>
      <c r="G59" s="630"/>
      <c r="H59" s="630"/>
      <c r="I59" s="630"/>
      <c r="J59" s="630"/>
      <c r="K59" s="630"/>
      <c r="L59" s="630"/>
      <c r="M59" s="630"/>
      <c r="N59" s="630"/>
      <c r="O59" s="630"/>
    </row>
    <row r="60" spans="1:23" ht="18" customHeight="1" x14ac:dyDescent="0.2">
      <c r="A60" s="634" t="s">
        <v>1873</v>
      </c>
      <c r="B60" s="634"/>
      <c r="C60" s="634"/>
      <c r="D60" s="634"/>
      <c r="E60" s="634"/>
      <c r="F60" s="634"/>
      <c r="G60" s="634"/>
      <c r="H60" s="634"/>
      <c r="I60" s="634"/>
      <c r="J60" s="634"/>
      <c r="K60" s="634"/>
      <c r="L60" s="634"/>
      <c r="M60" s="634"/>
      <c r="N60" s="634"/>
      <c r="O60" s="634"/>
    </row>
    <row r="61" spans="1:23" ht="18" customHeight="1" x14ac:dyDescent="0.2">
      <c r="A61" s="638" t="s">
        <v>1866</v>
      </c>
      <c r="B61" s="638"/>
      <c r="C61" s="638"/>
      <c r="D61" s="638"/>
      <c r="E61" s="638"/>
      <c r="F61" s="628" t="s">
        <v>1867</v>
      </c>
      <c r="G61" s="628"/>
      <c r="H61" s="628"/>
      <c r="I61" s="628" t="s">
        <v>1868</v>
      </c>
      <c r="J61" s="628"/>
      <c r="K61" s="628" t="s">
        <v>1869</v>
      </c>
      <c r="L61" s="628"/>
      <c r="M61" s="628" t="s">
        <v>1870</v>
      </c>
      <c r="N61" s="628"/>
      <c r="O61" s="628"/>
    </row>
    <row r="62" spans="1:23" ht="18" customHeight="1" x14ac:dyDescent="0.2">
      <c r="A62" s="618" t="str">
        <f t="shared" ref="A62:A68" si="0">IF(Q62="","",CONCATENATE(T62," - ",R62))</f>
        <v/>
      </c>
      <c r="B62" s="619"/>
      <c r="C62" s="619"/>
      <c r="D62" s="619"/>
      <c r="E62" s="620"/>
      <c r="F62" s="618" t="str">
        <f t="shared" ref="F62:F68" si="1">IF(Q62="","",W62)</f>
        <v/>
      </c>
      <c r="G62" s="619"/>
      <c r="H62" s="620"/>
      <c r="I62" s="624" t="str">
        <f>IF(Q62="","",Main!D12)</f>
        <v/>
      </c>
      <c r="J62" s="625"/>
      <c r="K62" s="624" t="str">
        <f>IF(Q62="","",Main!D13)</f>
        <v/>
      </c>
      <c r="L62" s="625"/>
      <c r="M62" s="652" t="str">
        <f>IF(Q62="","",REPLACE(Main!D14,3,1,""))</f>
        <v/>
      </c>
      <c r="N62" s="653"/>
      <c r="O62" s="654"/>
      <c r="Q62" t="str">
        <f>IF(Main!D9="","",1)</f>
        <v/>
      </c>
      <c r="R62" s="360" t="str">
        <f>IF(Main!D9="", "", _xlfn.XLOOKUP(Main!D9, Table3[AssetTag], Table3[model_number__c]))</f>
        <v/>
      </c>
      <c r="T62" s="360" t="str">
        <f>IF(Main!D9="", "", _xlfn.XLOOKUP(Main!D9, Table3[AssetTag], Table3[CategoryName]))</f>
        <v/>
      </c>
      <c r="W62" s="360" t="str">
        <f>IF(Main!D9="", "", _xlfn.XLOOKUP(Main!D9, Table3[AssetTag], Table3[SerialNumber]))</f>
        <v/>
      </c>
    </row>
    <row r="63" spans="1:23" ht="18" customHeight="1" x14ac:dyDescent="0.2">
      <c r="A63" s="621" t="str">
        <f t="shared" si="0"/>
        <v/>
      </c>
      <c r="B63" s="622"/>
      <c r="C63" s="622"/>
      <c r="D63" s="622"/>
      <c r="E63" s="623"/>
      <c r="F63" s="621" t="str">
        <f t="shared" si="1"/>
        <v/>
      </c>
      <c r="G63" s="622"/>
      <c r="H63" s="623"/>
      <c r="I63" s="626" t="str">
        <f>IF(Q63="","",Main!D49)</f>
        <v/>
      </c>
      <c r="J63" s="627"/>
      <c r="K63" s="626" t="str">
        <f>IF(Q63="","",Main!D50)</f>
        <v/>
      </c>
      <c r="L63" s="627"/>
      <c r="M63" s="621" t="str">
        <f>IF(Q63="","",Main!D54)</f>
        <v/>
      </c>
      <c r="N63" s="622"/>
      <c r="O63" s="623"/>
      <c r="Q63" t="str">
        <f>IF(Main!L47="","",2)</f>
        <v/>
      </c>
      <c r="R63" s="360" t="str">
        <f>IFERROR(VLOOKUP(Main!$L47,Table3[],3,FALSE),"")</f>
        <v/>
      </c>
      <c r="T63" s="360" t="str">
        <f>IFERROR(VLOOKUP(Main!$L$47,Table3[],4,FALSE),"")</f>
        <v/>
      </c>
      <c r="V63" s="360"/>
      <c r="W63" s="360" t="e">
        <f>VLOOKUP(Main!$L$47,Table3[],6,FALSE)</f>
        <v>#N/A</v>
      </c>
    </row>
    <row r="64" spans="1:23" ht="18" customHeight="1" x14ac:dyDescent="0.2">
      <c r="A64" s="621" t="str">
        <f t="shared" si="0"/>
        <v/>
      </c>
      <c r="B64" s="622"/>
      <c r="C64" s="622"/>
      <c r="D64" s="622"/>
      <c r="E64" s="623"/>
      <c r="F64" s="621" t="str">
        <f t="shared" si="1"/>
        <v/>
      </c>
      <c r="G64" s="622"/>
      <c r="H64" s="623"/>
      <c r="I64" s="626" t="str">
        <f>IF(Q64="","",Main!E49)</f>
        <v/>
      </c>
      <c r="J64" s="627"/>
      <c r="K64" s="626" t="str">
        <f>IF(Q64="","",Main!E50)</f>
        <v/>
      </c>
      <c r="L64" s="627"/>
      <c r="M64" s="621" t="str">
        <f>IF(Q64="","",Main!E54)</f>
        <v/>
      </c>
      <c r="N64" s="622"/>
      <c r="O64" s="623"/>
      <c r="Q64" t="str">
        <f>IF(Main!L48="","",3)</f>
        <v/>
      </c>
      <c r="R64" s="360" t="str">
        <f>IFERROR(VLOOKUP(Main!$L48,Table3[],3,FALSE),"")</f>
        <v/>
      </c>
      <c r="T64" s="360" t="str">
        <f>IFERROR(VLOOKUP(Main!$L$47,Table3[],4,FALSE),"")</f>
        <v/>
      </c>
      <c r="V64" s="360"/>
      <c r="W64" s="360" t="e">
        <f>VLOOKUP(Main!$L$48,Table3[],6,FALSE)</f>
        <v>#N/A</v>
      </c>
    </row>
    <row r="65" spans="1:23" ht="18" customHeight="1" x14ac:dyDescent="0.2">
      <c r="A65" s="621" t="str">
        <f t="shared" si="0"/>
        <v/>
      </c>
      <c r="B65" s="622"/>
      <c r="C65" s="622"/>
      <c r="D65" s="622"/>
      <c r="E65" s="623"/>
      <c r="F65" s="621" t="str">
        <f t="shared" si="1"/>
        <v/>
      </c>
      <c r="G65" s="622"/>
      <c r="H65" s="623"/>
      <c r="I65" s="626" t="str">
        <f>IF(Q65="","",Main!F49)</f>
        <v/>
      </c>
      <c r="J65" s="627"/>
      <c r="K65" s="626" t="str">
        <f>IF(Q65="","",Main!F50)</f>
        <v/>
      </c>
      <c r="L65" s="627"/>
      <c r="M65" s="621" t="str">
        <f>IF(Q65="","",Main!F54)</f>
        <v/>
      </c>
      <c r="N65" s="622"/>
      <c r="O65" s="623"/>
      <c r="Q65" t="str">
        <f>IF(Main!L49="","",4)</f>
        <v/>
      </c>
      <c r="R65" s="360" t="str">
        <f>IFERROR(VLOOKUP(Main!$L49,Table3[],3,FALSE),"")</f>
        <v/>
      </c>
      <c r="T65" s="360" t="str">
        <f>IFERROR(VLOOKUP(Main!$L$47,Table3[],4,FALSE),"")</f>
        <v/>
      </c>
      <c r="V65" s="360"/>
      <c r="W65" s="360" t="e">
        <f>VLOOKUP(Main!$L49,Table3[],6,FALSE)</f>
        <v>#N/A</v>
      </c>
    </row>
    <row r="66" spans="1:23" ht="18" customHeight="1" x14ac:dyDescent="0.2">
      <c r="A66" s="621" t="str">
        <f t="shared" si="0"/>
        <v/>
      </c>
      <c r="B66" s="622"/>
      <c r="C66" s="622"/>
      <c r="D66" s="622"/>
      <c r="E66" s="623"/>
      <c r="F66" s="621" t="str">
        <f t="shared" si="1"/>
        <v/>
      </c>
      <c r="G66" s="622"/>
      <c r="H66" s="623"/>
      <c r="I66" s="626" t="str">
        <f>IF(Q66="","",Main!G49)</f>
        <v/>
      </c>
      <c r="J66" s="627"/>
      <c r="K66" s="626" t="str">
        <f>IF(Q66="","",Main!G50)</f>
        <v/>
      </c>
      <c r="L66" s="627"/>
      <c r="M66" s="621" t="str">
        <f>IF(Q66="","",Main!G54)</f>
        <v/>
      </c>
      <c r="N66" s="622"/>
      <c r="O66" s="623"/>
      <c r="Q66" t="str">
        <f>IF(Main!L50="","",5)</f>
        <v/>
      </c>
      <c r="R66" s="360" t="str">
        <f>IFERROR(VLOOKUP(Main!$L50,Table3[],3,FALSE),"")</f>
        <v/>
      </c>
      <c r="T66" s="360" t="str">
        <f>IFERROR(VLOOKUP(Main!$L$47,Table3[],4,FALSE),"")</f>
        <v/>
      </c>
      <c r="V66" s="360"/>
      <c r="W66" s="360" t="e">
        <f>VLOOKUP(Main!$L50,Table3[],6,FALSE)</f>
        <v>#N/A</v>
      </c>
    </row>
    <row r="67" spans="1:23" ht="18" customHeight="1" x14ac:dyDescent="0.2">
      <c r="A67" s="621" t="str">
        <f t="shared" si="0"/>
        <v/>
      </c>
      <c r="B67" s="622"/>
      <c r="C67" s="622"/>
      <c r="D67" s="622"/>
      <c r="E67" s="623"/>
      <c r="F67" s="621" t="str">
        <f t="shared" si="1"/>
        <v/>
      </c>
      <c r="G67" s="622"/>
      <c r="H67" s="623"/>
      <c r="I67" s="626" t="str">
        <f>IF(Q67="","",Main!H49)</f>
        <v/>
      </c>
      <c r="J67" s="627"/>
      <c r="K67" s="626" t="str">
        <f>IF(Q67="","",Main!H50)</f>
        <v/>
      </c>
      <c r="L67" s="627"/>
      <c r="M67" s="621" t="str">
        <f>IF(Q67="","",Main!H54)</f>
        <v/>
      </c>
      <c r="N67" s="622"/>
      <c r="O67" s="623"/>
      <c r="Q67" t="str">
        <f>IF(Main!L51="","",6)</f>
        <v/>
      </c>
      <c r="R67" s="360" t="str">
        <f>IFERROR(VLOOKUP(Main!$L51,Table3[],3,FALSE),"")</f>
        <v/>
      </c>
      <c r="T67" s="360" t="str">
        <f>IFERROR(VLOOKUP(Main!$L$47,Table3[],4,FALSE),"")</f>
        <v/>
      </c>
      <c r="V67" s="360"/>
      <c r="W67" s="360" t="e">
        <f>VLOOKUP(Main!$L51,Table3[],6,FALSE)</f>
        <v>#N/A</v>
      </c>
    </row>
    <row r="68" spans="1:23" ht="18" customHeight="1" x14ac:dyDescent="0.2">
      <c r="A68" s="621" t="str">
        <f t="shared" si="0"/>
        <v/>
      </c>
      <c r="B68" s="622"/>
      <c r="C68" s="622"/>
      <c r="D68" s="622"/>
      <c r="E68" s="623"/>
      <c r="F68" s="621" t="str">
        <f t="shared" si="1"/>
        <v/>
      </c>
      <c r="G68" s="622"/>
      <c r="H68" s="623"/>
      <c r="I68" s="626" t="str">
        <f>IF(Q68="","",Main!I49)</f>
        <v/>
      </c>
      <c r="J68" s="627"/>
      <c r="K68" s="626" t="str">
        <f>IF(Q68="","",Main!I50)</f>
        <v/>
      </c>
      <c r="L68" s="627"/>
      <c r="M68" s="621" t="str">
        <f>IF(Q68="","",Main!I54)</f>
        <v/>
      </c>
      <c r="N68" s="622"/>
      <c r="O68" s="623"/>
      <c r="Q68" t="str">
        <f>IF(Main!L52="","",7)</f>
        <v/>
      </c>
      <c r="R68" s="360" t="str">
        <f>IFERROR(VLOOKUP(Main!$L52,Table3[],3,FALSE),"")</f>
        <v/>
      </c>
      <c r="T68" s="360" t="str">
        <f>IFERROR(VLOOKUP(Main!$L$47,Table3[],4,FALSE),"")</f>
        <v/>
      </c>
      <c r="V68" s="360"/>
      <c r="W68" s="360" t="e">
        <f>VLOOKUP(Main!$L52,Table3[],6,FALSE)</f>
        <v>#N/A</v>
      </c>
    </row>
    <row r="69" spans="1:23" ht="18" customHeight="1" x14ac:dyDescent="0.2">
      <c r="A69" s="639" t="str">
        <f>IF(T69="","",CONCATENATE(T69," - ",R69))</f>
        <v/>
      </c>
      <c r="B69" s="640"/>
      <c r="C69" s="640"/>
      <c r="D69" s="640"/>
      <c r="E69" s="641"/>
      <c r="F69" s="639" t="str">
        <f>IF(W69="","",W69)</f>
        <v/>
      </c>
      <c r="G69" s="640"/>
      <c r="H69" s="641"/>
      <c r="I69" s="655"/>
      <c r="J69" s="656"/>
      <c r="K69" s="655"/>
      <c r="L69" s="656"/>
      <c r="M69" s="639"/>
      <c r="N69" s="640"/>
      <c r="O69" s="641"/>
    </row>
    <row r="70" spans="1:23" ht="18" customHeight="1" x14ac:dyDescent="0.2">
      <c r="B70" s="365"/>
      <c r="C70" s="365"/>
      <c r="D70" s="365"/>
      <c r="E70" s="365"/>
      <c r="F70" s="365"/>
      <c r="G70" s="365"/>
      <c r="H70" s="365"/>
      <c r="I70" s="366"/>
      <c r="J70" s="366"/>
      <c r="K70" s="366"/>
      <c r="L70" s="366"/>
      <c r="M70" s="365"/>
      <c r="N70" s="365"/>
      <c r="O70" s="365"/>
    </row>
    <row r="71" spans="1:23" ht="18" customHeight="1" x14ac:dyDescent="0.2">
      <c r="A71" s="651" t="s">
        <v>4848</v>
      </c>
      <c r="B71" s="651"/>
      <c r="C71" s="651"/>
      <c r="D71" s="651"/>
      <c r="E71" s="651"/>
      <c r="F71" s="651"/>
      <c r="G71" s="651"/>
      <c r="H71" s="651"/>
      <c r="I71" s="651"/>
      <c r="J71" s="651"/>
      <c r="K71" s="651"/>
      <c r="L71" s="651"/>
      <c r="M71" s="651"/>
      <c r="N71" s="651"/>
      <c r="O71" s="651"/>
    </row>
    <row r="72" spans="1:23" ht="18" customHeight="1" x14ac:dyDescent="0.2">
      <c r="A72" s="651"/>
      <c r="B72" s="651"/>
      <c r="C72" s="651"/>
      <c r="D72" s="651"/>
      <c r="E72" s="651"/>
      <c r="F72" s="651"/>
      <c r="G72" s="651"/>
      <c r="H72" s="651"/>
      <c r="I72" s="651"/>
      <c r="J72" s="651"/>
      <c r="K72" s="651"/>
      <c r="L72" s="651"/>
      <c r="M72" s="651"/>
      <c r="N72" s="651"/>
      <c r="O72" s="651"/>
    </row>
    <row r="73" spans="1:23" ht="18" customHeight="1" x14ac:dyDescent="0.2">
      <c r="A73" s="651"/>
      <c r="B73" s="651"/>
      <c r="C73" s="651"/>
      <c r="D73" s="651"/>
      <c r="E73" s="651"/>
      <c r="F73" s="651"/>
      <c r="G73" s="651"/>
      <c r="H73" s="651"/>
      <c r="I73" s="651"/>
      <c r="J73" s="651"/>
      <c r="K73" s="651"/>
      <c r="L73" s="651"/>
      <c r="M73" s="651"/>
      <c r="N73" s="651"/>
      <c r="O73" s="65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1" t="s">
        <v>1871</v>
      </c>
      <c r="N80" s="401" t="s">
        <v>1872</v>
      </c>
    </row>
    <row r="81" ht="15" customHeight="1" x14ac:dyDescent="0.2"/>
    <row r="82" ht="15" customHeight="1" x14ac:dyDescent="0.2"/>
  </sheetData>
  <sheetProtection algorithmName="SHA-512" hashValue="jSsm8M29a0qgocnGZaCYo/3HGGxPZnplqru2BI2NFxV+UGrqe/6XrX+6D9TxXparn+4fcErjXL57pDnab79GWA==" saltValue="ZxgaHy/IJuVtOaNvUp3G3g=="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topLeftCell="S1" workbookViewId="0">
      <selection activeCell="BB2" sqref="BB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1"/>
  <sheetViews>
    <sheetView workbookViewId="0">
      <selection sqref="A1:B23"/>
    </sheetView>
  </sheetViews>
  <sheetFormatPr defaultRowHeight="12.75" x14ac:dyDescent="0.2"/>
  <cols>
    <col min="1" max="1" width="24.85546875" bestFit="1" customWidth="1"/>
    <col min="2" max="2" width="32.85546875" bestFit="1" customWidth="1"/>
  </cols>
  <sheetData>
    <row r="1" spans="1:2" x14ac:dyDescent="0.2">
      <c r="A1"/>
      <c r="B1"/>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cg94bxcyjqmfuCwnK+MR562RMmtg/OuE570+/47ButPxWfXdWflGCvE3PU78ZjT3lDGPs2bfwabcm0/1zVZ2rg==" saltValue="bFOXL2E9OhZoFi69mCuQp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2" t="s">
        <v>329</v>
      </c>
      <c r="C1" s="532" t="s">
        <v>330</v>
      </c>
      <c r="D1" s="532" t="s">
        <v>331</v>
      </c>
      <c r="E1" s="532" t="s">
        <v>332</v>
      </c>
      <c r="J1" s="196" t="s">
        <v>578</v>
      </c>
      <c r="K1" s="196" t="s">
        <v>5312</v>
      </c>
      <c r="N1" s="532" t="s">
        <v>332</v>
      </c>
      <c r="O1" s="532" t="s">
        <v>335</v>
      </c>
      <c r="Q1" s="532" t="s">
        <v>332</v>
      </c>
      <c r="R1" s="532" t="s">
        <v>331</v>
      </c>
      <c r="S1" s="532" t="s">
        <v>347</v>
      </c>
      <c r="T1" s="532" t="s">
        <v>5536</v>
      </c>
      <c r="U1" s="532" t="s">
        <v>5535</v>
      </c>
      <c r="V1" s="532" t="s">
        <v>5534</v>
      </c>
      <c r="X1" s="532" t="s">
        <v>332</v>
      </c>
      <c r="Y1" s="532" t="s">
        <v>331</v>
      </c>
      <c r="AA1" s="532" t="s">
        <v>332</v>
      </c>
      <c r="AB1" s="532" t="s">
        <v>331</v>
      </c>
      <c r="AD1" s="532" t="s">
        <v>332</v>
      </c>
      <c r="AE1" s="532" t="s">
        <v>331</v>
      </c>
      <c r="AF1" s="532" t="s">
        <v>1367</v>
      </c>
      <c r="AG1" s="532" t="s">
        <v>1368</v>
      </c>
      <c r="AH1" s="532" t="s">
        <v>1370</v>
      </c>
    </row>
    <row r="2" spans="2:34" x14ac:dyDescent="0.2">
      <c r="B2" s="533" t="str">
        <f>'Header Info'!B2</f>
        <v>AAR Component Services-Wellington</v>
      </c>
      <c r="C2" s="533" t="s">
        <v>578</v>
      </c>
      <c r="D2" s="533" t="str">
        <f>'Header Info'!C2</f>
        <v>L-0866</v>
      </c>
      <c r="E2" s="533" t="s">
        <v>580</v>
      </c>
      <c r="J2" s="196" t="s">
        <v>1576</v>
      </c>
      <c r="K2" s="196" t="s">
        <v>1575</v>
      </c>
      <c r="N2" s="533" t="s">
        <v>336</v>
      </c>
      <c r="O2" s="533" t="s">
        <v>315</v>
      </c>
      <c r="Q2" s="533" t="s">
        <v>349</v>
      </c>
      <c r="R2" s="533" t="s">
        <v>350</v>
      </c>
      <c r="S2" s="533" t="s">
        <v>351</v>
      </c>
      <c r="T2" s="533" t="s">
        <v>348</v>
      </c>
      <c r="U2" s="533" t="s">
        <v>352</v>
      </c>
      <c r="V2" s="533">
        <v>9546011</v>
      </c>
      <c r="X2" s="533" t="s">
        <v>1447</v>
      </c>
      <c r="Y2" s="533" t="s">
        <v>1448</v>
      </c>
      <c r="AA2" s="533" t="s">
        <v>577</v>
      </c>
      <c r="AB2" s="533" t="s">
        <v>557</v>
      </c>
      <c r="AD2" s="533" t="s">
        <v>1369</v>
      </c>
      <c r="AE2" s="533">
        <v>40100</v>
      </c>
      <c r="AF2" s="534">
        <v>43102</v>
      </c>
      <c r="AG2" s="533" t="s">
        <v>1492</v>
      </c>
      <c r="AH2" s="535" t="s">
        <v>1371</v>
      </c>
    </row>
    <row r="3" spans="2:34" x14ac:dyDescent="0.2">
      <c r="B3" s="533" t="str">
        <f>'Header Info'!B3</f>
        <v>AAR Component Services-Wellington</v>
      </c>
      <c r="C3" s="533" t="s">
        <v>578</v>
      </c>
      <c r="D3" s="533" t="str">
        <f>'Header Info'!C3</f>
        <v>L-1172</v>
      </c>
      <c r="E3" s="533" t="s">
        <v>582</v>
      </c>
      <c r="J3" s="196" t="s">
        <v>609</v>
      </c>
      <c r="K3" s="44" t="s">
        <v>608</v>
      </c>
      <c r="N3" s="533" t="s">
        <v>1565</v>
      </c>
      <c r="O3" s="533" t="s">
        <v>1566</v>
      </c>
      <c r="Q3" s="533" t="s">
        <v>353</v>
      </c>
      <c r="R3" s="533" t="s">
        <v>354</v>
      </c>
      <c r="S3" s="533" t="s">
        <v>355</v>
      </c>
      <c r="T3" s="533" t="s">
        <v>348</v>
      </c>
      <c r="U3" s="533" t="s">
        <v>356</v>
      </c>
      <c r="V3" s="533">
        <v>1139027</v>
      </c>
      <c r="X3" s="533" t="s">
        <v>576</v>
      </c>
      <c r="Y3" s="533" t="s">
        <v>1449</v>
      </c>
    </row>
    <row r="4" spans="2:34" x14ac:dyDescent="0.2">
      <c r="B4" s="533" t="str">
        <f>'Header Info'!B4</f>
        <v>AAR Component Services-Wellington</v>
      </c>
      <c r="C4" s="533" t="s">
        <v>578</v>
      </c>
      <c r="D4" s="533" t="str">
        <f>'Header Info'!C4</f>
        <v>L3091</v>
      </c>
      <c r="E4" s="533" t="s">
        <v>584</v>
      </c>
      <c r="J4" s="196" t="s">
        <v>609</v>
      </c>
      <c r="K4" s="196" t="s">
        <v>614</v>
      </c>
      <c r="N4" s="533" t="s">
        <v>337</v>
      </c>
      <c r="O4" s="533" t="s">
        <v>338</v>
      </c>
      <c r="Q4" s="533" t="s">
        <v>357</v>
      </c>
      <c r="R4" s="533" t="s">
        <v>358</v>
      </c>
      <c r="S4" s="533" t="s">
        <v>355</v>
      </c>
      <c r="T4" s="533" t="s">
        <v>348</v>
      </c>
      <c r="U4" s="533" t="s">
        <v>359</v>
      </c>
      <c r="V4" s="533">
        <v>1611806</v>
      </c>
    </row>
    <row r="5" spans="2:34" x14ac:dyDescent="0.2">
      <c r="B5" s="533" t="str">
        <f>'Header Info'!B5</f>
        <v>AAR Component Services-Wellington</v>
      </c>
      <c r="C5" s="533" t="s">
        <v>578</v>
      </c>
      <c r="D5" s="533" t="str">
        <f>'Header Info'!C5</f>
        <v>L-5078</v>
      </c>
      <c r="E5" s="533" t="s">
        <v>586</v>
      </c>
      <c r="J5" s="196" t="s">
        <v>621</v>
      </c>
      <c r="K5" s="196" t="s">
        <v>620</v>
      </c>
      <c r="N5" s="533" t="s">
        <v>339</v>
      </c>
      <c r="O5" s="533" t="s">
        <v>340</v>
      </c>
      <c r="Q5" s="533" t="s">
        <v>360</v>
      </c>
      <c r="R5" s="533" t="s">
        <v>361</v>
      </c>
      <c r="S5" s="533" t="s">
        <v>355</v>
      </c>
      <c r="T5" s="533" t="s">
        <v>348</v>
      </c>
      <c r="U5" s="533" t="s">
        <v>362</v>
      </c>
      <c r="V5" s="533">
        <v>1880060</v>
      </c>
    </row>
    <row r="6" spans="2:34" x14ac:dyDescent="0.2">
      <c r="B6" s="533" t="str">
        <f>'Header Info'!B6</f>
        <v>AAR Component Services-Wellington</v>
      </c>
      <c r="C6" s="533" t="s">
        <v>578</v>
      </c>
      <c r="D6" s="533" t="str">
        <f>'Header Info'!C6</f>
        <v>L-5080</v>
      </c>
      <c r="E6" s="533" t="s">
        <v>588</v>
      </c>
      <c r="J6" s="196" t="s">
        <v>625</v>
      </c>
      <c r="K6" s="196" t="s">
        <v>624</v>
      </c>
      <c r="N6" s="533" t="s">
        <v>3500</v>
      </c>
      <c r="O6" s="533" t="s">
        <v>3457</v>
      </c>
      <c r="Q6" s="533" t="s">
        <v>363</v>
      </c>
      <c r="R6" s="533" t="s">
        <v>364</v>
      </c>
      <c r="S6" s="533" t="s">
        <v>355</v>
      </c>
      <c r="T6" s="533" t="s">
        <v>348</v>
      </c>
      <c r="U6" s="533" t="s">
        <v>365</v>
      </c>
      <c r="V6" s="533">
        <v>2916025</v>
      </c>
    </row>
    <row r="7" spans="2:34" x14ac:dyDescent="0.2">
      <c r="B7" s="533" t="str">
        <f>'Header Info'!B7</f>
        <v>AAR Component Services-Wellington</v>
      </c>
      <c r="C7" s="533" t="s">
        <v>578</v>
      </c>
      <c r="D7" s="533" t="str">
        <f>'Header Info'!C7</f>
        <v>L-5081 (ASSET #N00076)</v>
      </c>
      <c r="E7" s="533" t="s">
        <v>590</v>
      </c>
      <c r="J7" s="196" t="s">
        <v>629</v>
      </c>
      <c r="K7" s="196" t="s">
        <v>628</v>
      </c>
      <c r="N7" s="533" t="s">
        <v>341</v>
      </c>
      <c r="O7" s="533" t="s">
        <v>342</v>
      </c>
      <c r="Q7" s="533" t="s">
        <v>366</v>
      </c>
      <c r="R7" s="533" t="s">
        <v>367</v>
      </c>
      <c r="S7" s="533" t="s">
        <v>355</v>
      </c>
      <c r="T7" s="533" t="s">
        <v>348</v>
      </c>
      <c r="U7" s="533" t="s">
        <v>368</v>
      </c>
      <c r="V7" s="533">
        <v>2919050</v>
      </c>
    </row>
    <row r="8" spans="2:34" x14ac:dyDescent="0.2">
      <c r="B8" s="533" t="str">
        <f>'Header Info'!B8</f>
        <v>AAR Component Services-Wellington</v>
      </c>
      <c r="C8" s="533" t="s">
        <v>578</v>
      </c>
      <c r="D8" s="533" t="str">
        <f>'Header Info'!C8</f>
        <v>L-5082</v>
      </c>
      <c r="E8" s="533" t="s">
        <v>592</v>
      </c>
      <c r="J8" s="196" t="s">
        <v>1546</v>
      </c>
      <c r="K8" s="196" t="s">
        <v>1578</v>
      </c>
      <c r="N8" s="533" t="s">
        <v>343</v>
      </c>
      <c r="O8" s="533" t="s">
        <v>153</v>
      </c>
      <c r="Q8" s="533" t="s">
        <v>369</v>
      </c>
      <c r="R8" s="533" t="s">
        <v>370</v>
      </c>
      <c r="S8" s="533" t="s">
        <v>355</v>
      </c>
      <c r="T8" s="533" t="s">
        <v>348</v>
      </c>
      <c r="U8" s="533" t="s">
        <v>371</v>
      </c>
      <c r="V8" s="533">
        <v>9491033</v>
      </c>
    </row>
    <row r="9" spans="2:34" x14ac:dyDescent="0.2">
      <c r="B9" s="533" t="str">
        <f>'Header Info'!B9</f>
        <v>AAR Component Services-Wellington</v>
      </c>
      <c r="C9" s="533" t="s">
        <v>578</v>
      </c>
      <c r="D9" s="533" t="str">
        <f>'Header Info'!C9</f>
        <v>L-5084</v>
      </c>
      <c r="E9" s="533" t="s">
        <v>594</v>
      </c>
      <c r="J9" s="196" t="s">
        <v>632</v>
      </c>
      <c r="K9" s="196" t="s">
        <v>631</v>
      </c>
      <c r="N9" s="533" t="s">
        <v>344</v>
      </c>
      <c r="O9" s="533" t="s">
        <v>345</v>
      </c>
      <c r="Q9" s="533" t="s">
        <v>372</v>
      </c>
      <c r="R9" s="533" t="s">
        <v>373</v>
      </c>
      <c r="S9" s="533" t="s">
        <v>355</v>
      </c>
      <c r="T9" s="533" t="s">
        <v>348</v>
      </c>
      <c r="U9" s="533" t="s">
        <v>374</v>
      </c>
      <c r="V9" s="533">
        <v>9728087</v>
      </c>
    </row>
    <row r="10" spans="2:34" x14ac:dyDescent="0.2">
      <c r="B10" s="533" t="str">
        <f>'Header Info'!B10</f>
        <v>AAR Component Services-Wellington</v>
      </c>
      <c r="C10" s="533" t="s">
        <v>578</v>
      </c>
      <c r="D10" s="533" t="str">
        <f>'Header Info'!C10</f>
        <v>L-5128 (ASSET #N00147)</v>
      </c>
      <c r="E10" s="533" t="s">
        <v>596</v>
      </c>
      <c r="J10" s="196" t="s">
        <v>632</v>
      </c>
      <c r="K10" s="196" t="s">
        <v>643</v>
      </c>
      <c r="N10" s="533" t="s">
        <v>346</v>
      </c>
      <c r="O10" s="123" t="s">
        <v>143</v>
      </c>
      <c r="Q10" s="533" t="s">
        <v>1491</v>
      </c>
      <c r="R10" s="533" t="s">
        <v>1540</v>
      </c>
      <c r="S10" s="533" t="s">
        <v>1541</v>
      </c>
      <c r="T10" s="533" t="s">
        <v>1542</v>
      </c>
      <c r="U10" s="533"/>
      <c r="V10" s="533" t="s">
        <v>1461</v>
      </c>
    </row>
    <row r="11" spans="2:34" x14ac:dyDescent="0.2">
      <c r="B11" s="533" t="str">
        <f>'Header Info'!B11</f>
        <v>AAR Component Services-Wellington</v>
      </c>
      <c r="C11" s="533" t="s">
        <v>578</v>
      </c>
      <c r="D11" s="533" t="str">
        <f>'Header Info'!C11</f>
        <v>L-5180</v>
      </c>
      <c r="E11" s="533" t="s">
        <v>598</v>
      </c>
      <c r="J11" s="196" t="s">
        <v>644</v>
      </c>
      <c r="K11" s="196" t="s">
        <v>663</v>
      </c>
      <c r="N11" s="533" t="s">
        <v>1490</v>
      </c>
      <c r="O11" s="533" t="s">
        <v>259</v>
      </c>
      <c r="Q11" s="533" t="s">
        <v>376</v>
      </c>
      <c r="R11" s="533" t="s">
        <v>377</v>
      </c>
      <c r="S11" s="533" t="s">
        <v>73</v>
      </c>
      <c r="T11" s="533" t="s">
        <v>375</v>
      </c>
      <c r="U11" s="533" t="s">
        <v>60</v>
      </c>
      <c r="V11" s="533" t="s">
        <v>378</v>
      </c>
    </row>
    <row r="12" spans="2:34" x14ac:dyDescent="0.2">
      <c r="B12" s="533" t="str">
        <f>'Header Info'!B12</f>
        <v>AAR Component Services-Wellington</v>
      </c>
      <c r="C12" s="533" t="s">
        <v>578</v>
      </c>
      <c r="D12" s="533" t="str">
        <f>'Header Info'!C12</f>
        <v>L-5182</v>
      </c>
      <c r="E12" s="533" t="s">
        <v>600</v>
      </c>
      <c r="J12" s="196" t="s">
        <v>664</v>
      </c>
      <c r="K12" s="196" t="s">
        <v>669</v>
      </c>
      <c r="N12" s="533"/>
      <c r="O12" s="533"/>
      <c r="Q12" s="533" t="s">
        <v>379</v>
      </c>
      <c r="R12" s="533" t="s">
        <v>380</v>
      </c>
      <c r="S12" s="533" t="s">
        <v>73</v>
      </c>
      <c r="T12" s="533" t="s">
        <v>375</v>
      </c>
      <c r="U12" s="533" t="s">
        <v>72</v>
      </c>
      <c r="V12" s="533" t="s">
        <v>381</v>
      </c>
    </row>
    <row r="13" spans="2:34" x14ac:dyDescent="0.2">
      <c r="B13" s="533" t="str">
        <f>'Header Info'!B13</f>
        <v>AAR Component Services-Wellington</v>
      </c>
      <c r="C13" s="533" t="s">
        <v>578</v>
      </c>
      <c r="D13" s="533" t="str">
        <f>'Header Info'!C13</f>
        <v>L-5185</v>
      </c>
      <c r="E13" s="533" t="s">
        <v>602</v>
      </c>
      <c r="J13" s="196" t="s">
        <v>670</v>
      </c>
      <c r="K13" s="196" t="s">
        <v>677</v>
      </c>
      <c r="N13" s="533"/>
      <c r="O13" s="533"/>
      <c r="Q13" s="533" t="s">
        <v>382</v>
      </c>
      <c r="R13" s="533" t="s">
        <v>383</v>
      </c>
      <c r="S13" s="533" t="s">
        <v>73</v>
      </c>
      <c r="T13" s="533" t="s">
        <v>375</v>
      </c>
      <c r="U13" s="533" t="s">
        <v>76</v>
      </c>
      <c r="V13" s="533" t="s">
        <v>384</v>
      </c>
    </row>
    <row r="14" spans="2:34" x14ac:dyDescent="0.2">
      <c r="B14" s="533" t="str">
        <f>'Header Info'!B14</f>
        <v>AAR Component Services-Wellington</v>
      </c>
      <c r="C14" s="533" t="s">
        <v>578</v>
      </c>
      <c r="D14" s="533" t="str">
        <f>'Header Info'!C14</f>
        <v>L-5186</v>
      </c>
      <c r="E14" s="533" t="s">
        <v>604</v>
      </c>
      <c r="J14" s="196" t="s">
        <v>675</v>
      </c>
      <c r="K14" s="196" t="s">
        <v>717</v>
      </c>
      <c r="N14" s="533"/>
      <c r="O14" s="533"/>
      <c r="Q14" s="533" t="s">
        <v>385</v>
      </c>
      <c r="R14" s="533" t="s">
        <v>386</v>
      </c>
      <c r="S14" s="533" t="s">
        <v>73</v>
      </c>
      <c r="T14" s="533" t="s">
        <v>375</v>
      </c>
      <c r="U14" s="533" t="s">
        <v>180</v>
      </c>
      <c r="V14" s="533" t="s">
        <v>387</v>
      </c>
    </row>
    <row r="15" spans="2:34" x14ac:dyDescent="0.2">
      <c r="B15" s="533" t="str">
        <f>'Header Info'!B15</f>
        <v>AAR Component Services-Wellington</v>
      </c>
      <c r="C15" s="533" t="s">
        <v>605</v>
      </c>
      <c r="D15" s="533" t="str">
        <f>'Header Info'!C15</f>
        <v>L-10163</v>
      </c>
      <c r="E15" s="533" t="s">
        <v>606</v>
      </c>
      <c r="J15" s="196" t="s">
        <v>678</v>
      </c>
      <c r="K15" s="196" t="s">
        <v>746</v>
      </c>
      <c r="Q15" s="533" t="s">
        <v>550</v>
      </c>
      <c r="R15" s="533" t="s">
        <v>551</v>
      </c>
      <c r="S15" s="533" t="s">
        <v>73</v>
      </c>
      <c r="T15" s="533" t="s">
        <v>375</v>
      </c>
      <c r="U15" s="533" t="s">
        <v>150</v>
      </c>
      <c r="V15" s="533" t="s">
        <v>552</v>
      </c>
    </row>
    <row r="16" spans="2:34" x14ac:dyDescent="0.2">
      <c r="B16" s="533" t="str">
        <f>'Header Info'!B16</f>
        <v>AAR Component Services-Wellington</v>
      </c>
      <c r="C16" s="533" t="s">
        <v>605</v>
      </c>
      <c r="D16" s="533" t="str">
        <f>'Header Info'!C16</f>
        <v>L-10164</v>
      </c>
      <c r="E16" s="533" t="s">
        <v>607</v>
      </c>
      <c r="J16" s="196" t="s">
        <v>678</v>
      </c>
      <c r="K16" s="196" t="s">
        <v>333</v>
      </c>
      <c r="Q16" s="533" t="s">
        <v>388</v>
      </c>
      <c r="R16" s="533" t="s">
        <v>389</v>
      </c>
      <c r="S16" s="533" t="s">
        <v>73</v>
      </c>
      <c r="T16" s="533" t="s">
        <v>375</v>
      </c>
      <c r="U16" s="533" t="s">
        <v>164</v>
      </c>
      <c r="V16" s="533" t="s">
        <v>390</v>
      </c>
    </row>
    <row r="17" spans="2:22" x14ac:dyDescent="0.2">
      <c r="B17" s="533" t="str">
        <f>'Header Info'!B17</f>
        <v>ABSOLUTE DIMENSIONS</v>
      </c>
      <c r="C17" s="533" t="s">
        <v>1576</v>
      </c>
      <c r="D17" s="533" t="str">
        <f>'Header Info'!C17</f>
        <v>Oven No. 1</v>
      </c>
      <c r="E17" s="533" t="s">
        <v>1577</v>
      </c>
      <c r="J17" s="196" t="s">
        <v>678</v>
      </c>
      <c r="K17" s="196" t="s">
        <v>782</v>
      </c>
      <c r="Q17" s="533" t="s">
        <v>391</v>
      </c>
      <c r="R17" s="533" t="s">
        <v>392</v>
      </c>
      <c r="S17" s="533" t="s">
        <v>73</v>
      </c>
      <c r="T17" s="533" t="s">
        <v>375</v>
      </c>
      <c r="U17" s="533" t="s">
        <v>163</v>
      </c>
      <c r="V17" s="533" t="s">
        <v>393</v>
      </c>
    </row>
    <row r="18" spans="2:22" x14ac:dyDescent="0.2">
      <c r="B18" s="533" t="str">
        <f>'Header Info'!B18</f>
        <v>AERO METAL FORMS, INC.</v>
      </c>
      <c r="C18" s="533" t="s">
        <v>609</v>
      </c>
      <c r="D18" s="533" t="str">
        <f>'Header Info'!C18</f>
        <v>QUINCY OVEN</v>
      </c>
      <c r="E18" s="533" t="s">
        <v>610</v>
      </c>
      <c r="J18" s="196" t="s">
        <v>699</v>
      </c>
      <c r="K18" s="196" t="s">
        <v>807</v>
      </c>
      <c r="Q18" s="533" t="s">
        <v>394</v>
      </c>
      <c r="R18" s="533" t="s">
        <v>395</v>
      </c>
      <c r="S18" s="533" t="s">
        <v>73</v>
      </c>
      <c r="T18" s="533" t="s">
        <v>375</v>
      </c>
      <c r="U18" s="533" t="s">
        <v>241</v>
      </c>
      <c r="V18" s="533" t="s">
        <v>396</v>
      </c>
    </row>
    <row r="19" spans="2:22" x14ac:dyDescent="0.2">
      <c r="B19" s="533" t="str">
        <f>'Header Info'!B19</f>
        <v>AERO METAL FORMS, INC.</v>
      </c>
      <c r="C19" s="533" t="s">
        <v>609</v>
      </c>
      <c r="D19" s="533" t="str">
        <f>'Header Info'!C19</f>
        <v>OVEN NO. 1</v>
      </c>
      <c r="E19" s="533" t="s">
        <v>611</v>
      </c>
      <c r="J19" s="196" t="s">
        <v>699</v>
      </c>
      <c r="K19" s="196" t="s">
        <v>810</v>
      </c>
      <c r="Q19" s="533" t="s">
        <v>1684</v>
      </c>
      <c r="R19" s="533" t="s">
        <v>1685</v>
      </c>
      <c r="S19" s="533" t="s">
        <v>397</v>
      </c>
      <c r="T19" s="533" t="s">
        <v>398</v>
      </c>
      <c r="U19" s="533" t="s">
        <v>1686</v>
      </c>
      <c r="V19" s="533" t="s">
        <v>1687</v>
      </c>
    </row>
    <row r="20" spans="2:22" x14ac:dyDescent="0.2">
      <c r="B20" s="533" t="str">
        <f>'Header Info'!B20</f>
        <v>AEROSPACE TESTING SERVICES</v>
      </c>
      <c r="C20" s="533" t="s">
        <v>609</v>
      </c>
      <c r="D20" s="533" t="str">
        <f>'Header Info'!C20</f>
        <v>ATS 0233</v>
      </c>
      <c r="E20" s="533" t="s">
        <v>613</v>
      </c>
      <c r="J20" s="196" t="s">
        <v>699</v>
      </c>
      <c r="K20" s="196" t="s">
        <v>827</v>
      </c>
      <c r="Q20" s="533" t="s">
        <v>399</v>
      </c>
      <c r="R20" s="533" t="s">
        <v>400</v>
      </c>
      <c r="S20" s="533" t="s">
        <v>397</v>
      </c>
      <c r="T20" s="533" t="s">
        <v>398</v>
      </c>
      <c r="U20" s="533" t="s">
        <v>401</v>
      </c>
      <c r="V20" s="533" t="s">
        <v>402</v>
      </c>
    </row>
    <row r="21" spans="2:22" x14ac:dyDescent="0.2">
      <c r="B21" s="533" t="str">
        <f>'Header Info'!B21</f>
        <v>AEROSPACE TESTING SERVICES</v>
      </c>
      <c r="C21" s="533" t="s">
        <v>615</v>
      </c>
      <c r="D21" s="533" t="str">
        <f>'Header Info'!C21</f>
        <v>ATS 0234</v>
      </c>
      <c r="E21" s="533" t="s">
        <v>1644</v>
      </c>
      <c r="J21" s="196" t="s">
        <v>699</v>
      </c>
      <c r="K21" s="196" t="s">
        <v>832</v>
      </c>
      <c r="Q21" s="533" t="s">
        <v>558</v>
      </c>
      <c r="R21" s="533" t="s">
        <v>559</v>
      </c>
      <c r="S21" s="533" t="s">
        <v>560</v>
      </c>
      <c r="T21" s="533" t="s">
        <v>561</v>
      </c>
      <c r="U21" s="533" t="s">
        <v>562</v>
      </c>
      <c r="V21" s="533" t="s">
        <v>563</v>
      </c>
    </row>
    <row r="22" spans="2:22" x14ac:dyDescent="0.2">
      <c r="B22" s="533" t="str">
        <f>'Header Info'!B22</f>
        <v>AEROSPACE TESTING SERVICES</v>
      </c>
      <c r="C22" s="533" t="s">
        <v>615</v>
      </c>
      <c r="D22" s="533" t="str">
        <f>'Header Info'!C22</f>
        <v>ATS0013</v>
      </c>
      <c r="E22" s="533" t="s">
        <v>1646</v>
      </c>
      <c r="J22" s="196" t="s">
        <v>747</v>
      </c>
      <c r="K22" s="196" t="s">
        <v>1356</v>
      </c>
      <c r="Q22" s="533" t="s">
        <v>564</v>
      </c>
      <c r="R22" s="533" t="s">
        <v>565</v>
      </c>
      <c r="S22" s="533" t="s">
        <v>566</v>
      </c>
      <c r="T22" s="533" t="s">
        <v>567</v>
      </c>
      <c r="U22" s="533" t="s">
        <v>568</v>
      </c>
      <c r="V22" s="533">
        <v>355114</v>
      </c>
    </row>
    <row r="23" spans="2:22" x14ac:dyDescent="0.2">
      <c r="B23" s="533" t="str">
        <f>'Header Info'!B23</f>
        <v>AEROSPACE TESTING SERVICES</v>
      </c>
      <c r="C23" s="533" t="s">
        <v>615</v>
      </c>
      <c r="D23" s="533" t="str">
        <f>'Header Info'!C23</f>
        <v>ATS0115</v>
      </c>
      <c r="E23" s="533" t="s">
        <v>1648</v>
      </c>
      <c r="J23" s="196" t="s">
        <v>760</v>
      </c>
      <c r="K23" s="196" t="s">
        <v>873</v>
      </c>
      <c r="Q23" s="533" t="s">
        <v>3501</v>
      </c>
      <c r="R23" s="533" t="s">
        <v>3502</v>
      </c>
      <c r="S23" s="533" t="s">
        <v>3503</v>
      </c>
      <c r="T23" s="533" t="s">
        <v>3504</v>
      </c>
      <c r="U23" s="533" t="s">
        <v>3505</v>
      </c>
      <c r="V23" s="533">
        <v>12799</v>
      </c>
    </row>
    <row r="24" spans="2:22" x14ac:dyDescent="0.2">
      <c r="B24" s="533" t="str">
        <f>'Header Info'!B24</f>
        <v>AEROSPACE TESTING SERVICES</v>
      </c>
      <c r="C24" s="533" t="s">
        <v>615</v>
      </c>
      <c r="D24" s="533" t="str">
        <f>'Header Info'!C24</f>
        <v>ATS0243</v>
      </c>
      <c r="E24" s="533" t="s">
        <v>617</v>
      </c>
      <c r="J24" s="196" t="s">
        <v>760</v>
      </c>
      <c r="K24" s="196" t="s">
        <v>853</v>
      </c>
      <c r="Q24" s="533" t="s">
        <v>3506</v>
      </c>
      <c r="R24" s="533" t="s">
        <v>3507</v>
      </c>
      <c r="S24" s="533" t="s">
        <v>1948</v>
      </c>
      <c r="T24" s="533" t="s">
        <v>3508</v>
      </c>
      <c r="U24" s="533" t="s">
        <v>3509</v>
      </c>
      <c r="V24" s="533" t="s">
        <v>3510</v>
      </c>
    </row>
    <row r="25" spans="2:22" x14ac:dyDescent="0.2">
      <c r="B25" s="533" t="str">
        <f>'Header Info'!B25</f>
        <v>AEROSPACE TESTING SERVICES</v>
      </c>
      <c r="C25" s="533" t="s">
        <v>615</v>
      </c>
      <c r="D25" s="533" t="str">
        <f>'Header Info'!C25</f>
        <v>ATS0252</v>
      </c>
      <c r="E25" s="533" t="s">
        <v>619</v>
      </c>
      <c r="J25" s="196" t="s">
        <v>760</v>
      </c>
      <c r="K25" s="196" t="s">
        <v>864</v>
      </c>
      <c r="Q25" s="533" t="s">
        <v>403</v>
      </c>
      <c r="R25" s="533" t="s">
        <v>404</v>
      </c>
      <c r="S25" s="533" t="s">
        <v>405</v>
      </c>
      <c r="T25" s="533" t="s">
        <v>406</v>
      </c>
      <c r="U25" s="533" t="s">
        <v>407</v>
      </c>
      <c r="V25" s="533" t="s">
        <v>407</v>
      </c>
    </row>
    <row r="26" spans="2:22" x14ac:dyDescent="0.2">
      <c r="B26" s="533" t="str">
        <f>'Header Info'!B26</f>
        <v>AIR CAPITAL INTERIORS</v>
      </c>
      <c r="C26" s="533" t="s">
        <v>621</v>
      </c>
      <c r="D26" s="533" t="str">
        <f>'Header Info'!C26</f>
        <v>SPRAY BOOTH NO. 1</v>
      </c>
      <c r="E26" s="533" t="s">
        <v>1535</v>
      </c>
      <c r="J26" s="196" t="s">
        <v>783</v>
      </c>
      <c r="K26" s="196" t="s">
        <v>880</v>
      </c>
      <c r="Q26" s="533" t="s">
        <v>3511</v>
      </c>
      <c r="R26" s="533" t="s">
        <v>3512</v>
      </c>
      <c r="S26" s="533" t="s">
        <v>3513</v>
      </c>
      <c r="T26" s="533" t="s">
        <v>3514</v>
      </c>
      <c r="U26" s="533" t="s">
        <v>3515</v>
      </c>
      <c r="V26" s="533" t="s">
        <v>3510</v>
      </c>
    </row>
    <row r="27" spans="2:22" x14ac:dyDescent="0.2">
      <c r="B27" s="533" t="str">
        <f>'Header Info'!B27</f>
        <v>AIR CAPITAL INTERIORS</v>
      </c>
      <c r="C27" s="533" t="s">
        <v>621</v>
      </c>
      <c r="D27" s="533" t="str">
        <f>'Header Info'!C27</f>
        <v>SPRAY BOOTH NO. 2</v>
      </c>
      <c r="E27" s="533" t="s">
        <v>623</v>
      </c>
      <c r="J27" s="196" t="s">
        <v>833</v>
      </c>
      <c r="K27" s="196" t="s">
        <v>904</v>
      </c>
      <c r="Q27" s="533" t="s">
        <v>408</v>
      </c>
      <c r="R27" s="533" t="s">
        <v>409</v>
      </c>
      <c r="S27" s="533" t="s">
        <v>410</v>
      </c>
      <c r="T27" s="533" t="s">
        <v>411</v>
      </c>
      <c r="U27" s="533" t="s">
        <v>412</v>
      </c>
      <c r="V27" s="533" t="s">
        <v>413</v>
      </c>
    </row>
    <row r="28" spans="2:22" x14ac:dyDescent="0.2">
      <c r="B28" s="533" t="str">
        <f>'Header Info'!B28</f>
        <v>AIR CAPITAL INTERIORS</v>
      </c>
      <c r="C28" s="533" t="s">
        <v>621</v>
      </c>
      <c r="D28" s="533" t="str">
        <f>'Header Info'!C28</f>
        <v>SPRAY BOOTH NO. 3</v>
      </c>
      <c r="E28" s="533" t="s">
        <v>3458</v>
      </c>
      <c r="J28" s="196" t="s">
        <v>854</v>
      </c>
      <c r="K28" s="196" t="s">
        <v>3394</v>
      </c>
      <c r="Q28" s="533" t="s">
        <v>414</v>
      </c>
      <c r="R28" s="533" t="s">
        <v>1403</v>
      </c>
      <c r="S28" s="533" t="s">
        <v>410</v>
      </c>
      <c r="T28" s="533" t="s">
        <v>411</v>
      </c>
      <c r="U28" s="533" t="s">
        <v>1404</v>
      </c>
      <c r="V28" s="533" t="s">
        <v>1405</v>
      </c>
    </row>
    <row r="29" spans="2:22" x14ac:dyDescent="0.2">
      <c r="B29" s="533" t="str">
        <f>'Header Info'!B29</f>
        <v>AIR CAPITAL NDI</v>
      </c>
      <c r="C29" s="533" t="s">
        <v>625</v>
      </c>
      <c r="D29" s="533" t="str">
        <f>'Header Info'!C29</f>
        <v>AIR CAPITAL NDI OVEN</v>
      </c>
      <c r="E29" s="533" t="s">
        <v>627</v>
      </c>
      <c r="J29" s="196" t="s">
        <v>854</v>
      </c>
      <c r="K29" s="196" t="s">
        <v>923</v>
      </c>
      <c r="Q29" s="533" t="s">
        <v>415</v>
      </c>
      <c r="R29" s="533" t="s">
        <v>416</v>
      </c>
      <c r="S29" s="533" t="s">
        <v>417</v>
      </c>
      <c r="T29" s="533" t="s">
        <v>411</v>
      </c>
      <c r="U29" s="533" t="s">
        <v>418</v>
      </c>
      <c r="V29" s="533" t="s">
        <v>419</v>
      </c>
    </row>
    <row r="30" spans="2:22" x14ac:dyDescent="0.2">
      <c r="B30" s="533" t="str">
        <f>'Header Info'!B30</f>
        <v>AIRCRAFT &amp; COMMERCIAL ENT.</v>
      </c>
      <c r="C30" s="533" t="s">
        <v>629</v>
      </c>
      <c r="D30" s="533" t="str">
        <f>'Header Info'!C30</f>
        <v>DKN-602</v>
      </c>
      <c r="E30" s="533" t="s">
        <v>630</v>
      </c>
      <c r="J30" s="196" t="s">
        <v>854</v>
      </c>
      <c r="K30" s="196" t="s">
        <v>5179</v>
      </c>
      <c r="Q30" s="533" t="s">
        <v>420</v>
      </c>
      <c r="R30" s="533" t="s">
        <v>421</v>
      </c>
      <c r="S30" s="533" t="s">
        <v>422</v>
      </c>
      <c r="T30" s="533" t="s">
        <v>411</v>
      </c>
      <c r="U30" s="533" t="s">
        <v>423</v>
      </c>
      <c r="V30" s="533" t="s">
        <v>424</v>
      </c>
    </row>
    <row r="31" spans="2:22" x14ac:dyDescent="0.2">
      <c r="B31" s="533" t="str">
        <f>'Header Info'!B31</f>
        <v>ALBERS FINISHING &amp; SOLUTIONS LLC</v>
      </c>
      <c r="C31" s="533" t="s">
        <v>1546</v>
      </c>
      <c r="D31" s="533" t="str">
        <f>'Header Info'!C31</f>
        <v>Air Dryer Tank</v>
      </c>
      <c r="E31" s="533" t="s">
        <v>1583</v>
      </c>
      <c r="J31" s="196" t="s">
        <v>854</v>
      </c>
      <c r="K31" s="196" t="s">
        <v>928</v>
      </c>
      <c r="Q31" s="533" t="s">
        <v>425</v>
      </c>
      <c r="R31" s="533" t="s">
        <v>569</v>
      </c>
      <c r="S31" s="533" t="s">
        <v>426</v>
      </c>
      <c r="T31" s="533" t="s">
        <v>411</v>
      </c>
      <c r="U31" s="533" t="s">
        <v>427</v>
      </c>
      <c r="V31" s="533" t="s">
        <v>570</v>
      </c>
    </row>
    <row r="32" spans="2:22" x14ac:dyDescent="0.2">
      <c r="B32" s="533" t="str">
        <f>'Header Info'!B32</f>
        <v>ALBERS FINISHING &amp; SOLUTIONS LLC</v>
      </c>
      <c r="C32" s="533" t="s">
        <v>1546</v>
      </c>
      <c r="D32" s="533" t="str">
        <f>'Header Info'!C32</f>
        <v>Cure Oven No. 1</v>
      </c>
      <c r="E32" s="533" t="s">
        <v>1582</v>
      </c>
      <c r="J32" s="196" t="s">
        <v>881</v>
      </c>
      <c r="K32" s="196" t="s">
        <v>945</v>
      </c>
      <c r="Q32" s="533" t="s">
        <v>428</v>
      </c>
      <c r="R32" s="533" t="s">
        <v>429</v>
      </c>
      <c r="S32" s="533" t="s">
        <v>426</v>
      </c>
      <c r="T32" s="533" t="s">
        <v>411</v>
      </c>
      <c r="U32" s="533" t="s">
        <v>430</v>
      </c>
      <c r="V32" s="533" t="s">
        <v>431</v>
      </c>
    </row>
    <row r="33" spans="2:22" x14ac:dyDescent="0.2">
      <c r="B33" s="533" t="str">
        <f>'Header Info'!B33</f>
        <v>ALBERS FINISHING &amp; SOLUTIONS LLC</v>
      </c>
      <c r="C33" s="533" t="s">
        <v>1546</v>
      </c>
      <c r="D33" s="533" t="str">
        <f>'Header Info'!C33</f>
        <v>Penetrant Oven</v>
      </c>
      <c r="E33" s="533" t="s">
        <v>1580</v>
      </c>
      <c r="J33" s="196" t="s">
        <v>881</v>
      </c>
      <c r="K33" s="196" t="s">
        <v>952</v>
      </c>
      <c r="Q33" s="533" t="s">
        <v>1631</v>
      </c>
      <c r="R33" s="533" t="s">
        <v>1632</v>
      </c>
      <c r="S33" s="533" t="s">
        <v>1633</v>
      </c>
      <c r="T33" s="533" t="s">
        <v>411</v>
      </c>
      <c r="U33" s="533" t="s">
        <v>1634</v>
      </c>
      <c r="V33" s="533" t="s">
        <v>1635</v>
      </c>
    </row>
    <row r="34" spans="2:22" x14ac:dyDescent="0.2">
      <c r="B34" s="533" t="str">
        <f>'Header Info'!B34</f>
        <v>ALBERS FINISHING &amp; SOLUTIONS LLC</v>
      </c>
      <c r="C34" s="533" t="s">
        <v>1546</v>
      </c>
      <c r="D34" s="533" t="str">
        <f>'Header Info'!C34</f>
        <v>Tank 301 Aqueous Degreaser</v>
      </c>
      <c r="E34" s="533" t="s">
        <v>1585</v>
      </c>
      <c r="J34" s="196" t="s">
        <v>881</v>
      </c>
      <c r="K34" s="196" t="s">
        <v>4701</v>
      </c>
      <c r="Q34" s="533" t="s">
        <v>433</v>
      </c>
      <c r="R34" s="533" t="s">
        <v>434</v>
      </c>
      <c r="S34" s="533"/>
      <c r="T34" s="533" t="s">
        <v>432</v>
      </c>
      <c r="U34" s="533" t="s">
        <v>435</v>
      </c>
      <c r="V34" s="533" t="s">
        <v>436</v>
      </c>
    </row>
    <row r="35" spans="2:22" x14ac:dyDescent="0.2">
      <c r="B35" s="533" t="str">
        <f>'Header Info'!B35</f>
        <v>ALBERS FINISHING &amp; SOLUTIONS LLC</v>
      </c>
      <c r="C35" s="533" t="s">
        <v>1546</v>
      </c>
      <c r="D35" s="533" t="str">
        <f>'Header Info'!C35</f>
        <v>Tank 302A Immersion Rinse (RO Water)</v>
      </c>
      <c r="E35" s="533" t="s">
        <v>1548</v>
      </c>
      <c r="J35" s="196" t="s">
        <v>881</v>
      </c>
      <c r="K35" s="44" t="s">
        <v>1656</v>
      </c>
      <c r="Q35" s="533" t="s">
        <v>437</v>
      </c>
      <c r="R35" s="533" t="s">
        <v>438</v>
      </c>
      <c r="S35" s="533"/>
      <c r="T35" s="533" t="s">
        <v>439</v>
      </c>
      <c r="U35" s="533" t="s">
        <v>440</v>
      </c>
      <c r="V35" s="533" t="s">
        <v>441</v>
      </c>
    </row>
    <row r="36" spans="2:22" x14ac:dyDescent="0.2">
      <c r="B36" s="533" t="str">
        <f>'Header Info'!B36</f>
        <v>ALBERS FINISHING &amp; SOLUTIONS LLC</v>
      </c>
      <c r="C36" s="533" t="s">
        <v>1546</v>
      </c>
      <c r="D36" s="533" t="str">
        <f>'Header Info'!C36</f>
        <v>Tank 303 Alkaline Clean</v>
      </c>
      <c r="E36" s="533" t="s">
        <v>1587</v>
      </c>
      <c r="J36" s="196" t="s">
        <v>881</v>
      </c>
      <c r="K36" s="196" t="s">
        <v>958</v>
      </c>
      <c r="Q36" s="533" t="s">
        <v>1691</v>
      </c>
      <c r="R36" s="533" t="s">
        <v>1692</v>
      </c>
      <c r="S36" s="533" t="s">
        <v>1407</v>
      </c>
      <c r="T36" s="533" t="s">
        <v>443</v>
      </c>
      <c r="U36" s="533" t="s">
        <v>1690</v>
      </c>
      <c r="V36" s="533" t="s">
        <v>1690</v>
      </c>
    </row>
    <row r="37" spans="2:22" x14ac:dyDescent="0.2">
      <c r="B37" s="533" t="str">
        <f>'Header Info'!B37</f>
        <v>ALBERS FINISHING &amp; SOLUTIONS LLC</v>
      </c>
      <c r="C37" s="533" t="s">
        <v>1546</v>
      </c>
      <c r="D37" s="533" t="str">
        <f>'Header Info'!C37</f>
        <v>Tank 304 Immersion Rinse (RO Water Make Up)</v>
      </c>
      <c r="E37" s="533" t="s">
        <v>1589</v>
      </c>
      <c r="J37" s="196" t="s">
        <v>905</v>
      </c>
      <c r="K37" s="196" t="s">
        <v>983</v>
      </c>
      <c r="Q37" s="533" t="s">
        <v>1689</v>
      </c>
      <c r="R37" s="533" t="s">
        <v>1692</v>
      </c>
      <c r="S37" s="533" t="s">
        <v>1407</v>
      </c>
      <c r="T37" s="533" t="s">
        <v>443</v>
      </c>
      <c r="U37" s="533" t="s">
        <v>1690</v>
      </c>
      <c r="V37" s="533" t="s">
        <v>1690</v>
      </c>
    </row>
    <row r="38" spans="2:22" x14ac:dyDescent="0.2">
      <c r="B38" s="533" t="str">
        <f>'Header Info'!B38</f>
        <v>ALBERS FINISHING &amp; SOLUTIONS LLC</v>
      </c>
      <c r="C38" s="533" t="s">
        <v>1546</v>
      </c>
      <c r="D38" s="533" t="str">
        <f>'Header Info'!C38</f>
        <v>Tank 305 Alkaline Etch</v>
      </c>
      <c r="E38" s="533" t="s">
        <v>1591</v>
      </c>
      <c r="J38" s="196" t="s">
        <v>905</v>
      </c>
      <c r="K38" s="196" t="s">
        <v>4426</v>
      </c>
      <c r="Q38" s="533" t="s">
        <v>3516</v>
      </c>
      <c r="R38" s="533" t="s">
        <v>3517</v>
      </c>
      <c r="S38" s="533" t="s">
        <v>1407</v>
      </c>
      <c r="T38" s="533" t="s">
        <v>443</v>
      </c>
      <c r="U38" s="533" t="s">
        <v>3518</v>
      </c>
      <c r="V38" s="533" t="s">
        <v>3518</v>
      </c>
    </row>
    <row r="39" spans="2:22" x14ac:dyDescent="0.2">
      <c r="B39" s="533" t="str">
        <f>'Header Info'!B39</f>
        <v>ALBERS FINISHING &amp; SOLUTIONS LLC</v>
      </c>
      <c r="C39" s="533" t="s">
        <v>1546</v>
      </c>
      <c r="D39" s="533" t="str">
        <f>'Header Info'!C39</f>
        <v>Tank 307 Deoxidizer</v>
      </c>
      <c r="E39" s="533" t="s">
        <v>1593</v>
      </c>
      <c r="J39" s="196" t="s">
        <v>905</v>
      </c>
      <c r="K39" s="196" t="s">
        <v>1470</v>
      </c>
      <c r="Q39" s="533" t="s">
        <v>442</v>
      </c>
      <c r="R39" s="533" t="s">
        <v>1637</v>
      </c>
      <c r="S39" s="533" t="s">
        <v>1407</v>
      </c>
      <c r="T39" s="533" t="s">
        <v>443</v>
      </c>
      <c r="U39" s="533" t="s">
        <v>444</v>
      </c>
      <c r="V39" s="533" t="s">
        <v>1636</v>
      </c>
    </row>
    <row r="40" spans="2:22" x14ac:dyDescent="0.2">
      <c r="B40" s="533" t="str">
        <f>'Header Info'!B40</f>
        <v>ALBERS FINISHING &amp; SOLUTIONS LLC</v>
      </c>
      <c r="C40" s="533" t="s">
        <v>1546</v>
      </c>
      <c r="D40" s="533" t="str">
        <f>'Header Info'!C40</f>
        <v>Tank 310 Chem Film</v>
      </c>
      <c r="E40" s="533" t="s">
        <v>1594</v>
      </c>
      <c r="J40" s="196" t="s">
        <v>905</v>
      </c>
      <c r="K40" s="196" t="s">
        <v>991</v>
      </c>
      <c r="Q40" s="533" t="s">
        <v>447</v>
      </c>
      <c r="R40" s="533" t="s">
        <v>448</v>
      </c>
      <c r="S40" s="533" t="s">
        <v>446</v>
      </c>
      <c r="T40" s="533" t="s">
        <v>443</v>
      </c>
      <c r="U40" s="533" t="s">
        <v>449</v>
      </c>
      <c r="V40" s="533" t="s">
        <v>450</v>
      </c>
    </row>
    <row r="41" spans="2:22" x14ac:dyDescent="0.2">
      <c r="B41" s="533" t="str">
        <f>'Header Info'!B41</f>
        <v>ALBERS FINISHING &amp; SOLUTIONS LLC</v>
      </c>
      <c r="C41" s="533" t="s">
        <v>632</v>
      </c>
      <c r="D41" s="533" t="str">
        <f>'Header Info'!C41</f>
        <v>Tank 312 Boric Sulfuric Anodize</v>
      </c>
      <c r="E41" s="533" t="s">
        <v>633</v>
      </c>
      <c r="J41" s="196" t="s">
        <v>905</v>
      </c>
      <c r="K41" s="196" t="s">
        <v>997</v>
      </c>
      <c r="Q41" s="533" t="s">
        <v>451</v>
      </c>
      <c r="R41" s="533" t="s">
        <v>452</v>
      </c>
      <c r="S41" s="533" t="s">
        <v>446</v>
      </c>
      <c r="T41" s="533" t="s">
        <v>443</v>
      </c>
      <c r="U41" s="533" t="s">
        <v>453</v>
      </c>
      <c r="V41" s="533" t="s">
        <v>454</v>
      </c>
    </row>
    <row r="42" spans="2:22" x14ac:dyDescent="0.2">
      <c r="B42" s="533" t="str">
        <f>'Header Info'!B42</f>
        <v>ALBERS FINISHING &amp; SOLUTIONS LLC</v>
      </c>
      <c r="C42" s="533" t="s">
        <v>632</v>
      </c>
      <c r="D42" s="533" t="str">
        <f>'Header Info'!C42</f>
        <v>Tank 317 Dilute Chromate Seal</v>
      </c>
      <c r="E42" s="533" t="s">
        <v>642</v>
      </c>
      <c r="J42" s="196" t="s">
        <v>905</v>
      </c>
      <c r="K42" s="196" t="s">
        <v>1001</v>
      </c>
      <c r="Q42" s="533" t="s">
        <v>3519</v>
      </c>
      <c r="R42" s="533" t="s">
        <v>3520</v>
      </c>
      <c r="S42" s="533" t="s">
        <v>109</v>
      </c>
      <c r="T42" s="533" t="s">
        <v>3521</v>
      </c>
      <c r="U42" s="533" t="s">
        <v>3515</v>
      </c>
      <c r="V42" s="533" t="s">
        <v>3510</v>
      </c>
    </row>
    <row r="43" spans="2:22" x14ac:dyDescent="0.2">
      <c r="B43" s="533" t="str">
        <f>'Header Info'!B43</f>
        <v>APEX COMPOSITES - OKLAHOMA DIV.</v>
      </c>
      <c r="C43" s="533" t="s">
        <v>632</v>
      </c>
      <c r="D43" s="533" t="str">
        <f>'Header Info'!C43</f>
        <v>AUTOCLAVE NO. 1</v>
      </c>
      <c r="E43" s="533" t="s">
        <v>636</v>
      </c>
      <c r="J43" s="196" t="s">
        <v>905</v>
      </c>
      <c r="K43" s="196" t="s">
        <v>1004</v>
      </c>
      <c r="Q43" s="533" t="s">
        <v>455</v>
      </c>
      <c r="R43" s="533" t="s">
        <v>1406</v>
      </c>
      <c r="S43" s="533" t="s">
        <v>1407</v>
      </c>
      <c r="T43" s="533" t="s">
        <v>456</v>
      </c>
      <c r="U43" s="533"/>
      <c r="V43" s="533" t="s">
        <v>457</v>
      </c>
    </row>
    <row r="44" spans="2:22" x14ac:dyDescent="0.2">
      <c r="B44" s="533" t="str">
        <f>'Header Info'!B44</f>
        <v>APEX COMPOSITES - OKLAHOMA DIV.</v>
      </c>
      <c r="C44" s="533" t="s">
        <v>632</v>
      </c>
      <c r="D44" s="533" t="str">
        <f>'Header Info'!C44</f>
        <v>AUTOCLAVE NO. 3</v>
      </c>
      <c r="E44" s="533" t="s">
        <v>635</v>
      </c>
      <c r="J44" s="196" t="s">
        <v>905</v>
      </c>
      <c r="K44" s="196" t="s">
        <v>1552</v>
      </c>
      <c r="Q44" s="533" t="s">
        <v>1408</v>
      </c>
      <c r="R44" s="533" t="s">
        <v>1409</v>
      </c>
      <c r="S44" s="533" t="s">
        <v>1407</v>
      </c>
      <c r="T44" s="533" t="s">
        <v>456</v>
      </c>
      <c r="U44" s="533"/>
      <c r="V44" s="533" t="s">
        <v>1410</v>
      </c>
    </row>
    <row r="45" spans="2:22" x14ac:dyDescent="0.2">
      <c r="B45" s="533" t="str">
        <f>'Header Info'!B45</f>
        <v>APEX COMPOSITES - OKLAHOMA DIV.</v>
      </c>
      <c r="C45" s="533" t="s">
        <v>632</v>
      </c>
      <c r="D45" s="533" t="str">
        <f>'Header Info'!C45</f>
        <v>CURE OVEN NO. 4</v>
      </c>
      <c r="E45" s="533" t="s">
        <v>640</v>
      </c>
      <c r="J45" s="196" t="s">
        <v>905</v>
      </c>
      <c r="K45" s="196" t="s">
        <v>1009</v>
      </c>
      <c r="Q45" s="533" t="s">
        <v>458</v>
      </c>
      <c r="R45" s="533" t="s">
        <v>1411</v>
      </c>
      <c r="S45" s="533" t="s">
        <v>1407</v>
      </c>
      <c r="T45" s="533" t="s">
        <v>456</v>
      </c>
      <c r="U45" s="533" t="s">
        <v>459</v>
      </c>
      <c r="V45" s="533" t="s">
        <v>460</v>
      </c>
    </row>
    <row r="46" spans="2:22" x14ac:dyDescent="0.2">
      <c r="B46" s="533" t="str">
        <f>'Header Info'!B46</f>
        <v>APEX COMPOSITES - OKLAHOMA DIV.</v>
      </c>
      <c r="C46" s="533" t="s">
        <v>632</v>
      </c>
      <c r="D46" s="533" t="str">
        <f>'Header Info'!C46</f>
        <v>OVEN NO. 5</v>
      </c>
      <c r="E46" s="533" t="s">
        <v>638</v>
      </c>
      <c r="J46" s="196" t="s">
        <v>946</v>
      </c>
      <c r="K46" s="196" t="s">
        <v>1035</v>
      </c>
      <c r="Q46" s="533" t="s">
        <v>461</v>
      </c>
      <c r="R46" s="533" t="s">
        <v>1412</v>
      </c>
      <c r="S46" s="533" t="s">
        <v>1407</v>
      </c>
      <c r="T46" s="533" t="s">
        <v>456</v>
      </c>
      <c r="U46" s="533" t="s">
        <v>462</v>
      </c>
      <c r="V46" s="533" t="s">
        <v>463</v>
      </c>
    </row>
    <row r="47" spans="2:22" x14ac:dyDescent="0.2">
      <c r="B47" s="533" t="str">
        <f>'Header Info'!B47</f>
        <v>APEX ENGINEERING WICHITA DIV.</v>
      </c>
      <c r="C47" s="533" t="s">
        <v>632</v>
      </c>
      <c r="D47" s="533" t="str">
        <f>'Header Info'!C47</f>
        <v>AEI-060</v>
      </c>
      <c r="E47" s="533" t="s">
        <v>641</v>
      </c>
      <c r="J47" s="196" t="s">
        <v>946</v>
      </c>
      <c r="K47" s="196" t="s">
        <v>1598</v>
      </c>
      <c r="Q47" s="533" t="s">
        <v>464</v>
      </c>
      <c r="R47" s="533" t="s">
        <v>1413</v>
      </c>
      <c r="S47" s="533" t="s">
        <v>1407</v>
      </c>
      <c r="T47" s="533" t="s">
        <v>456</v>
      </c>
      <c r="U47" s="533" t="s">
        <v>465</v>
      </c>
      <c r="V47" s="533" t="s">
        <v>466</v>
      </c>
    </row>
    <row r="48" spans="2:22" x14ac:dyDescent="0.2">
      <c r="B48" s="533" t="str">
        <f>'Header Info'!B48</f>
        <v>APEX ENGINEERING WICHITA DIV.</v>
      </c>
      <c r="C48" s="533" t="s">
        <v>644</v>
      </c>
      <c r="D48" s="533" t="str">
        <f>'Header Info'!C48</f>
        <v>AEI-113</v>
      </c>
      <c r="E48" s="533" t="s">
        <v>652</v>
      </c>
      <c r="J48" s="196" t="s">
        <v>949</v>
      </c>
      <c r="K48" s="196" t="s">
        <v>3465</v>
      </c>
      <c r="Q48" s="533" t="s">
        <v>467</v>
      </c>
      <c r="R48" s="533" t="s">
        <v>1414</v>
      </c>
      <c r="S48" s="533" t="s">
        <v>1407</v>
      </c>
      <c r="T48" s="533" t="s">
        <v>456</v>
      </c>
      <c r="U48" s="533" t="s">
        <v>468</v>
      </c>
      <c r="V48" s="533" t="s">
        <v>469</v>
      </c>
    </row>
    <row r="49" spans="2:22" x14ac:dyDescent="0.2">
      <c r="B49" s="533" t="str">
        <f>'Header Info'!B49</f>
        <v>APEX ENGINEERING WICHITA DIV.</v>
      </c>
      <c r="C49" s="533" t="s">
        <v>644</v>
      </c>
      <c r="D49" s="533" t="str">
        <f>'Header Info'!C49</f>
        <v>AEI-129 FREEZER</v>
      </c>
      <c r="E49" s="533" t="s">
        <v>650</v>
      </c>
      <c r="J49" s="196" t="s">
        <v>953</v>
      </c>
      <c r="K49" s="196" t="s">
        <v>5206</v>
      </c>
      <c r="Q49" s="533" t="s">
        <v>470</v>
      </c>
      <c r="R49" s="533" t="s">
        <v>1415</v>
      </c>
      <c r="S49" s="533" t="s">
        <v>1407</v>
      </c>
      <c r="T49" s="533" t="s">
        <v>456</v>
      </c>
      <c r="U49" s="533" t="s">
        <v>471</v>
      </c>
      <c r="V49" s="533" t="s">
        <v>472</v>
      </c>
    </row>
    <row r="50" spans="2:22" x14ac:dyDescent="0.2">
      <c r="B50" s="533" t="str">
        <f>'Header Info'!B50</f>
        <v>APEX ENGINEERING WICHITA DIV.</v>
      </c>
      <c r="C50" s="533" t="s">
        <v>644</v>
      </c>
      <c r="D50" s="533" t="str">
        <f>'Header Info'!C50</f>
        <v>AEI-139A</v>
      </c>
      <c r="E50" s="533" t="s">
        <v>646</v>
      </c>
      <c r="J50" s="196" t="s">
        <v>956</v>
      </c>
      <c r="K50" s="196" t="s">
        <v>1051</v>
      </c>
      <c r="Q50" s="533" t="s">
        <v>473</v>
      </c>
      <c r="R50" s="533" t="s">
        <v>1416</v>
      </c>
      <c r="S50" s="533" t="s">
        <v>1407</v>
      </c>
      <c r="T50" s="533" t="s">
        <v>456</v>
      </c>
      <c r="U50" s="533" t="s">
        <v>474</v>
      </c>
      <c r="V50" s="533" t="s">
        <v>475</v>
      </c>
    </row>
    <row r="51" spans="2:22" x14ac:dyDescent="0.2">
      <c r="B51" s="533" t="str">
        <f>'Header Info'!B51</f>
        <v>APEX ENGINEERING WICHITA DIV.</v>
      </c>
      <c r="C51" s="533" t="s">
        <v>644</v>
      </c>
      <c r="D51" s="533" t="str">
        <f>'Header Info'!C51</f>
        <v>AEI-243</v>
      </c>
      <c r="E51" s="533" t="s">
        <v>648</v>
      </c>
      <c r="J51" s="196" t="s">
        <v>959</v>
      </c>
      <c r="K51" s="196" t="s">
        <v>4104</v>
      </c>
      <c r="Q51" s="533" t="s">
        <v>476</v>
      </c>
      <c r="R51" s="533" t="s">
        <v>1417</v>
      </c>
      <c r="S51" s="533" t="s">
        <v>1407</v>
      </c>
      <c r="T51" s="533" t="s">
        <v>456</v>
      </c>
      <c r="U51" s="533" t="s">
        <v>477</v>
      </c>
      <c r="V51" s="533" t="s">
        <v>478</v>
      </c>
    </row>
    <row r="52" spans="2:22" x14ac:dyDescent="0.2">
      <c r="B52" s="533" t="str">
        <f>'Header Info'!B52</f>
        <v>APEX ENGINEERING WICHITA DIV.</v>
      </c>
      <c r="C52" s="533" t="s">
        <v>644</v>
      </c>
      <c r="D52" s="533" t="str">
        <f>'Header Info'!C52</f>
        <v>AEI-244</v>
      </c>
      <c r="E52" s="533" t="s">
        <v>655</v>
      </c>
      <c r="J52" s="196" t="s">
        <v>959</v>
      </c>
      <c r="K52" s="196" t="s">
        <v>2706</v>
      </c>
      <c r="Q52" s="533" t="s">
        <v>479</v>
      </c>
      <c r="R52" s="533" t="s">
        <v>1418</v>
      </c>
      <c r="S52" s="533" t="s">
        <v>1407</v>
      </c>
      <c r="T52" s="533" t="s">
        <v>456</v>
      </c>
      <c r="U52" s="533" t="s">
        <v>480</v>
      </c>
      <c r="V52" s="533" t="s">
        <v>481</v>
      </c>
    </row>
    <row r="53" spans="2:22" x14ac:dyDescent="0.2">
      <c r="B53" s="533" t="str">
        <f>'Header Info'!B53</f>
        <v>APEX ENGINEERING WICHITA DIV.</v>
      </c>
      <c r="C53" s="533" t="s">
        <v>644</v>
      </c>
      <c r="D53" s="533" t="str">
        <f>'Header Info'!C53</f>
        <v>AEI-323</v>
      </c>
      <c r="E53" s="533" t="s">
        <v>654</v>
      </c>
      <c r="J53" s="196" t="s">
        <v>1052</v>
      </c>
      <c r="K53" s="196" t="s">
        <v>1090</v>
      </c>
      <c r="Q53" s="533" t="s">
        <v>482</v>
      </c>
      <c r="R53" s="533" t="s">
        <v>1419</v>
      </c>
      <c r="S53" s="533" t="s">
        <v>1407</v>
      </c>
      <c r="T53" s="533" t="s">
        <v>456</v>
      </c>
      <c r="U53" s="533" t="s">
        <v>483</v>
      </c>
      <c r="V53" s="533" t="s">
        <v>484</v>
      </c>
    </row>
    <row r="54" spans="2:22" x14ac:dyDescent="0.2">
      <c r="B54" s="533" t="str">
        <f>'Header Info'!B54</f>
        <v>APEX ENGINEERING WICHITA DIV.</v>
      </c>
      <c r="C54" s="533" t="s">
        <v>644</v>
      </c>
      <c r="D54" s="533" t="str">
        <f>'Header Info'!C54</f>
        <v>AEI-324</v>
      </c>
      <c r="E54" s="533" t="s">
        <v>662</v>
      </c>
      <c r="J54" s="196" t="s">
        <v>1070</v>
      </c>
      <c r="K54" s="196" t="s">
        <v>1474</v>
      </c>
      <c r="Q54" s="533" t="s">
        <v>1420</v>
      </c>
      <c r="R54" s="533" t="s">
        <v>1421</v>
      </c>
      <c r="S54" s="533" t="s">
        <v>1422</v>
      </c>
      <c r="T54" s="533" t="s">
        <v>456</v>
      </c>
      <c r="U54" s="533"/>
      <c r="V54" s="533" t="s">
        <v>1423</v>
      </c>
    </row>
    <row r="55" spans="2:22" x14ac:dyDescent="0.2">
      <c r="B55" s="533" t="str">
        <f>'Header Info'!B55</f>
        <v>APEX ENGINEERING WICHITA DIV.</v>
      </c>
      <c r="C55" s="533" t="s">
        <v>644</v>
      </c>
      <c r="D55" s="533" t="str">
        <f>'Header Info'!C55</f>
        <v>AEI-585</v>
      </c>
      <c r="E55" s="533" t="s">
        <v>661</v>
      </c>
      <c r="J55" s="196" t="s">
        <v>1070</v>
      </c>
      <c r="K55" s="196" t="s">
        <v>1095</v>
      </c>
      <c r="Q55" s="533" t="s">
        <v>485</v>
      </c>
      <c r="R55" s="123" t="s">
        <v>5079</v>
      </c>
      <c r="S55" s="533" t="s">
        <v>1422</v>
      </c>
      <c r="T55" s="533" t="s">
        <v>456</v>
      </c>
      <c r="U55" s="533" t="s">
        <v>486</v>
      </c>
      <c r="V55" s="123" t="s">
        <v>5018</v>
      </c>
    </row>
    <row r="56" spans="2:22" x14ac:dyDescent="0.2">
      <c r="B56" s="533" t="str">
        <f>'Header Info'!B56</f>
        <v>APEX ENGINEERING WICHITA DIV.</v>
      </c>
      <c r="C56" s="533" t="s">
        <v>644</v>
      </c>
      <c r="D56" s="533" t="str">
        <f>'Header Info'!C56</f>
        <v>AEI-650 GRIEVE OVEN</v>
      </c>
      <c r="E56" s="533" t="s">
        <v>659</v>
      </c>
      <c r="J56" s="196" t="s">
        <v>1070</v>
      </c>
      <c r="K56" s="196" t="s">
        <v>1130</v>
      </c>
      <c r="Q56" s="533" t="s">
        <v>487</v>
      </c>
      <c r="R56" s="533" t="s">
        <v>1424</v>
      </c>
      <c r="S56" s="533" t="s">
        <v>1422</v>
      </c>
      <c r="T56" s="533" t="s">
        <v>456</v>
      </c>
      <c r="U56" s="533"/>
      <c r="V56" s="533" t="s">
        <v>488</v>
      </c>
    </row>
    <row r="57" spans="2:22" x14ac:dyDescent="0.2">
      <c r="B57" s="533" t="str">
        <f>'Header Info'!B57</f>
        <v>APEX ENGINEERING WICHITA DIV.</v>
      </c>
      <c r="C57" s="533" t="s">
        <v>644</v>
      </c>
      <c r="D57" s="533" t="str">
        <f>'Header Info'!C57</f>
        <v>ICTA-0122</v>
      </c>
      <c r="E57" s="533" t="s">
        <v>657</v>
      </c>
      <c r="J57" s="196" t="s">
        <v>1070</v>
      </c>
      <c r="K57" s="44" t="s">
        <v>1100</v>
      </c>
      <c r="Q57" s="533" t="s">
        <v>489</v>
      </c>
      <c r="R57" s="533" t="s">
        <v>1425</v>
      </c>
      <c r="S57" s="533" t="s">
        <v>1422</v>
      </c>
      <c r="T57" s="533" t="s">
        <v>456</v>
      </c>
      <c r="U57" s="533" t="s">
        <v>490</v>
      </c>
      <c r="V57" s="533" t="s">
        <v>491</v>
      </c>
    </row>
    <row r="58" spans="2:22" x14ac:dyDescent="0.2">
      <c r="B58" s="533" t="str">
        <f>'Header Info'!B58</f>
        <v>APPH WICHITA, INC.</v>
      </c>
      <c r="C58" s="533" t="s">
        <v>644</v>
      </c>
      <c r="D58" s="533" t="str">
        <f>'Header Info'!C58</f>
        <v>917-195</v>
      </c>
      <c r="E58" s="533" t="s">
        <v>656</v>
      </c>
      <c r="J58" s="196" t="s">
        <v>1475</v>
      </c>
      <c r="K58" s="196" t="s">
        <v>1136</v>
      </c>
      <c r="Q58" s="533" t="s">
        <v>492</v>
      </c>
      <c r="R58" s="533" t="s">
        <v>1426</v>
      </c>
      <c r="S58" s="533" t="s">
        <v>1422</v>
      </c>
      <c r="T58" s="533" t="s">
        <v>456</v>
      </c>
      <c r="U58" s="533" t="s">
        <v>493</v>
      </c>
      <c r="V58" s="533" t="s">
        <v>494</v>
      </c>
    </row>
    <row r="59" spans="2:22" x14ac:dyDescent="0.2">
      <c r="B59" s="533" t="str">
        <f>'Header Info'!B59</f>
        <v>APPH WICHITA, INC.</v>
      </c>
      <c r="C59" s="533" t="s">
        <v>664</v>
      </c>
      <c r="D59" s="533" t="str">
        <f>'Header Info'!C59</f>
        <v>PAINTBOOTH OVEN</v>
      </c>
      <c r="E59" s="533" t="s">
        <v>668</v>
      </c>
      <c r="J59" s="196" t="s">
        <v>1475</v>
      </c>
      <c r="K59" s="196" t="s">
        <v>1140</v>
      </c>
      <c r="Q59" s="533" t="s">
        <v>495</v>
      </c>
      <c r="R59" s="533" t="s">
        <v>1427</v>
      </c>
      <c r="S59" s="533" t="s">
        <v>1422</v>
      </c>
      <c r="T59" s="533" t="s">
        <v>456</v>
      </c>
      <c r="U59" s="533" t="s">
        <v>496</v>
      </c>
      <c r="V59" s="533" t="s">
        <v>497</v>
      </c>
    </row>
    <row r="60" spans="2:22" x14ac:dyDescent="0.2">
      <c r="B60" s="533" t="str">
        <f>'Header Info'!B60</f>
        <v>ASSOCIATED INDUSTRIES, INC.</v>
      </c>
      <c r="C60" s="533" t="s">
        <v>664</v>
      </c>
      <c r="D60" s="533" t="str">
        <f>'Header Info'!C60</f>
        <v>COLD STORAGE NO. 1</v>
      </c>
      <c r="E60" s="533" t="s">
        <v>666</v>
      </c>
      <c r="J60" s="196" t="s">
        <v>1475</v>
      </c>
      <c r="K60" s="196" t="s">
        <v>4956</v>
      </c>
      <c r="Q60" s="533" t="s">
        <v>498</v>
      </c>
      <c r="R60" s="533" t="s">
        <v>1543</v>
      </c>
      <c r="S60" s="533" t="s">
        <v>1422</v>
      </c>
      <c r="T60" s="533" t="s">
        <v>456</v>
      </c>
      <c r="U60" s="533"/>
      <c r="V60" s="533" t="s">
        <v>1533</v>
      </c>
    </row>
    <row r="61" spans="2:22" x14ac:dyDescent="0.2">
      <c r="B61" s="533" t="str">
        <f>'Header Info'!B61</f>
        <v>ASSOCIATED INDUSTRIES, INC.</v>
      </c>
      <c r="C61" s="533" t="s">
        <v>670</v>
      </c>
      <c r="D61" s="533" t="str">
        <f>'Header Info'!C61</f>
        <v>FREEZER NO. 1</v>
      </c>
      <c r="E61" s="533" t="s">
        <v>672</v>
      </c>
      <c r="J61" s="196" t="s">
        <v>1475</v>
      </c>
      <c r="K61" s="196" t="s">
        <v>1154</v>
      </c>
      <c r="Q61" s="533" t="s">
        <v>499</v>
      </c>
      <c r="R61" s="533" t="s">
        <v>1428</v>
      </c>
      <c r="S61" s="533" t="s">
        <v>1422</v>
      </c>
      <c r="T61" s="533" t="s">
        <v>456</v>
      </c>
      <c r="U61" s="533" t="s">
        <v>500</v>
      </c>
      <c r="V61" s="533" t="s">
        <v>501</v>
      </c>
    </row>
    <row r="62" spans="2:22" x14ac:dyDescent="0.2">
      <c r="B62" s="533" t="str">
        <f>'Header Info'!B62</f>
        <v>BODYCOTE THERMAL PROCESSING, INC.-McLEAN</v>
      </c>
      <c r="C62" s="533" t="s">
        <v>670</v>
      </c>
      <c r="D62" s="533" t="str">
        <f>'Header Info'!C62</f>
        <v>Vacuum Furnace No. 513</v>
      </c>
      <c r="E62" s="533" t="s">
        <v>674</v>
      </c>
      <c r="J62" s="196" t="s">
        <v>1101</v>
      </c>
      <c r="K62" s="196" t="s">
        <v>1672</v>
      </c>
      <c r="Q62" s="533" t="s">
        <v>502</v>
      </c>
      <c r="R62" s="533" t="s">
        <v>1429</v>
      </c>
      <c r="S62" s="533" t="s">
        <v>1422</v>
      </c>
      <c r="T62" s="533" t="s">
        <v>456</v>
      </c>
      <c r="U62" s="533" t="s">
        <v>503</v>
      </c>
      <c r="V62" s="533" t="s">
        <v>504</v>
      </c>
    </row>
    <row r="63" spans="2:22" x14ac:dyDescent="0.2">
      <c r="B63" s="533" t="str">
        <f>'Header Info'!B63</f>
        <v>BOMBARDIER AEROSPACE - LEARJET DIVISION</v>
      </c>
      <c r="C63" s="533" t="s">
        <v>675</v>
      </c>
      <c r="D63" s="533" t="str">
        <f>'Header Info'!C63</f>
        <v>Batch Oven OVE-128-A</v>
      </c>
      <c r="E63" s="533" t="s">
        <v>676</v>
      </c>
      <c r="J63" s="196" t="s">
        <v>1101</v>
      </c>
      <c r="K63" s="196" t="s">
        <v>4856</v>
      </c>
      <c r="Q63" s="533" t="s">
        <v>505</v>
      </c>
      <c r="R63" s="533" t="s">
        <v>1430</v>
      </c>
      <c r="S63" s="533" t="s">
        <v>1422</v>
      </c>
      <c r="T63" s="533" t="s">
        <v>456</v>
      </c>
      <c r="U63" s="533" t="s">
        <v>506</v>
      </c>
      <c r="V63" s="533" t="s">
        <v>507</v>
      </c>
    </row>
    <row r="64" spans="2:22" x14ac:dyDescent="0.2">
      <c r="B64" s="533" t="str">
        <f>'Header Info'!B64</f>
        <v>BOMBARDIER AEROSPACE - LEARJET DIVISION</v>
      </c>
      <c r="C64" s="533" t="s">
        <v>678</v>
      </c>
      <c r="D64" s="533" t="str">
        <f>'Header Info'!C64</f>
        <v>PRI-1383</v>
      </c>
      <c r="E64" s="533" t="s">
        <v>690</v>
      </c>
      <c r="J64" s="196" t="s">
        <v>1101</v>
      </c>
      <c r="K64" s="196" t="s">
        <v>1443</v>
      </c>
      <c r="Q64" s="533" t="s">
        <v>508</v>
      </c>
      <c r="R64" s="533" t="s">
        <v>1431</v>
      </c>
      <c r="S64" s="533" t="s">
        <v>1422</v>
      </c>
      <c r="T64" s="533" t="s">
        <v>456</v>
      </c>
      <c r="U64" s="533" t="s">
        <v>509</v>
      </c>
      <c r="V64" s="533" t="s">
        <v>510</v>
      </c>
    </row>
    <row r="65" spans="2:22" x14ac:dyDescent="0.2">
      <c r="B65" s="533" t="str">
        <f>'Header Info'!B65</f>
        <v>BURNHAM COMPOSITE STRUCTURES, INC.</v>
      </c>
      <c r="C65" s="533" t="s">
        <v>678</v>
      </c>
      <c r="D65" s="533" t="str">
        <f>'Header Info'!C65</f>
        <v>Autoclave No. 1 Cessna</v>
      </c>
      <c r="E65" s="533" t="s">
        <v>691</v>
      </c>
      <c r="J65" s="196" t="s">
        <v>1101</v>
      </c>
      <c r="K65" s="196" t="s">
        <v>1167</v>
      </c>
      <c r="Q65" s="533" t="s">
        <v>511</v>
      </c>
      <c r="R65" s="533" t="s">
        <v>1432</v>
      </c>
      <c r="S65" s="533" t="s">
        <v>1422</v>
      </c>
      <c r="T65" s="533" t="s">
        <v>456</v>
      </c>
      <c r="U65" s="533" t="s">
        <v>512</v>
      </c>
      <c r="V65" s="533" t="s">
        <v>513</v>
      </c>
    </row>
    <row r="66" spans="2:22" x14ac:dyDescent="0.2">
      <c r="B66" s="533" t="str">
        <f>'Header Info'!B66</f>
        <v>BURNHAM COMPOSITE STRUCTURES, INC.</v>
      </c>
      <c r="C66" s="533" t="s">
        <v>678</v>
      </c>
      <c r="D66" s="533" t="str">
        <f>'Header Info'!C66</f>
        <v>AUTOCLAVE NO. 2 CESSNA</v>
      </c>
      <c r="E66" s="533" t="s">
        <v>692</v>
      </c>
      <c r="J66" s="196" t="s">
        <v>1101</v>
      </c>
      <c r="K66" s="196" t="s">
        <v>1480</v>
      </c>
      <c r="Q66" s="533" t="s">
        <v>1436</v>
      </c>
      <c r="R66" s="533" t="s">
        <v>1437</v>
      </c>
      <c r="S66" s="533" t="s">
        <v>1422</v>
      </c>
      <c r="T66" s="533" t="s">
        <v>456</v>
      </c>
      <c r="U66" s="533"/>
      <c r="V66" s="533" t="s">
        <v>1438</v>
      </c>
    </row>
    <row r="67" spans="2:22" x14ac:dyDescent="0.2">
      <c r="B67" s="533" t="str">
        <f>'Header Info'!B67</f>
        <v>BURNHAM COMPOSITE STRUCTURES, INC.</v>
      </c>
      <c r="C67" s="533" t="s">
        <v>678</v>
      </c>
      <c r="D67" s="533" t="str">
        <f>'Header Info'!C67</f>
        <v>CURING OVEN NO. 2</v>
      </c>
      <c r="E67" s="533" t="s">
        <v>693</v>
      </c>
      <c r="J67" s="196" t="s">
        <v>1101</v>
      </c>
      <c r="K67" s="196" t="s">
        <v>1173</v>
      </c>
      <c r="Q67" s="533" t="s">
        <v>514</v>
      </c>
      <c r="R67" s="533" t="s">
        <v>3522</v>
      </c>
      <c r="S67" s="533" t="s">
        <v>1433</v>
      </c>
      <c r="T67" s="533" t="s">
        <v>456</v>
      </c>
      <c r="U67" s="533" t="s">
        <v>515</v>
      </c>
      <c r="V67" s="533" t="s">
        <v>3523</v>
      </c>
    </row>
    <row r="68" spans="2:22" x14ac:dyDescent="0.2">
      <c r="B68" s="533" t="str">
        <f>'Header Info'!B68</f>
        <v>BURNHAM COMPOSITE STRUCTURES, INC.</v>
      </c>
      <c r="C68" s="533" t="s">
        <v>678</v>
      </c>
      <c r="D68" s="533" t="str">
        <f>'Header Info'!C68</f>
        <v>Oven No. 1A Cessna</v>
      </c>
      <c r="E68" s="533" t="s">
        <v>686</v>
      </c>
      <c r="J68" s="196" t="s">
        <v>1141</v>
      </c>
      <c r="K68" s="196" t="s">
        <v>5138</v>
      </c>
      <c r="Q68" s="533" t="s">
        <v>516</v>
      </c>
      <c r="R68" s="533" t="s">
        <v>1434</v>
      </c>
      <c r="S68" s="533" t="s">
        <v>1433</v>
      </c>
      <c r="T68" s="533" t="s">
        <v>456</v>
      </c>
      <c r="U68" s="533" t="s">
        <v>517</v>
      </c>
      <c r="V68" s="533" t="s">
        <v>518</v>
      </c>
    </row>
    <row r="69" spans="2:22" x14ac:dyDescent="0.2">
      <c r="B69" s="533" t="str">
        <f>'Header Info'!B69</f>
        <v>BURNHAM COMPOSITE STRUCTURES, INC.</v>
      </c>
      <c r="C69" s="533" t="s">
        <v>678</v>
      </c>
      <c r="D69" s="533" t="str">
        <f>'Header Info'!C69</f>
        <v>OVEN NO. 3</v>
      </c>
      <c r="E69" s="533" t="s">
        <v>687</v>
      </c>
      <c r="J69" s="196" t="s">
        <v>1141</v>
      </c>
      <c r="K69" s="196" t="s">
        <v>1183</v>
      </c>
      <c r="Q69" s="533" t="s">
        <v>519</v>
      </c>
      <c r="R69" s="533" t="s">
        <v>1435</v>
      </c>
      <c r="S69" s="533" t="s">
        <v>1433</v>
      </c>
      <c r="T69" s="533" t="s">
        <v>456</v>
      </c>
      <c r="U69" s="533" t="s">
        <v>520</v>
      </c>
      <c r="V69" s="533" t="s">
        <v>521</v>
      </c>
    </row>
    <row r="70" spans="2:22" x14ac:dyDescent="0.2">
      <c r="B70" s="533" t="str">
        <f>'Header Info'!B70</f>
        <v>BURNHAM COMPOSITE STRUCTURES, INC.</v>
      </c>
      <c r="C70" s="533" t="s">
        <v>678</v>
      </c>
      <c r="D70" s="533" t="str">
        <f>'Header Info'!C70</f>
        <v>OVEN NO. 4</v>
      </c>
      <c r="E70" s="533" t="s">
        <v>688</v>
      </c>
      <c r="J70" s="196" t="s">
        <v>1165</v>
      </c>
      <c r="K70" s="196" t="s">
        <v>1196</v>
      </c>
      <c r="Q70" s="533" t="s">
        <v>1439</v>
      </c>
      <c r="R70" s="533" t="s">
        <v>1440</v>
      </c>
      <c r="S70" s="533" t="s">
        <v>1433</v>
      </c>
      <c r="T70" s="533" t="s">
        <v>456</v>
      </c>
      <c r="U70" s="533"/>
      <c r="V70" s="533" t="s">
        <v>1441</v>
      </c>
    </row>
    <row r="71" spans="2:22" x14ac:dyDescent="0.2">
      <c r="B71" s="533" t="str">
        <f>'Header Info'!B71</f>
        <v>BURNHAM COMPOSITE STRUCTURES, INC.</v>
      </c>
      <c r="C71" s="533" t="s">
        <v>678</v>
      </c>
      <c r="D71" s="533" t="str">
        <f>'Header Info'!C71</f>
        <v>OVEN NO. 6</v>
      </c>
      <c r="E71" s="533" t="s">
        <v>694</v>
      </c>
      <c r="J71" s="196" t="s">
        <v>1165</v>
      </c>
      <c r="K71" s="196" t="s">
        <v>1200</v>
      </c>
      <c r="Q71" s="533" t="s">
        <v>1529</v>
      </c>
      <c r="R71" s="533" t="s">
        <v>1530</v>
      </c>
      <c r="S71" s="533" t="s">
        <v>1531</v>
      </c>
      <c r="T71" s="533" t="s">
        <v>456</v>
      </c>
      <c r="U71" s="533"/>
      <c r="V71" s="533" t="s">
        <v>1532</v>
      </c>
    </row>
    <row r="72" spans="2:22" x14ac:dyDescent="0.2">
      <c r="B72" s="533" t="str">
        <f>'Header Info'!B72</f>
        <v>CAPPS MANUFACTURING INC.</v>
      </c>
      <c r="C72" s="533" t="s">
        <v>678</v>
      </c>
      <c r="D72" s="533" t="str">
        <f>'Header Info'!C72</f>
        <v>AGE OVEN NO. 0</v>
      </c>
      <c r="E72" s="533" t="s">
        <v>689</v>
      </c>
      <c r="J72" s="196" t="s">
        <v>1184</v>
      </c>
      <c r="K72" s="196" t="s">
        <v>1208</v>
      </c>
      <c r="Q72" s="533" t="s">
        <v>522</v>
      </c>
      <c r="R72" s="533" t="s">
        <v>523</v>
      </c>
      <c r="S72" s="533" t="s">
        <v>524</v>
      </c>
      <c r="T72" s="533" t="s">
        <v>525</v>
      </c>
      <c r="U72" s="533" t="s">
        <v>109</v>
      </c>
      <c r="V72" s="533"/>
    </row>
    <row r="73" spans="2:22" x14ac:dyDescent="0.2">
      <c r="B73" s="533" t="str">
        <f>'Header Info'!B73</f>
        <v>CAPPS MANUFACTURING INC.</v>
      </c>
      <c r="C73" s="533" t="s">
        <v>678</v>
      </c>
      <c r="D73" s="533" t="str">
        <f>'Header Info'!C73</f>
        <v>AGE OVEN NO. 1</v>
      </c>
      <c r="E73" s="533" t="s">
        <v>695</v>
      </c>
      <c r="J73" s="196" t="s">
        <v>1209</v>
      </c>
      <c r="K73" s="196" t="s">
        <v>1244</v>
      </c>
      <c r="Q73" s="533" t="s">
        <v>526</v>
      </c>
      <c r="R73" s="533" t="s">
        <v>527</v>
      </c>
      <c r="S73" s="533" t="s">
        <v>528</v>
      </c>
      <c r="T73" s="533" t="s">
        <v>525</v>
      </c>
      <c r="U73" s="533" t="s">
        <v>109</v>
      </c>
      <c r="V73" s="533"/>
    </row>
    <row r="74" spans="2:22" x14ac:dyDescent="0.2">
      <c r="B74" s="533" t="str">
        <f>'Header Info'!B74</f>
        <v>CAPPS MANUFACTURING INC.</v>
      </c>
      <c r="C74" s="533" t="s">
        <v>678</v>
      </c>
      <c r="D74" s="533" t="str">
        <f>'Header Info'!C74</f>
        <v>AGE OVEN NO. 2</v>
      </c>
      <c r="E74" s="533" t="s">
        <v>696</v>
      </c>
      <c r="J74" s="196" t="s">
        <v>1245</v>
      </c>
      <c r="K74" s="196" t="s">
        <v>1525</v>
      </c>
      <c r="Q74" s="533" t="s">
        <v>529</v>
      </c>
      <c r="R74" s="533" t="s">
        <v>530</v>
      </c>
      <c r="S74" s="533" t="s">
        <v>531</v>
      </c>
      <c r="T74" s="533" t="s">
        <v>525</v>
      </c>
      <c r="U74" s="533" t="s">
        <v>109</v>
      </c>
      <c r="V74" s="533"/>
    </row>
    <row r="75" spans="2:22" x14ac:dyDescent="0.2">
      <c r="B75" s="533" t="str">
        <f>'Header Info'!B75</f>
        <v>CAPPS MANUFACTURING INC.</v>
      </c>
      <c r="C75" s="533" t="s">
        <v>678</v>
      </c>
      <c r="D75" s="533" t="str">
        <f>'Header Info'!C75</f>
        <v>AGE OVEN NO. 3</v>
      </c>
      <c r="E75" s="533" t="s">
        <v>697</v>
      </c>
      <c r="J75" s="196" t="s">
        <v>1245</v>
      </c>
      <c r="K75" s="196" t="s">
        <v>4970</v>
      </c>
      <c r="Q75" s="533" t="s">
        <v>532</v>
      </c>
      <c r="R75" s="533" t="s">
        <v>533</v>
      </c>
      <c r="S75" s="533" t="s">
        <v>534</v>
      </c>
      <c r="T75" s="533" t="s">
        <v>525</v>
      </c>
      <c r="U75" s="533" t="s">
        <v>109</v>
      </c>
      <c r="V75" s="533"/>
    </row>
    <row r="76" spans="2:22" x14ac:dyDescent="0.2">
      <c r="B76" s="533" t="str">
        <f>'Header Info'!B76</f>
        <v>CAPPS MANUFACTURING INC.</v>
      </c>
      <c r="C76" s="533" t="s">
        <v>678</v>
      </c>
      <c r="D76" s="533" t="str">
        <f>'Header Info'!C76</f>
        <v>AGE OVEN NO. 4</v>
      </c>
      <c r="E76" s="533" t="s">
        <v>698</v>
      </c>
      <c r="J76" s="196" t="s">
        <v>1245</v>
      </c>
      <c r="K76" s="196" t="s">
        <v>3498</v>
      </c>
      <c r="Q76" s="533" t="s">
        <v>535</v>
      </c>
      <c r="R76" s="533" t="s">
        <v>536</v>
      </c>
      <c r="S76" s="533" t="s">
        <v>537</v>
      </c>
      <c r="T76" s="533" t="s">
        <v>525</v>
      </c>
      <c r="U76" s="533" t="s">
        <v>109</v>
      </c>
      <c r="V76" s="533"/>
    </row>
    <row r="77" spans="2:22" x14ac:dyDescent="0.2">
      <c r="B77" s="533" t="str">
        <f>'Header Info'!B77</f>
        <v>CAPPS MANUFACTURING INC.</v>
      </c>
      <c r="C77" s="533" t="s">
        <v>678</v>
      </c>
      <c r="D77" s="533" t="str">
        <f>'Header Info'!C77</f>
        <v>DD146046</v>
      </c>
      <c r="E77" s="533" t="s">
        <v>685</v>
      </c>
      <c r="J77" s="196" t="s">
        <v>1245</v>
      </c>
      <c r="K77" s="196" t="s">
        <v>1312</v>
      </c>
      <c r="Q77" s="533" t="s">
        <v>538</v>
      </c>
      <c r="R77" s="533" t="s">
        <v>539</v>
      </c>
      <c r="S77" s="533" t="s">
        <v>540</v>
      </c>
      <c r="T77" s="533" t="s">
        <v>525</v>
      </c>
      <c r="U77" s="533"/>
      <c r="V77" s="533"/>
    </row>
    <row r="78" spans="2:22" x14ac:dyDescent="0.2">
      <c r="B78" s="533" t="str">
        <f>'Header Info'!B78</f>
        <v>CAPPS MANUFACTURING INC.</v>
      </c>
      <c r="C78" s="533" t="s">
        <v>678</v>
      </c>
      <c r="D78" s="533" t="str">
        <f>'Header Info'!C78</f>
        <v>Drop Bottom Furnace No. 2</v>
      </c>
      <c r="E78" s="533" t="s">
        <v>684</v>
      </c>
      <c r="J78" s="196" t="s">
        <v>1284</v>
      </c>
      <c r="K78" s="196" t="s">
        <v>1327</v>
      </c>
      <c r="Q78" s="533" t="s">
        <v>542</v>
      </c>
      <c r="R78" s="533" t="s">
        <v>1567</v>
      </c>
      <c r="S78" s="533" t="s">
        <v>543</v>
      </c>
      <c r="T78" s="533" t="s">
        <v>541</v>
      </c>
      <c r="U78" s="533" t="s">
        <v>544</v>
      </c>
      <c r="V78" s="533" t="s">
        <v>1568</v>
      </c>
    </row>
    <row r="79" spans="2:22" x14ac:dyDescent="0.2">
      <c r="B79" s="533" t="str">
        <f>'Header Info'!B79</f>
        <v>CAPPS MANUFACTURING INC.</v>
      </c>
      <c r="C79" s="533" t="s">
        <v>678</v>
      </c>
      <c r="D79" s="533" t="str">
        <f>'Header Info'!C79</f>
        <v>TANK NO. 110</v>
      </c>
      <c r="E79" s="533" t="s">
        <v>683</v>
      </c>
      <c r="J79" s="196" t="s">
        <v>1292</v>
      </c>
      <c r="K79" s="196" t="s">
        <v>1330</v>
      </c>
      <c r="Q79" s="533" t="s">
        <v>571</v>
      </c>
      <c r="R79" s="533" t="s">
        <v>1569</v>
      </c>
      <c r="S79" s="533" t="s">
        <v>572</v>
      </c>
      <c r="T79" s="533" t="s">
        <v>541</v>
      </c>
      <c r="U79" s="533" t="s">
        <v>573</v>
      </c>
      <c r="V79" s="533" t="s">
        <v>1570</v>
      </c>
    </row>
    <row r="80" spans="2:22" x14ac:dyDescent="0.2">
      <c r="B80" s="533" t="str">
        <f>'Header Info'!B80</f>
        <v>CAPPS MANUFACTURING INC. - CUSTER</v>
      </c>
      <c r="C80" s="533" t="s">
        <v>678</v>
      </c>
      <c r="D80" s="533" t="str">
        <f>'Header Info'!C80</f>
        <v>C-CPI-6054</v>
      </c>
      <c r="E80" s="533" t="s">
        <v>679</v>
      </c>
      <c r="J80" s="196" t="s">
        <v>1290</v>
      </c>
      <c r="K80" s="196">
        <v>0</v>
      </c>
      <c r="Q80" s="533" t="s">
        <v>574</v>
      </c>
      <c r="R80" s="533" t="s">
        <v>1571</v>
      </c>
      <c r="S80" s="533" t="s">
        <v>572</v>
      </c>
      <c r="T80" s="533" t="s">
        <v>541</v>
      </c>
      <c r="U80" s="533" t="s">
        <v>575</v>
      </c>
      <c r="V80" s="533" t="s">
        <v>1572</v>
      </c>
    </row>
    <row r="81" spans="2:22" x14ac:dyDescent="0.2">
      <c r="B81" s="533" t="str">
        <f>'Header Info'!B81</f>
        <v>CAPPS MANUFACTURING INC. - CUSTER</v>
      </c>
      <c r="C81" s="533" t="s">
        <v>678</v>
      </c>
      <c r="D81" s="533" t="str">
        <f>'Header Info'!C81</f>
        <v>CM00295 (OVEN NO. 2)</v>
      </c>
      <c r="E81" s="533" t="s">
        <v>682</v>
      </c>
      <c r="J81" s="196" t="s">
        <v>1290</v>
      </c>
      <c r="K81" s="196" t="s">
        <v>1488</v>
      </c>
      <c r="Q81" s="533" t="s">
        <v>545</v>
      </c>
      <c r="R81" s="533" t="s">
        <v>546</v>
      </c>
      <c r="S81" s="533" t="s">
        <v>547</v>
      </c>
      <c r="T81" s="533" t="s">
        <v>541</v>
      </c>
      <c r="U81" s="533" t="s">
        <v>548</v>
      </c>
      <c r="V81" s="533" t="s">
        <v>549</v>
      </c>
    </row>
    <row r="82" spans="2:22" x14ac:dyDescent="0.2">
      <c r="B82" s="533" t="str">
        <f>'Header Info'!B82</f>
        <v>CAPPS MANUFACTURING INC. - CUSTER</v>
      </c>
      <c r="C82" s="533" t="s">
        <v>678</v>
      </c>
      <c r="D82" s="533" t="str">
        <f>'Header Info'!C82</f>
        <v>CM00296</v>
      </c>
      <c r="E82" s="533" t="s">
        <v>681</v>
      </c>
      <c r="J82" s="196" t="s">
        <v>3499</v>
      </c>
      <c r="K82" s="196" t="s">
        <v>3498</v>
      </c>
    </row>
    <row r="83" spans="2:22" x14ac:dyDescent="0.2">
      <c r="B83" s="533" t="str">
        <f>'Header Info'!B83</f>
        <v>CAPPS MANUFACTURING INC. - CUSTER</v>
      </c>
      <c r="C83" s="533" t="s">
        <v>678</v>
      </c>
      <c r="D83" s="533" t="str">
        <f>'Header Info'!C83</f>
        <v>PAINT BAKE OVEN NO. 6</v>
      </c>
      <c r="E83" s="533" t="s">
        <v>680</v>
      </c>
      <c r="J83" s="196" t="s">
        <v>1300</v>
      </c>
      <c r="K83" s="196" t="s">
        <v>1299</v>
      </c>
    </row>
    <row r="84" spans="2:22" x14ac:dyDescent="0.2">
      <c r="B84" s="533" t="str">
        <f>'Header Info'!B84</f>
        <v>CAPPS MANUFACTURING INC. - CUSTER</v>
      </c>
      <c r="C84" s="533" t="s">
        <v>699</v>
      </c>
      <c r="D84" s="533" t="str">
        <f>'Header Info'!C84</f>
        <v>TANK NO. 101</v>
      </c>
      <c r="E84" s="533" t="s">
        <v>712</v>
      </c>
      <c r="J84" s="196" t="s">
        <v>1313</v>
      </c>
      <c r="K84" s="196" t="s">
        <v>1312</v>
      </c>
    </row>
    <row r="85" spans="2:22" x14ac:dyDescent="0.2">
      <c r="B85" s="533" t="str">
        <f>'Header Info'!B85</f>
        <v>CAPPS MANUFACTURING INC. - CUSTER</v>
      </c>
      <c r="C85" s="533" t="s">
        <v>699</v>
      </c>
      <c r="D85" s="533" t="str">
        <f>'Header Info'!C85</f>
        <v>TANK NO. 102</v>
      </c>
      <c r="E85" s="533" t="s">
        <v>703</v>
      </c>
      <c r="J85" s="196" t="s">
        <v>1328</v>
      </c>
      <c r="K85" s="196" t="s">
        <v>1327</v>
      </c>
    </row>
    <row r="86" spans="2:22" x14ac:dyDescent="0.2">
      <c r="B86" s="533" t="str">
        <f>'Header Info'!B86</f>
        <v>CAPPS MANUFACTURING INC. - CUSTER</v>
      </c>
      <c r="C86" s="533" t="s">
        <v>699</v>
      </c>
      <c r="D86" s="533" t="str">
        <f>'Header Info'!C86</f>
        <v>TANK NO. 103</v>
      </c>
      <c r="E86" s="533" t="s">
        <v>714</v>
      </c>
      <c r="J86" s="196" t="s">
        <v>1331</v>
      </c>
      <c r="K86" s="196" t="s">
        <v>1330</v>
      </c>
    </row>
    <row r="87" spans="2:22" x14ac:dyDescent="0.2">
      <c r="B87" s="533" t="str">
        <f>'Header Info'!B87</f>
        <v>CAPPS MANUFACTURING INC. - CUSTER</v>
      </c>
      <c r="C87" s="533" t="s">
        <v>699</v>
      </c>
      <c r="D87" s="533" t="str">
        <f>'Header Info'!C87</f>
        <v>TANK NO. 104</v>
      </c>
      <c r="E87" s="533" t="s">
        <v>715</v>
      </c>
    </row>
    <row r="88" spans="2:22" x14ac:dyDescent="0.2">
      <c r="B88" s="533" t="str">
        <f>'Header Info'!B88</f>
        <v>CAPPS MANUFACTURING INC. - CUSTER</v>
      </c>
      <c r="C88" s="533" t="s">
        <v>699</v>
      </c>
      <c r="D88" s="533" t="str">
        <f>'Header Info'!C88</f>
        <v>TANK NO. 109</v>
      </c>
      <c r="E88" s="533" t="s">
        <v>701</v>
      </c>
    </row>
    <row r="89" spans="2:22" x14ac:dyDescent="0.2">
      <c r="B89" s="533" t="str">
        <f>'Header Info'!B89</f>
        <v>CAPPS MANUFACTURING INC. - CUSTER</v>
      </c>
      <c r="C89" s="533" t="s">
        <v>699</v>
      </c>
      <c r="D89" s="533" t="str">
        <f>'Header Info'!C89</f>
        <v>TANK NO. 111</v>
      </c>
      <c r="E89" s="533" t="s">
        <v>711</v>
      </c>
    </row>
    <row r="90" spans="2:22" x14ac:dyDescent="0.2">
      <c r="B90" s="533" t="str">
        <f>'Header Info'!B90</f>
        <v>CAPPS MANUFACTURING INC. - CUSTER</v>
      </c>
      <c r="C90" s="533" t="s">
        <v>699</v>
      </c>
      <c r="D90" s="533" t="str">
        <f>'Header Info'!C90</f>
        <v>TANK NO. 117</v>
      </c>
      <c r="E90" s="533" t="s">
        <v>710</v>
      </c>
    </row>
    <row r="91" spans="2:22" x14ac:dyDescent="0.2">
      <c r="B91" s="533" t="str">
        <f>'Header Info'!B91</f>
        <v>CAPPS MANUFACTURING INC. - CUSTER</v>
      </c>
      <c r="C91" s="533" t="s">
        <v>699</v>
      </c>
      <c r="D91" s="533" t="str">
        <f>'Header Info'!C91</f>
        <v>TANK NO. 118</v>
      </c>
      <c r="E91" s="533" t="s">
        <v>709</v>
      </c>
    </row>
    <row r="92" spans="2:22" x14ac:dyDescent="0.2">
      <c r="B92" s="533" t="str">
        <f>'Header Info'!B92</f>
        <v>CAPPS MANUFACTURING INC. - CUSTER</v>
      </c>
      <c r="C92" s="533" t="s">
        <v>699</v>
      </c>
      <c r="D92" s="533" t="str">
        <f>'Header Info'!C92</f>
        <v>TANK NO. 119</v>
      </c>
      <c r="E92" s="533" t="s">
        <v>708</v>
      </c>
    </row>
    <row r="93" spans="2:22" x14ac:dyDescent="0.2">
      <c r="B93" s="533" t="str">
        <f>'Header Info'!B93</f>
        <v>CELCO</v>
      </c>
      <c r="C93" s="533" t="s">
        <v>699</v>
      </c>
      <c r="D93" s="533" t="str">
        <f>'Header Info'!C93</f>
        <v>OVEN NO. 1</v>
      </c>
      <c r="E93" s="533" t="s">
        <v>707</v>
      </c>
    </row>
    <row r="94" spans="2:22" x14ac:dyDescent="0.2">
      <c r="B94" s="533" t="str">
        <f>'Header Info'!B94</f>
        <v>CENTER INDUSTRIES CORP.</v>
      </c>
      <c r="C94" s="533" t="s">
        <v>699</v>
      </c>
      <c r="D94" s="533" t="str">
        <f>'Header Info'!C94</f>
        <v>CTR AGE OVEN NO. 1</v>
      </c>
      <c r="E94" s="533" t="s">
        <v>706</v>
      </c>
    </row>
    <row r="95" spans="2:22" x14ac:dyDescent="0.2">
      <c r="B95" s="533" t="str">
        <f>'Header Info'!B95</f>
        <v>CENTER INDUSTRIES CORP.</v>
      </c>
      <c r="C95" s="533" t="s">
        <v>699</v>
      </c>
      <c r="D95" s="533" t="str">
        <f>'Header Info'!C95</f>
        <v>CTR AGE OVEN NO. 2</v>
      </c>
      <c r="E95" s="533" t="s">
        <v>705</v>
      </c>
    </row>
    <row r="96" spans="2:22" x14ac:dyDescent="0.2">
      <c r="B96" s="533" t="str">
        <f>'Header Info'!B96</f>
        <v>CENTER INDUSTRIES CORP.</v>
      </c>
      <c r="C96" s="533" t="s">
        <v>699</v>
      </c>
      <c r="D96" s="533" t="str">
        <f>'Header Info'!C96</f>
        <v>CTR High Temp Furnace No. 1</v>
      </c>
      <c r="E96" s="533" t="s">
        <v>704</v>
      </c>
    </row>
    <row r="97" spans="2:5" x14ac:dyDescent="0.2">
      <c r="B97" s="533" t="str">
        <f>'Header Info'!B97</f>
        <v>CENTER INDUSTRIES CORP.</v>
      </c>
      <c r="C97" s="533" t="s">
        <v>699</v>
      </c>
      <c r="D97" s="533" t="str">
        <f>'Header Info'!C97</f>
        <v>CTR SALT BATH NO. 2</v>
      </c>
      <c r="E97" s="533" t="s">
        <v>700</v>
      </c>
    </row>
    <row r="98" spans="2:5" x14ac:dyDescent="0.2">
      <c r="B98" s="533" t="str">
        <f>'Header Info'!B98</f>
        <v>CHARLES ENGINEERING</v>
      </c>
      <c r="C98" s="533" t="s">
        <v>699</v>
      </c>
      <c r="D98" s="533" t="str">
        <f>'Header Info'!C98</f>
        <v>108582A0313</v>
      </c>
      <c r="E98" s="533" t="s">
        <v>716</v>
      </c>
    </row>
    <row r="99" spans="2:5" x14ac:dyDescent="0.2">
      <c r="B99" s="533" t="str">
        <f>'Header Info'!B99</f>
        <v>CHARLES ENGINEERING</v>
      </c>
      <c r="C99" s="533" t="s">
        <v>699</v>
      </c>
      <c r="D99" s="533">
        <f>'Header Info'!C99</f>
        <v>411623</v>
      </c>
      <c r="E99" s="533" t="s">
        <v>702</v>
      </c>
    </row>
    <row r="100" spans="2:5" x14ac:dyDescent="0.2">
      <c r="B100" s="533" t="str">
        <f>'Header Info'!B100</f>
        <v>CHROME PLUS INTERNATIONAL - WICHITA</v>
      </c>
      <c r="C100" s="533" t="s">
        <v>699</v>
      </c>
      <c r="D100" s="533" t="str">
        <f>'Header Info'!C100</f>
        <v>OVEN NO. 1</v>
      </c>
      <c r="E100" s="533" t="s">
        <v>713</v>
      </c>
    </row>
    <row r="101" spans="2:5" x14ac:dyDescent="0.2">
      <c r="B101" s="533" t="str">
        <f>'Header Info'!B101</f>
        <v>CHROME PLUS INTERNATIONAL - WICHITA</v>
      </c>
      <c r="C101" s="533" t="s">
        <v>718</v>
      </c>
      <c r="D101" s="533" t="str">
        <f>'Header Info'!C101</f>
        <v>OVEN NO. 2</v>
      </c>
      <c r="E101" s="533" t="s">
        <v>727</v>
      </c>
    </row>
    <row r="102" spans="2:5" x14ac:dyDescent="0.2">
      <c r="B102" s="533" t="str">
        <f>'Header Info'!B102</f>
        <v>CHROME PLUS INTERNATIONAL - WICHITA</v>
      </c>
      <c r="C102" s="533" t="s">
        <v>718</v>
      </c>
      <c r="D102" s="533" t="str">
        <f>'Header Info'!C102</f>
        <v>OVEN NO. 3</v>
      </c>
      <c r="E102" s="533" t="s">
        <v>730</v>
      </c>
    </row>
    <row r="103" spans="2:5" x14ac:dyDescent="0.2">
      <c r="B103" s="533" t="str">
        <f>'Header Info'!B103</f>
        <v>CHROME PLUS INTERNATIONAL - WICHITA</v>
      </c>
      <c r="C103" s="533" t="s">
        <v>718</v>
      </c>
      <c r="D103" s="533" t="str">
        <f>'Header Info'!C103</f>
        <v>OVEN NO. 4</v>
      </c>
      <c r="E103" s="533" t="s">
        <v>734</v>
      </c>
    </row>
    <row r="104" spans="2:5" x14ac:dyDescent="0.2">
      <c r="B104" s="533" t="str">
        <f>'Header Info'!B104</f>
        <v>CHROME PLUS INTERNATIONAL - WICHITA</v>
      </c>
      <c r="C104" s="533" t="s">
        <v>718</v>
      </c>
      <c r="D104" s="533" t="str">
        <f>'Header Info'!C104</f>
        <v>OVEN NO. 5 (W-CPI-0335)</v>
      </c>
      <c r="E104" s="533" t="s">
        <v>739</v>
      </c>
    </row>
    <row r="105" spans="2:5" x14ac:dyDescent="0.2">
      <c r="B105" s="533" t="str">
        <f>'Header Info'!B105</f>
        <v>CHROME PLUS INTERNATIONAL - WICHITA</v>
      </c>
      <c r="C105" s="533" t="s">
        <v>718</v>
      </c>
      <c r="D105" s="533" t="str">
        <f>'Header Info'!C105</f>
        <v>OVEN NO. 6</v>
      </c>
      <c r="E105" s="533" t="s">
        <v>745</v>
      </c>
    </row>
    <row r="106" spans="2:5" x14ac:dyDescent="0.2">
      <c r="B106" s="533" t="str">
        <f>'Header Info'!B106</f>
        <v>CHROME PLUS INTERNATIONAL - WICHITA</v>
      </c>
      <c r="C106" s="533" t="s">
        <v>718</v>
      </c>
      <c r="D106" s="533" t="str">
        <f>'Header Info'!C106</f>
        <v>OVEN NO. 9</v>
      </c>
      <c r="E106" s="533" t="s">
        <v>744</v>
      </c>
    </row>
    <row r="107" spans="2:5" x14ac:dyDescent="0.2">
      <c r="B107" s="533" t="str">
        <f>'Header Info'!B107</f>
        <v>CHROME PLUS INTERNATIONAL - WICHITA</v>
      </c>
      <c r="C107" s="533" t="s">
        <v>718</v>
      </c>
      <c r="D107" s="533" t="str">
        <f>'Header Info'!C107</f>
        <v>OVEN NO. 11 W-CPI-0304</v>
      </c>
      <c r="E107" s="533" t="s">
        <v>736</v>
      </c>
    </row>
    <row r="108" spans="2:5" x14ac:dyDescent="0.2">
      <c r="B108" s="533" t="str">
        <f>'Header Info'!B108</f>
        <v>CHROME PLUS INTERNATIONAL - WICHITA</v>
      </c>
      <c r="C108" s="533" t="s">
        <v>718</v>
      </c>
      <c r="D108" s="533" t="str">
        <f>'Header Info'!C108</f>
        <v>W-CPI-2163 (Oven No.12)</v>
      </c>
      <c r="E108" s="533" t="s">
        <v>1550</v>
      </c>
    </row>
    <row r="109" spans="2:5" x14ac:dyDescent="0.2">
      <c r="B109" s="533" t="str">
        <f>'Header Info'!B109</f>
        <v>CHROME PLUS INTERNATIONAL - WICHITA</v>
      </c>
      <c r="C109" s="533" t="s">
        <v>747</v>
      </c>
      <c r="D109" s="533" t="str">
        <f>'Header Info'!C109</f>
        <v>W-CPI-3046 (No. 7)</v>
      </c>
      <c r="E109" s="533" t="s">
        <v>756</v>
      </c>
    </row>
    <row r="110" spans="2:5" x14ac:dyDescent="0.2">
      <c r="B110" s="533" t="str">
        <f>'Header Info'!B110</f>
        <v>CHROME PLUS INTERNATIONAL - WICHITA</v>
      </c>
      <c r="C110" s="533" t="s">
        <v>747</v>
      </c>
      <c r="D110" s="533" t="str">
        <f>'Header Info'!C110</f>
        <v>W-CPI-3047 (NO. 8)</v>
      </c>
      <c r="E110" s="533" t="s">
        <v>757</v>
      </c>
    </row>
    <row r="111" spans="2:5" x14ac:dyDescent="0.2">
      <c r="B111" s="533" t="str">
        <f>'Header Info'!B111</f>
        <v>CHROME PLUS INTERNATIONAL - WICHITA</v>
      </c>
      <c r="C111" s="533" t="s">
        <v>747</v>
      </c>
      <c r="D111" s="533" t="str">
        <f>'Header Info'!C111</f>
        <v>W-CPI-3049 (Oven 10)</v>
      </c>
      <c r="E111" s="533" t="s">
        <v>748</v>
      </c>
    </row>
    <row r="112" spans="2:5" x14ac:dyDescent="0.2">
      <c r="B112" s="533" t="str">
        <f>'Header Info'!B112</f>
        <v>CHROME PLUS INTERNATIONAL - WICHITA</v>
      </c>
      <c r="C112" s="533" t="s">
        <v>747</v>
      </c>
      <c r="D112" s="533" t="str">
        <f>'Header Info'!C112</f>
        <v>W-CPI-4143 (Oven 13)</v>
      </c>
      <c r="E112" s="533" t="s">
        <v>750</v>
      </c>
    </row>
    <row r="113" spans="2:5" x14ac:dyDescent="0.2">
      <c r="B113" s="533" t="str">
        <f>'Header Info'!B113</f>
        <v>CHROME PLUS INTERNATIONAL - WICHITA</v>
      </c>
      <c r="C113" s="533" t="s">
        <v>747</v>
      </c>
      <c r="D113" s="533" t="str">
        <f>'Header Info'!C113</f>
        <v>W-CPI-4144 (Oven 14)</v>
      </c>
      <c r="E113" s="533" t="s">
        <v>751</v>
      </c>
    </row>
    <row r="114" spans="2:5" x14ac:dyDescent="0.2">
      <c r="B114" s="533" t="str">
        <f>'Header Info'!B114</f>
        <v>CHROME PLUS INTERNATIONAL - WICHITA</v>
      </c>
      <c r="C114" s="533" t="s">
        <v>747</v>
      </c>
      <c r="D114" s="533" t="str">
        <f>'Header Info'!C114</f>
        <v>W-CPI-4988 (Oven 15)</v>
      </c>
      <c r="E114" s="533" t="s">
        <v>752</v>
      </c>
    </row>
    <row r="115" spans="2:5" x14ac:dyDescent="0.2">
      <c r="B115" s="533" t="str">
        <f>'Header Info'!B115</f>
        <v>CHROME PLUS INTERNATIONAL - WICHITA</v>
      </c>
      <c r="C115" s="533" t="s">
        <v>747</v>
      </c>
      <c r="D115" s="533" t="str">
        <f>'Header Info'!C115</f>
        <v>OVEN NO. 16 (W-CPI-1429)</v>
      </c>
      <c r="E115" s="533" t="s">
        <v>753</v>
      </c>
    </row>
    <row r="116" spans="2:5" x14ac:dyDescent="0.2">
      <c r="B116" s="533" t="str">
        <f>'Header Info'!B116</f>
        <v>CHROME PLUS INTERNATIONAL - WICHITA</v>
      </c>
      <c r="C116" s="533" t="s">
        <v>747</v>
      </c>
      <c r="D116" s="533" t="str">
        <f>'Header Info'!C116</f>
        <v>W-CPI-9173 (CURE OVEN 17)</v>
      </c>
      <c r="E116" s="533" t="s">
        <v>754</v>
      </c>
    </row>
    <row r="117" spans="2:5" x14ac:dyDescent="0.2">
      <c r="B117" s="533" t="str">
        <f>'Header Info'!B117</f>
        <v>CHROME PLUS INTERNATIONAL - WICHITA</v>
      </c>
      <c r="C117" s="533" t="s">
        <v>747</v>
      </c>
      <c r="D117" s="533" t="str">
        <f>'Header Info'!C117</f>
        <v>W-CPI-0112 (CURE OVEN 18)</v>
      </c>
      <c r="E117" s="533" t="s">
        <v>1615</v>
      </c>
    </row>
    <row r="118" spans="2:5" x14ac:dyDescent="0.2">
      <c r="B118" s="533" t="str">
        <f>'Header Info'!B118</f>
        <v>COX MACHINE, INC - HARPER DIVISION</v>
      </c>
      <c r="C118" s="533" t="s">
        <v>747</v>
      </c>
      <c r="D118" s="533" t="str">
        <f>'Header Info'!C118</f>
        <v>AGE OVEN NO. 4</v>
      </c>
      <c r="E118" s="533" t="s">
        <v>1618</v>
      </c>
    </row>
    <row r="119" spans="2:5" x14ac:dyDescent="0.2">
      <c r="B119" s="533" t="str">
        <f>'Header Info'!B119</f>
        <v>COX MACHINE, INC - HARPER DIVISION</v>
      </c>
      <c r="C119" s="533" t="s">
        <v>747</v>
      </c>
      <c r="D119" s="533" t="str">
        <f>'Header Info'!C119</f>
        <v>DROP BOTTOM 1</v>
      </c>
      <c r="E119" s="533" t="s">
        <v>1616</v>
      </c>
    </row>
    <row r="120" spans="2:5" x14ac:dyDescent="0.2">
      <c r="B120" s="533" t="str">
        <f>'Header Info'!B120</f>
        <v>COX MACHINE, INC - HARPER DIVISION</v>
      </c>
      <c r="C120" s="533" t="s">
        <v>747</v>
      </c>
      <c r="D120" s="533" t="str">
        <f>'Header Info'!C120</f>
        <v>OVEN NO. 3</v>
      </c>
      <c r="E120" s="533" t="s">
        <v>755</v>
      </c>
    </row>
    <row r="121" spans="2:5" x14ac:dyDescent="0.2">
      <c r="B121" s="533" t="str">
        <f>'Header Info'!B121</f>
        <v>COX MACHINE, INC - HARPER DIVISION</v>
      </c>
      <c r="C121" s="533" t="s">
        <v>747</v>
      </c>
      <c r="D121" s="533" t="str">
        <f>'Header Info'!C121</f>
        <v>OVEN NO. A1</v>
      </c>
      <c r="E121" s="533" t="s">
        <v>759</v>
      </c>
    </row>
    <row r="122" spans="2:5" x14ac:dyDescent="0.2">
      <c r="B122" s="533" t="str">
        <f>'Header Info'!B122</f>
        <v>COX MACHINE, INC - HARPER DIVISION</v>
      </c>
      <c r="C122" s="533" t="s">
        <v>760</v>
      </c>
      <c r="D122" s="533" t="str">
        <f>'Header Info'!C122</f>
        <v>OVEN NO. A2</v>
      </c>
      <c r="E122" s="533" t="s">
        <v>1465</v>
      </c>
    </row>
    <row r="123" spans="2:5" x14ac:dyDescent="0.2">
      <c r="B123" s="533" t="str">
        <f>'Header Info'!B123</f>
        <v>DIVERSIFIED SERVICES</v>
      </c>
      <c r="C123" s="533" t="s">
        <v>760</v>
      </c>
      <c r="D123" s="533" t="str">
        <f>'Header Info'!C123</f>
        <v>BAKE OVEN</v>
      </c>
      <c r="E123" s="533" t="s">
        <v>773</v>
      </c>
    </row>
    <row r="124" spans="2:5" x14ac:dyDescent="0.2">
      <c r="B124" s="533" t="str">
        <f>'Header Info'!B124</f>
        <v>DIVERSIFIED SERVICES</v>
      </c>
      <c r="C124" s="533" t="s">
        <v>760</v>
      </c>
      <c r="D124" s="533" t="str">
        <f>'Header Info'!C124</f>
        <v>CURE OVEN, DSI Cal Record 313</v>
      </c>
      <c r="E124" s="533" t="s">
        <v>779</v>
      </c>
    </row>
    <row r="125" spans="2:5" x14ac:dyDescent="0.2">
      <c r="B125" s="533" t="str">
        <f>'Header Info'!B125</f>
        <v>DIVERSIFIED SERVICES</v>
      </c>
      <c r="C125" s="533" t="s">
        <v>760</v>
      </c>
      <c r="D125" s="533" t="str">
        <f>'Header Info'!C125</f>
        <v>DSI CAL RECORD:91</v>
      </c>
      <c r="E125" s="533" t="s">
        <v>777</v>
      </c>
    </row>
    <row r="126" spans="2:5" x14ac:dyDescent="0.2">
      <c r="B126" s="533" t="str">
        <f>'Header Info'!B126</f>
        <v>DIVERSIFIED SERVICES</v>
      </c>
      <c r="C126" s="533" t="s">
        <v>760</v>
      </c>
      <c r="D126" s="533" t="str">
        <f>'Header Info'!C126</f>
        <v>PAINT BAKE OVEN</v>
      </c>
      <c r="E126" s="533" t="s">
        <v>776</v>
      </c>
    </row>
    <row r="127" spans="2:5" x14ac:dyDescent="0.2">
      <c r="B127" s="533" t="str">
        <f>'Header Info'!B127</f>
        <v>D-J ENGINEERING, INC.</v>
      </c>
      <c r="C127" s="533" t="s">
        <v>760</v>
      </c>
      <c r="D127" s="533" t="str">
        <f>'Header Info'!C127</f>
        <v>AUTOCLAVE NO. 1</v>
      </c>
      <c r="E127" s="533" t="s">
        <v>775</v>
      </c>
    </row>
    <row r="128" spans="2:5" x14ac:dyDescent="0.2">
      <c r="B128" s="533" t="str">
        <f>'Header Info'!B128</f>
        <v>D-J ENGINEERING, INC.</v>
      </c>
      <c r="C128" s="533" t="s">
        <v>760</v>
      </c>
      <c r="D128" s="533" t="str">
        <f>'Header Info'!C128</f>
        <v>AUTOCLAVE NO. 2</v>
      </c>
      <c r="E128" s="533" t="s">
        <v>761</v>
      </c>
    </row>
    <row r="129" spans="2:5" x14ac:dyDescent="0.2">
      <c r="B129" s="533" t="str">
        <f>'Header Info'!B129</f>
        <v>D-J ENGINEERING, INC.</v>
      </c>
      <c r="C129" s="533" t="s">
        <v>760</v>
      </c>
      <c r="D129" s="533" t="str">
        <f>'Header Info'!C129</f>
        <v>BKE1</v>
      </c>
      <c r="E129" s="533" t="s">
        <v>781</v>
      </c>
    </row>
    <row r="130" spans="2:5" x14ac:dyDescent="0.2">
      <c r="B130" s="533" t="str">
        <f>'Header Info'!B130</f>
        <v>D-J ENGINEERING, INC.</v>
      </c>
      <c r="C130" s="533" t="s">
        <v>760</v>
      </c>
      <c r="D130" s="533" t="str">
        <f>'Header Info'!C130</f>
        <v>MIS458</v>
      </c>
      <c r="E130" s="533" t="s">
        <v>771</v>
      </c>
    </row>
    <row r="131" spans="2:5" x14ac:dyDescent="0.2">
      <c r="B131" s="533" t="str">
        <f>'Header Info'!B131</f>
        <v>D-J ENGINEERING, INC.</v>
      </c>
      <c r="C131" s="533" t="s">
        <v>760</v>
      </c>
      <c r="D131" s="533" t="str">
        <f>'Header Info'!C131</f>
        <v>OSI AGE OVEN</v>
      </c>
      <c r="E131" s="533" t="s">
        <v>769</v>
      </c>
    </row>
    <row r="132" spans="2:5" x14ac:dyDescent="0.2">
      <c r="B132" s="533" t="str">
        <f>'Header Info'!B132</f>
        <v>D-J ENGINEERING, INC.</v>
      </c>
      <c r="C132" s="533" t="s">
        <v>760</v>
      </c>
      <c r="D132" s="533" t="str">
        <f>'Header Info'!C132</f>
        <v>OVEN NO. 126912</v>
      </c>
      <c r="E132" s="533" t="s">
        <v>767</v>
      </c>
    </row>
    <row r="133" spans="2:5" x14ac:dyDescent="0.2">
      <c r="B133" s="533" t="str">
        <f>'Header Info'!B133</f>
        <v>D-J EXTRUDING</v>
      </c>
      <c r="C133" s="533" t="s">
        <v>760</v>
      </c>
      <c r="D133" s="533" t="str">
        <f>'Header Info'!C133</f>
        <v>ALG1</v>
      </c>
      <c r="E133" s="533" t="s">
        <v>765</v>
      </c>
    </row>
    <row r="134" spans="2:5" x14ac:dyDescent="0.2">
      <c r="B134" s="533" t="str">
        <f>'Header Info'!B134</f>
        <v>D-J EXTRUDING</v>
      </c>
      <c r="C134" s="533" t="s">
        <v>760</v>
      </c>
      <c r="D134" s="533" t="str">
        <f>'Header Info'!C134</f>
        <v>ALN1</v>
      </c>
      <c r="E134" s="533" t="s">
        <v>763</v>
      </c>
    </row>
    <row r="135" spans="2:5" x14ac:dyDescent="0.2">
      <c r="B135" s="533" t="str">
        <f>'Header Info'!B135</f>
        <v>D-J EXTRUDING</v>
      </c>
      <c r="C135" s="533" t="s">
        <v>760</v>
      </c>
      <c r="D135" s="533" t="str">
        <f>'Header Info'!C135</f>
        <v>ALH2</v>
      </c>
      <c r="E135" s="533" t="s">
        <v>774</v>
      </c>
    </row>
    <row r="136" spans="2:5" x14ac:dyDescent="0.2">
      <c r="B136" s="533" t="str">
        <f>'Header Info'!B136</f>
        <v>D-J EXTRUDING</v>
      </c>
      <c r="C136" s="533" t="s">
        <v>783</v>
      </c>
      <c r="D136" s="533" t="str">
        <f>'Header Info'!C136</f>
        <v>ALH1</v>
      </c>
      <c r="E136" s="533" t="s">
        <v>806</v>
      </c>
    </row>
    <row r="137" spans="2:5" x14ac:dyDescent="0.2">
      <c r="B137" s="533" t="str">
        <f>'Header Info'!B137</f>
        <v>D-J EXTRUDING</v>
      </c>
      <c r="C137" s="533" t="s">
        <v>783</v>
      </c>
      <c r="D137" s="533" t="str">
        <f>'Header Info'!C137</f>
        <v>STT1 (Monthly Test)</v>
      </c>
      <c r="E137" s="533" t="s">
        <v>1497</v>
      </c>
    </row>
    <row r="138" spans="2:5" x14ac:dyDescent="0.2">
      <c r="B138" s="533" t="str">
        <f>'Header Info'!B138</f>
        <v>D-J EXTRUDING</v>
      </c>
      <c r="C138" s="533" t="s">
        <v>783</v>
      </c>
      <c r="D138" s="533" t="str">
        <f>'Header Info'!C138</f>
        <v>STT1 (Quarterly Test)</v>
      </c>
      <c r="E138" s="533" t="s">
        <v>804</v>
      </c>
    </row>
    <row r="139" spans="2:5" x14ac:dyDescent="0.2">
      <c r="B139" s="533" t="str">
        <f>'Header Info'!B139</f>
        <v>D-J EXTRUDING</v>
      </c>
      <c r="C139" s="533" t="s">
        <v>783</v>
      </c>
      <c r="D139" s="533" t="str">
        <f>'Header Info'!C139</f>
        <v>STT1 1400°F SA</v>
      </c>
      <c r="E139" s="533" t="s">
        <v>785</v>
      </c>
    </row>
    <row r="140" spans="2:5" x14ac:dyDescent="0.2">
      <c r="B140" s="533" t="str">
        <f>'Header Info'!B140</f>
        <v>D-J EXTRUDING</v>
      </c>
      <c r="C140" s="533" t="s">
        <v>783</v>
      </c>
      <c r="D140" s="533" t="str">
        <f>'Header Info'!C140</f>
        <v>STH1</v>
      </c>
      <c r="E140" s="533" t="s">
        <v>787</v>
      </c>
    </row>
    <row r="141" spans="2:5" x14ac:dyDescent="0.2">
      <c r="B141" s="533" t="str">
        <f>'Header Info'!B141</f>
        <v>DUCOMMUN AEROSTRUCTURES, INC.</v>
      </c>
      <c r="C141" s="533" t="s">
        <v>783</v>
      </c>
      <c r="D141" s="533" t="str">
        <f>'Header Info'!C141</f>
        <v>VAC-633</v>
      </c>
      <c r="E141" s="533" t="s">
        <v>789</v>
      </c>
    </row>
    <row r="142" spans="2:5" x14ac:dyDescent="0.2">
      <c r="B142" s="533" t="str">
        <f>'Header Info'!B142</f>
        <v>DUCOMMUN AEROSTRUCTURES, INC.</v>
      </c>
      <c r="C142" s="533" t="s">
        <v>783</v>
      </c>
      <c r="D142" s="533" t="str">
        <f>'Header Info'!C142</f>
        <v>VAC-438</v>
      </c>
      <c r="E142" s="533" t="s">
        <v>791</v>
      </c>
    </row>
    <row r="143" spans="2:5" x14ac:dyDescent="0.2">
      <c r="B143" s="533" t="str">
        <f>'Header Info'!B143</f>
        <v>DUCOMMUN AEROSTRUCTURES, INC.</v>
      </c>
      <c r="C143" s="533" t="s">
        <v>783</v>
      </c>
      <c r="D143" s="533" t="str">
        <f>'Header Info'!C143</f>
        <v>VAC-439</v>
      </c>
      <c r="E143" s="533" t="s">
        <v>793</v>
      </c>
    </row>
    <row r="144" spans="2:5" x14ac:dyDescent="0.2">
      <c r="B144" s="533" t="str">
        <f>'Header Info'!B144</f>
        <v>DUCOMMUN AEROSTRUCTURES, INC.</v>
      </c>
      <c r="C144" s="533" t="s">
        <v>783</v>
      </c>
      <c r="D144" s="533" t="str">
        <f>'Header Info'!C144</f>
        <v>VAC-440</v>
      </c>
      <c r="E144" s="533" t="s">
        <v>795</v>
      </c>
    </row>
    <row r="145" spans="2:5" x14ac:dyDescent="0.2">
      <c r="B145" s="533" t="str">
        <f>'Header Info'!B145</f>
        <v>DUCOMMUN AEROSTRUCTURES, INC.</v>
      </c>
      <c r="C145" s="533" t="s">
        <v>783</v>
      </c>
      <c r="D145" s="533" t="str">
        <f>'Header Info'!C145</f>
        <v>VAC-570</v>
      </c>
      <c r="E145" s="533" t="s">
        <v>797</v>
      </c>
    </row>
    <row r="146" spans="2:5" x14ac:dyDescent="0.2">
      <c r="B146" s="533" t="str">
        <f>'Header Info'!B146</f>
        <v>DUCOMMUN AEROSTRUCTURES, INC.</v>
      </c>
      <c r="C146" s="533" t="s">
        <v>783</v>
      </c>
      <c r="D146" s="533" t="str">
        <f>'Header Info'!C146</f>
        <v>VAC-579</v>
      </c>
      <c r="E146" s="533" t="s">
        <v>798</v>
      </c>
    </row>
    <row r="147" spans="2:5" x14ac:dyDescent="0.2">
      <c r="B147" s="533" t="str">
        <f>'Header Info'!B147</f>
        <v>DUCOMMUN AEROSTRUCTURES, INC.</v>
      </c>
      <c r="C147" s="533" t="s">
        <v>783</v>
      </c>
      <c r="D147" s="533" t="str">
        <f>'Header Info'!C147</f>
        <v>VAC-584</v>
      </c>
      <c r="E147" s="533" t="s">
        <v>800</v>
      </c>
    </row>
    <row r="148" spans="2:5" x14ac:dyDescent="0.2">
      <c r="B148" s="533" t="str">
        <f>'Header Info'!B148</f>
        <v>DUCOMMUN AEROSTRUCTURES, INC.</v>
      </c>
      <c r="C148" s="533" t="s">
        <v>783</v>
      </c>
      <c r="D148" s="533" t="str">
        <f>'Header Info'!C148</f>
        <v>VAC-629 Penetrant Oven</v>
      </c>
      <c r="E148" s="533" t="s">
        <v>801</v>
      </c>
    </row>
    <row r="149" spans="2:5" x14ac:dyDescent="0.2">
      <c r="B149" s="533" t="str">
        <f>'Header Info'!B149</f>
        <v>DUCOMMUN AEROSTRUCTURES, INC.</v>
      </c>
      <c r="C149" s="533" t="s">
        <v>783</v>
      </c>
      <c r="D149" s="533" t="str">
        <f>'Header Info'!C149</f>
        <v>VAC-634</v>
      </c>
      <c r="E149" s="533" t="s">
        <v>802</v>
      </c>
    </row>
    <row r="150" spans="2:5" x14ac:dyDescent="0.2">
      <c r="B150" s="533" t="str">
        <f>'Header Info'!B150</f>
        <v>DUCOMMUN AEROSTRUCTURES, INC.</v>
      </c>
      <c r="C150" s="533" t="s">
        <v>808</v>
      </c>
      <c r="D150" s="533" t="str">
        <f>'Header Info'!C150</f>
        <v>VAC-643</v>
      </c>
      <c r="E150" s="533" t="s">
        <v>809</v>
      </c>
    </row>
    <row r="151" spans="2:5" x14ac:dyDescent="0.2">
      <c r="B151" s="533" t="str">
        <f>'Header Info'!B151</f>
        <v>DUCOMMUN AEROSTRUCTURES, INC.</v>
      </c>
      <c r="C151" s="533" t="s">
        <v>811</v>
      </c>
      <c r="D151" s="533" t="str">
        <f>'Header Info'!C151</f>
        <v>VAC-644</v>
      </c>
      <c r="E151" s="533" t="s">
        <v>813</v>
      </c>
    </row>
    <row r="152" spans="2:5" x14ac:dyDescent="0.2">
      <c r="B152" s="533" t="str">
        <f>'Header Info'!B152</f>
        <v>DUCOMMUN AEROSTRUCTURES, INC.</v>
      </c>
      <c r="C152" s="533" t="s">
        <v>811</v>
      </c>
      <c r="D152" s="533" t="str">
        <f>'Header Info'!C152</f>
        <v>VAC-659</v>
      </c>
      <c r="E152" s="533" t="s">
        <v>817</v>
      </c>
    </row>
    <row r="153" spans="2:5" x14ac:dyDescent="0.2">
      <c r="B153" s="533" t="str">
        <f>'Header Info'!B153</f>
        <v>DUCOMMUN AEROSTRUCTURES, INC.</v>
      </c>
      <c r="C153" s="533" t="s">
        <v>811</v>
      </c>
      <c r="D153" s="533" t="str">
        <f>'Header Info'!C153</f>
        <v>VAC-963</v>
      </c>
      <c r="E153" s="533" t="s">
        <v>815</v>
      </c>
    </row>
    <row r="154" spans="2:5" x14ac:dyDescent="0.2">
      <c r="B154" s="533" t="str">
        <f>'Header Info'!B154</f>
        <v>DUCOMMUN AEROSTRUCTURES, INC.</v>
      </c>
      <c r="C154" s="533" t="s">
        <v>828</v>
      </c>
      <c r="D154" s="533" t="str">
        <f>'Header Info'!C154</f>
        <v>VAC-980</v>
      </c>
      <c r="E154" s="533" t="s">
        <v>830</v>
      </c>
    </row>
    <row r="155" spans="2:5" x14ac:dyDescent="0.2">
      <c r="B155" s="533" t="str">
        <f>'Header Info'!B155</f>
        <v>DUCOMMUN AEROSTRUCTURES, INC.</v>
      </c>
      <c r="C155" s="533" t="s">
        <v>828</v>
      </c>
      <c r="D155" s="533" t="str">
        <f>'Header Info'!C155</f>
        <v>VAC-983 2-1</v>
      </c>
      <c r="E155" s="533" t="s">
        <v>831</v>
      </c>
    </row>
    <row r="156" spans="2:5" x14ac:dyDescent="0.2">
      <c r="B156" s="533" t="str">
        <f>'Header Info'!B156</f>
        <v>DUCOMMUN AEROSTRUCTURES, INC.</v>
      </c>
      <c r="C156" s="533" t="s">
        <v>833</v>
      </c>
      <c r="D156" s="533" t="str">
        <f>'Header Info'!C156</f>
        <v>VAC-983 2-3</v>
      </c>
      <c r="E156" s="533" t="s">
        <v>841</v>
      </c>
    </row>
    <row r="157" spans="2:5" x14ac:dyDescent="0.2">
      <c r="B157" s="533" t="str">
        <f>'Header Info'!B157</f>
        <v>DUCOMMUN AEROSTRUCTURES, INC.</v>
      </c>
      <c r="C157" s="533" t="s">
        <v>833</v>
      </c>
      <c r="D157" s="533" t="str">
        <f>'Header Info'!C157</f>
        <v>VAC-983 2-6</v>
      </c>
      <c r="E157" s="533" t="s">
        <v>842</v>
      </c>
    </row>
    <row r="158" spans="2:5" x14ac:dyDescent="0.2">
      <c r="B158" s="533" t="str">
        <f>'Header Info'!B158</f>
        <v>DUCOMMUN AEROSTRUCTURES, INC.</v>
      </c>
      <c r="C158" s="533" t="s">
        <v>833</v>
      </c>
      <c r="D158" s="533" t="str">
        <f>'Header Info'!C158</f>
        <v>VAC-983 2-A</v>
      </c>
      <c r="E158" s="533" t="s">
        <v>843</v>
      </c>
    </row>
    <row r="159" spans="2:5" x14ac:dyDescent="0.2">
      <c r="B159" s="533" t="str">
        <f>'Header Info'!B159</f>
        <v>DUCOMMUN AEROSTRUCTURES, INC.</v>
      </c>
      <c r="C159" s="533" t="s">
        <v>833</v>
      </c>
      <c r="D159" s="533" t="str">
        <f>'Header Info'!C159</f>
        <v>VAC-989</v>
      </c>
      <c r="E159" s="533" t="s">
        <v>845</v>
      </c>
    </row>
    <row r="160" spans="2:5" x14ac:dyDescent="0.2">
      <c r="B160" s="533" t="str">
        <f>'Header Info'!B160</f>
        <v>DUCOMMUN AEROSTRUCTURES, INC.</v>
      </c>
      <c r="C160" s="533" t="s">
        <v>833</v>
      </c>
      <c r="D160" s="533" t="str">
        <f>'Header Info'!C160</f>
        <v>VAC-1005</v>
      </c>
      <c r="E160" s="533" t="s">
        <v>846</v>
      </c>
    </row>
    <row r="161" spans="2:5" x14ac:dyDescent="0.2">
      <c r="B161" s="533" t="str">
        <f>'Header Info'!B161</f>
        <v>DUCOMMUN AEROSTRUCTURES, INC.</v>
      </c>
      <c r="C161" s="533" t="s">
        <v>833</v>
      </c>
      <c r="D161" s="533" t="str">
        <f>'Header Info'!C161</f>
        <v>VAC-1077</v>
      </c>
      <c r="E161" s="533" t="s">
        <v>847</v>
      </c>
    </row>
    <row r="162" spans="2:5" x14ac:dyDescent="0.2">
      <c r="B162" s="533" t="str">
        <f>'Header Info'!B162</f>
        <v>ELECTROMECH TECHNOLOGIES</v>
      </c>
      <c r="C162" s="533" t="s">
        <v>833</v>
      </c>
      <c r="D162" s="533">
        <f>'Header Info'!C162</f>
        <v>588</v>
      </c>
      <c r="E162" s="533" t="s">
        <v>850</v>
      </c>
    </row>
    <row r="163" spans="2:5" x14ac:dyDescent="0.2">
      <c r="B163" s="533" t="str">
        <f>'Header Info'!B163</f>
        <v>ELECTROMECH TECHNOLOGIES</v>
      </c>
      <c r="C163" s="533" t="s">
        <v>833</v>
      </c>
      <c r="D163" s="533">
        <f>'Header Info'!C163</f>
        <v>12004</v>
      </c>
      <c r="E163" s="533" t="s">
        <v>3460</v>
      </c>
    </row>
    <row r="164" spans="2:5" x14ac:dyDescent="0.2">
      <c r="B164" s="533" t="str">
        <f>'Header Info'!B164</f>
        <v>ELECTROMECH TECHNOLOGIES</v>
      </c>
      <c r="C164" s="533" t="s">
        <v>833</v>
      </c>
      <c r="D164" s="533" t="str">
        <f>'Header Info'!C164</f>
        <v>ASSET A000080</v>
      </c>
      <c r="E164" s="533" t="s">
        <v>840</v>
      </c>
    </row>
    <row r="165" spans="2:5" x14ac:dyDescent="0.2">
      <c r="B165" s="533" t="str">
        <f>'Header Info'!B165</f>
        <v>ELECTROMECH TECHNOLOGIES</v>
      </c>
      <c r="C165" s="533" t="s">
        <v>833</v>
      </c>
      <c r="D165" s="533" t="str">
        <f>'Header Info'!C165</f>
        <v>Blue M Oven 568</v>
      </c>
      <c r="E165" s="533" t="s">
        <v>839</v>
      </c>
    </row>
    <row r="166" spans="2:5" x14ac:dyDescent="0.2">
      <c r="B166" s="533" t="str">
        <f>'Header Info'!B166</f>
        <v>ELECTROMECH TECHNOLOGIES</v>
      </c>
      <c r="C166" s="533" t="s">
        <v>833</v>
      </c>
      <c r="D166" s="533" t="str">
        <f>'Header Info'!C166</f>
        <v>Cure Oven No. 15791</v>
      </c>
      <c r="E166" s="533" t="s">
        <v>837</v>
      </c>
    </row>
    <row r="167" spans="2:5" x14ac:dyDescent="0.2">
      <c r="B167" s="533" t="str">
        <f>'Header Info'!B167</f>
        <v>ELECTROMECH TECHNOLOGIES</v>
      </c>
      <c r="C167" s="533" t="s">
        <v>833</v>
      </c>
      <c r="D167" s="533" t="str">
        <f>'Header Info'!C167</f>
        <v>Cure Oven No. 187</v>
      </c>
      <c r="E167" s="533" t="s">
        <v>835</v>
      </c>
    </row>
    <row r="168" spans="2:5" x14ac:dyDescent="0.2">
      <c r="B168" s="533" t="str">
        <f>'Header Info'!B168</f>
        <v>ELECTROMECH TECHNOLOGIES</v>
      </c>
      <c r="C168" s="533" t="s">
        <v>833</v>
      </c>
      <c r="D168" s="533" t="str">
        <f>'Header Info'!C168</f>
        <v>Cure Oven No. 75143</v>
      </c>
      <c r="E168" s="533" t="s">
        <v>1355</v>
      </c>
    </row>
    <row r="169" spans="2:5" x14ac:dyDescent="0.2">
      <c r="B169" s="533" t="str">
        <f>'Header Info'!B169</f>
        <v>ELECTROMECH TECHNOLOGIES</v>
      </c>
      <c r="C169" s="533" t="s">
        <v>833</v>
      </c>
      <c r="D169" s="533" t="str">
        <f>'Header Info'!C169</f>
        <v>Environmental Chamber 482</v>
      </c>
      <c r="E169" s="533" t="s">
        <v>3461</v>
      </c>
    </row>
    <row r="170" spans="2:5" x14ac:dyDescent="0.2">
      <c r="B170" s="533" t="str">
        <f>'Header Info'!B170</f>
        <v>ELECTROMECH TECHNOLOGIES</v>
      </c>
      <c r="C170" s="533" t="s">
        <v>833</v>
      </c>
      <c r="D170" s="533" t="str">
        <f>'Header Info'!C170</f>
        <v>FT622</v>
      </c>
      <c r="E170" s="533" t="s">
        <v>848</v>
      </c>
    </row>
    <row r="171" spans="2:5" x14ac:dyDescent="0.2">
      <c r="B171" s="533" t="str">
        <f>'Header Info'!B171</f>
        <v>ELECTROMECH TECHNOLOGIES</v>
      </c>
      <c r="C171" s="533" t="s">
        <v>833</v>
      </c>
      <c r="D171" s="533" t="str">
        <f>'Header Info'!C171</f>
        <v>Oven No. 066</v>
      </c>
      <c r="E171" s="533" t="s">
        <v>834</v>
      </c>
    </row>
    <row r="172" spans="2:5" x14ac:dyDescent="0.2">
      <c r="B172" s="533" t="str">
        <f>'Header Info'!B172</f>
        <v>ELECTROMECH TECHNOLOGIES</v>
      </c>
      <c r="C172" s="533" t="s">
        <v>1357</v>
      </c>
      <c r="D172" s="533" t="str">
        <f>'Header Info'!C172</f>
        <v>Oven No. 567</v>
      </c>
      <c r="E172" s="533" t="s">
        <v>1364</v>
      </c>
    </row>
    <row r="173" spans="2:5" x14ac:dyDescent="0.2">
      <c r="B173" s="533" t="str">
        <f>'Header Info'!B173</f>
        <v>ELECTROMECH TECHNOLOGIES</v>
      </c>
      <c r="C173" s="533" t="s">
        <v>1357</v>
      </c>
      <c r="D173" s="533" t="str">
        <f>'Header Info'!C173</f>
        <v>Oven No. 13271</v>
      </c>
      <c r="E173" s="533" t="s">
        <v>1366</v>
      </c>
    </row>
    <row r="174" spans="2:5" x14ac:dyDescent="0.2">
      <c r="B174" s="533" t="str">
        <f>'Header Info'!B174</f>
        <v>ELECTROMECH TECHNOLOGIES</v>
      </c>
      <c r="C174" s="533" t="s">
        <v>1357</v>
      </c>
      <c r="D174" s="533" t="str">
        <f>'Header Info'!C174</f>
        <v>Oven No. 14835</v>
      </c>
      <c r="E174" s="533" t="s">
        <v>1361</v>
      </c>
    </row>
    <row r="175" spans="2:5" x14ac:dyDescent="0.2">
      <c r="B175" s="533" t="str">
        <f>'Header Info'!B175</f>
        <v>ELECTROMECH TECHNOLOGIES</v>
      </c>
      <c r="C175" s="533" t="s">
        <v>1357</v>
      </c>
      <c r="D175" s="533" t="str">
        <f>'Header Info'!C175</f>
        <v>Oven No. 613853-231</v>
      </c>
      <c r="E175" s="533" t="s">
        <v>1363</v>
      </c>
    </row>
    <row r="176" spans="2:5" x14ac:dyDescent="0.2">
      <c r="B176" s="533" t="str">
        <f>'Header Info'!B176</f>
        <v>ELECTROMECH TECHNOLOGIES</v>
      </c>
      <c r="C176" s="533" t="s">
        <v>1357</v>
      </c>
      <c r="D176" s="533" t="str">
        <f>'Header Info'!C176</f>
        <v>Oven No. 851899</v>
      </c>
      <c r="E176" s="533" t="s">
        <v>1359</v>
      </c>
    </row>
    <row r="177" spans="2:5" x14ac:dyDescent="0.2">
      <c r="B177" s="533" t="str">
        <f>'Header Info'!B177</f>
        <v>ELECTROMECH TECHNOLOGIES</v>
      </c>
      <c r="C177" s="533" t="s">
        <v>851</v>
      </c>
      <c r="D177" s="533" t="str">
        <f>'Header Info'!C177</f>
        <v>Thermal Shock Chamber</v>
      </c>
      <c r="E177" s="533" t="s">
        <v>852</v>
      </c>
    </row>
    <row r="178" spans="2:5" x14ac:dyDescent="0.2">
      <c r="B178" s="533" t="str">
        <f>'Header Info'!B178</f>
        <v>EXACTA AEROSPACE, INC. SOUTH</v>
      </c>
      <c r="C178" s="533" t="s">
        <v>854</v>
      </c>
      <c r="D178" s="533" t="str">
        <f>'Header Info'!C178</f>
        <v>Cure Oven</v>
      </c>
      <c r="E178" s="533" t="s">
        <v>857</v>
      </c>
    </row>
    <row r="179" spans="2:5" x14ac:dyDescent="0.2">
      <c r="B179" s="533" t="str">
        <f>'Header Info'!B179</f>
        <v>EXACTA AEROSPACE, INC.</v>
      </c>
      <c r="C179" s="533" t="s">
        <v>854</v>
      </c>
      <c r="D179" s="533" t="str">
        <f>'Header Info'!C179</f>
        <v>STRESS RELIEF OVEN</v>
      </c>
      <c r="E179" s="533" t="s">
        <v>862</v>
      </c>
    </row>
    <row r="180" spans="2:5" x14ac:dyDescent="0.2">
      <c r="B180" s="533" t="str">
        <f>'Header Info'!B180</f>
        <v>FARRAR MANHATTAN DIV.</v>
      </c>
      <c r="C180" s="533" t="s">
        <v>854</v>
      </c>
      <c r="D180" s="533" t="str">
        <f>'Header Info'!C180</f>
        <v>FURNACE NO. 1</v>
      </c>
      <c r="E180" s="533" t="s">
        <v>863</v>
      </c>
    </row>
    <row r="181" spans="2:5" x14ac:dyDescent="0.2">
      <c r="B181" s="533" t="str">
        <f>'Header Info'!B181</f>
        <v>FARRAR MANHATTAN DIV.</v>
      </c>
      <c r="C181" s="533" t="s">
        <v>854</v>
      </c>
      <c r="D181" s="533" t="str">
        <f>'Header Info'!C181</f>
        <v>FURNACE NO. 2</v>
      </c>
      <c r="E181" s="533" t="s">
        <v>858</v>
      </c>
    </row>
    <row r="182" spans="2:5" x14ac:dyDescent="0.2">
      <c r="B182" s="533" t="str">
        <f>'Header Info'!B182</f>
        <v>FARRAR MANHATTAN DIV.</v>
      </c>
      <c r="C182" s="533" t="s">
        <v>854</v>
      </c>
      <c r="D182" s="533" t="str">
        <f>'Header Info'!C182</f>
        <v>FURNACE NO. 3</v>
      </c>
      <c r="E182" s="533" t="s">
        <v>860</v>
      </c>
    </row>
    <row r="183" spans="2:5" x14ac:dyDescent="0.2">
      <c r="B183" s="533" t="str">
        <f>'Header Info'!B183</f>
        <v>FIGEAC AERO</v>
      </c>
      <c r="C183" s="533" t="s">
        <v>854</v>
      </c>
      <c r="D183" s="533" t="str">
        <f>'Header Info'!C183</f>
        <v>FW-801</v>
      </c>
      <c r="E183" s="533" t="s">
        <v>856</v>
      </c>
    </row>
    <row r="184" spans="2:5" x14ac:dyDescent="0.2">
      <c r="B184" s="533" t="str">
        <f>'Header Info'!B184</f>
        <v>FIGEAC AERO</v>
      </c>
      <c r="C184" s="533" t="s">
        <v>865</v>
      </c>
      <c r="D184" s="533" t="str">
        <f>'Header Info'!C184</f>
        <v>FW-802</v>
      </c>
      <c r="E184" s="533" t="s">
        <v>868</v>
      </c>
    </row>
    <row r="185" spans="2:5" x14ac:dyDescent="0.2">
      <c r="B185" s="533" t="str">
        <f>'Header Info'!B185</f>
        <v>FIGEAC AERO</v>
      </c>
      <c r="C185" s="533" t="s">
        <v>865</v>
      </c>
      <c r="D185" s="533" t="str">
        <f>'Header Info'!C185</f>
        <v>FW-803</v>
      </c>
      <c r="E185" s="533" t="s">
        <v>872</v>
      </c>
    </row>
    <row r="186" spans="2:5" x14ac:dyDescent="0.2">
      <c r="B186" s="533" t="str">
        <f>'Header Info'!B186</f>
        <v>FIGEAC AERO</v>
      </c>
      <c r="C186" s="533" t="s">
        <v>865</v>
      </c>
      <c r="D186" s="533" t="str">
        <f>'Header Info'!C186</f>
        <v>FW-804</v>
      </c>
      <c r="E186" s="533" t="s">
        <v>871</v>
      </c>
    </row>
    <row r="187" spans="2:5" x14ac:dyDescent="0.2">
      <c r="B187" s="533" t="str">
        <f>'Header Info'!B187</f>
        <v>FIGEAC AERO</v>
      </c>
      <c r="C187" s="533" t="s">
        <v>865</v>
      </c>
      <c r="D187" s="533" t="str">
        <f>'Header Info'!C187</f>
        <v>FW-805</v>
      </c>
      <c r="E187" s="533" t="s">
        <v>869</v>
      </c>
    </row>
    <row r="188" spans="2:5" x14ac:dyDescent="0.2">
      <c r="B188" s="533" t="str">
        <f>'Header Info'!B188</f>
        <v>FIGEAC AERO</v>
      </c>
      <c r="C188" s="533" t="s">
        <v>865</v>
      </c>
      <c r="D188" s="533" t="str">
        <f>'Header Info'!C188</f>
        <v>FW-806</v>
      </c>
      <c r="E188" s="533" t="s">
        <v>866</v>
      </c>
    </row>
    <row r="189" spans="2:5" x14ac:dyDescent="0.2">
      <c r="B189" s="533" t="str">
        <f>'Header Info'!B189</f>
        <v>FIGEAC AERO</v>
      </c>
      <c r="C189" s="533" t="s">
        <v>865</v>
      </c>
      <c r="D189" s="533" t="str">
        <f>'Header Info'!C189</f>
        <v>FW-808</v>
      </c>
      <c r="E189" s="533" t="s">
        <v>867</v>
      </c>
    </row>
    <row r="190" spans="2:5" x14ac:dyDescent="0.2">
      <c r="B190" s="533" t="str">
        <f>'Header Info'!B190</f>
        <v>FIGEAC AERO</v>
      </c>
      <c r="C190" s="533" t="s">
        <v>874</v>
      </c>
      <c r="D190" s="533" t="str">
        <f>'Header Info'!C190</f>
        <v>FW-809</v>
      </c>
      <c r="E190" s="533" t="s">
        <v>879</v>
      </c>
    </row>
    <row r="191" spans="2:5" x14ac:dyDescent="0.2">
      <c r="B191" s="533" t="str">
        <f>'Header Info'!B191</f>
        <v>FIGEAC AERO</v>
      </c>
      <c r="C191" s="533" t="s">
        <v>874</v>
      </c>
      <c r="D191" s="533" t="str">
        <f>'Header Info'!C191</f>
        <v>FW-810</v>
      </c>
      <c r="E191" s="533" t="s">
        <v>1651</v>
      </c>
    </row>
    <row r="192" spans="2:5" x14ac:dyDescent="0.2">
      <c r="B192" s="533" t="str">
        <f>'Header Info'!B192</f>
        <v>FIGEAC AERO</v>
      </c>
      <c r="C192" s="533" t="s">
        <v>874</v>
      </c>
      <c r="D192" s="533" t="str">
        <f>'Header Info'!C192</f>
        <v>FW-NDT-013</v>
      </c>
      <c r="E192" s="533" t="s">
        <v>876</v>
      </c>
    </row>
    <row r="193" spans="2:5" x14ac:dyDescent="0.2">
      <c r="B193" s="533" t="str">
        <f>'Header Info'!B193</f>
        <v>FIGEAC AERO</v>
      </c>
      <c r="C193" s="533" t="s">
        <v>874</v>
      </c>
      <c r="D193" s="533" t="str">
        <f>'Header Info'!C193</f>
        <v>LAB OVEN FW-LAB-003</v>
      </c>
      <c r="E193" s="533" t="s">
        <v>877</v>
      </c>
    </row>
    <row r="194" spans="2:5" x14ac:dyDescent="0.2">
      <c r="B194" s="533" t="str">
        <f>'Header Info'!B194</f>
        <v>FIGEAC AERO</v>
      </c>
      <c r="C194" s="533" t="s">
        <v>881</v>
      </c>
      <c r="D194" s="533" t="str">
        <f>'Header Info'!C194</f>
        <v>SW-032</v>
      </c>
      <c r="E194" s="533" t="s">
        <v>1503</v>
      </c>
    </row>
    <row r="195" spans="2:5" x14ac:dyDescent="0.2">
      <c r="B195" s="533" t="str">
        <f>'Header Info'!B195</f>
        <v>FMI, INC.</v>
      </c>
      <c r="C195" s="533" t="s">
        <v>881</v>
      </c>
      <c r="D195" s="533" t="str">
        <f>'Header Info'!C195</f>
        <v>OVEN NO. 2</v>
      </c>
      <c r="E195" s="533" t="s">
        <v>1505</v>
      </c>
    </row>
    <row r="196" spans="2:5" x14ac:dyDescent="0.2">
      <c r="B196" s="533" t="str">
        <f>'Header Info'!B196</f>
        <v>FMI, INC.</v>
      </c>
      <c r="C196" s="533" t="s">
        <v>881</v>
      </c>
      <c r="D196" s="533" t="str">
        <f>'Header Info'!C196</f>
        <v>Freezer No. 19</v>
      </c>
      <c r="E196" s="533" t="s">
        <v>1597</v>
      </c>
    </row>
    <row r="197" spans="2:5" x14ac:dyDescent="0.2">
      <c r="B197" s="533" t="str">
        <f>'Header Info'!B197</f>
        <v>FTW COATINGS</v>
      </c>
      <c r="C197" s="533" t="s">
        <v>881</v>
      </c>
      <c r="D197" s="533" t="str">
        <f>'Header Info'!C197</f>
        <v>JPW Oven</v>
      </c>
      <c r="E197" s="533" t="s">
        <v>1501</v>
      </c>
    </row>
    <row r="198" spans="2:5" x14ac:dyDescent="0.2">
      <c r="B198" s="533" t="str">
        <f>'Header Info'!B198</f>
        <v>GLOBAL ENGINEERING TECHNOLOGY</v>
      </c>
      <c r="C198" s="533" t="s">
        <v>881</v>
      </c>
      <c r="D198" s="533" t="str">
        <f>'Header Info'!C198</f>
        <v>POWDER COAT OVEN</v>
      </c>
      <c r="E198" s="533" t="s">
        <v>1653</v>
      </c>
    </row>
    <row r="199" spans="2:5" x14ac:dyDescent="0.2">
      <c r="B199" s="533" t="str">
        <f>'Header Info'!B199</f>
        <v>GLOBAL PARTS AERO SERVICES, INC.</v>
      </c>
      <c r="C199" s="533" t="s">
        <v>881</v>
      </c>
      <c r="D199" s="533" t="str">
        <f>'Header Info'!C199</f>
        <v>Knoxville Bake Oven</v>
      </c>
      <c r="E199" s="533" t="s">
        <v>1469</v>
      </c>
    </row>
    <row r="200" spans="2:5" x14ac:dyDescent="0.2">
      <c r="B200" s="533" t="str">
        <f>'Header Info'!B200</f>
        <v>GLOBAL PARTS AERO SERVICES, INC.</v>
      </c>
      <c r="C200" s="533" t="s">
        <v>881</v>
      </c>
      <c r="D200" s="533" t="str">
        <f>'Header Info'!C200</f>
        <v>Steelman Bake Oven</v>
      </c>
      <c r="E200" s="533" t="s">
        <v>1499</v>
      </c>
    </row>
    <row r="201" spans="2:5" x14ac:dyDescent="0.2">
      <c r="B201" s="533" t="str">
        <f>'Header Info'!B201</f>
        <v>GLOBE ENGINEERING CO.</v>
      </c>
      <c r="C201" s="533" t="s">
        <v>881</v>
      </c>
      <c r="D201" s="533" t="str">
        <f>'Header Info'!C201</f>
        <v>GEC AO1</v>
      </c>
      <c r="E201" s="533" t="s">
        <v>890</v>
      </c>
    </row>
    <row r="202" spans="2:5" x14ac:dyDescent="0.2">
      <c r="B202" s="533" t="str">
        <f>'Header Info'!B202</f>
        <v>GLOBE ENGINEERING CO.</v>
      </c>
      <c r="C202" s="533" t="s">
        <v>881</v>
      </c>
      <c r="D202" s="533" t="str">
        <f>'Header Info'!C202</f>
        <v>GEC AO2A</v>
      </c>
      <c r="E202" s="533" t="s">
        <v>891</v>
      </c>
    </row>
    <row r="203" spans="2:5" x14ac:dyDescent="0.2">
      <c r="B203" s="533" t="str">
        <f>'Header Info'!B203</f>
        <v>GLOBE ENGINEERING CO.</v>
      </c>
      <c r="C203" s="533" t="s">
        <v>881</v>
      </c>
      <c r="D203" s="533" t="str">
        <f>'Header Info'!C203</f>
        <v>DROP BOTTOM FURNACE NO. 1</v>
      </c>
      <c r="E203" s="533" t="s">
        <v>893</v>
      </c>
    </row>
    <row r="204" spans="2:5" x14ac:dyDescent="0.2">
      <c r="B204" s="533" t="str">
        <f>'Header Info'!B204</f>
        <v>GLOBE ENGINEERING CO.</v>
      </c>
      <c r="C204" s="533" t="s">
        <v>881</v>
      </c>
      <c r="D204" s="533" t="str">
        <f>'Header Info'!C204</f>
        <v>DROP BOTTOM NO. 2A</v>
      </c>
      <c r="E204" s="533" t="s">
        <v>895</v>
      </c>
    </row>
    <row r="205" spans="2:5" x14ac:dyDescent="0.2">
      <c r="B205" s="533" t="str">
        <f>'Header Info'!B205</f>
        <v>GLOBE ENGINEERING CO.</v>
      </c>
      <c r="C205" s="533" t="s">
        <v>881</v>
      </c>
      <c r="D205" s="533" t="str">
        <f>'Header Info'!C205</f>
        <v>GEC AO3A</v>
      </c>
      <c r="E205" s="533" t="s">
        <v>899</v>
      </c>
    </row>
    <row r="206" spans="2:5" x14ac:dyDescent="0.2">
      <c r="B206" s="533" t="str">
        <f>'Header Info'!B206</f>
        <v>GLOBE ENGINEERING CO.</v>
      </c>
      <c r="C206" s="533" t="s">
        <v>881</v>
      </c>
      <c r="D206" s="533" t="str">
        <f>'Header Info'!C206</f>
        <v>GEC AO4A</v>
      </c>
      <c r="E206" s="533" t="s">
        <v>901</v>
      </c>
    </row>
    <row r="207" spans="2:5" x14ac:dyDescent="0.2">
      <c r="B207" s="533" t="str">
        <f>'Header Info'!B207</f>
        <v>GLOBE ENGINEERING CO.</v>
      </c>
      <c r="C207" s="533" t="s">
        <v>881</v>
      </c>
      <c r="D207" s="533" t="str">
        <f>'Header Info'!C207</f>
        <v>GEC AO5</v>
      </c>
      <c r="E207" s="533" t="s">
        <v>903</v>
      </c>
    </row>
    <row r="208" spans="2:5" x14ac:dyDescent="0.2">
      <c r="B208" s="533" t="str">
        <f>'Header Info'!B208</f>
        <v>GLOBE ENGINEERING CO.</v>
      </c>
      <c r="C208" s="533" t="s">
        <v>881</v>
      </c>
      <c r="D208" s="533" t="str">
        <f>'Header Info'!C208</f>
        <v>GEC AO6</v>
      </c>
      <c r="E208" s="533" t="s">
        <v>897</v>
      </c>
    </row>
    <row r="209" spans="2:5" x14ac:dyDescent="0.2">
      <c r="B209" s="533" t="str">
        <f>'Header Info'!B209</f>
        <v>GLOBE ENGINEERING CO.</v>
      </c>
      <c r="C209" s="533" t="s">
        <v>881</v>
      </c>
      <c r="D209" s="533" t="str">
        <f>'Header Info'!C209</f>
        <v>GEC-AO7</v>
      </c>
      <c r="E209" s="533" t="s">
        <v>883</v>
      </c>
    </row>
    <row r="210" spans="2:5" x14ac:dyDescent="0.2">
      <c r="B210" s="533" t="str">
        <f>'Header Info'!B210</f>
        <v>GLOBE ENGINEERING CO.</v>
      </c>
      <c r="C210" s="533" t="s">
        <v>881</v>
      </c>
      <c r="D210" s="533" t="str">
        <f>'Header Info'!C210</f>
        <v>PENETRANT OVEN</v>
      </c>
      <c r="E210" s="533" t="s">
        <v>885</v>
      </c>
    </row>
    <row r="211" spans="2:5" x14ac:dyDescent="0.2">
      <c r="B211" s="533" t="str">
        <f>'Header Info'!B211</f>
        <v>GLOBE ENGINEERING CO.</v>
      </c>
      <c r="C211" s="533" t="s">
        <v>881</v>
      </c>
      <c r="D211" s="533" t="str">
        <f>'Header Info'!C211</f>
        <v>VACUUM FURNACE NO. 1 low range</v>
      </c>
      <c r="E211" s="533" t="s">
        <v>1507</v>
      </c>
    </row>
    <row r="212" spans="2:5" x14ac:dyDescent="0.2">
      <c r="B212" s="533" t="str">
        <f>'Header Info'!B212</f>
        <v>GLOBE ENGINEERING CO.</v>
      </c>
      <c r="C212" s="533" t="s">
        <v>881</v>
      </c>
      <c r="D212" s="533" t="str">
        <f>'Header Info'!C212</f>
        <v>VACUUM FURNACE NO. 1 high range</v>
      </c>
      <c r="E212" s="533" t="s">
        <v>889</v>
      </c>
    </row>
    <row r="213" spans="2:5" x14ac:dyDescent="0.2">
      <c r="B213" s="533" t="str">
        <f>'Header Info'!B213</f>
        <v>GLOBE ENGINEERING CO.</v>
      </c>
      <c r="C213" s="533" t="s">
        <v>881</v>
      </c>
      <c r="D213" s="533" t="str">
        <f>'Header Info'!C213</f>
        <v>VACUUM NO. 2</v>
      </c>
      <c r="E213" s="533" t="s">
        <v>887</v>
      </c>
    </row>
    <row r="214" spans="2:5" x14ac:dyDescent="0.2">
      <c r="B214" s="533" t="str">
        <f>'Header Info'!B214</f>
        <v>GOODRICH - FINANCIAL SHARED SRVCS</v>
      </c>
      <c r="C214" s="533" t="s">
        <v>905</v>
      </c>
      <c r="D214" s="533" t="str">
        <f>'Header Info'!C214</f>
        <v>GR-34</v>
      </c>
      <c r="E214" s="533" t="s">
        <v>906</v>
      </c>
    </row>
    <row r="215" spans="2:5" x14ac:dyDescent="0.2">
      <c r="B215" s="533" t="str">
        <f>'Header Info'!B215</f>
        <v>GOODRICH - FINANCIAL SHARED SRVCS</v>
      </c>
      <c r="C215" s="533" t="s">
        <v>905</v>
      </c>
      <c r="D215" s="533" t="str">
        <f>'Header Info'!C215</f>
        <v>GR-186</v>
      </c>
      <c r="E215" s="533" t="s">
        <v>1551</v>
      </c>
    </row>
    <row r="216" spans="2:5" x14ac:dyDescent="0.2">
      <c r="B216" s="533" t="str">
        <f>'Header Info'!B216</f>
        <v>GOODRICH - FINANCIAL SHARED SRVCS</v>
      </c>
      <c r="C216" s="533" t="s">
        <v>905</v>
      </c>
      <c r="D216" s="533" t="str">
        <f>'Header Info'!C216</f>
        <v>GR-223</v>
      </c>
      <c r="E216" s="533" t="s">
        <v>909</v>
      </c>
    </row>
    <row r="217" spans="2:5" x14ac:dyDescent="0.2">
      <c r="B217" s="533" t="str">
        <f>'Header Info'!B217</f>
        <v>Great Plains Industries</v>
      </c>
      <c r="C217" s="533" t="s">
        <v>905</v>
      </c>
      <c r="D217" s="533" t="str">
        <f>'Header Info'!C217</f>
        <v>Environmental Chamber III</v>
      </c>
      <c r="E217" s="533" t="s">
        <v>910</v>
      </c>
    </row>
    <row r="218" spans="2:5" x14ac:dyDescent="0.2">
      <c r="B218" s="533" t="str">
        <f>'Header Info'!B218</f>
        <v>H.M. DUNN AEROSYSTEMS</v>
      </c>
      <c r="C218" s="533" t="s">
        <v>905</v>
      </c>
      <c r="D218" s="533" t="str">
        <f>'Header Info'!C218</f>
        <v>Oven No. 46</v>
      </c>
      <c r="E218" s="533" t="s">
        <v>911</v>
      </c>
    </row>
    <row r="219" spans="2:5" x14ac:dyDescent="0.2">
      <c r="B219" s="533" t="str">
        <f>'Header Info'!B219</f>
        <v>HARLOW AEROSTRUCTURES LLC</v>
      </c>
      <c r="C219" s="533" t="s">
        <v>905</v>
      </c>
      <c r="D219" s="533" t="str">
        <f>'Header Info'!C219</f>
        <v>ASSEMBLY OVEN</v>
      </c>
      <c r="E219" s="533" t="s">
        <v>912</v>
      </c>
    </row>
    <row r="220" spans="2:5" x14ac:dyDescent="0.2">
      <c r="B220" s="533" t="str">
        <f>'Header Info'!B220</f>
        <v>HARLOW AEROSTRUCTURES LLC</v>
      </c>
      <c r="C220" s="533" t="s">
        <v>905</v>
      </c>
      <c r="D220" s="533" t="str">
        <f>'Header Info'!C220</f>
        <v>ASSEMBLY FREEZER</v>
      </c>
      <c r="E220" s="533" t="s">
        <v>913</v>
      </c>
    </row>
    <row r="221" spans="2:5" x14ac:dyDescent="0.2">
      <c r="B221" s="533" t="str">
        <f>'Header Info'!B221</f>
        <v>HARLOW AEROSTRUCTURES LLC</v>
      </c>
      <c r="C221" s="533" t="s">
        <v>905</v>
      </c>
      <c r="D221" s="533" t="str">
        <f>'Header Info'!C221</f>
        <v>PA-1000</v>
      </c>
      <c r="E221" s="533" t="s">
        <v>914</v>
      </c>
    </row>
    <row r="222" spans="2:5" x14ac:dyDescent="0.2">
      <c r="B222" s="533" t="str">
        <f>'Header Info'!B222</f>
        <v>HARLOW AEROSTRUCTURES LLC</v>
      </c>
      <c r="C222" s="533" t="s">
        <v>905</v>
      </c>
      <c r="D222" s="533" t="str">
        <f>'Header Info'!C222</f>
        <v>PENETRANT DRYING OVEN</v>
      </c>
      <c r="E222" s="533" t="s">
        <v>915</v>
      </c>
    </row>
    <row r="223" spans="2:5" x14ac:dyDescent="0.2">
      <c r="B223" s="533" t="str">
        <f>'Header Info'!B223</f>
        <v>HEARTLAND PRECISION FASTENERS INC.</v>
      </c>
      <c r="C223" s="533" t="s">
        <v>905</v>
      </c>
      <c r="D223" s="533" t="str">
        <f>'Header Info'!C223</f>
        <v>VACUUM NO. 1</v>
      </c>
      <c r="E223" s="533" t="s">
        <v>916</v>
      </c>
    </row>
    <row r="224" spans="2:5" x14ac:dyDescent="0.2">
      <c r="B224" s="533" t="str">
        <f>'Header Info'!B224</f>
        <v>HI-TECH METAL FINISHING</v>
      </c>
      <c r="C224" s="533" t="s">
        <v>905</v>
      </c>
      <c r="D224" s="533" t="str">
        <f>'Header Info'!C224</f>
        <v>OVEN NO. 1</v>
      </c>
      <c r="E224" s="533" t="s">
        <v>917</v>
      </c>
    </row>
    <row r="225" spans="2:5" x14ac:dyDescent="0.2">
      <c r="B225" s="533" t="str">
        <f>'Header Info'!B225</f>
        <v>JOHNSON GAGE &amp; INSPECTION, INC.</v>
      </c>
      <c r="C225" s="533" t="s">
        <v>905</v>
      </c>
      <c r="D225" s="533" t="str">
        <f>'Header Info'!C225</f>
        <v>ENV01</v>
      </c>
      <c r="E225" s="533" t="s">
        <v>919</v>
      </c>
    </row>
    <row r="226" spans="2:5" x14ac:dyDescent="0.2">
      <c r="B226" s="533" t="str">
        <f>'Header Info'!B226</f>
        <v>KAMAN COMPOSITES - WICHITA, INC.</v>
      </c>
      <c r="C226" s="533" t="s">
        <v>905</v>
      </c>
      <c r="D226" s="533" t="str">
        <f>'Header Info'!C226</f>
        <v>Ney Furnace</v>
      </c>
      <c r="E226" s="533" t="s">
        <v>921</v>
      </c>
    </row>
    <row r="227" spans="2:5" x14ac:dyDescent="0.2">
      <c r="B227" s="533" t="str">
        <f>'Header Info'!B227</f>
        <v>LEADING TECHNOLOGY COMPOSITES</v>
      </c>
      <c r="C227" s="533" t="s">
        <v>905</v>
      </c>
      <c r="D227" s="533">
        <f>'Header Info'!C227</f>
        <v>1209</v>
      </c>
      <c r="E227" s="533" t="s">
        <v>922</v>
      </c>
    </row>
    <row r="228" spans="2:5" x14ac:dyDescent="0.2">
      <c r="B228" s="533" t="str">
        <f>'Header Info'!B228</f>
        <v>LEADING TECHNOLOGY COMPOSITES</v>
      </c>
      <c r="C228" s="533" t="s">
        <v>905</v>
      </c>
      <c r="D228" s="533" t="str">
        <f>'Header Info'!C228</f>
        <v>AEROSPACE PART CURE OVEN NO. 2</v>
      </c>
      <c r="E228" s="533" t="s">
        <v>908</v>
      </c>
    </row>
    <row r="229" spans="2:5" x14ac:dyDescent="0.2">
      <c r="B229" s="533" t="str">
        <f>'Header Info'!B229</f>
        <v>LEADING TECHNOLOGY COMPOSITES</v>
      </c>
      <c r="C229" s="533" t="s">
        <v>905</v>
      </c>
      <c r="D229" s="533" t="str">
        <f>'Header Info'!C229</f>
        <v>AUTOCLAVE NO. 1</v>
      </c>
      <c r="E229" s="533" t="s">
        <v>907</v>
      </c>
    </row>
    <row r="230" spans="2:5" x14ac:dyDescent="0.2">
      <c r="B230" s="533" t="str">
        <f>'Header Info'!B230</f>
        <v>LEADING TECHNOLOGY COMPOSITES</v>
      </c>
      <c r="C230" s="533" t="s">
        <v>905</v>
      </c>
      <c r="D230" s="533" t="str">
        <f>'Header Info'!C230</f>
        <v>AUTOCLAVE NO. 2 (LTC# 1374)</v>
      </c>
      <c r="E230" s="533" t="s">
        <v>1655</v>
      </c>
    </row>
    <row r="231" spans="2:5" x14ac:dyDescent="0.2">
      <c r="B231" s="533" t="str">
        <f>'Header Info'!B231</f>
        <v>LEADING TECHNOLOGY COMPOSITES</v>
      </c>
      <c r="C231" s="533" t="s">
        <v>924</v>
      </c>
      <c r="D231" s="533" t="str">
        <f>'Header Info'!C231</f>
        <v>AUTOCLAVE NO. 3 (LTC#1387-0)</v>
      </c>
      <c r="E231" s="533" t="s">
        <v>927</v>
      </c>
    </row>
    <row r="232" spans="2:5" x14ac:dyDescent="0.2">
      <c r="B232" s="533" t="str">
        <f>'Header Info'!B232</f>
        <v>LEADING TECHNOLOGY COMPOSITES</v>
      </c>
      <c r="C232" s="533" t="s">
        <v>924</v>
      </c>
      <c r="D232" s="533" t="str">
        <f>'Header Info'!C232</f>
        <v>AUTOCLAVE NO. 4 LTC# 1380</v>
      </c>
      <c r="E232" s="533" t="s">
        <v>925</v>
      </c>
    </row>
    <row r="233" spans="2:5" x14ac:dyDescent="0.2">
      <c r="B233" s="533" t="str">
        <f>'Header Info'!B233</f>
        <v>LEADING TECHNOLOGY COMPOSITES</v>
      </c>
      <c r="C233" s="533" t="s">
        <v>1537</v>
      </c>
      <c r="D233" s="533" t="str">
        <f>'Header Info'!C233</f>
        <v>AUTOCLAVE NO. 5 LTC# 1259</v>
      </c>
      <c r="E233" s="533" t="s">
        <v>1539</v>
      </c>
    </row>
    <row r="234" spans="2:5" x14ac:dyDescent="0.2">
      <c r="B234" s="533" t="str">
        <f>'Header Info'!B234</f>
        <v>LEADING TECHNOLOGY COMPOSITES</v>
      </c>
      <c r="C234" s="533" t="s">
        <v>929</v>
      </c>
      <c r="D234" s="533" t="str">
        <f>'Header Info'!C234</f>
        <v>LTC NO. 1519</v>
      </c>
      <c r="E234" s="533" t="s">
        <v>931</v>
      </c>
    </row>
    <row r="235" spans="2:5" x14ac:dyDescent="0.2">
      <c r="B235" s="533" t="str">
        <f>'Header Info'!B235</f>
        <v>LEADING TECHNOLOGY COMPOSITES</v>
      </c>
      <c r="C235" s="533" t="s">
        <v>929</v>
      </c>
      <c r="D235" s="533" t="str">
        <f>'Header Info'!C235</f>
        <v>LTC NO. 1520</v>
      </c>
      <c r="E235" s="533" t="s">
        <v>933</v>
      </c>
    </row>
    <row r="236" spans="2:5" x14ac:dyDescent="0.2">
      <c r="B236" s="533" t="str">
        <f>'Header Info'!B236</f>
        <v>LEADING TECHNOLOGY COMPOSITES</v>
      </c>
      <c r="C236" s="533" t="s">
        <v>929</v>
      </c>
      <c r="D236" s="533" t="str">
        <f>'Header Info'!C236</f>
        <v>PAINT OVEN NO. 2</v>
      </c>
      <c r="E236" s="533" t="s">
        <v>935</v>
      </c>
    </row>
    <row r="237" spans="2:5" x14ac:dyDescent="0.2">
      <c r="B237" s="533" t="str">
        <f>'Header Info'!B237</f>
        <v>LEADING TECHNOLOGY COMPOSITES</v>
      </c>
      <c r="C237" s="533" t="s">
        <v>929</v>
      </c>
      <c r="D237" s="533" t="str">
        <f>'Header Info'!C237</f>
        <v>Oven No. 12</v>
      </c>
      <c r="E237" s="533" t="s">
        <v>937</v>
      </c>
    </row>
    <row r="238" spans="2:5" x14ac:dyDescent="0.2">
      <c r="B238" s="533" t="str">
        <f>'Header Info'!B238</f>
        <v>LEADING TECHNOLOGY COMPOSITES</v>
      </c>
      <c r="C238" s="533" t="s">
        <v>929</v>
      </c>
      <c r="D238" s="533" t="str">
        <f>'Header Info'!C238</f>
        <v>OVEN NO. 1414</v>
      </c>
      <c r="E238" s="533" t="s">
        <v>939</v>
      </c>
    </row>
    <row r="239" spans="2:5" x14ac:dyDescent="0.2">
      <c r="B239" s="533" t="str">
        <f>'Header Info'!B239</f>
        <v>LEADING TECHNOLOGY COMPOSITES</v>
      </c>
      <c r="C239" s="533" t="s">
        <v>929</v>
      </c>
      <c r="D239" s="533" t="str">
        <f>'Header Info'!C239</f>
        <v>Part Cure Oven No. 1, LTC2015</v>
      </c>
      <c r="E239" s="533" t="s">
        <v>941</v>
      </c>
    </row>
    <row r="240" spans="2:5" x14ac:dyDescent="0.2">
      <c r="B240" s="533" t="str">
        <f>'Header Info'!B240</f>
        <v>LEADING TECHNOLOGY COMPOSITES</v>
      </c>
      <c r="C240" s="533" t="s">
        <v>929</v>
      </c>
      <c r="D240" s="533" t="str">
        <f>'Header Info'!C240</f>
        <v>Freezer No. 1</v>
      </c>
      <c r="E240" s="533" t="s">
        <v>942</v>
      </c>
    </row>
    <row r="241" spans="2:5" x14ac:dyDescent="0.2">
      <c r="B241" s="533" t="str">
        <f>'Header Info'!B241</f>
        <v>LEADING TECHNOLOGY COMPOSITES</v>
      </c>
      <c r="C241" s="533" t="s">
        <v>929</v>
      </c>
      <c r="D241" s="533" t="str">
        <f>'Header Info'!C241</f>
        <v>Freezer No. 2</v>
      </c>
      <c r="E241" s="533" t="s">
        <v>944</v>
      </c>
    </row>
    <row r="242" spans="2:5" x14ac:dyDescent="0.2">
      <c r="B242" s="533" t="str">
        <f>'Header Info'!B242</f>
        <v>LEADING TECHNOLOGY COMPOSITES</v>
      </c>
      <c r="C242" s="533" t="s">
        <v>946</v>
      </c>
      <c r="D242" s="533" t="str">
        <f>'Header Info'!C242</f>
        <v>Freezer No. 3</v>
      </c>
      <c r="E242" s="533" t="s">
        <v>947</v>
      </c>
    </row>
    <row r="243" spans="2:5" x14ac:dyDescent="0.2">
      <c r="B243" s="533" t="str">
        <f>'Header Info'!B243</f>
        <v>LEE AEROSPACE, INC.</v>
      </c>
      <c r="C243" s="533" t="s">
        <v>946</v>
      </c>
      <c r="D243" s="533" t="str">
        <f>'Header Info'!C243</f>
        <v>PLATEN PRESS ASSET 001451</v>
      </c>
      <c r="E243" s="533" t="s">
        <v>948</v>
      </c>
    </row>
    <row r="244" spans="2:5" x14ac:dyDescent="0.2">
      <c r="B244" s="533" t="str">
        <f>'Header Info'!B244</f>
        <v>LMI AEROSPACE ESTHNER</v>
      </c>
      <c r="C244" s="533" t="s">
        <v>946</v>
      </c>
      <c r="D244" s="533" t="str">
        <f>'Header Info'!C244</f>
        <v>Cure Oven</v>
      </c>
      <c r="E244" s="533" t="s">
        <v>1487</v>
      </c>
    </row>
    <row r="245" spans="2:5" x14ac:dyDescent="0.2">
      <c r="B245" s="533" t="str">
        <f>'Header Info'!B245</f>
        <v>LMI AEROSPACE ESTHNER</v>
      </c>
      <c r="C245" s="533" t="s">
        <v>949</v>
      </c>
      <c r="D245" s="533" t="str">
        <f>'Header Info'!C245</f>
        <v>S-6886</v>
      </c>
      <c r="E245" s="533" t="s">
        <v>950</v>
      </c>
    </row>
    <row r="246" spans="2:5" x14ac:dyDescent="0.2">
      <c r="B246" s="533" t="str">
        <f>'Header Info'!B246</f>
        <v>LMI AEROSPACE FREDONIA</v>
      </c>
      <c r="C246" s="533" t="s">
        <v>949</v>
      </c>
      <c r="D246" s="533" t="str">
        <f>'Header Info'!C246</f>
        <v>Cure Oven 17091325</v>
      </c>
      <c r="E246" s="533" t="s">
        <v>951</v>
      </c>
    </row>
    <row r="247" spans="2:5" x14ac:dyDescent="0.2">
      <c r="B247" s="533" t="str">
        <f>'Header Info'!B247</f>
        <v>LMI COTTONWOOD FALLS</v>
      </c>
      <c r="C247" s="533" t="s">
        <v>953</v>
      </c>
      <c r="D247" s="533" t="str">
        <f>'Header Info'!C247</f>
        <v>PAINT BAKE 1</v>
      </c>
      <c r="E247" s="533" t="s">
        <v>955</v>
      </c>
    </row>
    <row r="248" spans="2:5" x14ac:dyDescent="0.2">
      <c r="B248" s="533" t="str">
        <f>'Header Info'!B248</f>
        <v>LMI FINISHING INC</v>
      </c>
      <c r="C248" s="533" t="s">
        <v>956</v>
      </c>
      <c r="D248" s="533" t="str">
        <f>'Header Info'!C248</f>
        <v>BAY 3 PAINT OVEN 284A</v>
      </c>
      <c r="E248" s="533" t="s">
        <v>957</v>
      </c>
    </row>
    <row r="249" spans="2:5" x14ac:dyDescent="0.2">
      <c r="B249" s="533" t="str">
        <f>'Header Info'!B249</f>
        <v>LMI FINISHING INC</v>
      </c>
      <c r="C249" s="533" t="s">
        <v>1657</v>
      </c>
      <c r="D249" s="533" t="str">
        <f>'Header Info'!C249</f>
        <v>Cure Oven 3</v>
      </c>
      <c r="E249" s="533" t="s">
        <v>1661</v>
      </c>
    </row>
    <row r="250" spans="2:5" x14ac:dyDescent="0.2">
      <c r="B250" s="533" t="str">
        <f>'Header Info'!B250</f>
        <v>LMI FINISHING INC</v>
      </c>
      <c r="C250" s="533" t="s">
        <v>1657</v>
      </c>
      <c r="D250" s="533" t="str">
        <f>'Header Info'!C250</f>
        <v>Flash Oven 3 (#805)</v>
      </c>
      <c r="E250" s="533" t="s">
        <v>1659</v>
      </c>
    </row>
    <row r="251" spans="2:5" x14ac:dyDescent="0.2">
      <c r="B251" s="533" t="str">
        <f>'Header Info'!B251</f>
        <v>LMI FINISHING INC</v>
      </c>
      <c r="C251" s="533" t="s">
        <v>959</v>
      </c>
      <c r="D251" s="533" t="str">
        <f>'Header Info'!C251</f>
        <v>MASK OVEN NO. 54</v>
      </c>
      <c r="E251" s="533" t="s">
        <v>965</v>
      </c>
    </row>
    <row r="252" spans="2:5" x14ac:dyDescent="0.2">
      <c r="B252" s="533" t="str">
        <f>'Header Info'!B252</f>
        <v>LMI FINISHING INC</v>
      </c>
      <c r="C252" s="533" t="s">
        <v>959</v>
      </c>
      <c r="D252" s="533" t="str">
        <f>'Header Info'!C252</f>
        <v>OVEN NO. 260</v>
      </c>
      <c r="E252" s="533" t="s">
        <v>963</v>
      </c>
    </row>
    <row r="253" spans="2:5" x14ac:dyDescent="0.2">
      <c r="B253" s="533" t="str">
        <f>'Header Info'!B253</f>
        <v>LMI FINISHING INC</v>
      </c>
      <c r="C253" s="533" t="s">
        <v>959</v>
      </c>
      <c r="D253" s="533" t="str">
        <f>'Header Info'!C253</f>
        <v>PAINT BAKE NO. 98</v>
      </c>
      <c r="E253" s="533" t="s">
        <v>966</v>
      </c>
    </row>
    <row r="254" spans="2:5" x14ac:dyDescent="0.2">
      <c r="B254" s="533" t="str">
        <f>'Header Info'!B254</f>
        <v>LMI FINISHING INC</v>
      </c>
      <c r="C254" s="533" t="s">
        <v>959</v>
      </c>
      <c r="D254" s="533" t="str">
        <f>'Header Info'!C254</f>
        <v>PAINT OVEN 3 (#1086)</v>
      </c>
      <c r="E254" s="533" t="s">
        <v>968</v>
      </c>
    </row>
    <row r="255" spans="2:5" x14ac:dyDescent="0.2">
      <c r="B255" s="533" t="str">
        <f>'Header Info'!B255</f>
        <v>LMI FINISHING INC</v>
      </c>
      <c r="C255" s="533" t="s">
        <v>959</v>
      </c>
      <c r="D255" s="533" t="str">
        <f>'Header Info'!C255</f>
        <v>MASK OVEN NO. 22</v>
      </c>
      <c r="E255" s="533" t="s">
        <v>961</v>
      </c>
    </row>
    <row r="256" spans="2:5" x14ac:dyDescent="0.2">
      <c r="B256" s="533" t="str">
        <f>'Header Info'!B256</f>
        <v>LMI FINISHING INC</v>
      </c>
      <c r="C256" s="533" t="s">
        <v>959</v>
      </c>
      <c r="D256" s="533" t="str">
        <f>'Header Info'!C256</f>
        <v>Penetrant Oven 2</v>
      </c>
      <c r="E256" s="533" t="s">
        <v>970</v>
      </c>
    </row>
    <row r="257" spans="2:5" x14ac:dyDescent="0.2">
      <c r="B257" s="533" t="str">
        <f>'Header Info'!B257</f>
        <v>LMI FINISHING INC</v>
      </c>
      <c r="C257" s="533" t="s">
        <v>959</v>
      </c>
      <c r="D257" s="533" t="str">
        <f>'Header Info'!C257</f>
        <v>TANK B1 (# 156)</v>
      </c>
      <c r="E257" s="533" t="s">
        <v>972</v>
      </c>
    </row>
    <row r="258" spans="2:5" x14ac:dyDescent="0.2">
      <c r="B258" s="533" t="str">
        <f>'Header Info'!B258</f>
        <v>LMI FINISHING INC</v>
      </c>
      <c r="C258" s="533" t="s">
        <v>959</v>
      </c>
      <c r="D258" s="533" t="str">
        <f>'Header Info'!C258</f>
        <v>TANK NO. A8</v>
      </c>
      <c r="E258" s="533" t="s">
        <v>974</v>
      </c>
    </row>
    <row r="259" spans="2:5" x14ac:dyDescent="0.2">
      <c r="B259" s="533" t="str">
        <f>'Header Info'!B259</f>
        <v>LMI FINISHING INC</v>
      </c>
      <c r="C259" s="533" t="s">
        <v>959</v>
      </c>
      <c r="D259" s="533" t="str">
        <f>'Header Info'!C259</f>
        <v>CHEM MILL TANK D8</v>
      </c>
      <c r="E259" s="533" t="s">
        <v>975</v>
      </c>
    </row>
    <row r="260" spans="2:5" x14ac:dyDescent="0.2">
      <c r="B260" s="533" t="str">
        <f>'Header Info'!B260</f>
        <v>LMI FINISHING INC</v>
      </c>
      <c r="C260" s="533" t="s">
        <v>959</v>
      </c>
      <c r="D260" s="533" t="str">
        <f>'Header Info'!C260</f>
        <v>CHEM MILL TANK D10</v>
      </c>
      <c r="E260" s="533" t="s">
        <v>977</v>
      </c>
    </row>
    <row r="261" spans="2:5" x14ac:dyDescent="0.2">
      <c r="B261" s="533" t="str">
        <f>'Header Info'!B261</f>
        <v>LORAC CO. INC</v>
      </c>
      <c r="C261" s="533" t="s">
        <v>959</v>
      </c>
      <c r="D261" s="533" t="str">
        <f>'Header Info'!C261</f>
        <v>I.R. BAKE OVEN</v>
      </c>
      <c r="E261" s="533" t="s">
        <v>979</v>
      </c>
    </row>
    <row r="262" spans="2:5" x14ac:dyDescent="0.2">
      <c r="B262" s="533" t="str">
        <f>'Header Info'!B262</f>
        <v>LTC INC. - PLANT 3</v>
      </c>
      <c r="C262" s="533" t="s">
        <v>959</v>
      </c>
      <c r="D262" s="533" t="str">
        <f>'Header Info'!C262</f>
        <v>Oven No. 1</v>
      </c>
      <c r="E262" s="533" t="s">
        <v>980</v>
      </c>
    </row>
    <row r="263" spans="2:5" x14ac:dyDescent="0.2">
      <c r="B263" s="533" t="str">
        <f>'Header Info'!B263</f>
        <v>LTC INC. - PLANT 3</v>
      </c>
      <c r="C263" s="533" t="s">
        <v>959</v>
      </c>
      <c r="D263" s="533" t="str">
        <f>'Header Info'!C263</f>
        <v>Oven No. 1 TP2816A</v>
      </c>
      <c r="E263" s="533" t="s">
        <v>982</v>
      </c>
    </row>
    <row r="264" spans="2:5" x14ac:dyDescent="0.2">
      <c r="B264" s="533" t="str">
        <f>'Header Info'!B264</f>
        <v>LTC INC. - PLANT 3</v>
      </c>
      <c r="C264" s="533" t="s">
        <v>984</v>
      </c>
      <c r="D264" s="533" t="str">
        <f>'Header Info'!C264</f>
        <v>Autoclave No. 1 Cessna</v>
      </c>
      <c r="E264" s="533" t="s">
        <v>986</v>
      </c>
    </row>
    <row r="265" spans="2:5" x14ac:dyDescent="0.2">
      <c r="B265" s="533" t="str">
        <f>'Header Info'!B265</f>
        <v>LTC INC. - PLANT 3</v>
      </c>
      <c r="C265" s="533" t="s">
        <v>984</v>
      </c>
      <c r="D265" s="533" t="str">
        <f>'Header Info'!C265</f>
        <v>AUTOCLAVE NO. 1</v>
      </c>
      <c r="E265" s="533" t="s">
        <v>1663</v>
      </c>
    </row>
    <row r="266" spans="2:5" x14ac:dyDescent="0.2">
      <c r="B266" s="533" t="str">
        <f>'Header Info'!B266</f>
        <v>LTC INC. - PLANT 3</v>
      </c>
      <c r="C266" s="533" t="s">
        <v>984</v>
      </c>
      <c r="D266" s="533" t="str">
        <f>'Header Info'!C266</f>
        <v>Autoclave No. 2 Cessna</v>
      </c>
      <c r="E266" s="533" t="s">
        <v>988</v>
      </c>
    </row>
    <row r="267" spans="2:5" x14ac:dyDescent="0.2">
      <c r="B267" s="533" t="str">
        <f>'Header Info'!B267</f>
        <v>LTC INC. - PLANT 3</v>
      </c>
      <c r="C267" s="533" t="s">
        <v>989</v>
      </c>
      <c r="D267" s="533" t="str">
        <f>'Header Info'!C267</f>
        <v>AUTOCLAVE NO. 2</v>
      </c>
      <c r="E267" s="533" t="s">
        <v>990</v>
      </c>
    </row>
    <row r="268" spans="2:5" x14ac:dyDescent="0.2">
      <c r="B268" s="533" t="str">
        <f>'Header Info'!B268</f>
        <v>LTC INC. - PLANT 3</v>
      </c>
      <c r="C268" s="533" t="s">
        <v>1471</v>
      </c>
      <c r="D268" s="533" t="str">
        <f>'Header Info'!C268</f>
        <v>AUTOCLAVE NO. 3</v>
      </c>
      <c r="E268" s="533" t="s">
        <v>1473</v>
      </c>
    </row>
    <row r="269" spans="2:5" x14ac:dyDescent="0.2">
      <c r="B269" s="533" t="str">
        <f>'Header Info'!B269</f>
        <v>LTC INC. - PLANT 3</v>
      </c>
      <c r="C269" s="533" t="s">
        <v>992</v>
      </c>
      <c r="D269" s="533" t="str">
        <f>'Header Info'!C269</f>
        <v>AUTOCLAVE NO. 3 TP</v>
      </c>
      <c r="E269" s="533" t="s">
        <v>994</v>
      </c>
    </row>
    <row r="270" spans="2:5" x14ac:dyDescent="0.2">
      <c r="B270" s="533" t="str">
        <f>'Header Info'!B270</f>
        <v>LTC INC. - PLANT 3</v>
      </c>
      <c r="C270" s="533" t="s">
        <v>992</v>
      </c>
      <c r="D270" s="533" t="str">
        <f>'Header Info'!C270</f>
        <v>AUTOCLAVE NO. 4</v>
      </c>
      <c r="E270" s="533" t="s">
        <v>996</v>
      </c>
    </row>
    <row r="271" spans="2:5" x14ac:dyDescent="0.2">
      <c r="B271" s="533" t="str">
        <f>'Header Info'!B271</f>
        <v>LTC INC. - PLANT 3</v>
      </c>
      <c r="C271" s="533" t="s">
        <v>998</v>
      </c>
      <c r="D271" s="533" t="str">
        <f>'Header Info'!C271</f>
        <v>AUTOCLAVE NO. 4 TP2816A</v>
      </c>
      <c r="E271" s="533" t="s">
        <v>1000</v>
      </c>
    </row>
    <row r="272" spans="2:5" x14ac:dyDescent="0.2">
      <c r="B272" s="533" t="str">
        <f>'Header Info'!B272</f>
        <v>LTC INC. - PLANT 3</v>
      </c>
      <c r="C272" s="533" t="s">
        <v>1002</v>
      </c>
      <c r="D272" s="533" t="str">
        <f>'Header Info'!C272</f>
        <v>AUTOCLAVE NO. 5</v>
      </c>
      <c r="E272" s="533" t="s">
        <v>1003</v>
      </c>
    </row>
    <row r="273" spans="2:5" x14ac:dyDescent="0.2">
      <c r="B273" s="533" t="str">
        <f>'Header Info'!B273</f>
        <v>LTC INC. - PLANT 3</v>
      </c>
      <c r="C273" s="533" t="s">
        <v>1005</v>
      </c>
      <c r="D273" s="533" t="str">
        <f>'Header Info'!C273</f>
        <v>CORE OVEN</v>
      </c>
      <c r="E273" s="533" t="s">
        <v>1007</v>
      </c>
    </row>
    <row r="274" spans="2:5" x14ac:dyDescent="0.2">
      <c r="B274" s="533" t="str">
        <f>'Header Info'!B274</f>
        <v>LTC INC. - PLANT 3</v>
      </c>
      <c r="C274" s="533" t="s">
        <v>1005</v>
      </c>
      <c r="D274" s="533" t="str">
        <f>'Header Info'!C274</f>
        <v>EVC3,LTC #1399</v>
      </c>
      <c r="E274" s="533" t="s">
        <v>1008</v>
      </c>
    </row>
    <row r="275" spans="2:5" x14ac:dyDescent="0.2">
      <c r="B275" s="533" t="str">
        <f>'Header Info'!B275</f>
        <v>LTC INC. - PLANT 3</v>
      </c>
      <c r="C275" s="533" t="s">
        <v>1553</v>
      </c>
      <c r="D275" s="533" t="str">
        <f>'Header Info'!C275</f>
        <v>Freezer 1B</v>
      </c>
      <c r="E275" s="533" t="s">
        <v>1555</v>
      </c>
    </row>
    <row r="276" spans="2:5" x14ac:dyDescent="0.2">
      <c r="B276" s="533" t="str">
        <f>'Header Info'!B276</f>
        <v>LTC INC. - PLANT 3</v>
      </c>
      <c r="C276" s="533" t="s">
        <v>1010</v>
      </c>
      <c r="D276" s="533" t="str">
        <f>'Header Info'!C276</f>
        <v>FREEZER NO. 1</v>
      </c>
      <c r="E276" s="533" t="s">
        <v>1509</v>
      </c>
    </row>
    <row r="277" spans="2:5" x14ac:dyDescent="0.2">
      <c r="B277" s="533" t="str">
        <f>'Header Info'!B277</f>
        <v>LTC INC. - PLANT 3</v>
      </c>
      <c r="C277" s="533" t="s">
        <v>1010</v>
      </c>
      <c r="D277" s="533" t="str">
        <f>'Header Info'!C277</f>
        <v>FREEZER NO. 3</v>
      </c>
      <c r="E277" s="533" t="s">
        <v>1024</v>
      </c>
    </row>
    <row r="278" spans="2:5" x14ac:dyDescent="0.2">
      <c r="B278" s="533" t="str">
        <f>'Header Info'!B278</f>
        <v>LTC INC. - PLANT 3</v>
      </c>
      <c r="C278" s="533" t="s">
        <v>1010</v>
      </c>
      <c r="D278" s="533" t="str">
        <f>'Header Info'!C278</f>
        <v>LAB FURNACE</v>
      </c>
      <c r="E278" s="533" t="s">
        <v>3463</v>
      </c>
    </row>
    <row r="279" spans="2:5" x14ac:dyDescent="0.2">
      <c r="B279" s="533" t="str">
        <f>'Header Info'!B279</f>
        <v>LTC INC. - PLANT 3</v>
      </c>
      <c r="C279" s="533" t="s">
        <v>1010</v>
      </c>
      <c r="D279" s="533" t="str">
        <f>'Header Info'!C279</f>
        <v>LAB OVEN</v>
      </c>
      <c r="E279" s="533" t="s">
        <v>1034</v>
      </c>
    </row>
    <row r="280" spans="2:5" x14ac:dyDescent="0.2">
      <c r="B280" s="533" t="str">
        <f>'Header Info'!B280</f>
        <v>LTC INC. - PLANT 3</v>
      </c>
      <c r="C280" s="533" t="s">
        <v>1010</v>
      </c>
      <c r="D280" s="533" t="str">
        <f>'Header Info'!C280</f>
        <v>Freezer No. 4</v>
      </c>
      <c r="E280" s="533" t="s">
        <v>1032</v>
      </c>
    </row>
    <row r="281" spans="2:5" x14ac:dyDescent="0.2">
      <c r="B281" s="533" t="str">
        <f>'Header Info'!B281</f>
        <v>LTC INC. - PLANT 3</v>
      </c>
      <c r="C281" s="533" t="s">
        <v>1010</v>
      </c>
      <c r="D281" s="533" t="str">
        <f>'Header Info'!C281</f>
        <v>OVEN NO. 1B Cessna</v>
      </c>
      <c r="E281" s="533" t="s">
        <v>1030</v>
      </c>
    </row>
    <row r="282" spans="2:5" x14ac:dyDescent="0.2">
      <c r="B282" s="533" t="str">
        <f>'Header Info'!B282</f>
        <v>LTC INC. - PLANT 3</v>
      </c>
      <c r="C282" s="533" t="s">
        <v>1010</v>
      </c>
      <c r="D282" s="533" t="str">
        <f>'Header Info'!C282</f>
        <v>OVEN NO. 1B</v>
      </c>
      <c r="E282" s="533" t="s">
        <v>1029</v>
      </c>
    </row>
    <row r="283" spans="2:5" x14ac:dyDescent="0.2">
      <c r="B283" s="533" t="str">
        <f>'Header Info'!B283</f>
        <v>LTC INC. - PLANT 3</v>
      </c>
      <c r="C283" s="533" t="s">
        <v>1010</v>
      </c>
      <c r="D283" s="533" t="str">
        <f>'Header Info'!C283</f>
        <v>OVEN NO. 2</v>
      </c>
      <c r="E283" s="533" t="s">
        <v>1028</v>
      </c>
    </row>
    <row r="284" spans="2:5" x14ac:dyDescent="0.2">
      <c r="B284" s="533" t="str">
        <f>'Header Info'!B284</f>
        <v>LTC INC. - PLANT 3</v>
      </c>
      <c r="C284" s="533" t="s">
        <v>1010</v>
      </c>
      <c r="D284" s="533" t="str">
        <f>'Header Info'!C284</f>
        <v>OVEN NO. 3</v>
      </c>
      <c r="E284" s="533" t="s">
        <v>1027</v>
      </c>
    </row>
    <row r="285" spans="2:5" x14ac:dyDescent="0.2">
      <c r="B285" s="533" t="str">
        <f>'Header Info'!B285</f>
        <v>LTC INC. - PLANT 3</v>
      </c>
      <c r="C285" s="533" t="s">
        <v>1010</v>
      </c>
      <c r="D285" s="533" t="str">
        <f>'Header Info'!C285</f>
        <v>Oven No. 4 Cessna</v>
      </c>
      <c r="E285" s="533" t="s">
        <v>1026</v>
      </c>
    </row>
    <row r="286" spans="2:5" x14ac:dyDescent="0.2">
      <c r="B286" s="533" t="str">
        <f>'Header Info'!B286</f>
        <v>LTC INC. - PLANT 3</v>
      </c>
      <c r="C286" s="533" t="s">
        <v>1010</v>
      </c>
      <c r="D286" s="533" t="str">
        <f>'Header Info'!C286</f>
        <v>OVEN NO. 4</v>
      </c>
      <c r="E286" s="533" t="s">
        <v>3464</v>
      </c>
    </row>
    <row r="287" spans="2:5" x14ac:dyDescent="0.2">
      <c r="B287" s="533" t="str">
        <f>'Header Info'!B287</f>
        <v>LTC INC. - PLANT 3</v>
      </c>
      <c r="C287" s="533" t="s">
        <v>1010</v>
      </c>
      <c r="D287" s="533" t="str">
        <f>'Header Info'!C287</f>
        <v>OVEN NO. 5</v>
      </c>
      <c r="E287" s="533" t="s">
        <v>1021</v>
      </c>
    </row>
    <row r="288" spans="2:5" x14ac:dyDescent="0.2">
      <c r="B288" s="533" t="str">
        <f>'Header Info'!B288</f>
        <v>LTC INC. - PLANT 3</v>
      </c>
      <c r="C288" s="533" t="s">
        <v>1010</v>
      </c>
      <c r="D288" s="533" t="str">
        <f>'Header Info'!C288</f>
        <v>OVEN NO. 6</v>
      </c>
      <c r="E288" s="533" t="s">
        <v>1020</v>
      </c>
    </row>
    <row r="289" spans="2:5" x14ac:dyDescent="0.2">
      <c r="B289" s="533" t="str">
        <f>'Header Info'!B289</f>
        <v>LTC INC. - PLANT 3</v>
      </c>
      <c r="C289" s="533" t="s">
        <v>1010</v>
      </c>
      <c r="D289" s="533" t="str">
        <f>'Header Info'!C289</f>
        <v>OVEN NO. 6B</v>
      </c>
      <c r="E289" s="533" t="s">
        <v>1011</v>
      </c>
    </row>
    <row r="290" spans="2:5" x14ac:dyDescent="0.2">
      <c r="B290" s="533" t="str">
        <f>'Header Info'!B290</f>
        <v>LTC INC. - PLANT 3</v>
      </c>
      <c r="C290" s="533" t="s">
        <v>1010</v>
      </c>
      <c r="D290" s="533" t="str">
        <f>'Header Info'!C290</f>
        <v>OVEN NO. 7</v>
      </c>
      <c r="E290" s="533" t="s">
        <v>1013</v>
      </c>
    </row>
    <row r="291" spans="2:5" x14ac:dyDescent="0.2">
      <c r="B291" s="533" t="str">
        <f>'Header Info'!B291</f>
        <v>LTC INC. - PLANT 3</v>
      </c>
      <c r="C291" s="533" t="s">
        <v>1010</v>
      </c>
      <c r="D291" s="533" t="str">
        <f>'Header Info'!C291</f>
        <v>OVEN NO. 7B</v>
      </c>
      <c r="E291" s="533" t="s">
        <v>1014</v>
      </c>
    </row>
    <row r="292" spans="2:5" x14ac:dyDescent="0.2">
      <c r="B292" s="533" t="str">
        <f>'Header Info'!B292</f>
        <v>LTC INC. - PLANT 3</v>
      </c>
      <c r="C292" s="533" t="s">
        <v>1010</v>
      </c>
      <c r="D292" s="533" t="str">
        <f>'Header Info'!C292</f>
        <v>OVEN NO. 7B TP2816A</v>
      </c>
      <c r="E292" s="533" t="s">
        <v>1015</v>
      </c>
    </row>
    <row r="293" spans="2:5" x14ac:dyDescent="0.2">
      <c r="B293" s="533" t="str">
        <f>'Header Info'!B293</f>
        <v>LTC INC. - PLANT 3</v>
      </c>
      <c r="C293" s="533" t="s">
        <v>1010</v>
      </c>
      <c r="D293" s="533" t="str">
        <f>'Header Info'!C293</f>
        <v>OVEN NO. 8</v>
      </c>
      <c r="E293" s="533" t="s">
        <v>1016</v>
      </c>
    </row>
    <row r="294" spans="2:5" x14ac:dyDescent="0.2">
      <c r="B294" s="533" t="str">
        <f>'Header Info'!B294</f>
        <v>LTC INC. - PLANT 3</v>
      </c>
      <c r="C294" s="533" t="s">
        <v>1010</v>
      </c>
      <c r="D294" s="533" t="str">
        <f>'Header Info'!C294</f>
        <v>OVEN NO. 9 - Cessna</v>
      </c>
      <c r="E294" s="533" t="s">
        <v>1018</v>
      </c>
    </row>
    <row r="295" spans="2:5" x14ac:dyDescent="0.2">
      <c r="B295" s="533" t="str">
        <f>'Header Info'!B295</f>
        <v>LTC INC. - PLANT 3</v>
      </c>
      <c r="C295" s="533" t="s">
        <v>1036</v>
      </c>
      <c r="D295" s="533" t="str">
        <f>'Header Info'!C295</f>
        <v>OVEN NO. 9</v>
      </c>
      <c r="E295" s="533" t="s">
        <v>1038</v>
      </c>
    </row>
    <row r="296" spans="2:5" x14ac:dyDescent="0.2">
      <c r="B296" s="533" t="str">
        <f>'Header Info'!B296</f>
        <v>LTC INC. - PLANT 3</v>
      </c>
      <c r="C296" s="533" t="s">
        <v>1039</v>
      </c>
      <c r="D296" s="533" t="str">
        <f>'Header Info'!C296</f>
        <v>Oven No. 10- Cessna</v>
      </c>
      <c r="E296" s="533" t="s">
        <v>1042</v>
      </c>
    </row>
    <row r="297" spans="2:5" x14ac:dyDescent="0.2">
      <c r="B297" s="533" t="str">
        <f>'Header Info'!B297</f>
        <v>LTC INC. - PLANT 3</v>
      </c>
      <c r="C297" s="533" t="s">
        <v>1039</v>
      </c>
      <c r="D297" s="533" t="str">
        <f>'Header Info'!C297</f>
        <v>OVEN NO. 10</v>
      </c>
      <c r="E297" s="533" t="s">
        <v>1043</v>
      </c>
    </row>
    <row r="298" spans="2:5" x14ac:dyDescent="0.2">
      <c r="B298" s="533" t="str">
        <f>'Header Info'!B298</f>
        <v>LTC INC. - PLANT 3</v>
      </c>
      <c r="C298" s="533" t="s">
        <v>1039</v>
      </c>
      <c r="D298" s="533" t="str">
        <f>'Header Info'!C298</f>
        <v>OVEN NO. 21</v>
      </c>
      <c r="E298" s="533" t="s">
        <v>1044</v>
      </c>
    </row>
    <row r="299" spans="2:5" x14ac:dyDescent="0.2">
      <c r="B299" s="533" t="str">
        <f>'Header Info'!B299</f>
        <v>LTC INC. - PLANT 3</v>
      </c>
      <c r="C299" s="533" t="s">
        <v>1039</v>
      </c>
      <c r="D299" s="533" t="str">
        <f>'Header Info'!C299</f>
        <v>OVEN NO. 21 TP2816</v>
      </c>
      <c r="E299" s="533" t="s">
        <v>1046</v>
      </c>
    </row>
    <row r="300" spans="2:5" x14ac:dyDescent="0.2">
      <c r="B300" s="533" t="str">
        <f>'Header Info'!B300</f>
        <v>LTC INC. - PLANT 3</v>
      </c>
      <c r="C300" s="533" t="s">
        <v>1039</v>
      </c>
      <c r="D300" s="533" t="str">
        <f>'Header Info'!C300</f>
        <v>OVEN NO. 11 - Cessna</v>
      </c>
      <c r="E300" s="533" t="s">
        <v>1045</v>
      </c>
    </row>
    <row r="301" spans="2:5" x14ac:dyDescent="0.2">
      <c r="B301" s="533" t="str">
        <f>'Header Info'!B301</f>
        <v>LTC INC. - PLANT 3</v>
      </c>
      <c r="C301" s="533" t="s">
        <v>1039</v>
      </c>
      <c r="D301" s="533" t="str">
        <f>'Header Info'!C301</f>
        <v>Oven 12 AMS</v>
      </c>
      <c r="E301" s="533" t="s">
        <v>1040</v>
      </c>
    </row>
    <row r="302" spans="2:5" x14ac:dyDescent="0.2">
      <c r="B302" s="533" t="str">
        <f>'Header Info'!B302</f>
        <v>LTC INC. - PLANT 3</v>
      </c>
      <c r="C302" s="533" t="s">
        <v>1039</v>
      </c>
      <c r="D302" s="533" t="str">
        <f>'Header Info'!C302</f>
        <v>Oven 12 Cessna</v>
      </c>
      <c r="E302" s="533" t="s">
        <v>1041</v>
      </c>
    </row>
    <row r="303" spans="2:5" x14ac:dyDescent="0.2">
      <c r="B303" s="533" t="str">
        <f>'Header Info'!B303</f>
        <v>LTC INC. - PLANT 3</v>
      </c>
      <c r="C303" s="533" t="s">
        <v>1599</v>
      </c>
      <c r="D303" s="533" t="str">
        <f>'Header Info'!C303</f>
        <v>OVEN NO. 13</v>
      </c>
      <c r="E303" s="533" t="s">
        <v>1601</v>
      </c>
    </row>
    <row r="304" spans="2:5" x14ac:dyDescent="0.2">
      <c r="B304" s="533" t="str">
        <f>'Header Info'!B304</f>
        <v>LTC INC. - PLANT 3</v>
      </c>
      <c r="C304" s="533" t="s">
        <v>1599</v>
      </c>
      <c r="D304" s="533" t="str">
        <f>'Header Info'!C304</f>
        <v>OVEN NO. 13 - Cessna</v>
      </c>
      <c r="E304" s="533" t="s">
        <v>1050</v>
      </c>
    </row>
    <row r="305" spans="2:5" x14ac:dyDescent="0.2">
      <c r="B305" s="533" t="str">
        <f>'Header Info'!B305</f>
        <v>LTC INC. - PLANT 3</v>
      </c>
      <c r="C305" s="533" t="s">
        <v>3466</v>
      </c>
      <c r="D305" s="533" t="str">
        <f>'Header Info'!C305</f>
        <v>OVEN NO. 14 - Cessna</v>
      </c>
      <c r="E305" s="533" t="s">
        <v>3468</v>
      </c>
    </row>
    <row r="306" spans="2:5" x14ac:dyDescent="0.2">
      <c r="B306" s="533" t="str">
        <f>'Header Info'!B306</f>
        <v>LTC INC. - PLANT 3</v>
      </c>
      <c r="C306" s="533" t="s">
        <v>1047</v>
      </c>
      <c r="D306" s="533" t="str">
        <f>'Header Info'!C306</f>
        <v>OVEN NO. 14</v>
      </c>
      <c r="E306" s="533" t="s">
        <v>1048</v>
      </c>
    </row>
    <row r="307" spans="2:5" x14ac:dyDescent="0.2">
      <c r="B307" s="533" t="str">
        <f>'Header Info'!B307</f>
        <v>LTC INC. - PLANT 3</v>
      </c>
      <c r="C307" s="533" t="s">
        <v>1052</v>
      </c>
      <c r="D307" s="533">
        <f>'Header Info'!C307</f>
        <v>11303</v>
      </c>
      <c r="E307" s="533" t="s">
        <v>3469</v>
      </c>
    </row>
    <row r="308" spans="2:5" x14ac:dyDescent="0.2">
      <c r="B308" s="533" t="str">
        <f>'Header Info'!B308</f>
        <v>LTC INC. - PLANT 3</v>
      </c>
      <c r="C308" s="533" t="s">
        <v>1052</v>
      </c>
      <c r="D308" s="533" t="str">
        <f>'Header Info'!C308</f>
        <v>OVEN NO. 15 (TP2816)</v>
      </c>
      <c r="E308" s="533" t="s">
        <v>1066</v>
      </c>
    </row>
    <row r="309" spans="2:5" x14ac:dyDescent="0.2">
      <c r="B309" s="533" t="str">
        <f>'Header Info'!B309</f>
        <v>LTC INC. - PLANT 3</v>
      </c>
      <c r="C309" s="533" t="s">
        <v>1052</v>
      </c>
      <c r="D309" s="533" t="str">
        <f>'Header Info'!C309</f>
        <v>OVEN NO. 16 (TP2816)</v>
      </c>
      <c r="E309" s="533" t="s">
        <v>1068</v>
      </c>
    </row>
    <row r="310" spans="2:5" x14ac:dyDescent="0.2">
      <c r="B310" s="533" t="str">
        <f>'Header Info'!B310</f>
        <v>LTC INC. - PLANT 3</v>
      </c>
      <c r="C310" s="533" t="s">
        <v>1052</v>
      </c>
      <c r="D310" s="533" t="str">
        <f>'Header Info'!C310</f>
        <v>OVEN NO. 16</v>
      </c>
      <c r="E310" s="533" t="s">
        <v>1069</v>
      </c>
    </row>
    <row r="311" spans="2:5" x14ac:dyDescent="0.2">
      <c r="B311" s="533" t="str">
        <f>'Header Info'!B311</f>
        <v>LTC INC. - PLANT 3</v>
      </c>
      <c r="C311" s="533" t="s">
        <v>1052</v>
      </c>
      <c r="D311" s="533" t="str">
        <f>'Header Info'!C311</f>
        <v>OVEN NO. 17 AMS</v>
      </c>
      <c r="E311" s="533" t="s">
        <v>1063</v>
      </c>
    </row>
    <row r="312" spans="2:5" x14ac:dyDescent="0.2">
      <c r="B312" s="533" t="str">
        <f>'Header Info'!B312</f>
        <v>LTC INC. - PLANT 3</v>
      </c>
      <c r="C312" s="533" t="s">
        <v>1052</v>
      </c>
      <c r="D312" s="533" t="str">
        <f>'Header Info'!C312</f>
        <v>OVEN NO. 17 CESSNA</v>
      </c>
      <c r="E312" s="533" t="s">
        <v>1064</v>
      </c>
    </row>
    <row r="313" spans="2:5" x14ac:dyDescent="0.2">
      <c r="B313" s="533" t="str">
        <f>'Header Info'!B313</f>
        <v>LTC INC. - PLANT 3</v>
      </c>
      <c r="C313" s="533" t="s">
        <v>1052</v>
      </c>
      <c r="D313" s="533" t="str">
        <f>'Header Info'!C313</f>
        <v>OVEN NO. 18 CESSNA</v>
      </c>
      <c r="E313" s="533" t="s">
        <v>1061</v>
      </c>
    </row>
    <row r="314" spans="2:5" x14ac:dyDescent="0.2">
      <c r="B314" s="533" t="str">
        <f>'Header Info'!B314</f>
        <v>LTC INC. - PLANT 3</v>
      </c>
      <c r="C314" s="533" t="s">
        <v>1052</v>
      </c>
      <c r="D314" s="533" t="str">
        <f>'Header Info'!C314</f>
        <v>OVEN NO. 19 CESSNA</v>
      </c>
      <c r="E314" s="533" t="s">
        <v>1059</v>
      </c>
    </row>
    <row r="315" spans="2:5" x14ac:dyDescent="0.2">
      <c r="B315" s="533" t="str">
        <f>'Header Info'!B315</f>
        <v>LTC INC. - PLANT 3</v>
      </c>
      <c r="C315" s="533" t="s">
        <v>1052</v>
      </c>
      <c r="D315" s="533" t="str">
        <f>'Header Info'!C315</f>
        <v>Oven No. 20 TP2816</v>
      </c>
      <c r="E315" s="533" t="s">
        <v>1054</v>
      </c>
    </row>
    <row r="316" spans="2:5" x14ac:dyDescent="0.2">
      <c r="B316" s="533" t="str">
        <f>'Header Info'!B316</f>
        <v>LTC INC. - PLANT 3</v>
      </c>
      <c r="C316" s="533" t="s">
        <v>1052</v>
      </c>
      <c r="D316" s="533" t="str">
        <f>'Header Info'!C316</f>
        <v>Oven No. 20</v>
      </c>
      <c r="E316" s="533" t="s">
        <v>1055</v>
      </c>
    </row>
    <row r="317" spans="2:5" x14ac:dyDescent="0.2">
      <c r="B317" s="533" t="str">
        <f>'Header Info'!B317</f>
        <v>LTC INC. - PLANT 3</v>
      </c>
      <c r="C317" s="533" t="s">
        <v>1052</v>
      </c>
      <c r="D317" s="533" t="str">
        <f>'Header Info'!C317</f>
        <v>Oven No. 24</v>
      </c>
      <c r="E317" s="533" t="s">
        <v>1057</v>
      </c>
    </row>
    <row r="318" spans="2:5" x14ac:dyDescent="0.2">
      <c r="B318" s="533" t="str">
        <f>'Header Info'!B318</f>
        <v>MANUFACTURING DEVELOPMENT, INC.</v>
      </c>
      <c r="C318" s="533" t="s">
        <v>1052</v>
      </c>
      <c r="D318" s="533" t="str">
        <f>'Header Info'!C318</f>
        <v>Amaco Oven</v>
      </c>
      <c r="E318" s="533" t="s">
        <v>3470</v>
      </c>
    </row>
    <row r="319" spans="2:5" x14ac:dyDescent="0.2">
      <c r="B319" s="533" t="str">
        <f>'Header Info'!B319</f>
        <v>MANUFACTURING DEVELOPMENT, INC.</v>
      </c>
      <c r="C319" s="533" t="s">
        <v>1070</v>
      </c>
      <c r="D319" s="533" t="str">
        <f>'Header Info'!C319</f>
        <v>FURNACE NO. 2</v>
      </c>
      <c r="E319" s="533" t="s">
        <v>3471</v>
      </c>
    </row>
    <row r="320" spans="2:5" x14ac:dyDescent="0.2">
      <c r="B320" s="533" t="str">
        <f>'Header Info'!B320</f>
        <v>MANUFACTURING DEVELOPMENT, INC.</v>
      </c>
      <c r="C320" s="533" t="s">
        <v>1070</v>
      </c>
      <c r="D320" s="533" t="str">
        <f>'Header Info'!C320</f>
        <v>OVEN NO. 3</v>
      </c>
      <c r="E320" s="533" t="s">
        <v>3472</v>
      </c>
    </row>
    <row r="321" spans="2:5" x14ac:dyDescent="0.2">
      <c r="B321" s="533" t="str">
        <f>'Header Info'!B321</f>
        <v>MAX AEROSTRUCTURES, LLC</v>
      </c>
      <c r="C321" s="533" t="s">
        <v>1070</v>
      </c>
      <c r="D321" s="533" t="str">
        <f>'Header Info'!C321</f>
        <v>ARDROX OVEN</v>
      </c>
      <c r="E321" s="533" t="s">
        <v>3473</v>
      </c>
    </row>
    <row r="322" spans="2:5" x14ac:dyDescent="0.2">
      <c r="B322" s="533" t="str">
        <f>'Header Info'!B322</f>
        <v>MAX AEROSTRUCTURES, LLC</v>
      </c>
      <c r="C322" s="533" t="s">
        <v>1070</v>
      </c>
      <c r="D322" s="533" t="str">
        <f>'Header Info'!C322</f>
        <v>BOO-102-A</v>
      </c>
      <c r="E322" s="533" t="s">
        <v>3474</v>
      </c>
    </row>
    <row r="323" spans="2:5" x14ac:dyDescent="0.2">
      <c r="B323" s="533" t="str">
        <f>'Header Info'!B323</f>
        <v>MAX AEROSTRUCTURES, LLC</v>
      </c>
      <c r="C323" s="533" t="s">
        <v>1070</v>
      </c>
      <c r="D323" s="533" t="str">
        <f>'Header Info'!C323</f>
        <v>LARGE AGE OVEN</v>
      </c>
      <c r="E323" s="533" t="s">
        <v>1665</v>
      </c>
    </row>
    <row r="324" spans="2:5" x14ac:dyDescent="0.2">
      <c r="B324" s="533" t="str">
        <f>'Header Info'!B324</f>
        <v>MAX AEROSTRUCTURES, LLC</v>
      </c>
      <c r="C324" s="533" t="s">
        <v>1070</v>
      </c>
      <c r="D324" s="533" t="str">
        <f>'Header Info'!C324</f>
        <v>OVE-112-A DROP BOTTOM</v>
      </c>
      <c r="E324" s="533" t="s">
        <v>3475</v>
      </c>
    </row>
    <row r="325" spans="2:5" x14ac:dyDescent="0.2">
      <c r="B325" s="533" t="str">
        <f>'Header Info'!B325</f>
        <v>MAX AEROSTRUCTURES, LLC</v>
      </c>
      <c r="C325" s="533" t="s">
        <v>1070</v>
      </c>
      <c r="D325" s="533" t="str">
        <f>'Header Info'!C325</f>
        <v>OVE-113-A</v>
      </c>
      <c r="E325" s="533" t="s">
        <v>1605</v>
      </c>
    </row>
    <row r="326" spans="2:5" x14ac:dyDescent="0.2">
      <c r="B326" s="533" t="str">
        <f>'Header Info'!B326</f>
        <v>MAX AEROSTRUCTURES, LLC</v>
      </c>
      <c r="C326" s="533" t="s">
        <v>1070</v>
      </c>
      <c r="D326" s="533" t="str">
        <f>'Header Info'!C326</f>
        <v>OVE-113-B</v>
      </c>
      <c r="E326" s="533" t="s">
        <v>1084</v>
      </c>
    </row>
    <row r="327" spans="2:5" x14ac:dyDescent="0.2">
      <c r="B327" s="533" t="str">
        <f>'Header Info'!B327</f>
        <v>MAX AEROSTRUCTURES, LLC</v>
      </c>
      <c r="C327" s="533" t="s">
        <v>1070</v>
      </c>
      <c r="D327" s="533" t="str">
        <f>'Header Info'!C327</f>
        <v>OVE-114-A</v>
      </c>
      <c r="E327" s="533" t="s">
        <v>1085</v>
      </c>
    </row>
    <row r="328" spans="2:5" x14ac:dyDescent="0.2">
      <c r="B328" s="533" t="str">
        <f>'Header Info'!B328</f>
        <v>MAX AEROSTRUCTURES, LLC</v>
      </c>
      <c r="C328" s="533" t="s">
        <v>1070</v>
      </c>
      <c r="D328" s="533" t="str">
        <f>'Header Info'!C328</f>
        <v>OVE-127-A</v>
      </c>
      <c r="E328" s="533" t="s">
        <v>1072</v>
      </c>
    </row>
    <row r="329" spans="2:5" x14ac:dyDescent="0.2">
      <c r="B329" s="533" t="str">
        <f>'Header Info'!B329</f>
        <v>MAX AEROSTRUCTURES, LLC</v>
      </c>
      <c r="C329" s="533" t="s">
        <v>1070</v>
      </c>
      <c r="D329" s="533" t="str">
        <f>'Header Info'!C329</f>
        <v>T-10</v>
      </c>
      <c r="E329" s="533" t="s">
        <v>1088</v>
      </c>
    </row>
    <row r="330" spans="2:5" x14ac:dyDescent="0.2">
      <c r="B330" s="533" t="str">
        <f>'Header Info'!B330</f>
        <v>MAX AEROSTRUCTURES, LLC</v>
      </c>
      <c r="C330" s="533" t="s">
        <v>1070</v>
      </c>
      <c r="D330" s="533" t="str">
        <f>'Header Info'!C330</f>
        <v>T-14</v>
      </c>
      <c r="E330" s="533" t="s">
        <v>1087</v>
      </c>
    </row>
    <row r="331" spans="2:5" x14ac:dyDescent="0.2">
      <c r="B331" s="533" t="str">
        <f>'Header Info'!B331</f>
        <v>MAX AEROSTRUCTURES, LLC</v>
      </c>
      <c r="C331" s="533" t="s">
        <v>1070</v>
      </c>
      <c r="D331" s="533" t="str">
        <f>'Header Info'!C331</f>
        <v>T-16</v>
      </c>
      <c r="E331" s="533" t="s">
        <v>1086</v>
      </c>
    </row>
    <row r="332" spans="2:5" x14ac:dyDescent="0.2">
      <c r="B332" s="533" t="str">
        <f>'Header Info'!B332</f>
        <v>MAX AEROSTRUCTURES, LLC</v>
      </c>
      <c r="C332" s="533" t="s">
        <v>1070</v>
      </c>
      <c r="D332" s="533" t="str">
        <f>'Header Info'!C332</f>
        <v>TAN-137-C</v>
      </c>
      <c r="E332" s="533" t="s">
        <v>1071</v>
      </c>
    </row>
    <row r="333" spans="2:5" x14ac:dyDescent="0.2">
      <c r="B333" s="533" t="str">
        <f>'Header Info'!B333</f>
        <v>MAX AEROSTRUCTURES, LLC</v>
      </c>
      <c r="C333" s="533" t="s">
        <v>1070</v>
      </c>
      <c r="D333" s="533" t="str">
        <f>'Header Info'!C333</f>
        <v>TAN-137-E</v>
      </c>
      <c r="E333" s="533" t="s">
        <v>1089</v>
      </c>
    </row>
    <row r="334" spans="2:5" x14ac:dyDescent="0.2">
      <c r="B334" s="533" t="str">
        <f>'Header Info'!B334</f>
        <v>MAYNARD INC.</v>
      </c>
      <c r="C334" s="533" t="s">
        <v>1070</v>
      </c>
      <c r="D334" s="533">
        <f>'Header Info'!C334</f>
        <v>3037</v>
      </c>
      <c r="E334" s="533" t="s">
        <v>1073</v>
      </c>
    </row>
    <row r="335" spans="2:5" x14ac:dyDescent="0.2">
      <c r="B335" s="533" t="str">
        <f>'Header Info'!B335</f>
        <v>MAYNARD INC.</v>
      </c>
      <c r="C335" s="533" t="s">
        <v>1070</v>
      </c>
      <c r="D335" s="533" t="str">
        <f>'Header Info'!C335</f>
        <v>OVEN NO. 3142</v>
      </c>
      <c r="E335" s="533" t="s">
        <v>1074</v>
      </c>
    </row>
    <row r="336" spans="2:5" x14ac:dyDescent="0.2">
      <c r="B336" s="533" t="str">
        <f>'Header Info'!B336</f>
        <v>METAL FINISHING CO. - MURDOCK LOCATION</v>
      </c>
      <c r="C336" s="533" t="s">
        <v>1070</v>
      </c>
      <c r="D336" s="533" t="str">
        <f>'Header Info'!C336</f>
        <v>OVEN NO. 22</v>
      </c>
      <c r="E336" s="533" t="s">
        <v>1075</v>
      </c>
    </row>
    <row r="337" spans="2:5" x14ac:dyDescent="0.2">
      <c r="B337" s="533" t="str">
        <f>'Header Info'!B337</f>
        <v>METAL FINISHING CO. - MURDOCK LOCATION</v>
      </c>
      <c r="C337" s="533" t="s">
        <v>1070</v>
      </c>
      <c r="D337" s="533" t="str">
        <f>'Header Info'!C337</f>
        <v>Oven No.23</v>
      </c>
      <c r="E337" s="533" t="s">
        <v>1076</v>
      </c>
    </row>
    <row r="338" spans="2:5" x14ac:dyDescent="0.2">
      <c r="B338" s="533" t="str">
        <f>'Header Info'!B338</f>
        <v>METAL FINISHING CO. - MURDOCK LOCATION</v>
      </c>
      <c r="C338" s="533" t="s">
        <v>1070</v>
      </c>
      <c r="D338" s="533" t="str">
        <f>'Header Info'!C338</f>
        <v>PAINT BAKE NO. 21</v>
      </c>
      <c r="E338" s="533" t="s">
        <v>1077</v>
      </c>
    </row>
    <row r="339" spans="2:5" x14ac:dyDescent="0.2">
      <c r="B339" s="533" t="str">
        <f>'Header Info'!B339</f>
        <v>METAL FINISHING CO.</v>
      </c>
      <c r="C339" s="533" t="s">
        <v>1070</v>
      </c>
      <c r="D339" s="533" t="str">
        <f>'Header Info'!C339</f>
        <v>FS01</v>
      </c>
      <c r="E339" s="533" t="s">
        <v>1079</v>
      </c>
    </row>
    <row r="340" spans="2:5" x14ac:dyDescent="0.2">
      <c r="B340" s="533" t="str">
        <f>'Header Info'!B340</f>
        <v>METAL FINISHING CO.</v>
      </c>
      <c r="C340" s="533" t="s">
        <v>1070</v>
      </c>
      <c r="D340" s="533" t="str">
        <f>'Header Info'!C340</f>
        <v>MF NO. 1</v>
      </c>
      <c r="E340" s="533" t="s">
        <v>1080</v>
      </c>
    </row>
    <row r="341" spans="2:5" x14ac:dyDescent="0.2">
      <c r="B341" s="533" t="str">
        <f>'Header Info'!B341</f>
        <v>METAL FINISHING CO.</v>
      </c>
      <c r="C341" s="533" t="s">
        <v>1070</v>
      </c>
      <c r="D341" s="533" t="str">
        <f>'Header Info'!C341</f>
        <v>MF NO. 2</v>
      </c>
      <c r="E341" s="533" t="s">
        <v>1081</v>
      </c>
    </row>
    <row r="342" spans="2:5" x14ac:dyDescent="0.2">
      <c r="B342" s="533" t="str">
        <f>'Header Info'!B342</f>
        <v>METAL FINISHING CO.</v>
      </c>
      <c r="C342" s="533" t="s">
        <v>1070</v>
      </c>
      <c r="D342" s="533" t="str">
        <f>'Header Info'!C342</f>
        <v>MF NO. 4</v>
      </c>
      <c r="E342" s="533" t="s">
        <v>1082</v>
      </c>
    </row>
    <row r="343" spans="2:5" x14ac:dyDescent="0.2">
      <c r="B343" s="533" t="str">
        <f>'Header Info'!B343</f>
        <v>METAL FINISHING CO.</v>
      </c>
      <c r="C343" s="533" t="s">
        <v>1070</v>
      </c>
      <c r="D343" s="533" t="str">
        <f>'Header Info'!C343</f>
        <v>MF NO. 7</v>
      </c>
      <c r="E343" s="533" t="s">
        <v>1012</v>
      </c>
    </row>
    <row r="344" spans="2:5" x14ac:dyDescent="0.2">
      <c r="B344" s="533" t="str">
        <f>'Header Info'!B344</f>
        <v>METAL FINISHING CO.</v>
      </c>
      <c r="C344" s="533" t="s">
        <v>1070</v>
      </c>
      <c r="D344" s="533" t="str">
        <f>'Header Info'!C344</f>
        <v>MF NO. 8</v>
      </c>
      <c r="E344" s="533" t="s">
        <v>1022</v>
      </c>
    </row>
    <row r="345" spans="2:5" x14ac:dyDescent="0.2">
      <c r="B345" s="533" t="str">
        <f>'Header Info'!B345</f>
        <v>METAL FINISHING CO.</v>
      </c>
      <c r="C345" s="533" t="s">
        <v>1070</v>
      </c>
      <c r="D345" s="533" t="str">
        <f>'Header Info'!C345</f>
        <v>MF NO. 9</v>
      </c>
      <c r="E345" s="533" t="s">
        <v>1083</v>
      </c>
    </row>
    <row r="346" spans="2:5" x14ac:dyDescent="0.2">
      <c r="B346" s="533" t="str">
        <f>'Header Info'!B346</f>
        <v>METAL FINISHING CO.</v>
      </c>
      <c r="C346" s="533" t="s">
        <v>1070</v>
      </c>
      <c r="D346" s="533" t="str">
        <f>'Header Info'!C346</f>
        <v>MF NO. 10</v>
      </c>
      <c r="E346" s="533" t="s">
        <v>3478</v>
      </c>
    </row>
    <row r="347" spans="2:5" x14ac:dyDescent="0.2">
      <c r="B347" s="533" t="str">
        <f>'Header Info'!B347</f>
        <v>METAL FINISHING CO.</v>
      </c>
      <c r="C347" s="533" t="s">
        <v>1070</v>
      </c>
      <c r="D347" s="533" t="str">
        <f>'Header Info'!C347</f>
        <v>MF NO. 11</v>
      </c>
      <c r="E347" s="533" t="s">
        <v>1619</v>
      </c>
    </row>
    <row r="348" spans="2:5" x14ac:dyDescent="0.2">
      <c r="B348" s="533" t="str">
        <f>'Header Info'!B348</f>
        <v>METAL FINISHING CO.</v>
      </c>
      <c r="C348" s="533" t="s">
        <v>1070</v>
      </c>
      <c r="D348" s="533" t="str">
        <f>'Header Info'!C348</f>
        <v>MF NO. 12</v>
      </c>
      <c r="E348" s="533" t="s">
        <v>1603</v>
      </c>
    </row>
    <row r="349" spans="2:5" x14ac:dyDescent="0.2">
      <c r="B349" s="533" t="str">
        <f>'Header Info'!B349</f>
        <v>METAL FINISHING CO.</v>
      </c>
      <c r="C349" s="533" t="s">
        <v>1070</v>
      </c>
      <c r="D349" s="533" t="str">
        <f>'Header Info'!C349</f>
        <v>MF NO. 25</v>
      </c>
      <c r="E349" s="533" t="s">
        <v>3479</v>
      </c>
    </row>
    <row r="350" spans="2:5" x14ac:dyDescent="0.2">
      <c r="B350" s="533" t="str">
        <f>'Header Info'!B350</f>
        <v>METAL FINISHING CO.</v>
      </c>
      <c r="C350" s="533" t="s">
        <v>1070</v>
      </c>
      <c r="D350" s="533" t="str">
        <f>'Header Info'!C350</f>
        <v>OVEN #17</v>
      </c>
      <c r="E350" s="533" t="s">
        <v>3480</v>
      </c>
    </row>
    <row r="351" spans="2:5" x14ac:dyDescent="0.2">
      <c r="B351" s="533" t="str">
        <f>'Header Info'!B351</f>
        <v>METAL FINISHING CO.</v>
      </c>
      <c r="C351" s="533" t="s">
        <v>1091</v>
      </c>
      <c r="D351" s="533" t="str">
        <f>'Header Info'!C351</f>
        <v>Oven No. 5</v>
      </c>
      <c r="E351" s="533" t="s">
        <v>1094</v>
      </c>
    </row>
    <row r="352" spans="2:5" x14ac:dyDescent="0.2">
      <c r="B352" s="533" t="str">
        <f>'Header Info'!B352</f>
        <v>METAL FINISHING CO.</v>
      </c>
      <c r="C352" s="533" t="s">
        <v>1091</v>
      </c>
      <c r="D352" s="533" t="str">
        <f>'Header Info'!C352</f>
        <v>OVEN NO. 6</v>
      </c>
      <c r="E352" s="533" t="s">
        <v>3481</v>
      </c>
    </row>
    <row r="353" spans="2:5" x14ac:dyDescent="0.2">
      <c r="B353" s="533" t="str">
        <f>'Header Info'!B353</f>
        <v>METAL FINISHING CO.</v>
      </c>
      <c r="C353" s="533" t="s">
        <v>1091</v>
      </c>
      <c r="D353" s="533" t="str">
        <f>'Header Info'!C353</f>
        <v>PAINT BAKE OVEN NO. 14</v>
      </c>
      <c r="E353" s="533" t="s">
        <v>1667</v>
      </c>
    </row>
    <row r="354" spans="2:5" x14ac:dyDescent="0.2">
      <c r="B354" s="533" t="str">
        <f>'Header Info'!B354</f>
        <v>METAL FINISHING CO.</v>
      </c>
      <c r="C354" s="533" t="s">
        <v>1091</v>
      </c>
      <c r="D354" s="533" t="str">
        <f>'Header Info'!C354</f>
        <v>PAINT BAKE 15A</v>
      </c>
      <c r="E354" s="533" t="s">
        <v>1093</v>
      </c>
    </row>
    <row r="355" spans="2:5" x14ac:dyDescent="0.2">
      <c r="B355" s="533" t="str">
        <f>'Header Info'!B355</f>
        <v>METAL FINISHING CO.</v>
      </c>
      <c r="C355" s="533" t="s">
        <v>1475</v>
      </c>
      <c r="D355" s="533" t="str">
        <f>'Header Info'!C355</f>
        <v>OVEN NO. 3</v>
      </c>
      <c r="E355" s="533" t="s">
        <v>726</v>
      </c>
    </row>
    <row r="356" spans="2:5" x14ac:dyDescent="0.2">
      <c r="B356" s="533" t="str">
        <f>'Header Info'!B356</f>
        <v>MILLENNIUM CONCEPTS, INC.</v>
      </c>
      <c r="C356" s="533" t="s">
        <v>1475</v>
      </c>
      <c r="D356" s="533" t="str">
        <f>'Header Info'!C356</f>
        <v>CURE OVEN NO. 1</v>
      </c>
      <c r="E356" s="533" t="s">
        <v>743</v>
      </c>
    </row>
    <row r="357" spans="2:5" x14ac:dyDescent="0.2">
      <c r="B357" s="533" t="str">
        <f>'Header Info'!B357</f>
        <v>MILLENNIUM CONCEPTS, INC.</v>
      </c>
      <c r="C357" s="533" t="s">
        <v>1475</v>
      </c>
      <c r="D357" s="533" t="str">
        <f>'Header Info'!C357</f>
        <v>CURE OVEN NO. 1 Cessna</v>
      </c>
      <c r="E357" s="533" t="s">
        <v>741</v>
      </c>
    </row>
    <row r="358" spans="2:5" x14ac:dyDescent="0.2">
      <c r="B358" s="533" t="str">
        <f>'Header Info'!B358</f>
        <v>MILLENNIUM CONCEPTS, INC.</v>
      </c>
      <c r="C358" s="533" t="s">
        <v>1475</v>
      </c>
      <c r="D358" s="533" t="str">
        <f>'Header Info'!C358</f>
        <v>MCI-0169</v>
      </c>
      <c r="E358" s="533" t="s">
        <v>738</v>
      </c>
    </row>
    <row r="359" spans="2:5" x14ac:dyDescent="0.2">
      <c r="B359" s="533" t="str">
        <f>'Header Info'!B359</f>
        <v>MILLENNIUM CONCEPTS, INC.</v>
      </c>
      <c r="C359" s="533" t="s">
        <v>1475</v>
      </c>
      <c r="D359" s="533" t="str">
        <f>'Header Info'!C359</f>
        <v>MCI-0180</v>
      </c>
      <c r="E359" s="533" t="s">
        <v>732</v>
      </c>
    </row>
    <row r="360" spans="2:5" x14ac:dyDescent="0.2">
      <c r="B360" s="533" t="str">
        <f>'Header Info'!B360</f>
        <v>MILLENNIUM CONCEPTS, INC.</v>
      </c>
      <c r="C360" s="533" t="s">
        <v>1475</v>
      </c>
      <c r="D360" s="533" t="str">
        <f>'Header Info'!C360</f>
        <v>Wisconsin Oven MCI-0262</v>
      </c>
      <c r="E360" s="533" t="s">
        <v>729</v>
      </c>
    </row>
    <row r="361" spans="2:5" x14ac:dyDescent="0.2">
      <c r="B361" s="533" t="str">
        <f>'Header Info'!B361</f>
        <v>NATIONAL INSTITUTE FOR AVIATION RESEARCH</v>
      </c>
      <c r="C361" s="533" t="s">
        <v>1475</v>
      </c>
      <c r="D361" s="533" t="str">
        <f>'Header Info'!C361</f>
        <v>AUTOCLAVE NO. 1</v>
      </c>
      <c r="E361" s="533" t="s">
        <v>1621</v>
      </c>
    </row>
    <row r="362" spans="2:5" x14ac:dyDescent="0.2">
      <c r="B362" s="533" t="str">
        <f>'Header Info'!B362</f>
        <v>NATIONAL INSTITUTE FOR AVIATION RESEARCH</v>
      </c>
      <c r="C362" s="533" t="s">
        <v>1475</v>
      </c>
      <c r="D362" s="533" t="str">
        <f>'Header Info'!C362</f>
        <v>Autoclave No. 3</v>
      </c>
      <c r="E362" s="533" t="s">
        <v>1476</v>
      </c>
    </row>
    <row r="363" spans="2:5" x14ac:dyDescent="0.2">
      <c r="B363" s="533" t="str">
        <f>'Header Info'!B363</f>
        <v>NATIONAL INSTITUTE FOR AVIATION RESEARCH</v>
      </c>
      <c r="C363" s="533" t="s">
        <v>1475</v>
      </c>
      <c r="D363" s="533" t="str">
        <f>'Header Info'!C363</f>
        <v>D043039</v>
      </c>
      <c r="E363" s="533" t="s">
        <v>1477</v>
      </c>
    </row>
    <row r="364" spans="2:5" x14ac:dyDescent="0.2">
      <c r="B364" s="533" t="str">
        <f>'Header Info'!B364</f>
        <v>NATIONAL INSTITUTE FOR AVIATION RESEARCH</v>
      </c>
      <c r="C364" s="533" t="s">
        <v>1475</v>
      </c>
      <c r="D364" s="533" t="str">
        <f>'Header Info'!C364</f>
        <v>GRIEVE BACK OVEN</v>
      </c>
      <c r="E364" s="533" t="s">
        <v>3483</v>
      </c>
    </row>
    <row r="365" spans="2:5" x14ac:dyDescent="0.2">
      <c r="B365" s="533" t="str">
        <f>'Header Info'!B365</f>
        <v>NATIONAL INSTITUTE FOR AVIATION RESEARCH</v>
      </c>
      <c r="C365" s="533" t="s">
        <v>1475</v>
      </c>
      <c r="D365" s="533" t="str">
        <f>'Header Info'!C365</f>
        <v>GRIEVE OVEN NO. 1</v>
      </c>
      <c r="E365" s="533" t="s">
        <v>1478</v>
      </c>
    </row>
    <row r="366" spans="2:5" x14ac:dyDescent="0.2">
      <c r="B366" s="533" t="str">
        <f>'Header Info'!B366</f>
        <v>NATIONAL INSTITUTE FOR AVIATION RESEARCH</v>
      </c>
      <c r="C366" s="533" t="s">
        <v>1475</v>
      </c>
      <c r="D366" s="533" t="str">
        <f>'Header Info'!C366</f>
        <v>GRIEVE OVEN NO. 2</v>
      </c>
      <c r="E366" s="533" t="s">
        <v>720</v>
      </c>
    </row>
    <row r="367" spans="2:5" x14ac:dyDescent="0.2">
      <c r="B367" s="533" t="str">
        <f>'Header Info'!B367</f>
        <v>NATIONAL INSTITUTE FOR AVIATION RESEARCH</v>
      </c>
      <c r="C367" s="533" t="s">
        <v>1475</v>
      </c>
      <c r="D367" s="533" t="str">
        <f>'Header Info'!C367</f>
        <v>Outdoor Freezer</v>
      </c>
      <c r="E367" s="533" t="s">
        <v>722</v>
      </c>
    </row>
    <row r="368" spans="2:5" x14ac:dyDescent="0.2">
      <c r="B368" s="533" t="str">
        <f>'Header Info'!B368</f>
        <v>NATIONAL INSTITUTE FOR AVIATION RESEARCH</v>
      </c>
      <c r="C368" s="533" t="s">
        <v>1475</v>
      </c>
      <c r="D368" s="533" t="str">
        <f>'Header Info'!C368</f>
        <v>SMALL AUTOCLAVE</v>
      </c>
      <c r="E368" s="533" t="s">
        <v>3485</v>
      </c>
    </row>
    <row r="369" spans="2:5" x14ac:dyDescent="0.2">
      <c r="B369" s="533" t="str">
        <f>'Header Info'!B369</f>
        <v>NIAR ASTEC</v>
      </c>
      <c r="C369" s="533" t="s">
        <v>1475</v>
      </c>
      <c r="D369" s="533" t="str">
        <f>'Header Info'!C369</f>
        <v>Sector A Freezer</v>
      </c>
      <c r="E369" s="533" t="s">
        <v>725</v>
      </c>
    </row>
    <row r="370" spans="2:5" x14ac:dyDescent="0.2">
      <c r="B370" s="533" t="str">
        <f>'Header Info'!B370</f>
        <v>NIAR - QUALITY CONTROL &amp; STRAIN GAGE LAB</v>
      </c>
      <c r="C370" s="533" t="s">
        <v>1475</v>
      </c>
      <c r="D370" s="533" t="str">
        <f>'Header Info'!C370</f>
        <v>3x5 Autoclave</v>
      </c>
      <c r="E370" s="533" t="s">
        <v>724</v>
      </c>
    </row>
    <row r="371" spans="2:5" x14ac:dyDescent="0.2">
      <c r="B371" s="533" t="str">
        <f>'Header Info'!B371</f>
        <v>NIAR - QUALITY CONTROL &amp; STRAIN GAGE LAB</v>
      </c>
      <c r="C371" s="533" t="s">
        <v>1096</v>
      </c>
      <c r="D371" s="533" t="str">
        <f>'Header Info'!C371</f>
        <v>303N0018</v>
      </c>
      <c r="E371" s="533" t="s">
        <v>1097</v>
      </c>
    </row>
    <row r="372" spans="2:5" x14ac:dyDescent="0.2">
      <c r="B372" s="533" t="str">
        <f>'Header Info'!B372</f>
        <v>NIAR - QUALITY CONTROL &amp; STRAIN GAGE LAB</v>
      </c>
      <c r="C372" s="533" t="s">
        <v>1096</v>
      </c>
      <c r="D372" s="533">
        <f>'Header Info'!C372</f>
        <v>411462</v>
      </c>
      <c r="E372" s="533" t="s">
        <v>1099</v>
      </c>
    </row>
    <row r="373" spans="2:5" x14ac:dyDescent="0.2">
      <c r="B373" s="533" t="str">
        <f>'Header Info'!B373</f>
        <v>NIAR - QUALITY CONTROL &amp; STRAIN GAGE LAB</v>
      </c>
      <c r="C373" s="533" t="s">
        <v>1101</v>
      </c>
      <c r="D373" s="533" t="str">
        <f>'Header Info'!C373</f>
        <v>B9X00187</v>
      </c>
      <c r="E373" s="533" t="s">
        <v>1104</v>
      </c>
    </row>
    <row r="374" spans="2:5" x14ac:dyDescent="0.2">
      <c r="B374" s="533" t="str">
        <f>'Header Info'!B374</f>
        <v>NWI KANSAS CITY LLC</v>
      </c>
      <c r="C374" s="533" t="s">
        <v>1101</v>
      </c>
      <c r="D374" s="533" t="str">
        <f>'Header Info'!C374</f>
        <v>OVEN NO. 1</v>
      </c>
      <c r="E374" s="533" t="s">
        <v>1129</v>
      </c>
    </row>
    <row r="375" spans="2:5" x14ac:dyDescent="0.2">
      <c r="B375" s="533" t="str">
        <f>'Header Info'!B375</f>
        <v>NWI KANSAS CITY LLC</v>
      </c>
      <c r="C375" s="533" t="s">
        <v>1101</v>
      </c>
      <c r="D375" s="533" t="str">
        <f>'Header Info'!C375</f>
        <v>OVEN NO. 2</v>
      </c>
      <c r="E375" s="533" t="s">
        <v>3486</v>
      </c>
    </row>
    <row r="376" spans="2:5" x14ac:dyDescent="0.2">
      <c r="B376" s="533" t="str">
        <f>'Header Info'!B376</f>
        <v>ORIZON AEROSTRUCTURES ASSEMBLY</v>
      </c>
      <c r="C376" s="533" t="s">
        <v>1101</v>
      </c>
      <c r="D376" s="533" t="str">
        <f>'Header Info'!C376</f>
        <v>Spoven</v>
      </c>
      <c r="E376" s="533" t="s">
        <v>1556</v>
      </c>
    </row>
    <row r="377" spans="2:5" x14ac:dyDescent="0.2">
      <c r="B377" s="533" t="str">
        <f>'Header Info'!B377</f>
        <v>ORIZON AEROSTRUCTURES PROCESSING</v>
      </c>
      <c r="C377" s="533" t="s">
        <v>1101</v>
      </c>
      <c r="D377" s="533" t="str">
        <f>'Header Info'!C377</f>
        <v>A-23</v>
      </c>
      <c r="E377" s="533" t="s">
        <v>1126</v>
      </c>
    </row>
    <row r="378" spans="2:5" x14ac:dyDescent="0.2">
      <c r="B378" s="533" t="str">
        <f>'Header Info'!B378</f>
        <v>ORIZON AEROSTRUCTURES PROCESSING</v>
      </c>
      <c r="C378" s="533" t="s">
        <v>1101</v>
      </c>
      <c r="D378" s="533" t="str">
        <f>'Header Info'!C378</f>
        <v>OP-090</v>
      </c>
      <c r="E378" s="533" t="s">
        <v>1125</v>
      </c>
    </row>
    <row r="379" spans="2:5" x14ac:dyDescent="0.2">
      <c r="B379" s="533" t="str">
        <f>'Header Info'!B379</f>
        <v>ORIZON AEROSTRUCTURES PROCESSING</v>
      </c>
      <c r="C379" s="533" t="s">
        <v>1101</v>
      </c>
      <c r="D379" s="533" t="str">
        <f>'Header Info'!C379</f>
        <v>OP-107</v>
      </c>
      <c r="E379" s="533" t="s">
        <v>1124</v>
      </c>
    </row>
    <row r="380" spans="2:5" x14ac:dyDescent="0.2">
      <c r="B380" s="533" t="str">
        <f>'Header Info'!B380</f>
        <v>ORIZON AEROSTRUCTURES PROCESSING</v>
      </c>
      <c r="C380" s="533" t="s">
        <v>1101</v>
      </c>
      <c r="D380" s="533" t="str">
        <f>'Header Info'!C380</f>
        <v>Oven OV-1</v>
      </c>
      <c r="E380" s="533" t="s">
        <v>1102</v>
      </c>
    </row>
    <row r="381" spans="2:5" x14ac:dyDescent="0.2">
      <c r="B381" s="533" t="str">
        <f>'Header Info'!B381</f>
        <v>ORIZON AEROSTRUCTURES PROCESSING</v>
      </c>
      <c r="C381" s="533" t="s">
        <v>1101</v>
      </c>
      <c r="D381" s="533" t="str">
        <f>'Header Info'!C381</f>
        <v>Oven OV-2</v>
      </c>
      <c r="E381" s="533" t="s">
        <v>1127</v>
      </c>
    </row>
    <row r="382" spans="2:5" x14ac:dyDescent="0.2">
      <c r="B382" s="533" t="str">
        <f>'Header Info'!B382</f>
        <v>ORIZON AEROSTRUCTURES PROCESSING</v>
      </c>
      <c r="C382" s="533" t="s">
        <v>1101</v>
      </c>
      <c r="D382" s="533" t="str">
        <f>'Header Info'!C382</f>
        <v>Oven OV-3</v>
      </c>
      <c r="E382" s="533" t="s">
        <v>1106</v>
      </c>
    </row>
    <row r="383" spans="2:5" x14ac:dyDescent="0.2">
      <c r="B383" s="533" t="str">
        <f>'Header Info'!B383</f>
        <v>ORIZON AEROSTRUCTURES PROCESSING</v>
      </c>
      <c r="C383" s="533" t="s">
        <v>1101</v>
      </c>
      <c r="D383" s="533" t="str">
        <f>'Header Info'!C383</f>
        <v>PENETERANT DRYING OVEN OV-5</v>
      </c>
      <c r="E383" s="533" t="s">
        <v>1107</v>
      </c>
    </row>
    <row r="384" spans="2:5" x14ac:dyDescent="0.2">
      <c r="B384" s="533" t="str">
        <f>'Header Info'!B384</f>
        <v>ORIZON AEROSTRUCTURES PROCESSING</v>
      </c>
      <c r="C384" s="533" t="s">
        <v>1101</v>
      </c>
      <c r="D384" s="533" t="str">
        <f>'Header Info'!C384</f>
        <v>OV-6</v>
      </c>
      <c r="E384" s="533" t="s">
        <v>1109</v>
      </c>
    </row>
    <row r="385" spans="2:5" x14ac:dyDescent="0.2">
      <c r="B385" s="533" t="str">
        <f>'Header Info'!B385</f>
        <v>ORIZON AEROSTRUCTURES PROCESSING</v>
      </c>
      <c r="C385" s="533" t="s">
        <v>1101</v>
      </c>
      <c r="D385" s="533" t="str">
        <f>'Header Info'!C385</f>
        <v>Tank A16 Chem Film</v>
      </c>
      <c r="E385" s="533" t="s">
        <v>1111</v>
      </c>
    </row>
    <row r="386" spans="2:5" x14ac:dyDescent="0.2">
      <c r="B386" s="533" t="str">
        <f>'Header Info'!B386</f>
        <v>ORIZON AEROSTRUCTURES PROCESSING</v>
      </c>
      <c r="C386" s="533" t="s">
        <v>1101</v>
      </c>
      <c r="D386" s="533" t="str">
        <f>'Header Info'!C386</f>
        <v>Tank A25</v>
      </c>
      <c r="E386" s="533" t="s">
        <v>1113</v>
      </c>
    </row>
    <row r="387" spans="2:5" x14ac:dyDescent="0.2">
      <c r="B387" s="533" t="str">
        <f>'Header Info'!B387</f>
        <v>OXWELL, INC.</v>
      </c>
      <c r="C387" s="533" t="s">
        <v>1101</v>
      </c>
      <c r="D387" s="533" t="str">
        <f>'Header Info'!C387</f>
        <v>AGING OVEN NO. 1</v>
      </c>
      <c r="E387" s="533" t="s">
        <v>1115</v>
      </c>
    </row>
    <row r="388" spans="2:5" x14ac:dyDescent="0.2">
      <c r="B388" s="533" t="str">
        <f>'Header Info'!B388</f>
        <v>OXWELL, INC.</v>
      </c>
      <c r="C388" s="533" t="s">
        <v>1101</v>
      </c>
      <c r="D388" s="533" t="str">
        <f>'Header Info'!C388</f>
        <v>SALT BATH</v>
      </c>
      <c r="E388" s="533" t="s">
        <v>1117</v>
      </c>
    </row>
    <row r="389" spans="2:5" x14ac:dyDescent="0.2">
      <c r="B389" s="533" t="str">
        <f>'Header Info'!B389</f>
        <v>PARAGON NDT</v>
      </c>
      <c r="C389" s="533" t="s">
        <v>1101</v>
      </c>
      <c r="D389" s="533" t="str">
        <f>'Header Info'!C389</f>
        <v>Drying Oven No. 5</v>
      </c>
      <c r="E389" s="533" t="s">
        <v>1119</v>
      </c>
    </row>
    <row r="390" spans="2:5" x14ac:dyDescent="0.2">
      <c r="B390" s="533" t="str">
        <f>'Header Info'!B390</f>
        <v>PARAGON NDT</v>
      </c>
      <c r="C390" s="533" t="s">
        <v>1101</v>
      </c>
      <c r="D390" s="533" t="str">
        <f>'Header Info'!C390</f>
        <v>PT Oven No. 1</v>
      </c>
      <c r="E390" s="533" t="s">
        <v>1120</v>
      </c>
    </row>
    <row r="391" spans="2:5" x14ac:dyDescent="0.2">
      <c r="B391" s="533" t="str">
        <f>'Header Info'!B391</f>
        <v>PARAGON SERVICES, INC.</v>
      </c>
      <c r="C391" s="533" t="s">
        <v>1101</v>
      </c>
      <c r="D391" s="533" t="str">
        <f>'Header Info'!C391</f>
        <v>CURING OVEN NO. 1</v>
      </c>
      <c r="E391" s="533" t="s">
        <v>1122</v>
      </c>
    </row>
    <row r="392" spans="2:5" x14ac:dyDescent="0.2">
      <c r="B392" s="533" t="str">
        <f>'Header Info'!B392</f>
        <v>PARAGON SERVICES, INC.</v>
      </c>
      <c r="C392" s="533" t="s">
        <v>1131</v>
      </c>
      <c r="D392" s="533" t="str">
        <f>'Header Info'!C392</f>
        <v>CURING OVEN NO. 2</v>
      </c>
      <c r="E392" s="533" t="s">
        <v>1133</v>
      </c>
    </row>
    <row r="393" spans="2:5" x14ac:dyDescent="0.2">
      <c r="B393" s="533" t="str">
        <f>'Header Info'!B393</f>
        <v>PARAGON SERVICES, INC.</v>
      </c>
      <c r="C393" s="533" t="s">
        <v>1131</v>
      </c>
      <c r="D393" s="533" t="str">
        <f>'Header Info'!C393</f>
        <v>CURING OVEN NO. 3</v>
      </c>
      <c r="E393" s="533" t="s">
        <v>1135</v>
      </c>
    </row>
    <row r="394" spans="2:5" x14ac:dyDescent="0.2">
      <c r="B394" s="533" t="str">
        <f>'Header Info'!B394</f>
        <v>PARAGON SERVICES, INC.</v>
      </c>
      <c r="C394" s="533" t="s">
        <v>1131</v>
      </c>
      <c r="D394" s="533" t="str">
        <f>'Header Info'!C394</f>
        <v>CURING OVEN NO. 4</v>
      </c>
      <c r="E394" s="533" t="s">
        <v>1558</v>
      </c>
    </row>
    <row r="395" spans="2:5" x14ac:dyDescent="0.2">
      <c r="B395" s="533" t="str">
        <f>'Header Info'!B395</f>
        <v>PARAGON SERVICES, INC.</v>
      </c>
      <c r="C395" s="533" t="s">
        <v>1137</v>
      </c>
      <c r="D395" s="533" t="str">
        <f>'Header Info'!C395</f>
        <v>L11</v>
      </c>
      <c r="E395" s="533" t="s">
        <v>1607</v>
      </c>
    </row>
    <row r="396" spans="2:5" x14ac:dyDescent="0.2">
      <c r="B396" s="533" t="str">
        <f>'Header Info'!B396</f>
        <v>PARAGON SERVICES, INC.</v>
      </c>
      <c r="C396" s="533" t="s">
        <v>1137</v>
      </c>
      <c r="D396" s="533" t="str">
        <f>'Header Info'!C396</f>
        <v>PENETRANT DRYING OVEN</v>
      </c>
      <c r="E396" s="533" t="s">
        <v>1669</v>
      </c>
    </row>
    <row r="397" spans="2:5" x14ac:dyDescent="0.2">
      <c r="B397" s="533" t="str">
        <f>'Header Info'!B397</f>
        <v>PARAGON SERVICES, INC.</v>
      </c>
      <c r="C397" s="533" t="s">
        <v>1137</v>
      </c>
      <c r="D397" s="533" t="str">
        <f>'Header Info'!C397</f>
        <v>Tank L2</v>
      </c>
      <c r="E397" s="533" t="s">
        <v>1139</v>
      </c>
    </row>
    <row r="398" spans="2:5" x14ac:dyDescent="0.2">
      <c r="B398" s="533" t="str">
        <f>'Header Info'!B398</f>
        <v>PARAGON SERVICES, INC.</v>
      </c>
      <c r="C398" s="533" t="s">
        <v>1141</v>
      </c>
      <c r="D398" s="533" t="str">
        <f>'Header Info'!C398</f>
        <v>Tank L8</v>
      </c>
      <c r="E398" s="533" t="s">
        <v>1142</v>
      </c>
    </row>
    <row r="399" spans="2:5" x14ac:dyDescent="0.2">
      <c r="B399" s="533" t="str">
        <f>'Header Info'!B399</f>
        <v>PARAGON SERVICES, INC.</v>
      </c>
      <c r="C399" s="533" t="s">
        <v>1141</v>
      </c>
      <c r="D399" s="533" t="str">
        <f>'Header Info'!C399</f>
        <v>Tank L11</v>
      </c>
      <c r="E399" s="533" t="s">
        <v>1623</v>
      </c>
    </row>
    <row r="400" spans="2:5" x14ac:dyDescent="0.2">
      <c r="B400" s="533" t="str">
        <f>'Header Info'!B400</f>
        <v>PARAGON SERVICES, INC.</v>
      </c>
      <c r="C400" s="533" t="s">
        <v>1141</v>
      </c>
      <c r="D400" s="533" t="str">
        <f>'Header Info'!C400</f>
        <v>Tank L13</v>
      </c>
      <c r="E400" s="533" t="s">
        <v>1144</v>
      </c>
    </row>
    <row r="401" spans="2:5" x14ac:dyDescent="0.2">
      <c r="B401" s="533" t="str">
        <f>'Header Info'!B401</f>
        <v>PARAGON SERVICES, INC.</v>
      </c>
      <c r="C401" s="533" t="s">
        <v>1141</v>
      </c>
      <c r="D401" s="533" t="str">
        <f>'Header Info'!C401</f>
        <v>Tank L14</v>
      </c>
      <c r="E401" s="533" t="s">
        <v>1145</v>
      </c>
    </row>
    <row r="402" spans="2:5" x14ac:dyDescent="0.2">
      <c r="B402" s="533" t="str">
        <f>'Header Info'!B402</f>
        <v>PARAGON SERVICES, INC.-Sheridan</v>
      </c>
      <c r="C402" s="533" t="s">
        <v>1141</v>
      </c>
      <c r="D402" s="533" t="str">
        <f>'Header Info'!C402</f>
        <v>Tank No.S1</v>
      </c>
      <c r="E402" s="533" t="s">
        <v>1147</v>
      </c>
    </row>
    <row r="403" spans="2:5" x14ac:dyDescent="0.2">
      <c r="B403" s="533" t="str">
        <f>'Header Info'!B403</f>
        <v>PARAGON SERVICES, INC.-Sheridan</v>
      </c>
      <c r="C403" s="533" t="s">
        <v>1141</v>
      </c>
      <c r="D403" s="533" t="str">
        <f>'Header Info'!C403</f>
        <v>Tank No.S9</v>
      </c>
      <c r="E403" s="533" t="s">
        <v>1149</v>
      </c>
    </row>
    <row r="404" spans="2:5" x14ac:dyDescent="0.2">
      <c r="B404" s="533" t="str">
        <f>'Header Info'!B404</f>
        <v>PARK AEROSPACE TECHNOLOGIES CORP.</v>
      </c>
      <c r="C404" s="533" t="s">
        <v>1141</v>
      </c>
      <c r="D404" s="533" t="str">
        <f>'Header Info'!C404</f>
        <v>AUTOCLAVE NO. 2 per PS23401</v>
      </c>
      <c r="E404" s="533" t="s">
        <v>1151</v>
      </c>
    </row>
    <row r="405" spans="2:5" x14ac:dyDescent="0.2">
      <c r="B405" s="533" t="str">
        <f>'Header Info'!B405</f>
        <v>PARK AEROSPACE TECHNOLOGIES CORP.</v>
      </c>
      <c r="C405" s="533" t="s">
        <v>1141</v>
      </c>
      <c r="D405" s="533" t="str">
        <f>'Header Info'!C405</f>
        <v>AUTOCLAVE NO. 3</v>
      </c>
      <c r="E405" s="533" t="s">
        <v>1153</v>
      </c>
    </row>
    <row r="406" spans="2:5" x14ac:dyDescent="0.2">
      <c r="B406" s="533" t="str">
        <f>'Header Info'!B406</f>
        <v>PARK AEROSPACE TECHNOLOGIES CORP.</v>
      </c>
      <c r="C406" s="533" t="s">
        <v>1155</v>
      </c>
      <c r="D406" s="533" t="str">
        <f>'Header Info'!C406</f>
        <v>AUTOCLAVE NO. 3 per PS24301</v>
      </c>
      <c r="E406" s="533" t="s">
        <v>1159</v>
      </c>
    </row>
    <row r="407" spans="2:5" x14ac:dyDescent="0.2">
      <c r="B407" s="533" t="str">
        <f>'Header Info'!B407</f>
        <v>PARK AEROSPACE TECHNOLOGIES CORP.</v>
      </c>
      <c r="C407" s="533" t="s">
        <v>1155</v>
      </c>
      <c r="D407" s="533" t="str">
        <f>'Header Info'!C407</f>
        <v>Espec Env. Chamber BTL-433</v>
      </c>
      <c r="E407" s="533" t="s">
        <v>1671</v>
      </c>
    </row>
    <row r="408" spans="2:5" x14ac:dyDescent="0.2">
      <c r="B408" s="533" t="str">
        <f>'Header Info'!B408</f>
        <v>PARK AEROSPACE TECHNOLOGIES CORP.</v>
      </c>
      <c r="C408" s="533" t="s">
        <v>1155</v>
      </c>
      <c r="D408" s="533" t="str">
        <f>'Header Info'!C408</f>
        <v>MTS Environmental Chamber 1</v>
      </c>
      <c r="E408" s="533" t="s">
        <v>1157</v>
      </c>
    </row>
    <row r="409" spans="2:5" x14ac:dyDescent="0.2">
      <c r="B409" s="533" t="str">
        <f>'Header Info'!B409</f>
        <v>PARK AEROSPACE TECHNOLOGIES CORP.</v>
      </c>
      <c r="C409" s="533" t="s">
        <v>1160</v>
      </c>
      <c r="D409" s="533" t="str">
        <f>'Header Info'!C409</f>
        <v>MTS Environmental Chamber 2</v>
      </c>
      <c r="E409" s="533" t="s">
        <v>1162</v>
      </c>
    </row>
    <row r="410" spans="2:5" x14ac:dyDescent="0.2">
      <c r="B410" s="533" t="str">
        <f>'Header Info'!B410</f>
        <v>PARK AEROSPACE TECHNOLOGIES CORP.</v>
      </c>
      <c r="C410" s="533" t="s">
        <v>1160</v>
      </c>
      <c r="D410" s="533" t="str">
        <f>'Header Info'!C410</f>
        <v>OV1200</v>
      </c>
      <c r="E410" s="533" t="s">
        <v>1163</v>
      </c>
    </row>
    <row r="411" spans="2:5" x14ac:dyDescent="0.2">
      <c r="B411" s="533" t="str">
        <f>'Header Info'!B411</f>
        <v>PARK AEROSPACE TECHNOLOGIES CORP.</v>
      </c>
      <c r="C411" s="533" t="s">
        <v>1160</v>
      </c>
      <c r="D411" s="533" t="str">
        <f>'Header Info'!C411</f>
        <v>OV1300</v>
      </c>
      <c r="E411" s="533" t="s">
        <v>1164</v>
      </c>
    </row>
    <row r="412" spans="2:5" x14ac:dyDescent="0.2">
      <c r="B412" s="533" t="str">
        <f>'Header Info'!B412</f>
        <v>PARK AEROSPACE TECHNOLOGIES CORP.</v>
      </c>
      <c r="C412" s="533" t="s">
        <v>1160</v>
      </c>
      <c r="D412" s="533" t="str">
        <f>'Header Info'!C412</f>
        <v>Oven 13 160</v>
      </c>
      <c r="E412" s="533" t="s">
        <v>1479</v>
      </c>
    </row>
    <row r="413" spans="2:5" x14ac:dyDescent="0.2">
      <c r="B413" s="533" t="str">
        <f>'Header Info'!B413</f>
        <v>PARK AEROSPACE TECHNOLOGIES CORP.</v>
      </c>
      <c r="C413" s="533" t="s">
        <v>1160</v>
      </c>
      <c r="D413" s="533" t="str">
        <f>'Header Info'!C413</f>
        <v>Oven 19008</v>
      </c>
      <c r="E413" s="533" t="s">
        <v>1161</v>
      </c>
    </row>
    <row r="414" spans="2:5" x14ac:dyDescent="0.2">
      <c r="B414" s="533" t="str">
        <f>'Header Info'!B414</f>
        <v>PARK AEROSPACE TECHNOLOGIES CORP.</v>
      </c>
      <c r="C414" s="533" t="s">
        <v>1310</v>
      </c>
      <c r="D414" s="533" t="str">
        <f>'Header Info'!C414</f>
        <v>Oven No. 5316-1</v>
      </c>
      <c r="E414" s="533" t="s">
        <v>1311</v>
      </c>
    </row>
    <row r="415" spans="2:5" x14ac:dyDescent="0.2">
      <c r="B415" s="533" t="str">
        <f>'Header Info'!B415</f>
        <v>PARK AEROSPACE TECHNOLOGIES CORP.</v>
      </c>
      <c r="C415" s="533" t="s">
        <v>1310</v>
      </c>
      <c r="D415" s="533" t="str">
        <f>'Header Info'!C415</f>
        <v>Oven No. 5316-2</v>
      </c>
      <c r="E415" s="533" t="s">
        <v>1673</v>
      </c>
    </row>
    <row r="416" spans="2:5" x14ac:dyDescent="0.2">
      <c r="B416" s="533" t="str">
        <f>'Header Info'!B416</f>
        <v>PARK AEROSPACE TECHNOLOGIES CORP.</v>
      </c>
      <c r="C416" s="533" t="s">
        <v>1165</v>
      </c>
      <c r="D416" s="533" t="str">
        <f>'Header Info'!C416</f>
        <v>SMALL WISCONSIN</v>
      </c>
      <c r="E416" s="533" t="s">
        <v>1166</v>
      </c>
    </row>
    <row r="417" spans="2:5" x14ac:dyDescent="0.2">
      <c r="B417" s="533" t="str">
        <f>'Header Info'!B417</f>
        <v>PARK AEROSPACE TECHNOLOGIES CORP.</v>
      </c>
      <c r="C417" s="533" t="s">
        <v>1165</v>
      </c>
      <c r="D417" s="533" t="str">
        <f>'Header Info'!C417</f>
        <v>WISCONSIN OVEN ZONE 1 &amp; 2</v>
      </c>
      <c r="E417" s="533" t="s">
        <v>1609</v>
      </c>
    </row>
    <row r="418" spans="2:5" x14ac:dyDescent="0.2">
      <c r="B418" s="533" t="str">
        <f>'Header Info'!B418</f>
        <v>PARK AEROSPACE TECHNOLOGIES CORP.</v>
      </c>
      <c r="C418" s="533" t="s">
        <v>1165</v>
      </c>
      <c r="D418" s="533" t="str">
        <f>'Header Info'!C418</f>
        <v>WISCONSIN OVEN ZONE 1</v>
      </c>
      <c r="E418" s="533" t="s">
        <v>1513</v>
      </c>
    </row>
    <row r="419" spans="2:5" x14ac:dyDescent="0.2">
      <c r="B419" s="533" t="str">
        <f>'Header Info'!B419</f>
        <v>PARK AEROSPACE TECHNOLOGIES CORP.</v>
      </c>
      <c r="C419" s="533" t="s">
        <v>1165</v>
      </c>
      <c r="D419" s="533" t="str">
        <f>'Header Info'!C419</f>
        <v>WISCONSIN OVEN ZONE 2</v>
      </c>
      <c r="E419" s="533" t="s">
        <v>3488</v>
      </c>
    </row>
    <row r="420" spans="2:5" x14ac:dyDescent="0.2">
      <c r="B420" s="533" t="str">
        <f>'Header Info'!B420</f>
        <v>PERFEKTA, INC.</v>
      </c>
      <c r="C420" s="533" t="s">
        <v>1165</v>
      </c>
      <c r="D420" s="533" t="str">
        <f>'Header Info'!C420</f>
        <v>FURNACE NO. 1 (OVEN 0503)</v>
      </c>
      <c r="E420" s="533" t="s">
        <v>1524</v>
      </c>
    </row>
    <row r="421" spans="2:5" x14ac:dyDescent="0.2">
      <c r="B421" s="533" t="str">
        <f>'Header Info'!B421</f>
        <v>PREMIER PROCESSING</v>
      </c>
      <c r="C421" s="533" t="s">
        <v>1165</v>
      </c>
      <c r="D421" s="533" t="str">
        <f>'Header Info'!C421</f>
        <v>CURING OVEN</v>
      </c>
      <c r="E421" s="533" t="s">
        <v>1511</v>
      </c>
    </row>
    <row r="422" spans="2:5" x14ac:dyDescent="0.2">
      <c r="B422" s="533" t="str">
        <f>'Header Info'!B422</f>
        <v>PREMIER PROCESSING</v>
      </c>
      <c r="C422" s="533" t="s">
        <v>1165</v>
      </c>
      <c r="D422" s="533" t="str">
        <f>'Header Info'!C422</f>
        <v>OVB100</v>
      </c>
      <c r="E422" s="533" t="s">
        <v>1522</v>
      </c>
    </row>
    <row r="423" spans="2:5" x14ac:dyDescent="0.2">
      <c r="B423" s="533" t="str">
        <f>'Header Info'!B423</f>
        <v>PREMIER PROCESSING</v>
      </c>
      <c r="C423" s="533" t="s">
        <v>1165</v>
      </c>
      <c r="D423" s="533" t="str">
        <f>'Header Info'!C423</f>
        <v>PBA200</v>
      </c>
      <c r="E423" s="533" t="s">
        <v>1519</v>
      </c>
    </row>
    <row r="424" spans="2:5" x14ac:dyDescent="0.2">
      <c r="B424" s="533" t="str">
        <f>'Header Info'!B424</f>
        <v>PREMIER PROCESSING</v>
      </c>
      <c r="C424" s="533" t="s">
        <v>1165</v>
      </c>
      <c r="D424" s="533" t="str">
        <f>'Header Info'!C424</f>
        <v>PENETRANT OVEN 1</v>
      </c>
      <c r="E424" s="533" t="s">
        <v>1517</v>
      </c>
    </row>
    <row r="425" spans="2:5" x14ac:dyDescent="0.2">
      <c r="B425" s="533" t="str">
        <f>'Header Info'!B425</f>
        <v>PREMIER PROCESSING</v>
      </c>
      <c r="C425" s="533" t="s">
        <v>1165</v>
      </c>
      <c r="D425" s="533" t="str">
        <f>'Header Info'!C425</f>
        <v>PT2E200</v>
      </c>
      <c r="E425" s="533" t="s">
        <v>1515</v>
      </c>
    </row>
    <row r="426" spans="2:5" x14ac:dyDescent="0.2">
      <c r="B426" s="533" t="str">
        <f>'Header Info'!B426</f>
        <v>PREMIER PROCESSING</v>
      </c>
      <c r="C426" s="533" t="s">
        <v>1168</v>
      </c>
      <c r="D426" s="533" t="str">
        <f>'Header Info'!C426</f>
        <v>WISCONSIN OVEN OVC-100</v>
      </c>
      <c r="E426" s="533" t="s">
        <v>1170</v>
      </c>
    </row>
    <row r="427" spans="2:5" x14ac:dyDescent="0.2">
      <c r="B427" s="533" t="str">
        <f>'Header Info'!B427</f>
        <v>PREMIER PROCESSING</v>
      </c>
      <c r="C427" s="533" t="s">
        <v>1168</v>
      </c>
      <c r="D427" s="533" t="str">
        <f>'Header Info'!C427</f>
        <v>Tank No. 103</v>
      </c>
      <c r="E427" s="533" t="s">
        <v>1172</v>
      </c>
    </row>
    <row r="428" spans="2:5" x14ac:dyDescent="0.2">
      <c r="B428" s="533" t="str">
        <f>'Header Info'!B428</f>
        <v>PREMIER PROCESSING</v>
      </c>
      <c r="C428" s="533" t="s">
        <v>1481</v>
      </c>
      <c r="D428" s="533" t="str">
        <f>'Header Info'!C428</f>
        <v>Tank No. 104</v>
      </c>
      <c r="E428" s="533" t="s">
        <v>1483</v>
      </c>
    </row>
    <row r="429" spans="2:5" x14ac:dyDescent="0.2">
      <c r="B429" s="533" t="str">
        <f>'Header Info'!B429</f>
        <v>PREMIER PROCESSING</v>
      </c>
      <c r="C429" s="533" t="s">
        <v>1174</v>
      </c>
      <c r="D429" s="533" t="str">
        <f>'Header Info'!C429</f>
        <v>Tank No. 107</v>
      </c>
      <c r="E429" s="533" t="s">
        <v>1176</v>
      </c>
    </row>
    <row r="430" spans="2:5" x14ac:dyDescent="0.2">
      <c r="B430" s="533" t="str">
        <f>'Header Info'!B430</f>
        <v>PREMIER PROCESSING</v>
      </c>
      <c r="C430" s="533" t="s">
        <v>1174</v>
      </c>
      <c r="D430" s="533" t="str">
        <f>'Header Info'!C430</f>
        <v>Tank No. 108</v>
      </c>
      <c r="E430" s="533" t="s">
        <v>1177</v>
      </c>
    </row>
    <row r="431" spans="2:5" x14ac:dyDescent="0.2">
      <c r="B431" s="533" t="str">
        <f>'Header Info'!B431</f>
        <v>PREMIER PROCESSING</v>
      </c>
      <c r="C431" s="533" t="s">
        <v>1174</v>
      </c>
      <c r="D431" s="533" t="str">
        <f>'Header Info'!C431</f>
        <v>Tank No. 111</v>
      </c>
      <c r="E431" s="533" t="s">
        <v>1180</v>
      </c>
    </row>
    <row r="432" spans="2:5" x14ac:dyDescent="0.2">
      <c r="B432" s="533" t="str">
        <f>'Header Info'!B432</f>
        <v>PREMIER PROCESSING</v>
      </c>
      <c r="C432" s="533" t="s">
        <v>1174</v>
      </c>
      <c r="D432" s="533" t="str">
        <f>'Header Info'!C432</f>
        <v>Tank No. 114</v>
      </c>
      <c r="E432" s="533" t="s">
        <v>1182</v>
      </c>
    </row>
    <row r="433" spans="2:5" x14ac:dyDescent="0.2">
      <c r="B433" s="533" t="str">
        <f>'Header Info'!B433</f>
        <v>PREMIER PROCESSING</v>
      </c>
      <c r="C433" s="533" t="s">
        <v>1174</v>
      </c>
      <c r="D433" s="533" t="str">
        <f>'Header Info'!C433</f>
        <v>Tank No. 117</v>
      </c>
      <c r="E433" s="533" t="s">
        <v>1178</v>
      </c>
    </row>
    <row r="434" spans="2:5" x14ac:dyDescent="0.2">
      <c r="B434" s="533" t="str">
        <f>'Header Info'!B434</f>
        <v>PREMIER PROCESSING</v>
      </c>
      <c r="C434" s="533" t="s">
        <v>1184</v>
      </c>
      <c r="D434" s="533" t="str">
        <f>'Header Info'!C434</f>
        <v>Tank No. 203</v>
      </c>
      <c r="E434" s="533" t="s">
        <v>3489</v>
      </c>
    </row>
    <row r="435" spans="2:5" x14ac:dyDescent="0.2">
      <c r="B435" s="533" t="str">
        <f>'Header Info'!B435</f>
        <v>PREMIER PROCESSING</v>
      </c>
      <c r="C435" s="533" t="s">
        <v>1184</v>
      </c>
      <c r="D435" s="533" t="str">
        <f>'Header Info'!C435</f>
        <v>Tank No. 204</v>
      </c>
      <c r="E435" s="533" t="s">
        <v>1187</v>
      </c>
    </row>
    <row r="436" spans="2:5" x14ac:dyDescent="0.2">
      <c r="B436" s="533" t="str">
        <f>'Header Info'!B436</f>
        <v>PREMIER PROCESSING</v>
      </c>
      <c r="C436" s="533" t="s">
        <v>1184</v>
      </c>
      <c r="D436" s="533" t="str">
        <f>'Header Info'!C436</f>
        <v>Tank No. 207</v>
      </c>
      <c r="E436" s="533" t="s">
        <v>1186</v>
      </c>
    </row>
    <row r="437" spans="2:5" x14ac:dyDescent="0.2">
      <c r="B437" s="533" t="str">
        <f>'Header Info'!B437</f>
        <v>PREMIER PROCESSING</v>
      </c>
      <c r="C437" s="533" t="s">
        <v>1184</v>
      </c>
      <c r="D437" s="533" t="str">
        <f>'Header Info'!C437</f>
        <v>Tank No. 210</v>
      </c>
      <c r="E437" s="533" t="s">
        <v>1185</v>
      </c>
    </row>
    <row r="438" spans="2:5" x14ac:dyDescent="0.2">
      <c r="B438" s="533" t="str">
        <f>'Header Info'!B438</f>
        <v>PREMIER PROCESSING</v>
      </c>
      <c r="C438" s="533" t="s">
        <v>1184</v>
      </c>
      <c r="D438" s="533" t="str">
        <f>'Header Info'!C438</f>
        <v>Tank No. 211</v>
      </c>
      <c r="E438" s="533" t="s">
        <v>1485</v>
      </c>
    </row>
    <row r="439" spans="2:5" x14ac:dyDescent="0.2">
      <c r="B439" s="533" t="str">
        <f>'Header Info'!B439</f>
        <v>PREMIER PROCESSING</v>
      </c>
      <c r="C439" s="533" t="s">
        <v>1184</v>
      </c>
      <c r="D439" s="533" t="str">
        <f>'Header Info'!C439</f>
        <v>Tank No. 214</v>
      </c>
      <c r="E439" s="533" t="s">
        <v>1560</v>
      </c>
    </row>
    <row r="440" spans="2:5" x14ac:dyDescent="0.2">
      <c r="B440" s="533" t="str">
        <f>'Header Info'!B440</f>
        <v>PREMIER PROCESSING</v>
      </c>
      <c r="C440" s="533" t="s">
        <v>1184</v>
      </c>
      <c r="D440" s="533" t="str">
        <f>'Header Info'!C440</f>
        <v>Tank No. 217</v>
      </c>
      <c r="E440" s="533" t="s">
        <v>3490</v>
      </c>
    </row>
    <row r="441" spans="2:5" x14ac:dyDescent="0.2">
      <c r="B441" s="533" t="str">
        <f>'Header Info'!B441</f>
        <v>PRODUCT MANUFACTURING CORPORATION</v>
      </c>
      <c r="C441" s="533" t="s">
        <v>1184</v>
      </c>
      <c r="D441" s="533">
        <f>'Header Info'!C441</f>
        <v>330735</v>
      </c>
      <c r="E441" s="533" t="s">
        <v>1484</v>
      </c>
    </row>
    <row r="442" spans="2:5" x14ac:dyDescent="0.2">
      <c r="B442" s="533" t="str">
        <f>'Header Info'!B442</f>
        <v>PRODUCT MANUFACTURING CORPORATION</v>
      </c>
      <c r="C442" s="533" t="s">
        <v>1184</v>
      </c>
      <c r="D442" s="533" t="str">
        <f>'Header Info'!C442</f>
        <v>Cure Oven No. 1</v>
      </c>
      <c r="E442" s="533" t="s">
        <v>1676</v>
      </c>
    </row>
    <row r="443" spans="2:5" x14ac:dyDescent="0.2">
      <c r="B443" s="533" t="str">
        <f>'Header Info'!B443</f>
        <v>PRODUCT MANUFACTURING CORPORATION</v>
      </c>
      <c r="C443" s="533" t="s">
        <v>1184</v>
      </c>
      <c r="D443" s="533" t="str">
        <f>'Header Info'!C443</f>
        <v>CHEST FREEZER</v>
      </c>
      <c r="E443" s="533" t="s">
        <v>1195</v>
      </c>
    </row>
    <row r="444" spans="2:5" x14ac:dyDescent="0.2">
      <c r="B444" s="533" t="str">
        <f>'Header Info'!B444</f>
        <v>PRODUCT MANUFACTURING CORPORATION</v>
      </c>
      <c r="C444" s="533" t="s">
        <v>1184</v>
      </c>
      <c r="D444" s="533" t="str">
        <f>'Header Info'!C444</f>
        <v>FREEZER 31953581</v>
      </c>
      <c r="E444" s="533" t="s">
        <v>1189</v>
      </c>
    </row>
    <row r="445" spans="2:5" x14ac:dyDescent="0.2">
      <c r="B445" s="533" t="str">
        <f>'Header Info'!B445</f>
        <v>PRODUCT MANUFACTURING CORPORATION</v>
      </c>
      <c r="C445" s="533" t="s">
        <v>1184</v>
      </c>
      <c r="D445" s="533" t="str">
        <f>'Header Info'!C445</f>
        <v>FREEZER CHE221023</v>
      </c>
      <c r="E445" s="533" t="s">
        <v>1627</v>
      </c>
    </row>
    <row r="446" spans="2:5" x14ac:dyDescent="0.2">
      <c r="B446" s="533" t="str">
        <f>'Header Info'!B446</f>
        <v>PRODUCT MANUFACTURING CORPORATION</v>
      </c>
      <c r="C446" s="533" t="s">
        <v>1184</v>
      </c>
      <c r="D446" s="533" t="str">
        <f>'Header Info'!C446</f>
        <v>FREEZER NO. 3</v>
      </c>
      <c r="E446" s="533" t="s">
        <v>1193</v>
      </c>
    </row>
    <row r="447" spans="2:5" x14ac:dyDescent="0.2">
      <c r="B447" s="533" t="str">
        <f>'Header Info'!B447</f>
        <v>PRODUCT MANUFACTURING CORPORATION</v>
      </c>
      <c r="C447" s="533" t="s">
        <v>1184</v>
      </c>
      <c r="D447" s="533" t="str">
        <f>'Header Info'!C447</f>
        <v>FREEZER NO. 4</v>
      </c>
      <c r="E447" s="533" t="s">
        <v>1191</v>
      </c>
    </row>
    <row r="448" spans="2:5" x14ac:dyDescent="0.2">
      <c r="B448" s="533" t="str">
        <f>'Header Info'!B448</f>
        <v>PRODUCT MANUFACTURING CORPORATION</v>
      </c>
      <c r="C448" s="533" t="s">
        <v>1184</v>
      </c>
      <c r="D448" s="533" t="str">
        <f>'Header Info'!C448</f>
        <v>FREEZER NO. 5</v>
      </c>
      <c r="E448" s="533" t="s">
        <v>1625</v>
      </c>
    </row>
    <row r="449" spans="2:5" x14ac:dyDescent="0.2">
      <c r="B449" s="533" t="str">
        <f>'Header Info'!B449</f>
        <v>PRODUCT MANUFACTURING CORPORATION</v>
      </c>
      <c r="C449" s="533" t="s">
        <v>1184</v>
      </c>
      <c r="D449" s="533" t="str">
        <f>'Header Info'!C449</f>
        <v>CHEST FREEZER NO. 7</v>
      </c>
      <c r="E449" s="533" t="s">
        <v>3491</v>
      </c>
    </row>
    <row r="450" spans="2:5" x14ac:dyDescent="0.2">
      <c r="B450" s="533" t="str">
        <f>'Header Info'!B450</f>
        <v>PRODUCT MANUFACTURING CORPORATION</v>
      </c>
      <c r="C450" s="533" t="s">
        <v>1197</v>
      </c>
      <c r="D450" s="533" t="str">
        <f>'Header Info'!C450</f>
        <v>FREEZER NO. 8</v>
      </c>
      <c r="E450" s="533" t="s">
        <v>1199</v>
      </c>
    </row>
    <row r="451" spans="2:5" x14ac:dyDescent="0.2">
      <c r="B451" s="533" t="str">
        <f>'Header Info'!B451</f>
        <v>PRODUCT MANUFACTURING CORPORATION</v>
      </c>
      <c r="C451" s="533" t="s">
        <v>1201</v>
      </c>
      <c r="D451" s="533" t="str">
        <f>'Header Info'!C451</f>
        <v>FREEZER NO. 11</v>
      </c>
      <c r="E451" s="533" t="s">
        <v>1203</v>
      </c>
    </row>
    <row r="452" spans="2:5" x14ac:dyDescent="0.2">
      <c r="B452" s="533" t="str">
        <f>'Header Info'!B452</f>
        <v>PRODUCT MANUFACTURING CORPORATION</v>
      </c>
      <c r="C452" s="533" t="s">
        <v>1201</v>
      </c>
      <c r="D452" s="533" t="str">
        <f>'Header Info'!C452</f>
        <v>FREEZER NO. 13</v>
      </c>
      <c r="E452" s="533" t="s">
        <v>1205</v>
      </c>
    </row>
    <row r="453" spans="2:5" x14ac:dyDescent="0.2">
      <c r="B453" s="533" t="str">
        <f>'Header Info'!B453</f>
        <v>PRODUCT MANUFACTURING CORPORATION</v>
      </c>
      <c r="C453" s="533" t="s">
        <v>1201</v>
      </c>
      <c r="D453" s="533" t="str">
        <f>'Header Info'!C453</f>
        <v>HONDA NO. 1 FREEZER</v>
      </c>
      <c r="E453" s="533" t="s">
        <v>1207</v>
      </c>
    </row>
    <row r="454" spans="2:5" x14ac:dyDescent="0.2">
      <c r="B454" s="533" t="str">
        <f>'Header Info'!B454</f>
        <v>PRODUCT MANUFACTURING CORPORATION</v>
      </c>
      <c r="C454" s="533" t="s">
        <v>1201</v>
      </c>
      <c r="D454" s="533" t="str">
        <f>'Header Info'!C454</f>
        <v>OVEN NO. 157157</v>
      </c>
      <c r="E454" s="533" t="s">
        <v>1678</v>
      </c>
    </row>
    <row r="455" spans="2:5" x14ac:dyDescent="0.2">
      <c r="B455" s="533" t="str">
        <f>'Header Info'!B455</f>
        <v>PRODUCT MANUFACTURING CORPORATION</v>
      </c>
      <c r="C455" s="533" t="s">
        <v>1209</v>
      </c>
      <c r="D455" s="533" t="str">
        <f>'Header Info'!C455</f>
        <v>OVEN NO. 09150004</v>
      </c>
      <c r="E455" s="533" t="s">
        <v>1562</v>
      </c>
    </row>
    <row r="456" spans="2:5" x14ac:dyDescent="0.2">
      <c r="B456" s="533" t="str">
        <f>'Header Info'!B456</f>
        <v>PRODUCT MANUFACTURING CORPORATION</v>
      </c>
      <c r="C456" s="533" t="s">
        <v>1209</v>
      </c>
      <c r="D456" s="533" t="str">
        <f>'Header Info'!C456</f>
        <v>OVEN NO.14-0581433</v>
      </c>
      <c r="E456" s="533" t="s">
        <v>1630</v>
      </c>
    </row>
    <row r="457" spans="2:5" x14ac:dyDescent="0.2">
      <c r="B457" s="533" t="str">
        <f>'Header Info'!B457</f>
        <v>PRODUCT MANUFACTURING CORPORATION</v>
      </c>
      <c r="C457" s="533" t="s">
        <v>1209</v>
      </c>
      <c r="D457" s="533" t="str">
        <f>'Header Info'!C457</f>
        <v>Oven No. 142142</v>
      </c>
      <c r="E457" s="533" t="s">
        <v>1628</v>
      </c>
    </row>
    <row r="458" spans="2:5" x14ac:dyDescent="0.2">
      <c r="B458" s="533" t="str">
        <f>'Header Info'!B458</f>
        <v>PRODUCT MANUFACTURING CORPORATION</v>
      </c>
      <c r="C458" s="533" t="s">
        <v>1209</v>
      </c>
      <c r="D458" s="533" t="str">
        <f>'Header Info'!C458</f>
        <v>Upright Freezer #2</v>
      </c>
      <c r="E458" s="533" t="s">
        <v>3492</v>
      </c>
    </row>
    <row r="459" spans="2:5" x14ac:dyDescent="0.2">
      <c r="B459" s="533" t="str">
        <f>'Header Info'!B459</f>
        <v>PRODUCT MANUFACTURING CORPORATION</v>
      </c>
      <c r="C459" s="533" t="s">
        <v>1209</v>
      </c>
      <c r="D459" s="533" t="str">
        <f>'Header Info'!C459</f>
        <v>Upright Freezer #12</v>
      </c>
      <c r="E459" s="533" t="s">
        <v>1239</v>
      </c>
    </row>
    <row r="460" spans="2:5" x14ac:dyDescent="0.2">
      <c r="B460" s="533" t="str">
        <f>'Header Info'!B460</f>
        <v>PRODUCT MANUFACTURING CORPORATION</v>
      </c>
      <c r="C460" s="533" t="s">
        <v>1209</v>
      </c>
      <c r="D460" s="533" t="str">
        <f>'Header Info'!C460</f>
        <v>Upright Freezer #15</v>
      </c>
      <c r="E460" s="533" t="s">
        <v>1215</v>
      </c>
    </row>
    <row r="461" spans="2:5" x14ac:dyDescent="0.2">
      <c r="B461" s="533" t="str">
        <f>'Header Info'!B461</f>
        <v>PRODUCT MANUFACTURING CORPORATION</v>
      </c>
      <c r="C461" s="533" t="s">
        <v>1209</v>
      </c>
      <c r="D461" s="533" t="str">
        <f>'Header Info'!C461</f>
        <v>Upright Freezer #20</v>
      </c>
      <c r="E461" s="533" t="s">
        <v>1213</v>
      </c>
    </row>
    <row r="462" spans="2:5" x14ac:dyDescent="0.2">
      <c r="B462" s="533" t="str">
        <f>'Header Info'!B462</f>
        <v>PRODUCT MANUFACTURING CORPORATION</v>
      </c>
      <c r="C462" s="533" t="s">
        <v>1209</v>
      </c>
      <c r="D462" s="533" t="str">
        <f>'Header Info'!C462</f>
        <v>Upright Freezer 300072009</v>
      </c>
      <c r="E462" s="533" t="s">
        <v>1211</v>
      </c>
    </row>
    <row r="463" spans="2:5" x14ac:dyDescent="0.2">
      <c r="B463" s="533" t="str">
        <f>'Header Info'!B463</f>
        <v>PRODUCT MANUFACTURING CORPORATION</v>
      </c>
      <c r="C463" s="533" t="s">
        <v>1209</v>
      </c>
      <c r="D463" s="533" t="str">
        <f>'Header Info'!C463</f>
        <v>UPRIGHT FREEZER NO. 16</v>
      </c>
      <c r="E463" s="533" t="s">
        <v>1217</v>
      </c>
    </row>
    <row r="464" spans="2:5" x14ac:dyDescent="0.2">
      <c r="B464" s="533" t="str">
        <f>'Header Info'!B464</f>
        <v>PRODUCT MANUFACTURING CORPORATION</v>
      </c>
      <c r="C464" s="533" t="s">
        <v>1209</v>
      </c>
      <c r="D464" s="533" t="str">
        <f>'Header Info'!C464</f>
        <v>Upright Freezer No. 17</v>
      </c>
      <c r="E464" s="533" t="s">
        <v>1219</v>
      </c>
    </row>
    <row r="465" spans="2:5" x14ac:dyDescent="0.2">
      <c r="B465" s="533" t="str">
        <f>'Header Info'!B465</f>
        <v>PRODUCT MANUFACTURING CORPORATION</v>
      </c>
      <c r="C465" s="533" t="s">
        <v>1209</v>
      </c>
      <c r="D465" s="533" t="str">
        <f>'Header Info'!C465</f>
        <v>Walk-in Freezer No. 19</v>
      </c>
      <c r="E465" s="533" t="s">
        <v>1220</v>
      </c>
    </row>
    <row r="466" spans="2:5" x14ac:dyDescent="0.2">
      <c r="B466" s="533" t="str">
        <f>'Header Info'!B466</f>
        <v>PRODUCT MANUFACTURING CORPORATION</v>
      </c>
      <c r="C466" s="533" t="s">
        <v>1209</v>
      </c>
      <c r="D466" s="533" t="str">
        <f>'Header Info'!C466</f>
        <v>Upright Freezer NEW</v>
      </c>
      <c r="E466" s="533" t="s">
        <v>1221</v>
      </c>
    </row>
    <row r="467" spans="2:5" x14ac:dyDescent="0.2">
      <c r="B467" s="533" t="str">
        <f>'Header Info'!B467</f>
        <v>RAPID PROCESSING SOLUTIONS</v>
      </c>
      <c r="C467" s="533" t="s">
        <v>1209</v>
      </c>
      <c r="D467" s="533" t="str">
        <f>'Header Info'!C467</f>
        <v>K10815</v>
      </c>
      <c r="E467" s="533" t="s">
        <v>1223</v>
      </c>
    </row>
    <row r="468" spans="2:5" x14ac:dyDescent="0.2">
      <c r="B468" s="533" t="str">
        <f>'Header Info'!B468</f>
        <v>RAPID PROCESSING SOLUTIONS</v>
      </c>
      <c r="C468" s="533" t="s">
        <v>1209</v>
      </c>
      <c r="D468" s="533" t="str">
        <f>'Header Info'!C468</f>
        <v>L2050</v>
      </c>
      <c r="E468" s="533" t="s">
        <v>1225</v>
      </c>
    </row>
    <row r="469" spans="2:5" x14ac:dyDescent="0.2">
      <c r="B469" s="533" t="str">
        <f>'Header Info'!B469</f>
        <v>RAPID PROCESSING SOLUTIONS</v>
      </c>
      <c r="C469" s="533" t="s">
        <v>1209</v>
      </c>
      <c r="D469" s="533" t="str">
        <f>'Header Info'!C469</f>
        <v>L0094</v>
      </c>
      <c r="E469" s="533" t="s">
        <v>1227</v>
      </c>
    </row>
    <row r="470" spans="2:5" x14ac:dyDescent="0.2">
      <c r="B470" s="533" t="str">
        <f>'Header Info'!B470</f>
        <v>RAPID PROCESSING SOLUTIONS</v>
      </c>
      <c r="C470" s="533" t="s">
        <v>1209</v>
      </c>
      <c r="D470" s="533" t="str">
        <f>'Header Info'!C470</f>
        <v>L0236</v>
      </c>
      <c r="E470" s="533" t="s">
        <v>1229</v>
      </c>
    </row>
    <row r="471" spans="2:5" x14ac:dyDescent="0.2">
      <c r="B471" s="533" t="str">
        <f>'Header Info'!B471</f>
        <v>RAPID PROCESSING SOLUTIONS</v>
      </c>
      <c r="C471" s="533" t="s">
        <v>1209</v>
      </c>
      <c r="D471" s="533" t="str">
        <f>'Header Info'!C471</f>
        <v>L0275</v>
      </c>
      <c r="E471" s="533" t="s">
        <v>1230</v>
      </c>
    </row>
    <row r="472" spans="2:5" x14ac:dyDescent="0.2">
      <c r="B472" s="533" t="str">
        <f>'Header Info'!B472</f>
        <v>RAPID PROCESSING SOLUTIONS</v>
      </c>
      <c r="C472" s="533" t="s">
        <v>1209</v>
      </c>
      <c r="D472" s="533" t="str">
        <f>'Header Info'!C472</f>
        <v>L0327</v>
      </c>
      <c r="E472" s="533" t="s">
        <v>1231</v>
      </c>
    </row>
    <row r="473" spans="2:5" x14ac:dyDescent="0.2">
      <c r="B473" s="533" t="str">
        <f>'Header Info'!B473</f>
        <v>RAPID PROCESSING SOLUTIONS</v>
      </c>
      <c r="C473" s="533" t="s">
        <v>1209</v>
      </c>
      <c r="D473" s="533" t="str">
        <f>'Header Info'!C473</f>
        <v>L0343</v>
      </c>
      <c r="E473" s="533" t="s">
        <v>1233</v>
      </c>
    </row>
    <row r="474" spans="2:5" x14ac:dyDescent="0.2">
      <c r="B474" s="533" t="str">
        <f>'Header Info'!B474</f>
        <v>RAPID PROCESSING SOLUTIONS</v>
      </c>
      <c r="C474" s="533" t="s">
        <v>1209</v>
      </c>
      <c r="D474" s="533" t="str">
        <f>'Header Info'!C474</f>
        <v>L0491</v>
      </c>
      <c r="E474" s="533" t="s">
        <v>1236</v>
      </c>
    </row>
    <row r="475" spans="2:5" x14ac:dyDescent="0.2">
      <c r="B475" s="533" t="str">
        <f>'Header Info'!B475</f>
        <v>RAPID PROCESSING SOLUTIONS</v>
      </c>
      <c r="C475" s="533" t="s">
        <v>1209</v>
      </c>
      <c r="D475" s="533" t="str">
        <f>'Header Info'!C475</f>
        <v>L-2051</v>
      </c>
      <c r="E475" s="533" t="s">
        <v>1237</v>
      </c>
    </row>
    <row r="476" spans="2:5" x14ac:dyDescent="0.2">
      <c r="B476" s="533" t="str">
        <f>'Header Info'!B476</f>
        <v>RAPID PROCESSING SOLUTIONS</v>
      </c>
      <c r="C476" s="533" t="s">
        <v>1209</v>
      </c>
      <c r="D476" s="533" t="str">
        <f>'Header Info'!C476</f>
        <v>OVEN NO. 1</v>
      </c>
      <c r="E476" s="533" t="s">
        <v>1241</v>
      </c>
    </row>
    <row r="477" spans="2:5" x14ac:dyDescent="0.2">
      <c r="B477" s="533" t="str">
        <f>'Header Info'!B477</f>
        <v>RAPID PROCESSING SOLUTIONS</v>
      </c>
      <c r="C477" s="533" t="s">
        <v>1209</v>
      </c>
      <c r="D477" s="533" t="str">
        <f>'Header Info'!C477</f>
        <v>OVEN NO. 2</v>
      </c>
      <c r="E477" s="533" t="s">
        <v>1243</v>
      </c>
    </row>
    <row r="478" spans="2:5" x14ac:dyDescent="0.2">
      <c r="B478" s="533" t="str">
        <f>'Header Info'!B478</f>
        <v>RAPID PROCESSING SOLUTIONS</v>
      </c>
      <c r="C478" s="533" t="s">
        <v>1209</v>
      </c>
      <c r="D478" s="533" t="str">
        <f>'Header Info'!C478</f>
        <v>T0254</v>
      </c>
      <c r="E478" s="533" t="s">
        <v>3493</v>
      </c>
    </row>
    <row r="479" spans="2:5" x14ac:dyDescent="0.2">
      <c r="B479" s="533" t="str">
        <f>'Header Info'!B479</f>
        <v>RAPID PROCESSING SOLUTIONS</v>
      </c>
      <c r="C479" s="533" t="s">
        <v>818</v>
      </c>
      <c r="D479" s="533" t="str">
        <f>'Header Info'!C479</f>
        <v>T1392</v>
      </c>
      <c r="E479" s="533" t="s">
        <v>823</v>
      </c>
    </row>
    <row r="480" spans="2:5" x14ac:dyDescent="0.2">
      <c r="B480" s="533" t="str">
        <f>'Header Info'!B480</f>
        <v>RAPID PROCESSING SOLUTIONS</v>
      </c>
      <c r="C480" s="533" t="s">
        <v>818</v>
      </c>
      <c r="D480" s="533" t="str">
        <f>'Header Info'!C480</f>
        <v>T1755</v>
      </c>
      <c r="E480" s="533" t="s">
        <v>820</v>
      </c>
    </row>
    <row r="481" spans="2:5" x14ac:dyDescent="0.2">
      <c r="B481" s="533" t="str">
        <f>'Header Info'!B481</f>
        <v>RAPID PROCESSING SOLUTIONS</v>
      </c>
      <c r="C481" s="533" t="s">
        <v>818</v>
      </c>
      <c r="D481" s="533" t="str">
        <f>'Header Info'!C481</f>
        <v>T2278</v>
      </c>
      <c r="E481" s="533" t="s">
        <v>826</v>
      </c>
    </row>
    <row r="482" spans="2:5" x14ac:dyDescent="0.2">
      <c r="B482" s="533" t="str">
        <f>'Header Info'!B482</f>
        <v>RAPID PROCESSING SOLUTIONS</v>
      </c>
      <c r="C482" s="533" t="s">
        <v>818</v>
      </c>
      <c r="D482" s="533" t="str">
        <f>'Header Info'!C482</f>
        <v>T2372</v>
      </c>
      <c r="E482" s="533" t="s">
        <v>822</v>
      </c>
    </row>
    <row r="483" spans="2:5" x14ac:dyDescent="0.2">
      <c r="B483" s="533" t="str">
        <f>'Header Info'!B483</f>
        <v>RAPID PROCESSING SOLUTIONS</v>
      </c>
      <c r="C483" s="533" t="s">
        <v>818</v>
      </c>
      <c r="D483" s="533" t="str">
        <f>'Header Info'!C483</f>
        <v>T2465</v>
      </c>
      <c r="E483" s="533" t="s">
        <v>824</v>
      </c>
    </row>
    <row r="484" spans="2:5" x14ac:dyDescent="0.2">
      <c r="B484" s="533" t="str">
        <f>'Header Info'!B484</f>
        <v>RAPID PROCESSING SOLUTIONS</v>
      </c>
      <c r="C484" s="533" t="s">
        <v>818</v>
      </c>
      <c r="D484" s="533" t="str">
        <f>'Header Info'!C484</f>
        <v>T2466</v>
      </c>
      <c r="E484" s="533" t="s">
        <v>825</v>
      </c>
    </row>
    <row r="485" spans="2:5" x14ac:dyDescent="0.2">
      <c r="B485" s="533" t="str">
        <f>'Header Info'!B485</f>
        <v>RAPID PROCESSING SOLUTIONS</v>
      </c>
      <c r="C485" s="533" t="s">
        <v>1245</v>
      </c>
      <c r="D485" s="533" t="str">
        <f>'Header Info'!C485</f>
        <v>T2472</v>
      </c>
      <c r="E485" s="533" t="s">
        <v>1246</v>
      </c>
    </row>
    <row r="486" spans="2:5" x14ac:dyDescent="0.2">
      <c r="B486" s="533" t="str">
        <f>'Header Info'!B486</f>
        <v>RAPID PROCESSING SOLUTIONS</v>
      </c>
      <c r="C486" s="533" t="s">
        <v>1245</v>
      </c>
      <c r="D486" s="533" t="str">
        <f>'Header Info'!C486</f>
        <v>T2679</v>
      </c>
      <c r="E486" s="533" t="s">
        <v>3494</v>
      </c>
    </row>
    <row r="487" spans="2:5" x14ac:dyDescent="0.2">
      <c r="B487" s="533" t="str">
        <f>'Header Info'!B487</f>
        <v>RAPID PROCESSING SOLUTIONS</v>
      </c>
      <c r="C487" s="533" t="s">
        <v>1245</v>
      </c>
      <c r="D487" s="533" t="str">
        <f>'Header Info'!C487</f>
        <v>T2700</v>
      </c>
      <c r="E487" s="533" t="s">
        <v>1250</v>
      </c>
    </row>
    <row r="488" spans="2:5" x14ac:dyDescent="0.2">
      <c r="B488" s="533" t="str">
        <f>'Header Info'!B488</f>
        <v>RAPID PROCESSING SOLUTIONS</v>
      </c>
      <c r="C488" s="533" t="s">
        <v>1245</v>
      </c>
      <c r="D488" s="533" t="str">
        <f>'Header Info'!C488</f>
        <v>T2996</v>
      </c>
      <c r="E488" s="533" t="s">
        <v>1252</v>
      </c>
    </row>
    <row r="489" spans="2:5" x14ac:dyDescent="0.2">
      <c r="B489" s="533" t="str">
        <f>'Header Info'!B489</f>
        <v>RAPID PROCESSING SOLUTIONS</v>
      </c>
      <c r="C489" s="533" t="s">
        <v>1245</v>
      </c>
      <c r="D489" s="533" t="str">
        <f>'Header Info'!C489</f>
        <v>T3038</v>
      </c>
      <c r="E489" s="533" t="s">
        <v>1254</v>
      </c>
    </row>
    <row r="490" spans="2:5" x14ac:dyDescent="0.2">
      <c r="B490" s="533" t="str">
        <f>'Header Info'!B490</f>
        <v>RAPID PROCESSING SOLUTIONS</v>
      </c>
      <c r="C490" s="533" t="s">
        <v>1245</v>
      </c>
      <c r="D490" s="533" t="str">
        <f>'Header Info'!C490</f>
        <v>T3039</v>
      </c>
      <c r="E490" s="533" t="s">
        <v>1256</v>
      </c>
    </row>
    <row r="491" spans="2:5" x14ac:dyDescent="0.2">
      <c r="B491" s="533" t="str">
        <f>'Header Info'!B491</f>
        <v>RAPID PROCESSING SOLUTIONS</v>
      </c>
      <c r="C491" s="533" t="s">
        <v>1245</v>
      </c>
      <c r="D491" s="533" t="str">
        <f>'Header Info'!C491</f>
        <v>T3042</v>
      </c>
      <c r="E491" s="533" t="s">
        <v>1258</v>
      </c>
    </row>
    <row r="492" spans="2:5" x14ac:dyDescent="0.2">
      <c r="B492" s="533" t="str">
        <f>'Header Info'!B492</f>
        <v>SHACKELFORD MACHINE</v>
      </c>
      <c r="C492" s="533" t="s">
        <v>1245</v>
      </c>
      <c r="D492" s="533" t="str">
        <f>'Header Info'!C492</f>
        <v>Oven No. 1</v>
      </c>
      <c r="E492" s="533" t="s">
        <v>1260</v>
      </c>
    </row>
    <row r="493" spans="2:5" x14ac:dyDescent="0.2">
      <c r="B493" s="533" t="str">
        <f>'Header Info'!B493</f>
        <v>THIMESCH ENTERPRISES</v>
      </c>
      <c r="C493" s="533" t="s">
        <v>1245</v>
      </c>
      <c r="D493" s="533" t="str">
        <f>'Header Info'!C493</f>
        <v>OVEN NO. 3</v>
      </c>
      <c r="E493" s="533" t="s">
        <v>1262</v>
      </c>
    </row>
    <row r="494" spans="2:5" x14ac:dyDescent="0.2">
      <c r="B494" s="533" t="str">
        <f>'Header Info'!B494</f>
        <v>THIMESCH ENTERPRISES</v>
      </c>
      <c r="C494" s="533" t="s">
        <v>1245</v>
      </c>
      <c r="D494" s="533" t="str">
        <f>'Header Info'!C494</f>
        <v>OVEN NO. 2</v>
      </c>
      <c r="E494" s="533" t="s">
        <v>1264</v>
      </c>
    </row>
    <row r="495" spans="2:5" x14ac:dyDescent="0.2">
      <c r="B495" s="533" t="str">
        <f>'Header Info'!B495</f>
        <v>THIMESCH ENTERPRISES</v>
      </c>
      <c r="C495" s="533" t="s">
        <v>1245</v>
      </c>
      <c r="D495" s="533" t="str">
        <f>'Header Info'!C495</f>
        <v>OVEN NO. 1</v>
      </c>
      <c r="E495" s="533" t="s">
        <v>1266</v>
      </c>
    </row>
    <row r="496" spans="2:5" x14ac:dyDescent="0.2">
      <c r="B496" s="533" t="str">
        <f>'Header Info'!B496</f>
        <v>TNT MACHINE</v>
      </c>
      <c r="C496" s="533" t="s">
        <v>1245</v>
      </c>
      <c r="D496" s="533" t="str">
        <f>'Header Info'!C496</f>
        <v>S-6873</v>
      </c>
      <c r="E496" s="533" t="s">
        <v>1268</v>
      </c>
    </row>
    <row r="497" spans="2:5" x14ac:dyDescent="0.2">
      <c r="B497" s="533" t="str">
        <f>'Header Info'!B497</f>
        <v>VALCO MANUFACTURING CO., INC.</v>
      </c>
      <c r="C497" s="533" t="s">
        <v>1245</v>
      </c>
      <c r="D497" s="533" t="str">
        <f>'Header Info'!C497</f>
        <v>81OV1774</v>
      </c>
      <c r="E497" s="533" t="s">
        <v>1270</v>
      </c>
    </row>
    <row r="498" spans="2:5" x14ac:dyDescent="0.2">
      <c r="B498" s="533" t="str">
        <f>'Header Info'!B498</f>
        <v>VALCO MANUFACTURING CO., INC.</v>
      </c>
      <c r="C498" s="533" t="s">
        <v>1245</v>
      </c>
      <c r="D498" s="533" t="str">
        <f>'Header Info'!C498</f>
        <v>A1</v>
      </c>
      <c r="E498" s="533" t="s">
        <v>1272</v>
      </c>
    </row>
    <row r="499" spans="2:5" x14ac:dyDescent="0.2">
      <c r="B499" s="533" t="str">
        <f>'Header Info'!B499</f>
        <v>VALCO MANUFACTURING CO., INC.</v>
      </c>
      <c r="C499" s="533" t="s">
        <v>1245</v>
      </c>
      <c r="D499" s="533" t="str">
        <f>'Header Info'!C499</f>
        <v>A2</v>
      </c>
      <c r="E499" s="533" t="s">
        <v>1274</v>
      </c>
    </row>
    <row r="500" spans="2:5" x14ac:dyDescent="0.2">
      <c r="B500" s="533" t="str">
        <f>'Header Info'!B500</f>
        <v>VALCO MANUFACTURING CO., INC.</v>
      </c>
      <c r="C500" s="533" t="s">
        <v>1245</v>
      </c>
      <c r="D500" s="533" t="str">
        <f>'Header Info'!C500</f>
        <v>A6</v>
      </c>
      <c r="E500" s="533" t="s">
        <v>1276</v>
      </c>
    </row>
    <row r="501" spans="2:5" x14ac:dyDescent="0.2">
      <c r="B501" s="533" t="str">
        <f>'Header Info'!B501</f>
        <v>VALCO MANUFACTURING CO., INC.</v>
      </c>
      <c r="C501" s="533" t="s">
        <v>1245</v>
      </c>
      <c r="D501" s="533" t="str">
        <f>'Header Info'!C501</f>
        <v>A8</v>
      </c>
      <c r="E501" s="533" t="s">
        <v>1278</v>
      </c>
    </row>
    <row r="502" spans="2:5" x14ac:dyDescent="0.2">
      <c r="B502" s="533" t="str">
        <f>'Header Info'!B502</f>
        <v>VALCO MANUFACTURING CO., INC.</v>
      </c>
      <c r="C502" s="533" t="s">
        <v>1245</v>
      </c>
      <c r="D502" s="533" t="str">
        <f>'Header Info'!C502</f>
        <v>A10</v>
      </c>
      <c r="E502" s="533" t="s">
        <v>1280</v>
      </c>
    </row>
    <row r="503" spans="2:5" x14ac:dyDescent="0.2">
      <c r="B503" s="533" t="str">
        <f>'Header Info'!B503</f>
        <v>VALCO MANUFACTURING CO., INC.</v>
      </c>
      <c r="C503" s="533" t="s">
        <v>1245</v>
      </c>
      <c r="D503" s="533" t="str">
        <f>'Header Info'!C503</f>
        <v>A13</v>
      </c>
      <c r="E503" s="533" t="s">
        <v>1282</v>
      </c>
    </row>
    <row r="504" spans="2:5" x14ac:dyDescent="0.2">
      <c r="B504" s="533" t="str">
        <f>'Header Info'!B504</f>
        <v>VALCO MANUFACTURING CO., INC.</v>
      </c>
      <c r="C504" s="533" t="s">
        <v>1245</v>
      </c>
      <c r="D504" s="533" t="str">
        <f>'Header Info'!C504</f>
        <v>AGE OVEN NO. 1</v>
      </c>
      <c r="E504" s="533" t="s">
        <v>1248</v>
      </c>
    </row>
    <row r="505" spans="2:5" x14ac:dyDescent="0.2">
      <c r="B505" s="533" t="str">
        <f>'Header Info'!B505</f>
        <v>VALCO MANUFACTURING CO., INC.</v>
      </c>
      <c r="C505" s="533" t="s">
        <v>1245</v>
      </c>
      <c r="D505" s="533" t="str">
        <f>'Header Info'!C505</f>
        <v>AGE OVEN NO. 2</v>
      </c>
      <c r="E505" s="533" t="s">
        <v>1680</v>
      </c>
    </row>
    <row r="506" spans="2:5" x14ac:dyDescent="0.2">
      <c r="B506" s="533" t="str">
        <f>'Header Info'!B506</f>
        <v>VALCO MANUFACTURING CO., INC.</v>
      </c>
      <c r="C506" s="533" t="s">
        <v>1245</v>
      </c>
      <c r="D506" s="533" t="str">
        <f>'Header Info'!C506</f>
        <v>AGE OVEN NO. 3</v>
      </c>
      <c r="E506" s="533" t="s">
        <v>1682</v>
      </c>
    </row>
    <row r="507" spans="2:5" x14ac:dyDescent="0.2">
      <c r="B507" s="533" t="str">
        <f>'Header Info'!B507</f>
        <v>VALCO MANUFACTURING CO., INC.</v>
      </c>
      <c r="C507" s="533" t="s">
        <v>1245</v>
      </c>
      <c r="D507" s="533" t="str">
        <f>'Header Info'!C507</f>
        <v>DRAW FURNACE</v>
      </c>
      <c r="E507" s="533" t="s">
        <v>1563</v>
      </c>
    </row>
    <row r="508" spans="2:5" x14ac:dyDescent="0.2">
      <c r="B508" s="533" t="str">
        <f>'Header Info'!B508</f>
        <v>VALCO MANUFACTURING CO., INC.</v>
      </c>
      <c r="C508" s="533" t="s">
        <v>1245</v>
      </c>
      <c r="D508" s="533" t="str">
        <f>'Header Info'!C508</f>
        <v>DROP BOTTOM FURNACE</v>
      </c>
      <c r="E508" s="533" t="s">
        <v>3495</v>
      </c>
    </row>
    <row r="509" spans="2:5" x14ac:dyDescent="0.2">
      <c r="B509" s="533" t="str">
        <f>'Header Info'!B509</f>
        <v>VALCO MANUFACTURING CO., INC.</v>
      </c>
      <c r="C509" s="533" t="s">
        <v>1245</v>
      </c>
      <c r="D509" s="533" t="str">
        <f>'Header Info'!C509</f>
        <v>S14</v>
      </c>
      <c r="E509" s="533" t="s">
        <v>3496</v>
      </c>
    </row>
    <row r="510" spans="2:5" x14ac:dyDescent="0.2">
      <c r="B510" s="533" t="str">
        <f>'Header Info'!B510</f>
        <v>VALCO MANUFACTURING CO., INC.</v>
      </c>
      <c r="C510" s="533" t="s">
        <v>1245</v>
      </c>
      <c r="D510" s="533" t="str">
        <f>'Header Info'!C510</f>
        <v>S16</v>
      </c>
      <c r="E510" s="533" t="s">
        <v>3497</v>
      </c>
    </row>
    <row r="511" spans="2:5" x14ac:dyDescent="0.2">
      <c r="B511" s="533" t="str">
        <f>'Header Info'!B511</f>
        <v>VALCO MANUFACTURING CO., INC.</v>
      </c>
      <c r="C511" s="533" t="s">
        <v>1245</v>
      </c>
      <c r="D511" s="533" t="str">
        <f>'Header Info'!C511</f>
        <v>S19</v>
      </c>
      <c r="E511" s="533" t="s">
        <v>1283</v>
      </c>
    </row>
    <row r="512" spans="2:5" x14ac:dyDescent="0.2">
      <c r="B512" s="533" t="str">
        <f>'Header Info'!B512</f>
        <v>VALCO MANUFACTURING CO., INC.</v>
      </c>
      <c r="C512" s="533" t="s">
        <v>1526</v>
      </c>
      <c r="D512" s="533" t="str">
        <f>'Header Info'!C512</f>
        <v>S22</v>
      </c>
      <c r="E512" s="533" t="s">
        <v>1528</v>
      </c>
    </row>
    <row r="513" spans="2:5" x14ac:dyDescent="0.2">
      <c r="B513" s="533" t="str">
        <f>'Header Info'!B513</f>
        <v>VALCO MANUFACTURING CO., INC.</v>
      </c>
      <c r="C513" s="533" t="s">
        <v>1284</v>
      </c>
      <c r="D513" s="533" t="str">
        <f>'Header Info'!C513</f>
        <v>S23</v>
      </c>
      <c r="E513" s="533" t="s">
        <v>1286</v>
      </c>
    </row>
    <row r="514" spans="2:5" x14ac:dyDescent="0.2">
      <c r="B514" s="533" t="str">
        <f>'Header Info'!B514</f>
        <v>VALCO MANUFACTURING CO., INC.</v>
      </c>
      <c r="C514" s="533" t="s">
        <v>1284</v>
      </c>
      <c r="D514" s="533" t="str">
        <f>'Header Info'!C514</f>
        <v>SALT BATH</v>
      </c>
      <c r="E514" s="533" t="s">
        <v>1288</v>
      </c>
    </row>
    <row r="515" spans="2:5" x14ac:dyDescent="0.2">
      <c r="B515" s="533" t="str">
        <f>'Header Info'!B515</f>
        <v>VERMILLION ENTERPRISES</v>
      </c>
      <c r="C515" s="533" t="s">
        <v>1284</v>
      </c>
      <c r="D515" s="533" t="str">
        <f>'Header Info'!C515</f>
        <v>BAKE OVEN 9110</v>
      </c>
      <c r="E515" s="533" t="s">
        <v>1287</v>
      </c>
    </row>
    <row r="516" spans="2:5" x14ac:dyDescent="0.2">
      <c r="B516" s="533" t="str">
        <f>'Header Info'!B516</f>
        <v>VERMILLION ENTERPRISES</v>
      </c>
      <c r="C516" s="533" t="s">
        <v>1284</v>
      </c>
      <c r="D516" s="533" t="str">
        <f>'Header Info'!C516</f>
        <v>LAB OVEN 5072</v>
      </c>
      <c r="E516" s="533" t="s">
        <v>1285</v>
      </c>
    </row>
    <row r="517" spans="2:5" x14ac:dyDescent="0.2">
      <c r="B517" s="533" t="str">
        <f>'Header Info'!B517</f>
        <v>VERMILLION ENTERPRISES</v>
      </c>
      <c r="C517" s="533" t="s">
        <v>1284</v>
      </c>
      <c r="D517" s="533" t="str">
        <f>'Header Info'!C517</f>
        <v>OVEN NO. 6042</v>
      </c>
      <c r="E517" s="533" t="s">
        <v>1289</v>
      </c>
    </row>
    <row r="518" spans="2:5" x14ac:dyDescent="0.2">
      <c r="B518" s="533" t="str">
        <f>'Header Info'!B518</f>
        <v>VERMILLION ENTERPRISES</v>
      </c>
      <c r="C518" s="533" t="s">
        <v>1292</v>
      </c>
      <c r="D518" s="533" t="str">
        <f>'Header Info'!C518</f>
        <v>OVEN NO. 6043</v>
      </c>
      <c r="E518" s="533" t="s">
        <v>1294</v>
      </c>
    </row>
    <row r="519" spans="2:5" x14ac:dyDescent="0.2">
      <c r="B519" s="533" t="str">
        <f>'Header Info'!B519</f>
        <v>VERMILLION ENTERPRISES</v>
      </c>
      <c r="C519" s="533" t="s">
        <v>1292</v>
      </c>
      <c r="D519" s="533" t="str">
        <f>'Header Info'!C519</f>
        <v>OVEN NO. 6044</v>
      </c>
      <c r="E519" s="533" t="s">
        <v>1296</v>
      </c>
    </row>
    <row r="520" spans="2:5" x14ac:dyDescent="0.2">
      <c r="B520" s="533" t="str">
        <f>'Header Info'!B520</f>
        <v>VERMILLION ENTERPRISES</v>
      </c>
      <c r="C520" s="533" t="s">
        <v>1292</v>
      </c>
      <c r="D520" s="533" t="str">
        <f>'Header Info'!C520</f>
        <v>OVEN NO. 6045</v>
      </c>
      <c r="E520" s="533" t="s">
        <v>1295</v>
      </c>
    </row>
    <row r="521" spans="2:5" x14ac:dyDescent="0.2">
      <c r="B521" s="533" t="str">
        <f>'Header Info'!B521</f>
        <v>WICHITA AEROSPACE SPARES, INC.</v>
      </c>
      <c r="C521" s="533" t="s">
        <v>1292</v>
      </c>
      <c r="D521" s="533" t="str">
        <f>'Header Info'!C521</f>
        <v>FREEZER NO. 6</v>
      </c>
      <c r="E521" s="533" t="s">
        <v>1297</v>
      </c>
    </row>
    <row r="522" spans="2:5" x14ac:dyDescent="0.2">
      <c r="B522" s="533" t="str">
        <f>'Header Info'!B522</f>
        <v>WICHITA AEROSPACE SPARES, INC.</v>
      </c>
      <c r="C522" s="533" t="s">
        <v>1292</v>
      </c>
      <c r="D522" s="533" t="str">
        <f>'Header Info'!C522</f>
        <v>OVEN NO.14-0581433</v>
      </c>
      <c r="E522" s="533" t="s">
        <v>1298</v>
      </c>
    </row>
    <row r="523" spans="2:5" x14ac:dyDescent="0.2">
      <c r="B523" s="533" t="str">
        <f>'Header Info'!B523</f>
        <v>WICHITA AEROSPACE SPARES, INC.</v>
      </c>
      <c r="C523" s="533" t="s">
        <v>1292</v>
      </c>
      <c r="D523" s="533" t="str">
        <f>'Header Info'!C523</f>
        <v>FREEZER A5965401</v>
      </c>
      <c r="E523" s="533" t="s">
        <v>1293</v>
      </c>
    </row>
    <row r="524" spans="2:5" x14ac:dyDescent="0.2">
      <c r="B524" s="533" t="str">
        <f>'Header Info'!B524</f>
        <v>WICHITA AEROSPACE SPARES, INC.</v>
      </c>
      <c r="C524" s="533" t="s">
        <v>1290</v>
      </c>
      <c r="D524" s="533" t="str">
        <f>'Header Info'!C524</f>
        <v>FREEZER HF2</v>
      </c>
      <c r="E524" s="533" t="s">
        <v>1291</v>
      </c>
    </row>
  </sheetData>
  <sheetProtection algorithmName="SHA-512" hashValue="+H7PO+YHNXicoXKjo/BfQhc3IVEED4JkM4wt8ER7fqjN+8I1FT4dFZOBZNH+XqYf8iGWsyuG3dSA2WR1cs/9yw==" saltValue="sXUMiVo0D14Piv+Jg83zDA=="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V1" zoomScale="80" zoomScaleNormal="80" workbookViewId="0">
      <selection activeCell="CH23" sqref="CH2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6" t="s">
        <v>5537</v>
      </c>
      <c r="B1" s="537" t="s">
        <v>1461</v>
      </c>
      <c r="C1" s="536" t="s">
        <v>1371</v>
      </c>
      <c r="D1" s="536" t="s">
        <v>1822</v>
      </c>
      <c r="E1" s="536" t="s">
        <v>1784</v>
      </c>
      <c r="F1" s="536" t="s">
        <v>1785</v>
      </c>
      <c r="G1" s="536" t="s">
        <v>1786</v>
      </c>
      <c r="H1" s="536" t="s">
        <v>1787</v>
      </c>
      <c r="I1" s="536" t="s">
        <v>1788</v>
      </c>
      <c r="J1" s="536" t="s">
        <v>1789</v>
      </c>
      <c r="K1" s="536" t="s">
        <v>1790</v>
      </c>
      <c r="L1" s="536" t="s">
        <v>1791</v>
      </c>
      <c r="M1" s="538" t="s">
        <v>1792</v>
      </c>
      <c r="N1" s="536" t="s">
        <v>1793</v>
      </c>
      <c r="O1" s="536" t="s">
        <v>233</v>
      </c>
      <c r="P1" s="536" t="s">
        <v>1794</v>
      </c>
      <c r="Q1" s="536" t="s">
        <v>1795</v>
      </c>
      <c r="R1" s="536" t="s">
        <v>1796</v>
      </c>
      <c r="S1" s="536" t="s">
        <v>1797</v>
      </c>
      <c r="T1" s="536" t="s">
        <v>1798</v>
      </c>
      <c r="U1" s="536" t="s">
        <v>1810</v>
      </c>
      <c r="V1" s="536" t="s">
        <v>1780</v>
      </c>
      <c r="W1" s="538" t="s">
        <v>1799</v>
      </c>
      <c r="X1" s="536" t="s">
        <v>1800</v>
      </c>
      <c r="Y1" s="536" t="s">
        <v>1781</v>
      </c>
      <c r="Z1" s="536" t="s">
        <v>1804</v>
      </c>
      <c r="AA1" s="536" t="s">
        <v>1805</v>
      </c>
      <c r="AB1" s="536" t="s">
        <v>1811</v>
      </c>
      <c r="AC1" s="536" t="s">
        <v>1806</v>
      </c>
      <c r="AD1" s="536" t="s">
        <v>1807</v>
      </c>
      <c r="AE1" s="536" t="s">
        <v>1453</v>
      </c>
      <c r="AF1" s="536" t="s">
        <v>3550</v>
      </c>
      <c r="AG1" s="536" t="s">
        <v>3551</v>
      </c>
      <c r="AH1" s="536" t="s">
        <v>3661</v>
      </c>
      <c r="AI1" s="536" t="s">
        <v>3552</v>
      </c>
      <c r="AJ1" s="536" t="s">
        <v>3553</v>
      </c>
      <c r="AK1" s="536" t="s">
        <v>1808</v>
      </c>
      <c r="AL1" s="536" t="s">
        <v>3417</v>
      </c>
      <c r="AM1" s="539" t="s">
        <v>4494</v>
      </c>
      <c r="AN1" s="539" t="s">
        <v>4604</v>
      </c>
      <c r="AO1" s="539" t="s">
        <v>4605</v>
      </c>
      <c r="AP1" s="536" t="s">
        <v>4001</v>
      </c>
      <c r="AQ1"/>
      <c r="AR1"/>
      <c r="AT1" s="41" t="s">
        <v>1461</v>
      </c>
      <c r="AU1" s="41" t="s">
        <v>1784</v>
      </c>
      <c r="AV1" s="41" t="s">
        <v>1785</v>
      </c>
      <c r="AW1" s="41" t="s">
        <v>1786</v>
      </c>
      <c r="AX1" s="41" t="s">
        <v>5538</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c r="CI1" s="41" t="s">
        <v>5540</v>
      </c>
    </row>
    <row r="2" spans="1:88" x14ac:dyDescent="0.2">
      <c r="A2" s="61">
        <v>1</v>
      </c>
      <c r="B2" s="540" t="s">
        <v>5312</v>
      </c>
      <c r="C2" s="540" t="s">
        <v>1303</v>
      </c>
      <c r="D2" s="540" t="s">
        <v>5313</v>
      </c>
      <c r="E2" s="540" t="s">
        <v>1775</v>
      </c>
      <c r="F2" s="540" t="s">
        <v>1731</v>
      </c>
      <c r="G2" s="540" t="s">
        <v>34</v>
      </c>
      <c r="H2" s="540" t="s">
        <v>1821</v>
      </c>
      <c r="I2" s="540" t="s">
        <v>5342</v>
      </c>
      <c r="J2" s="540" t="s">
        <v>1461</v>
      </c>
      <c r="K2" s="540" t="s">
        <v>1202</v>
      </c>
      <c r="L2" s="540" t="s">
        <v>3324</v>
      </c>
      <c r="M2" s="540">
        <v>400005</v>
      </c>
      <c r="N2" s="540" t="s">
        <v>1303</v>
      </c>
      <c r="O2" s="540" t="s">
        <v>2092</v>
      </c>
      <c r="P2" s="540" t="s">
        <v>1995</v>
      </c>
      <c r="Q2" s="540" t="s">
        <v>1819</v>
      </c>
      <c r="R2" s="540" t="s">
        <v>1878</v>
      </c>
      <c r="S2" s="540" t="s">
        <v>3325</v>
      </c>
      <c r="T2" s="540">
        <v>30</v>
      </c>
      <c r="U2" s="540" t="s">
        <v>1844</v>
      </c>
      <c r="V2" s="540" t="s">
        <v>3313</v>
      </c>
      <c r="W2" s="540">
        <v>84945014029</v>
      </c>
      <c r="X2" s="540" t="s">
        <v>1815</v>
      </c>
      <c r="Y2" s="540" t="s">
        <v>4859</v>
      </c>
      <c r="Z2" s="540" t="s">
        <v>3326</v>
      </c>
      <c r="AA2" s="540" t="s">
        <v>1815</v>
      </c>
      <c r="AB2" s="540" t="s">
        <v>34</v>
      </c>
      <c r="AC2" s="540" t="s">
        <v>1816</v>
      </c>
      <c r="AD2" s="540" t="s">
        <v>1817</v>
      </c>
      <c r="AE2" s="540" t="s">
        <v>1455</v>
      </c>
      <c r="AF2" s="540">
        <v>1</v>
      </c>
      <c r="AG2" s="540">
        <v>0</v>
      </c>
      <c r="AH2" s="540">
        <v>0</v>
      </c>
      <c r="AI2" s="540" t="s">
        <v>3654</v>
      </c>
      <c r="AJ2" s="540" t="s">
        <v>3655</v>
      </c>
      <c r="AK2" s="540" t="s">
        <v>1818</v>
      </c>
      <c r="AL2" s="540" t="s">
        <v>34</v>
      </c>
      <c r="AM2" s="61" t="s">
        <v>4495</v>
      </c>
      <c r="AN2" s="541">
        <v>0</v>
      </c>
      <c r="AO2" s="541">
        <v>0</v>
      </c>
      <c r="AP2" s="61" t="s">
        <v>3667</v>
      </c>
      <c r="AT2" t="str">
        <f>CONCATENATE(Main!D5,Main!D6)</f>
        <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e">
        <f>_xlfn.XLOOKUP(AssetId,ClientAssets_2[AssetId],ClientAssets_2[ManufacturerPartNumber],"")</f>
        <v>#N/A</v>
      </c>
      <c r="BC2" t="e">
        <f>_xlfn.XLOOKUP(AssetId,ClientAssets_2[AssetId],ClientAssets_2[SerialNumber],"")</f>
        <v>#N/A</v>
      </c>
      <c r="BD2" t="str">
        <f>VLOOKUP($AP2,$D2:$AK977,11,FALSE)</f>
        <v>Oven No. 1</v>
      </c>
      <c r="BE2" t="e">
        <f>_xlfn.XLOOKUP(AssetId,ClientAssets_2[AssetId],ClientAssets_2[Class],"")</f>
        <v>#N/A</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VLOOKUP(BU1,ClientAssetAttributes[],2,FALSE)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1818</v>
      </c>
      <c r="CB2" t="e">
        <f>VLOOKUP(CB1,ClientAssetAttributes[],2,FALSE)</f>
        <v>#N/A</v>
      </c>
      <c r="CC2" t="e">
        <f>VLOOKUP(CC1,ClientAssetAttributes[],2,FALSE)</f>
        <v>#N/A</v>
      </c>
      <c r="CD2" t="e">
        <f>VLOOKUP(CD1,ClientAssetAttributes[],2,FALSE)</f>
        <v>#N/A</v>
      </c>
      <c r="CE2" t="e">
        <f>VLOOKUP(CE1,ClientAssetAttributes[],2,FALSE)</f>
        <v>#N/A</v>
      </c>
      <c r="CF2" t="e">
        <f>MATCH(Main!D$5,B$2:B$500,1)</f>
        <v>#N/A</v>
      </c>
      <c r="CG2" s="446" t="str" cm="1">
        <f t="array" ref="CG2:CG1644">customers[CompanyName]</f>
        <v>1 VISION AVIATION</v>
      </c>
      <c r="CH2" t="str" cm="1">
        <f t="array" ref="CH2">ClientAssets_2[AssetName]</f>
        <v>CURE OVEN Oven No. 1</v>
      </c>
      <c r="CI2" s="483">
        <v>620646</v>
      </c>
      <c r="CJ2" s="483"/>
    </row>
    <row r="3" spans="1:88" x14ac:dyDescent="0.2">
      <c r="A3" s="61">
        <v>2</v>
      </c>
      <c r="B3" s="542" t="s">
        <v>5312</v>
      </c>
      <c r="C3" s="543" t="s">
        <v>4368</v>
      </c>
      <c r="D3" s="543" t="s">
        <v>5314</v>
      </c>
      <c r="E3" s="543" t="s">
        <v>1775</v>
      </c>
      <c r="F3" s="543" t="s">
        <v>1731</v>
      </c>
      <c r="G3" s="543" t="s">
        <v>34</v>
      </c>
      <c r="H3" s="543" t="s">
        <v>1821</v>
      </c>
      <c r="I3" s="543" t="s">
        <v>5342</v>
      </c>
      <c r="J3" s="543" t="s">
        <v>1461</v>
      </c>
      <c r="K3" s="543" t="s">
        <v>3304</v>
      </c>
      <c r="L3" s="543" t="s">
        <v>3305</v>
      </c>
      <c r="M3" s="544">
        <v>995539</v>
      </c>
      <c r="N3" s="543" t="s">
        <v>4368</v>
      </c>
      <c r="O3" s="543" t="s">
        <v>2092</v>
      </c>
      <c r="P3" s="543" t="s">
        <v>2152</v>
      </c>
      <c r="Q3" s="543" t="s">
        <v>1819</v>
      </c>
      <c r="R3" s="543" t="s">
        <v>1988</v>
      </c>
      <c r="S3" s="543" t="s">
        <v>3306</v>
      </c>
      <c r="T3" s="543">
        <v>108</v>
      </c>
      <c r="U3" s="543" t="s">
        <v>1844</v>
      </c>
      <c r="V3" s="543" t="s">
        <v>3307</v>
      </c>
      <c r="W3" s="543" t="s">
        <v>3308</v>
      </c>
      <c r="X3" s="543" t="s">
        <v>1815</v>
      </c>
      <c r="Y3" s="543" t="s">
        <v>2327</v>
      </c>
      <c r="Z3" s="543" t="s">
        <v>3309</v>
      </c>
      <c r="AA3" s="543" t="s">
        <v>1815</v>
      </c>
      <c r="AB3" s="543" t="s">
        <v>34</v>
      </c>
      <c r="AC3" s="543" t="s">
        <v>1816</v>
      </c>
      <c r="AD3" s="543" t="s">
        <v>1817</v>
      </c>
      <c r="AE3" s="543" t="s">
        <v>1455</v>
      </c>
      <c r="AF3" s="543">
        <v>2</v>
      </c>
      <c r="AG3" s="543">
        <v>1</v>
      </c>
      <c r="AH3" s="543">
        <v>0.05</v>
      </c>
      <c r="AI3" s="543" t="s">
        <v>3652</v>
      </c>
      <c r="AJ3" s="543" t="s">
        <v>34</v>
      </c>
      <c r="AK3" s="543" t="s">
        <v>1818</v>
      </c>
      <c r="AL3" s="543" t="s">
        <v>34</v>
      </c>
      <c r="AM3" s="61" t="s">
        <v>4495</v>
      </c>
      <c r="AN3" s="541">
        <v>0</v>
      </c>
      <c r="AO3" s="541">
        <v>0</v>
      </c>
      <c r="AP3" s="61"/>
      <c r="CE3" s="447"/>
      <c r="CF3" t="e">
        <f t="shared" ref="CF3:CF37" si="0">CF2-1</f>
        <v>#N/A</v>
      </c>
      <c r="CG3" s="447" t="str">
        <v>3P PROCESSING, INC.</v>
      </c>
      <c r="CI3" s="446"/>
      <c r="CJ3" s="446"/>
    </row>
    <row r="4" spans="1:88" x14ac:dyDescent="0.2">
      <c r="A4" s="61">
        <v>3</v>
      </c>
      <c r="B4" s="543" t="s">
        <v>5312</v>
      </c>
      <c r="C4" s="543" t="s">
        <v>1309</v>
      </c>
      <c r="D4" s="543" t="s">
        <v>5315</v>
      </c>
      <c r="E4" s="543" t="s">
        <v>1775</v>
      </c>
      <c r="F4" s="543" t="s">
        <v>1731</v>
      </c>
      <c r="G4" s="543" t="s">
        <v>34</v>
      </c>
      <c r="H4" s="543" t="s">
        <v>1821</v>
      </c>
      <c r="I4" s="543" t="s">
        <v>5342</v>
      </c>
      <c r="J4" s="543" t="s">
        <v>1461</v>
      </c>
      <c r="K4" s="543" t="s">
        <v>3290</v>
      </c>
      <c r="L4" s="543" t="s">
        <v>3291</v>
      </c>
      <c r="M4" s="543">
        <v>311244</v>
      </c>
      <c r="N4" s="543" t="s">
        <v>1309</v>
      </c>
      <c r="O4" s="543" t="s">
        <v>2092</v>
      </c>
      <c r="P4" s="543" t="s">
        <v>3229</v>
      </c>
      <c r="Q4" s="543" t="s">
        <v>1897</v>
      </c>
      <c r="R4" s="543" t="s">
        <v>1814</v>
      </c>
      <c r="S4" s="543" t="s">
        <v>3292</v>
      </c>
      <c r="T4" s="543">
        <v>20.7</v>
      </c>
      <c r="U4" s="543" t="s">
        <v>1844</v>
      </c>
      <c r="V4" s="543" t="s">
        <v>3293</v>
      </c>
      <c r="W4" s="543" t="s">
        <v>3294</v>
      </c>
      <c r="X4" s="543" t="s">
        <v>1815</v>
      </c>
      <c r="Y4" s="543" t="s">
        <v>2327</v>
      </c>
      <c r="Z4" s="543" t="s">
        <v>3295</v>
      </c>
      <c r="AA4" s="543" t="s">
        <v>1815</v>
      </c>
      <c r="AB4" s="543" t="s">
        <v>34</v>
      </c>
      <c r="AC4" s="543" t="s">
        <v>1816</v>
      </c>
      <c r="AD4" s="543" t="s">
        <v>1817</v>
      </c>
      <c r="AE4" s="543" t="s">
        <v>1455</v>
      </c>
      <c r="AF4" s="543">
        <v>1</v>
      </c>
      <c r="AG4" s="543">
        <v>0.1</v>
      </c>
      <c r="AH4" s="543">
        <v>1.1100000000000001</v>
      </c>
      <c r="AI4" s="543" t="s">
        <v>3648</v>
      </c>
      <c r="AJ4" s="543" t="s">
        <v>34</v>
      </c>
      <c r="AK4" s="543" t="s">
        <v>1818</v>
      </c>
      <c r="AL4" s="543" t="s">
        <v>34</v>
      </c>
      <c r="AM4" s="61" t="s">
        <v>4495</v>
      </c>
      <c r="AN4" s="541">
        <v>0</v>
      </c>
      <c r="AO4" s="541">
        <v>0</v>
      </c>
      <c r="AP4" s="61"/>
      <c r="CE4" s="447"/>
      <c r="CF4" t="e">
        <f t="shared" si="0"/>
        <v>#N/A</v>
      </c>
      <c r="CG4" s="447" t="str">
        <v>A &amp; J CLEANING</v>
      </c>
      <c r="CI4" s="447"/>
      <c r="CJ4" s="447"/>
    </row>
    <row r="5" spans="1:88" x14ac:dyDescent="0.2">
      <c r="A5" s="61">
        <v>4</v>
      </c>
      <c r="B5" s="542" t="s">
        <v>5312</v>
      </c>
      <c r="C5" s="543" t="s">
        <v>1306</v>
      </c>
      <c r="D5" s="543" t="s">
        <v>5316</v>
      </c>
      <c r="E5" s="543" t="s">
        <v>1775</v>
      </c>
      <c r="F5" s="543" t="s">
        <v>1731</v>
      </c>
      <c r="G5" s="543" t="s">
        <v>34</v>
      </c>
      <c r="H5" s="543" t="s">
        <v>1821</v>
      </c>
      <c r="I5" s="543" t="s">
        <v>5342</v>
      </c>
      <c r="J5" s="543" t="s">
        <v>1461</v>
      </c>
      <c r="K5" s="543" t="s">
        <v>1202</v>
      </c>
      <c r="L5" s="543" t="s">
        <v>3327</v>
      </c>
      <c r="M5" s="543" t="s">
        <v>3328</v>
      </c>
      <c r="N5" s="543" t="s">
        <v>1306</v>
      </c>
      <c r="O5" s="543" t="s">
        <v>2092</v>
      </c>
      <c r="P5" s="543" t="s">
        <v>3329</v>
      </c>
      <c r="Q5" s="543" t="s">
        <v>1819</v>
      </c>
      <c r="R5" s="543" t="s">
        <v>1878</v>
      </c>
      <c r="S5" s="543" t="s">
        <v>3330</v>
      </c>
      <c r="T5" s="543">
        <v>3.1</v>
      </c>
      <c r="U5" s="543" t="s">
        <v>1844</v>
      </c>
      <c r="V5" s="543" t="s">
        <v>2453</v>
      </c>
      <c r="W5" s="543">
        <v>5684</v>
      </c>
      <c r="X5" s="543" t="s">
        <v>1815</v>
      </c>
      <c r="Y5" s="543" t="s">
        <v>2327</v>
      </c>
      <c r="Z5" s="543" t="s">
        <v>3331</v>
      </c>
      <c r="AA5" s="543" t="s">
        <v>1815</v>
      </c>
      <c r="AB5" s="543" t="s">
        <v>34</v>
      </c>
      <c r="AC5" s="543" t="s">
        <v>1816</v>
      </c>
      <c r="AD5" s="543" t="s">
        <v>1817</v>
      </c>
      <c r="AE5" s="543" t="s">
        <v>1455</v>
      </c>
      <c r="AF5" s="543">
        <v>40</v>
      </c>
      <c r="AG5" s="543">
        <v>1</v>
      </c>
      <c r="AH5" s="543">
        <v>450</v>
      </c>
      <c r="AI5" s="543" t="s">
        <v>34</v>
      </c>
      <c r="AJ5" s="543" t="s">
        <v>34</v>
      </c>
      <c r="AK5" s="543" t="s">
        <v>1818</v>
      </c>
      <c r="AL5" s="543" t="s">
        <v>34</v>
      </c>
      <c r="AM5" s="61" t="s">
        <v>4495</v>
      </c>
      <c r="AN5" s="541">
        <v>0</v>
      </c>
      <c r="AO5" s="541">
        <v>0</v>
      </c>
      <c r="AP5" s="61"/>
      <c r="CE5" s="447"/>
      <c r="CF5" t="e">
        <f t="shared" si="0"/>
        <v>#N/A</v>
      </c>
      <c r="CG5" s="447" t="str">
        <v>A Plus Lawn Sprinklers</v>
      </c>
      <c r="CI5" s="447"/>
      <c r="CJ5" s="447"/>
    </row>
    <row r="6" spans="1:88" x14ac:dyDescent="0.2">
      <c r="A6" s="61">
        <v>5</v>
      </c>
      <c r="B6" s="542" t="s">
        <v>5312</v>
      </c>
      <c r="C6" s="543" t="s">
        <v>1308</v>
      </c>
      <c r="D6" s="543" t="s">
        <v>5317</v>
      </c>
      <c r="E6" s="543" t="s">
        <v>1775</v>
      </c>
      <c r="F6" s="543" t="s">
        <v>1731</v>
      </c>
      <c r="G6" s="543" t="s">
        <v>34</v>
      </c>
      <c r="H6" s="543" t="s">
        <v>1821</v>
      </c>
      <c r="I6" s="543" t="s">
        <v>5342</v>
      </c>
      <c r="J6" s="543" t="s">
        <v>1461</v>
      </c>
      <c r="K6" s="543" t="s">
        <v>993</v>
      </c>
      <c r="L6" s="543" t="s">
        <v>3288</v>
      </c>
      <c r="M6" s="543">
        <v>116010</v>
      </c>
      <c r="N6" s="543" t="s">
        <v>1308</v>
      </c>
      <c r="O6" s="543" t="s">
        <v>2092</v>
      </c>
      <c r="P6" s="543" t="s">
        <v>1879</v>
      </c>
      <c r="Q6" s="543" t="s">
        <v>1819</v>
      </c>
      <c r="R6" s="543" t="s">
        <v>1814</v>
      </c>
      <c r="S6" s="543" t="s">
        <v>4775</v>
      </c>
      <c r="T6" s="543">
        <v>45.3</v>
      </c>
      <c r="U6" s="543" t="s">
        <v>1844</v>
      </c>
      <c r="V6" s="543" t="s">
        <v>2557</v>
      </c>
      <c r="W6" s="543">
        <v>11.2</v>
      </c>
      <c r="X6" s="543" t="s">
        <v>1815</v>
      </c>
      <c r="Y6" s="543" t="s">
        <v>109</v>
      </c>
      <c r="Z6" s="543" t="s">
        <v>109</v>
      </c>
      <c r="AA6" s="543" t="s">
        <v>109</v>
      </c>
      <c r="AB6" s="543" t="s">
        <v>34</v>
      </c>
      <c r="AC6" s="543" t="s">
        <v>1816</v>
      </c>
      <c r="AD6" s="543" t="s">
        <v>1817</v>
      </c>
      <c r="AE6" s="543" t="s">
        <v>1455</v>
      </c>
      <c r="AF6" s="543">
        <v>3.2</v>
      </c>
      <c r="AG6" s="543">
        <v>1.4</v>
      </c>
      <c r="AH6" s="543">
        <v>0.25</v>
      </c>
      <c r="AI6" s="543" t="s">
        <v>3646</v>
      </c>
      <c r="AJ6" s="543" t="s">
        <v>3647</v>
      </c>
      <c r="AK6" s="543" t="s">
        <v>1818</v>
      </c>
      <c r="AL6" s="543" t="s">
        <v>34</v>
      </c>
      <c r="AM6" s="61" t="s">
        <v>4495</v>
      </c>
      <c r="AN6" s="541">
        <v>0</v>
      </c>
      <c r="AO6" s="541">
        <v>0</v>
      </c>
      <c r="AP6" s="61"/>
      <c r="CE6" s="447"/>
      <c r="CF6" t="e">
        <f t="shared" si="0"/>
        <v>#N/A</v>
      </c>
      <c r="CG6" s="447" t="str">
        <v>A.W. BRUEGGEMANN CO., INC.</v>
      </c>
      <c r="CI6" s="447"/>
      <c r="CJ6" s="447"/>
    </row>
    <row r="7" spans="1:88" x14ac:dyDescent="0.2">
      <c r="A7" s="61">
        <v>6</v>
      </c>
      <c r="B7" s="542" t="s">
        <v>5312</v>
      </c>
      <c r="C7" s="543" t="s">
        <v>1301</v>
      </c>
      <c r="D7" s="543" t="s">
        <v>5318</v>
      </c>
      <c r="E7" s="543" t="s">
        <v>1775</v>
      </c>
      <c r="F7" s="543" t="s">
        <v>1731</v>
      </c>
      <c r="G7" s="543" t="s">
        <v>34</v>
      </c>
      <c r="H7" s="543" t="s">
        <v>1821</v>
      </c>
      <c r="I7" s="543" t="s">
        <v>5342</v>
      </c>
      <c r="J7" s="543" t="s">
        <v>1461</v>
      </c>
      <c r="K7" s="543" t="s">
        <v>1825</v>
      </c>
      <c r="L7" s="543" t="s">
        <v>3314</v>
      </c>
      <c r="M7" s="543">
        <v>450931</v>
      </c>
      <c r="N7" s="543" t="s">
        <v>1301</v>
      </c>
      <c r="O7" s="543" t="s">
        <v>2092</v>
      </c>
      <c r="P7" s="543" t="s">
        <v>2808</v>
      </c>
      <c r="Q7" s="543" t="s">
        <v>1897</v>
      </c>
      <c r="R7" s="543" t="s">
        <v>1915</v>
      </c>
      <c r="S7" s="543" t="s">
        <v>3315</v>
      </c>
      <c r="T7" s="543">
        <v>5.2</v>
      </c>
      <c r="U7" s="543" t="s">
        <v>1844</v>
      </c>
      <c r="V7" s="543" t="s">
        <v>3316</v>
      </c>
      <c r="W7" s="543" t="s">
        <v>3317</v>
      </c>
      <c r="X7" s="543" t="s">
        <v>2431</v>
      </c>
      <c r="Y7" s="543" t="s">
        <v>2327</v>
      </c>
      <c r="Z7" s="543" t="s">
        <v>3318</v>
      </c>
      <c r="AA7" s="543" t="s">
        <v>1815</v>
      </c>
      <c r="AB7" s="543" t="s">
        <v>5431</v>
      </c>
      <c r="AC7" s="543" t="s">
        <v>1816</v>
      </c>
      <c r="AD7" s="543" t="s">
        <v>1817</v>
      </c>
      <c r="AE7" s="543" t="s">
        <v>1455</v>
      </c>
      <c r="AF7" s="543" t="s">
        <v>3040</v>
      </c>
      <c r="AG7" s="543" t="s">
        <v>34</v>
      </c>
      <c r="AH7" s="543" t="s">
        <v>34</v>
      </c>
      <c r="AI7" s="543" t="s">
        <v>34</v>
      </c>
      <c r="AJ7" s="543" t="s">
        <v>34</v>
      </c>
      <c r="AK7" s="543" t="s">
        <v>1818</v>
      </c>
      <c r="AL7" s="543" t="s">
        <v>34</v>
      </c>
      <c r="AM7" s="61" t="s">
        <v>4495</v>
      </c>
      <c r="AN7" s="541">
        <v>0</v>
      </c>
      <c r="AO7" s="541">
        <v>0</v>
      </c>
      <c r="AP7" s="61"/>
      <c r="CE7" s="447"/>
      <c r="CF7" t="e">
        <f t="shared" si="0"/>
        <v>#N/A</v>
      </c>
      <c r="CG7" s="447" t="str">
        <v>AAA AIR SUPPORT</v>
      </c>
      <c r="CI7" s="447"/>
      <c r="CJ7" s="447"/>
    </row>
    <row r="8" spans="1:88" x14ac:dyDescent="0.2">
      <c r="A8" s="61">
        <v>7</v>
      </c>
      <c r="B8" s="542" t="s">
        <v>5312</v>
      </c>
      <c r="C8" s="543" t="s">
        <v>4372</v>
      </c>
      <c r="D8" s="543" t="s">
        <v>5319</v>
      </c>
      <c r="E8" s="543" t="s">
        <v>1775</v>
      </c>
      <c r="F8" s="543" t="s">
        <v>1731</v>
      </c>
      <c r="G8" s="543" t="s">
        <v>34</v>
      </c>
      <c r="H8" s="543" t="s">
        <v>1821</v>
      </c>
      <c r="I8" s="543" t="s">
        <v>5342</v>
      </c>
      <c r="J8" s="543" t="s">
        <v>1809</v>
      </c>
      <c r="K8" s="543" t="s">
        <v>1943</v>
      </c>
      <c r="L8" s="543" t="s">
        <v>3296</v>
      </c>
      <c r="M8" s="543" t="s">
        <v>4373</v>
      </c>
      <c r="N8" s="543" t="s">
        <v>4374</v>
      </c>
      <c r="O8" s="543" t="s">
        <v>665</v>
      </c>
      <c r="P8" s="543" t="s">
        <v>3176</v>
      </c>
      <c r="Q8" s="543" t="s">
        <v>1819</v>
      </c>
      <c r="R8" s="543" t="s">
        <v>1814</v>
      </c>
      <c r="S8" s="543" t="s">
        <v>3297</v>
      </c>
      <c r="T8" s="543">
        <v>118</v>
      </c>
      <c r="U8" s="543" t="s">
        <v>1844</v>
      </c>
      <c r="V8" s="543" t="s">
        <v>2186</v>
      </c>
      <c r="W8" s="543" t="s">
        <v>3298</v>
      </c>
      <c r="X8" s="543" t="s">
        <v>1815</v>
      </c>
      <c r="Y8" s="543" t="s">
        <v>2327</v>
      </c>
      <c r="Z8" s="543" t="s">
        <v>4375</v>
      </c>
      <c r="AA8" s="543" t="s">
        <v>1815</v>
      </c>
      <c r="AB8" s="543" t="s">
        <v>34</v>
      </c>
      <c r="AC8" s="543" t="s">
        <v>1816</v>
      </c>
      <c r="AD8" s="543" t="s">
        <v>1817</v>
      </c>
      <c r="AE8" s="543" t="s">
        <v>1455</v>
      </c>
      <c r="AF8" s="543">
        <v>22</v>
      </c>
      <c r="AG8" s="543">
        <v>137</v>
      </c>
      <c r="AH8" s="543">
        <v>34</v>
      </c>
      <c r="AI8" s="543" t="s">
        <v>3649</v>
      </c>
      <c r="AJ8" s="543" t="s">
        <v>34</v>
      </c>
      <c r="AK8" s="543" t="s">
        <v>1818</v>
      </c>
      <c r="AL8" s="543" t="s">
        <v>34</v>
      </c>
      <c r="AM8" s="61" t="s">
        <v>4495</v>
      </c>
      <c r="AN8" s="541">
        <v>0</v>
      </c>
      <c r="AO8" s="541">
        <v>0</v>
      </c>
      <c r="AP8" s="61"/>
      <c r="CE8" s="447"/>
      <c r="CF8" t="e">
        <f t="shared" si="0"/>
        <v>#N/A</v>
      </c>
      <c r="CG8" s="447" t="str">
        <v>AADFW, INC.</v>
      </c>
      <c r="CI8" s="447"/>
      <c r="CJ8" s="447"/>
    </row>
    <row r="9" spans="1:88" x14ac:dyDescent="0.2">
      <c r="A9" s="61">
        <v>8</v>
      </c>
      <c r="B9" s="542" t="s">
        <v>5312</v>
      </c>
      <c r="C9" s="543" t="s">
        <v>1307</v>
      </c>
      <c r="D9" s="543" t="s">
        <v>5320</v>
      </c>
      <c r="E9" s="543" t="s">
        <v>1775</v>
      </c>
      <c r="F9" s="543" t="s">
        <v>1731</v>
      </c>
      <c r="G9" s="543" t="s">
        <v>34</v>
      </c>
      <c r="H9" s="543" t="s">
        <v>1821</v>
      </c>
      <c r="I9" s="543" t="s">
        <v>5342</v>
      </c>
      <c r="J9" s="543" t="s">
        <v>1461</v>
      </c>
      <c r="K9" s="543" t="s">
        <v>3299</v>
      </c>
      <c r="L9" s="543" t="s">
        <v>3300</v>
      </c>
      <c r="M9" s="543">
        <v>390366</v>
      </c>
      <c r="N9" s="543" t="s">
        <v>1307</v>
      </c>
      <c r="O9" s="543" t="s">
        <v>2092</v>
      </c>
      <c r="P9" s="543" t="s">
        <v>3301</v>
      </c>
      <c r="Q9" s="543" t="s">
        <v>1813</v>
      </c>
      <c r="R9" s="543" t="s">
        <v>1814</v>
      </c>
      <c r="S9" s="543" t="s">
        <v>3302</v>
      </c>
      <c r="T9" s="543">
        <v>36</v>
      </c>
      <c r="U9" s="543" t="s">
        <v>1844</v>
      </c>
      <c r="V9" s="543" t="s">
        <v>5173</v>
      </c>
      <c r="W9" s="543" t="s">
        <v>5174</v>
      </c>
      <c r="X9" s="543" t="s">
        <v>1815</v>
      </c>
      <c r="Y9" s="543" t="s">
        <v>2327</v>
      </c>
      <c r="Z9" s="543" t="s">
        <v>3303</v>
      </c>
      <c r="AA9" s="543" t="s">
        <v>1815</v>
      </c>
      <c r="AB9" s="543" t="s">
        <v>34</v>
      </c>
      <c r="AC9" s="543" t="s">
        <v>1816</v>
      </c>
      <c r="AD9" s="543" t="s">
        <v>1817</v>
      </c>
      <c r="AE9" s="543" t="s">
        <v>1455</v>
      </c>
      <c r="AF9" s="543">
        <v>2.5</v>
      </c>
      <c r="AG9" s="543">
        <v>0</v>
      </c>
      <c r="AH9" s="543">
        <v>10</v>
      </c>
      <c r="AI9" s="543" t="s">
        <v>3650</v>
      </c>
      <c r="AJ9" s="543" t="s">
        <v>3651</v>
      </c>
      <c r="AK9" s="543" t="s">
        <v>1818</v>
      </c>
      <c r="AL9" s="543" t="s">
        <v>34</v>
      </c>
      <c r="AM9" s="61" t="s">
        <v>4495</v>
      </c>
      <c r="AN9" s="541">
        <v>0</v>
      </c>
      <c r="AO9" s="541">
        <v>0</v>
      </c>
      <c r="AP9" s="61"/>
      <c r="CE9" s="447"/>
      <c r="CF9" t="e">
        <f t="shared" si="0"/>
        <v>#N/A</v>
      </c>
      <c r="CG9" s="447" t="str">
        <v>AAR COMPONENT SERVICES - WELLINGTON</v>
      </c>
      <c r="CI9" s="447"/>
      <c r="CJ9" s="447"/>
    </row>
    <row r="10" spans="1:88" x14ac:dyDescent="0.2">
      <c r="A10" s="61">
        <v>9</v>
      </c>
      <c r="B10" s="542" t="s">
        <v>5312</v>
      </c>
      <c r="C10" s="543" t="s">
        <v>1302</v>
      </c>
      <c r="D10" s="543" t="s">
        <v>5321</v>
      </c>
      <c r="E10" s="543" t="s">
        <v>1775</v>
      </c>
      <c r="F10" s="543" t="s">
        <v>1731</v>
      </c>
      <c r="G10" s="543" t="s">
        <v>34</v>
      </c>
      <c r="H10" s="543" t="s">
        <v>1821</v>
      </c>
      <c r="I10" s="543" t="s">
        <v>5342</v>
      </c>
      <c r="J10" s="543" t="s">
        <v>1461</v>
      </c>
      <c r="K10" s="543" t="s">
        <v>1825</v>
      </c>
      <c r="L10" s="543" t="s">
        <v>3319</v>
      </c>
      <c r="M10" s="543">
        <v>633775</v>
      </c>
      <c r="N10" s="543" t="s">
        <v>1302</v>
      </c>
      <c r="O10" s="543" t="s">
        <v>2092</v>
      </c>
      <c r="P10" s="543" t="s">
        <v>5175</v>
      </c>
      <c r="Q10" s="543" t="s">
        <v>1813</v>
      </c>
      <c r="R10" s="543" t="s">
        <v>1915</v>
      </c>
      <c r="S10" s="543" t="s">
        <v>3320</v>
      </c>
      <c r="T10" s="543">
        <v>0.99</v>
      </c>
      <c r="U10" s="543" t="s">
        <v>1844</v>
      </c>
      <c r="V10" s="543" t="s">
        <v>3321</v>
      </c>
      <c r="W10" s="543" t="s">
        <v>109</v>
      </c>
      <c r="X10" s="543" t="s">
        <v>2431</v>
      </c>
      <c r="Y10" s="543" t="s">
        <v>2327</v>
      </c>
      <c r="Z10" s="543" t="s">
        <v>3322</v>
      </c>
      <c r="AA10" s="543" t="s">
        <v>1815</v>
      </c>
      <c r="AB10" s="543" t="s">
        <v>3323</v>
      </c>
      <c r="AC10" s="543" t="s">
        <v>1816</v>
      </c>
      <c r="AD10" s="543" t="s">
        <v>1817</v>
      </c>
      <c r="AE10" s="543" t="s">
        <v>1455</v>
      </c>
      <c r="AF10" s="543" t="s">
        <v>3040</v>
      </c>
      <c r="AG10" s="543" t="s">
        <v>34</v>
      </c>
      <c r="AH10" s="543" t="s">
        <v>34</v>
      </c>
      <c r="AI10" s="543" t="s">
        <v>34</v>
      </c>
      <c r="AJ10" s="543" t="s">
        <v>34</v>
      </c>
      <c r="AK10" s="543" t="s">
        <v>1818</v>
      </c>
      <c r="AL10" s="543" t="s">
        <v>34</v>
      </c>
      <c r="AM10" s="61" t="s">
        <v>4495</v>
      </c>
      <c r="AN10" s="541">
        <v>0</v>
      </c>
      <c r="AO10" s="541">
        <v>0</v>
      </c>
      <c r="AP10" s="61"/>
      <c r="CE10" s="447"/>
      <c r="CF10" t="e">
        <f t="shared" si="0"/>
        <v>#N/A</v>
      </c>
      <c r="CG10" s="447" t="str">
        <v>AAT AERO, INC.</v>
      </c>
      <c r="CI10" s="447"/>
      <c r="CJ10" s="447"/>
    </row>
    <row r="11" spans="1:88" x14ac:dyDescent="0.2">
      <c r="A11" s="61">
        <v>10</v>
      </c>
      <c r="B11" s="542" t="s">
        <v>5312</v>
      </c>
      <c r="C11" s="543" t="s">
        <v>1536</v>
      </c>
      <c r="D11" s="543" t="s">
        <v>5322</v>
      </c>
      <c r="E11" s="543" t="s">
        <v>1775</v>
      </c>
      <c r="F11" s="543" t="s">
        <v>1731</v>
      </c>
      <c r="G11" s="543" t="s">
        <v>34</v>
      </c>
      <c r="H11" s="543" t="s">
        <v>1821</v>
      </c>
      <c r="I11" s="543" t="s">
        <v>5342</v>
      </c>
      <c r="J11" s="543" t="s">
        <v>1461</v>
      </c>
      <c r="K11" s="543" t="s">
        <v>3018</v>
      </c>
      <c r="L11" s="543" t="s">
        <v>3280</v>
      </c>
      <c r="M11" s="543">
        <v>330692</v>
      </c>
      <c r="N11" s="543" t="s">
        <v>1536</v>
      </c>
      <c r="O11" s="543" t="s">
        <v>2092</v>
      </c>
      <c r="P11" s="543" t="s">
        <v>3301</v>
      </c>
      <c r="Q11" s="543" t="s">
        <v>1813</v>
      </c>
      <c r="R11" s="543" t="s">
        <v>1915</v>
      </c>
      <c r="S11" s="543" t="s">
        <v>2479</v>
      </c>
      <c r="T11" s="543">
        <v>8</v>
      </c>
      <c r="U11" s="543" t="s">
        <v>1844</v>
      </c>
      <c r="V11" s="543" t="s">
        <v>3281</v>
      </c>
      <c r="W11" s="543" t="s">
        <v>3282</v>
      </c>
      <c r="X11" s="543" t="s">
        <v>1815</v>
      </c>
      <c r="Y11" s="543" t="s">
        <v>2487</v>
      </c>
      <c r="Z11" s="543" t="s">
        <v>4730</v>
      </c>
      <c r="AA11" s="543" t="s">
        <v>1815</v>
      </c>
      <c r="AB11" s="543" t="s">
        <v>3283</v>
      </c>
      <c r="AC11" s="543" t="s">
        <v>1816</v>
      </c>
      <c r="AD11" s="543" t="s">
        <v>1817</v>
      </c>
      <c r="AE11" s="543" t="s">
        <v>1455</v>
      </c>
      <c r="AF11" s="543">
        <v>100</v>
      </c>
      <c r="AG11" s="543">
        <v>0.1</v>
      </c>
      <c r="AH11" s="543">
        <v>0</v>
      </c>
      <c r="AI11" s="543" t="s">
        <v>3645</v>
      </c>
      <c r="AJ11" s="543" t="s">
        <v>34</v>
      </c>
      <c r="AK11" s="543" t="s">
        <v>1818</v>
      </c>
      <c r="AL11" s="543" t="s">
        <v>34</v>
      </c>
      <c r="AM11" s="61" t="s">
        <v>4495</v>
      </c>
      <c r="AN11" s="541">
        <v>0</v>
      </c>
      <c r="AO11" s="541">
        <v>0</v>
      </c>
      <c r="AP11" s="61"/>
      <c r="CE11" s="447"/>
      <c r="CF11" t="e">
        <f t="shared" si="0"/>
        <v>#N/A</v>
      </c>
      <c r="CG11" s="447" t="str">
        <v>ABBOTT ALUMINUM, INC.</v>
      </c>
      <c r="CI11" s="447"/>
      <c r="CJ11" s="447"/>
    </row>
    <row r="12" spans="1:88" x14ac:dyDescent="0.2">
      <c r="A12" s="61">
        <v>11</v>
      </c>
      <c r="B12" s="542" t="s">
        <v>5312</v>
      </c>
      <c r="C12" s="543" t="s">
        <v>1688</v>
      </c>
      <c r="D12" s="543" t="s">
        <v>5323</v>
      </c>
      <c r="E12" s="543" t="s">
        <v>1775</v>
      </c>
      <c r="F12" s="543" t="s">
        <v>1731</v>
      </c>
      <c r="G12" s="543" t="s">
        <v>34</v>
      </c>
      <c r="H12" s="543" t="s">
        <v>1821</v>
      </c>
      <c r="I12" s="543" t="s">
        <v>5342</v>
      </c>
      <c r="J12" s="543" t="s">
        <v>1461</v>
      </c>
      <c r="K12" s="543" t="s">
        <v>993</v>
      </c>
      <c r="L12" s="543" t="s">
        <v>3284</v>
      </c>
      <c r="M12" s="543">
        <v>166006</v>
      </c>
      <c r="N12" s="543" t="s">
        <v>1688</v>
      </c>
      <c r="O12" s="543" t="s">
        <v>2092</v>
      </c>
      <c r="P12" s="543" t="s">
        <v>1879</v>
      </c>
      <c r="Q12" s="543" t="s">
        <v>1819</v>
      </c>
      <c r="R12" s="543" t="s">
        <v>1878</v>
      </c>
      <c r="S12" s="543" t="s">
        <v>3285</v>
      </c>
      <c r="T12" s="543">
        <v>45.3</v>
      </c>
      <c r="U12" s="543" t="s">
        <v>1844</v>
      </c>
      <c r="V12" s="543" t="s">
        <v>3286</v>
      </c>
      <c r="W12" s="543" t="s">
        <v>3287</v>
      </c>
      <c r="X12" s="543" t="s">
        <v>1815</v>
      </c>
      <c r="Y12" s="543" t="s">
        <v>109</v>
      </c>
      <c r="Z12" s="543" t="s">
        <v>109</v>
      </c>
      <c r="AA12" s="543" t="s">
        <v>109</v>
      </c>
      <c r="AB12" s="543" t="s">
        <v>34</v>
      </c>
      <c r="AC12" s="543" t="s">
        <v>1816</v>
      </c>
      <c r="AD12" s="543" t="s">
        <v>1817</v>
      </c>
      <c r="AE12" s="543" t="s">
        <v>1455</v>
      </c>
      <c r="AF12" s="543" t="s">
        <v>3040</v>
      </c>
      <c r="AG12" s="543" t="s">
        <v>34</v>
      </c>
      <c r="AH12" s="543" t="s">
        <v>34</v>
      </c>
      <c r="AI12" s="543" t="s">
        <v>34</v>
      </c>
      <c r="AJ12" s="543" t="s">
        <v>34</v>
      </c>
      <c r="AK12" s="543" t="s">
        <v>1818</v>
      </c>
      <c r="AL12" s="543" t="s">
        <v>34</v>
      </c>
      <c r="AM12" s="61" t="s">
        <v>4495</v>
      </c>
      <c r="AN12" s="541">
        <v>0</v>
      </c>
      <c r="AO12" s="541">
        <v>0</v>
      </c>
      <c r="AP12" s="61"/>
      <c r="CE12" s="447"/>
      <c r="CF12" t="e">
        <f t="shared" si="0"/>
        <v>#N/A</v>
      </c>
      <c r="CG12" s="447" t="str">
        <v>ABSOLUTE CAL &amp; CONSULTING SERVICES LLC</v>
      </c>
      <c r="CI12" s="447"/>
      <c r="CJ12" s="447"/>
    </row>
    <row r="13" spans="1:88" x14ac:dyDescent="0.2">
      <c r="A13" s="61">
        <v>12</v>
      </c>
      <c r="B13" s="542" t="s">
        <v>5312</v>
      </c>
      <c r="C13" s="543" t="s">
        <v>4157</v>
      </c>
      <c r="D13" s="543" t="s">
        <v>5324</v>
      </c>
      <c r="E13" s="543" t="s">
        <v>1775</v>
      </c>
      <c r="F13" s="543" t="s">
        <v>1731</v>
      </c>
      <c r="G13" s="543" t="s">
        <v>34</v>
      </c>
      <c r="H13" s="543" t="s">
        <v>1821</v>
      </c>
      <c r="I13" s="543" t="s">
        <v>4736</v>
      </c>
      <c r="J13" s="543" t="s">
        <v>1461</v>
      </c>
      <c r="K13" s="543" t="s">
        <v>4157</v>
      </c>
      <c r="L13" s="543" t="s">
        <v>4158</v>
      </c>
      <c r="M13" s="543" t="s">
        <v>4159</v>
      </c>
      <c r="N13" s="543" t="s">
        <v>4157</v>
      </c>
      <c r="O13" s="543" t="s">
        <v>2092</v>
      </c>
      <c r="P13" s="543" t="s">
        <v>2215</v>
      </c>
      <c r="Q13" s="543" t="s">
        <v>4160</v>
      </c>
      <c r="R13" s="543" t="s">
        <v>1878</v>
      </c>
      <c r="S13" s="543" t="s">
        <v>4161</v>
      </c>
      <c r="T13" s="543">
        <v>83.3</v>
      </c>
      <c r="U13" s="543" t="s">
        <v>1844</v>
      </c>
      <c r="V13" s="543" t="s">
        <v>2453</v>
      </c>
      <c r="W13" s="543" t="s">
        <v>4162</v>
      </c>
      <c r="X13" s="543" t="s">
        <v>1815</v>
      </c>
      <c r="Y13" s="543" t="s">
        <v>2327</v>
      </c>
      <c r="Z13" s="543" t="s">
        <v>4163</v>
      </c>
      <c r="AA13" s="543" t="s">
        <v>1815</v>
      </c>
      <c r="AB13" s="543" t="s">
        <v>34</v>
      </c>
      <c r="AC13" s="543" t="s">
        <v>1816</v>
      </c>
      <c r="AD13" s="543" t="s">
        <v>1817</v>
      </c>
      <c r="AE13" s="543" t="s">
        <v>1455</v>
      </c>
      <c r="AF13" s="543">
        <v>10</v>
      </c>
      <c r="AG13" s="543">
        <v>235</v>
      </c>
      <c r="AH13" s="543">
        <v>5</v>
      </c>
      <c r="AI13" s="543" t="s">
        <v>34</v>
      </c>
      <c r="AJ13" s="543" t="s">
        <v>34</v>
      </c>
      <c r="AK13" s="543" t="s">
        <v>1818</v>
      </c>
      <c r="AL13" s="543" t="s">
        <v>34</v>
      </c>
      <c r="AM13" s="61" t="s">
        <v>4495</v>
      </c>
      <c r="AN13" s="541">
        <v>0</v>
      </c>
      <c r="AO13" s="541">
        <v>0</v>
      </c>
      <c r="AP13" s="61"/>
      <c r="CE13" s="447"/>
      <c r="CF13" t="e">
        <f t="shared" si="0"/>
        <v>#N/A</v>
      </c>
      <c r="CG13" s="447" t="str">
        <v>ABSOLUTE DIMENSIONS</v>
      </c>
      <c r="CI13" s="447"/>
      <c r="CJ13" s="447"/>
    </row>
    <row r="14" spans="1:88" x14ac:dyDescent="0.2">
      <c r="A14" s="61">
        <v>13</v>
      </c>
      <c r="B14" s="542" t="s">
        <v>5312</v>
      </c>
      <c r="C14" s="543" t="s">
        <v>4369</v>
      </c>
      <c r="D14" s="543" t="s">
        <v>5324</v>
      </c>
      <c r="E14" s="543" t="s">
        <v>1775</v>
      </c>
      <c r="F14" s="543" t="s">
        <v>1731</v>
      </c>
      <c r="G14" s="543" t="s">
        <v>34</v>
      </c>
      <c r="H14" s="543" t="s">
        <v>1821</v>
      </c>
      <c r="I14" s="543" t="s">
        <v>5342</v>
      </c>
      <c r="J14" s="543" t="s">
        <v>1461</v>
      </c>
      <c r="K14" s="543" t="s">
        <v>993</v>
      </c>
      <c r="L14" s="543" t="s">
        <v>3040</v>
      </c>
      <c r="M14" s="543" t="s">
        <v>4369</v>
      </c>
      <c r="N14" s="543" t="s">
        <v>4369</v>
      </c>
      <c r="O14" s="543" t="s">
        <v>2092</v>
      </c>
      <c r="P14" s="543" t="s">
        <v>1879</v>
      </c>
      <c r="Q14" s="543" t="s">
        <v>1819</v>
      </c>
      <c r="R14" s="543" t="s">
        <v>1814</v>
      </c>
      <c r="S14" s="543" t="s">
        <v>3289</v>
      </c>
      <c r="T14" s="543">
        <v>27</v>
      </c>
      <c r="U14" s="543" t="s">
        <v>1844</v>
      </c>
      <c r="V14" s="543" t="s">
        <v>4370</v>
      </c>
      <c r="W14" s="543" t="s">
        <v>4371</v>
      </c>
      <c r="X14" s="543" t="s">
        <v>1815</v>
      </c>
      <c r="Y14" s="543" t="s">
        <v>109</v>
      </c>
      <c r="Z14" s="543" t="s">
        <v>109</v>
      </c>
      <c r="AA14" s="543" t="s">
        <v>109</v>
      </c>
      <c r="AB14" s="543" t="s">
        <v>34</v>
      </c>
      <c r="AC14" s="543" t="s">
        <v>1816</v>
      </c>
      <c r="AD14" s="543" t="s">
        <v>1817</v>
      </c>
      <c r="AE14" s="543" t="s">
        <v>1455</v>
      </c>
      <c r="AF14" s="543" t="s">
        <v>3040</v>
      </c>
      <c r="AG14" s="543" t="s">
        <v>34</v>
      </c>
      <c r="AH14" s="543" t="s">
        <v>34</v>
      </c>
      <c r="AI14" s="543" t="s">
        <v>34</v>
      </c>
      <c r="AJ14" s="543" t="s">
        <v>34</v>
      </c>
      <c r="AK14" s="543" t="s">
        <v>1818</v>
      </c>
      <c r="AL14" s="543" t="s">
        <v>34</v>
      </c>
      <c r="AM14" s="61" t="s">
        <v>4495</v>
      </c>
      <c r="AN14" s="541">
        <v>0</v>
      </c>
      <c r="AO14" s="541">
        <v>0</v>
      </c>
      <c r="AP14" s="61"/>
      <c r="CE14" s="447"/>
      <c r="CF14" t="e">
        <f t="shared" si="0"/>
        <v>#N/A</v>
      </c>
      <c r="CG14" s="447" t="str">
        <v>ACCURATE HOLDINGS LLC</v>
      </c>
      <c r="CI14" s="447"/>
      <c r="CJ14" s="447"/>
    </row>
    <row r="15" spans="1:88" x14ac:dyDescent="0.2">
      <c r="A15" s="61">
        <v>14</v>
      </c>
      <c r="B15" s="542" t="s">
        <v>5312</v>
      </c>
      <c r="C15" s="543" t="s">
        <v>1304</v>
      </c>
      <c r="D15" s="543" t="s">
        <v>5325</v>
      </c>
      <c r="E15" s="543" t="s">
        <v>1775</v>
      </c>
      <c r="F15" s="543" t="s">
        <v>1731</v>
      </c>
      <c r="G15" s="543" t="s">
        <v>34</v>
      </c>
      <c r="H15" s="543" t="s">
        <v>1821</v>
      </c>
      <c r="I15" s="543" t="s">
        <v>5342</v>
      </c>
      <c r="J15" s="543" t="s">
        <v>1461</v>
      </c>
      <c r="K15" s="543" t="s">
        <v>1202</v>
      </c>
      <c r="L15" s="543" t="s">
        <v>3310</v>
      </c>
      <c r="M15" s="543">
        <v>313256</v>
      </c>
      <c r="N15" s="543" t="s">
        <v>1304</v>
      </c>
      <c r="O15" s="543" t="s">
        <v>2092</v>
      </c>
      <c r="P15" s="543" t="s">
        <v>2481</v>
      </c>
      <c r="Q15" s="543" t="s">
        <v>1897</v>
      </c>
      <c r="R15" s="543" t="s">
        <v>1814</v>
      </c>
      <c r="S15" s="543" t="s">
        <v>3289</v>
      </c>
      <c r="T15" s="543">
        <v>27</v>
      </c>
      <c r="U15" s="543" t="s">
        <v>1844</v>
      </c>
      <c r="V15" s="543" t="s">
        <v>3313</v>
      </c>
      <c r="W15" s="543">
        <v>7142003043</v>
      </c>
      <c r="X15" s="543" t="s">
        <v>1815</v>
      </c>
      <c r="Y15" s="543" t="s">
        <v>2327</v>
      </c>
      <c r="Z15" s="543" t="s">
        <v>4688</v>
      </c>
      <c r="AA15" s="543" t="s">
        <v>1815</v>
      </c>
      <c r="AB15" s="543" t="s">
        <v>34</v>
      </c>
      <c r="AC15" s="543" t="s">
        <v>1816</v>
      </c>
      <c r="AD15" s="543" t="s">
        <v>1817</v>
      </c>
      <c r="AE15" s="543" t="s">
        <v>1455</v>
      </c>
      <c r="AF15" s="543">
        <v>3</v>
      </c>
      <c r="AG15" s="543">
        <v>0.43</v>
      </c>
      <c r="AH15" s="543">
        <v>2</v>
      </c>
      <c r="AI15" s="543" t="s">
        <v>4689</v>
      </c>
      <c r="AJ15" s="543" t="s">
        <v>3653</v>
      </c>
      <c r="AK15" s="543" t="s">
        <v>1818</v>
      </c>
      <c r="AL15" s="543" t="s">
        <v>34</v>
      </c>
      <c r="AM15" s="61" t="s">
        <v>4495</v>
      </c>
      <c r="AN15" s="541">
        <v>0</v>
      </c>
      <c r="AO15" s="541">
        <v>0</v>
      </c>
      <c r="AP15" s="61"/>
      <c r="CE15" s="447"/>
      <c r="CF15" t="e">
        <f t="shared" si="0"/>
        <v>#N/A</v>
      </c>
      <c r="CG15" s="447" t="str">
        <v>ACCURATE SOLUTIONS</v>
      </c>
      <c r="CI15" s="447"/>
      <c r="CJ15" s="447"/>
    </row>
    <row r="16" spans="1:88" x14ac:dyDescent="0.2">
      <c r="A16" s="61">
        <v>15</v>
      </c>
      <c r="B16" s="542" t="s">
        <v>5312</v>
      </c>
      <c r="C16" s="543" t="s">
        <v>1305</v>
      </c>
      <c r="D16" s="543" t="s">
        <v>5326</v>
      </c>
      <c r="E16" s="543" t="s">
        <v>1775</v>
      </c>
      <c r="F16" s="543" t="s">
        <v>1731</v>
      </c>
      <c r="G16" s="543" t="s">
        <v>34</v>
      </c>
      <c r="H16" s="543" t="s">
        <v>1821</v>
      </c>
      <c r="I16" s="543" t="s">
        <v>5342</v>
      </c>
      <c r="J16" s="543" t="s">
        <v>1461</v>
      </c>
      <c r="K16" s="543" t="s">
        <v>1202</v>
      </c>
      <c r="L16" s="543" t="s">
        <v>3310</v>
      </c>
      <c r="M16" s="543">
        <v>313459</v>
      </c>
      <c r="N16" s="543" t="s">
        <v>1305</v>
      </c>
      <c r="O16" s="543" t="s">
        <v>2092</v>
      </c>
      <c r="P16" s="543" t="s">
        <v>2215</v>
      </c>
      <c r="Q16" s="543" t="s">
        <v>1813</v>
      </c>
      <c r="R16" s="543" t="s">
        <v>1814</v>
      </c>
      <c r="S16" s="543" t="s">
        <v>3289</v>
      </c>
      <c r="T16" s="543">
        <v>27</v>
      </c>
      <c r="U16" s="543" t="s">
        <v>1844</v>
      </c>
      <c r="V16" s="543" t="s">
        <v>3311</v>
      </c>
      <c r="W16" s="543" t="s">
        <v>3312</v>
      </c>
      <c r="X16" s="543" t="s">
        <v>1815</v>
      </c>
      <c r="Y16" s="543" t="s">
        <v>109</v>
      </c>
      <c r="Z16" s="543" t="s">
        <v>109</v>
      </c>
      <c r="AA16" s="543" t="s">
        <v>109</v>
      </c>
      <c r="AB16" s="543" t="s">
        <v>34</v>
      </c>
      <c r="AC16" s="543" t="s">
        <v>1816</v>
      </c>
      <c r="AD16" s="543" t="s">
        <v>1817</v>
      </c>
      <c r="AE16" s="543" t="s">
        <v>1455</v>
      </c>
      <c r="AF16" s="543">
        <v>1</v>
      </c>
      <c r="AG16" s="543">
        <v>0.1</v>
      </c>
      <c r="AH16" s="543">
        <v>1.1100000000000001</v>
      </c>
      <c r="AI16" s="543" t="s">
        <v>3645</v>
      </c>
      <c r="AJ16" s="543" t="s">
        <v>34</v>
      </c>
      <c r="AK16" s="543" t="s">
        <v>1818</v>
      </c>
      <c r="AL16" s="543" t="s">
        <v>34</v>
      </c>
      <c r="AM16" s="61" t="s">
        <v>4495</v>
      </c>
      <c r="AN16" s="541">
        <v>0</v>
      </c>
      <c r="AO16" s="541">
        <v>0</v>
      </c>
      <c r="AP16" s="61"/>
      <c r="CE16" s="447"/>
      <c r="CF16" t="e">
        <f t="shared" si="0"/>
        <v>#N/A</v>
      </c>
      <c r="CG16" s="447" t="str">
        <v>ACCUREASY METROLOGIA ABSOLUTE S. DE R.L.</v>
      </c>
      <c r="CI16" s="447"/>
      <c r="CJ16" s="447"/>
    </row>
    <row r="17" spans="1:88" x14ac:dyDescent="0.2">
      <c r="A17" s="61">
        <v>16</v>
      </c>
      <c r="B17" s="542" t="s">
        <v>1575</v>
      </c>
      <c r="C17" s="543" t="s">
        <v>1527</v>
      </c>
      <c r="D17" s="543" t="s">
        <v>3667</v>
      </c>
      <c r="E17" s="543" t="s">
        <v>1698</v>
      </c>
      <c r="F17" s="543" t="s">
        <v>1697</v>
      </c>
      <c r="G17" s="543" t="s">
        <v>34</v>
      </c>
      <c r="H17" s="543" t="s">
        <v>1821</v>
      </c>
      <c r="I17" s="543" t="s">
        <v>4736</v>
      </c>
      <c r="J17" s="543" t="s">
        <v>1809</v>
      </c>
      <c r="K17" s="543" t="s">
        <v>1825</v>
      </c>
      <c r="L17" s="543" t="s">
        <v>1886</v>
      </c>
      <c r="M17" s="543">
        <v>8418.1111000000001</v>
      </c>
      <c r="N17" s="543" t="s">
        <v>1527</v>
      </c>
      <c r="O17" s="543" t="s">
        <v>665</v>
      </c>
      <c r="P17" s="543" t="s">
        <v>1887</v>
      </c>
      <c r="Q17" s="543" t="s">
        <v>4553</v>
      </c>
      <c r="R17" s="543" t="s">
        <v>1814</v>
      </c>
      <c r="S17" s="543" t="s">
        <v>1888</v>
      </c>
      <c r="T17" s="543">
        <v>2.4</v>
      </c>
      <c r="U17" s="543" t="s">
        <v>1844</v>
      </c>
      <c r="V17" s="543" t="s">
        <v>1889</v>
      </c>
      <c r="W17" s="543">
        <v>8418.1111000000001</v>
      </c>
      <c r="X17" s="543" t="s">
        <v>4554</v>
      </c>
      <c r="Y17" s="543" t="s">
        <v>1889</v>
      </c>
      <c r="Z17" s="543">
        <v>8418.1111000000001</v>
      </c>
      <c r="AA17" s="543" t="s">
        <v>4554</v>
      </c>
      <c r="AB17" s="543" t="s">
        <v>1885</v>
      </c>
      <c r="AC17" s="543" t="s">
        <v>1816</v>
      </c>
      <c r="AD17" s="543" t="s">
        <v>1817</v>
      </c>
      <c r="AE17" s="543" t="s">
        <v>1455</v>
      </c>
      <c r="AF17" s="543" t="s">
        <v>3040</v>
      </c>
      <c r="AG17" s="543" t="s">
        <v>34</v>
      </c>
      <c r="AH17" s="543" t="s">
        <v>34</v>
      </c>
      <c r="AI17" s="543" t="s">
        <v>34</v>
      </c>
      <c r="AJ17" s="543" t="s">
        <v>34</v>
      </c>
      <c r="AK17" s="543" t="s">
        <v>1818</v>
      </c>
      <c r="AL17" s="543" t="s">
        <v>34</v>
      </c>
      <c r="AM17" s="61" t="s">
        <v>4495</v>
      </c>
      <c r="AN17" s="541">
        <v>0</v>
      </c>
      <c r="AO17" s="541">
        <v>0</v>
      </c>
      <c r="AP17" s="61"/>
      <c r="CE17" s="447"/>
      <c r="CF17" t="e">
        <f t="shared" si="0"/>
        <v>#N/A</v>
      </c>
      <c r="CG17" s="447" t="str">
        <v>ACCURUS AEROSPACE TULSA, LLC</v>
      </c>
      <c r="CI17" s="447"/>
      <c r="CJ17" s="447"/>
    </row>
    <row r="18" spans="1:88" x14ac:dyDescent="0.2">
      <c r="A18" s="61">
        <v>17</v>
      </c>
      <c r="B18" s="542" t="s">
        <v>608</v>
      </c>
      <c r="C18" s="543" t="s">
        <v>612</v>
      </c>
      <c r="D18" s="543" t="s">
        <v>3668</v>
      </c>
      <c r="E18" s="543" t="s">
        <v>1699</v>
      </c>
      <c r="F18" s="543" t="s">
        <v>1697</v>
      </c>
      <c r="G18" s="543" t="s">
        <v>34</v>
      </c>
      <c r="H18" s="543" t="s">
        <v>1821</v>
      </c>
      <c r="I18" s="543" t="s">
        <v>5342</v>
      </c>
      <c r="J18" s="543" t="s">
        <v>1461</v>
      </c>
      <c r="K18" s="543" t="s">
        <v>819</v>
      </c>
      <c r="L18" s="543" t="s">
        <v>1890</v>
      </c>
      <c r="M18" s="543" t="s">
        <v>109</v>
      </c>
      <c r="N18" s="543" t="s">
        <v>612</v>
      </c>
      <c r="O18" s="543" t="s">
        <v>665</v>
      </c>
      <c r="P18" s="543" t="s">
        <v>1891</v>
      </c>
      <c r="Q18" s="543" t="s">
        <v>4553</v>
      </c>
      <c r="R18" s="543" t="s">
        <v>1814</v>
      </c>
      <c r="S18" s="543" t="s">
        <v>1892</v>
      </c>
      <c r="T18" s="543">
        <v>14.6</v>
      </c>
      <c r="U18" s="543" t="s">
        <v>1642</v>
      </c>
      <c r="V18" s="543" t="s">
        <v>1893</v>
      </c>
      <c r="W18" s="543" t="s">
        <v>109</v>
      </c>
      <c r="X18" s="543" t="s">
        <v>4554</v>
      </c>
      <c r="Y18" s="543" t="s">
        <v>109</v>
      </c>
      <c r="Z18" s="543" t="s">
        <v>109</v>
      </c>
      <c r="AA18" s="543" t="s">
        <v>109</v>
      </c>
      <c r="AB18" s="543" t="s">
        <v>4069</v>
      </c>
      <c r="AC18" s="543" t="s">
        <v>1816</v>
      </c>
      <c r="AD18" s="543" t="s">
        <v>1817</v>
      </c>
      <c r="AE18" s="543" t="s">
        <v>1455</v>
      </c>
      <c r="AF18" s="543" t="s">
        <v>3040</v>
      </c>
      <c r="AG18" s="543" t="s">
        <v>34</v>
      </c>
      <c r="AH18" s="543" t="s">
        <v>34</v>
      </c>
      <c r="AI18" s="543" t="s">
        <v>34</v>
      </c>
      <c r="AJ18" s="543" t="s">
        <v>34</v>
      </c>
      <c r="AK18" s="543" t="s">
        <v>1818</v>
      </c>
      <c r="AL18" s="543" t="s">
        <v>34</v>
      </c>
      <c r="AM18" s="61" t="s">
        <v>4495</v>
      </c>
      <c r="AN18" s="541">
        <v>0</v>
      </c>
      <c r="AO18" s="541">
        <v>0</v>
      </c>
      <c r="AP18" s="61"/>
      <c r="CE18" s="447"/>
      <c r="CF18" t="e">
        <f t="shared" si="0"/>
        <v>#N/A</v>
      </c>
      <c r="CG18" s="447" t="str">
        <v>ACCURUS AEROSPACE WICHITA, LLC</v>
      </c>
      <c r="CI18" s="447"/>
      <c r="CJ18" s="447"/>
    </row>
    <row r="19" spans="1:88" x14ac:dyDescent="0.2">
      <c r="A19" s="61">
        <v>18</v>
      </c>
      <c r="B19" s="542" t="s">
        <v>608</v>
      </c>
      <c r="C19" s="543" t="s">
        <v>579</v>
      </c>
      <c r="D19" s="543" t="s">
        <v>3669</v>
      </c>
      <c r="E19" s="543" t="s">
        <v>1699</v>
      </c>
      <c r="F19" s="543" t="s">
        <v>1697</v>
      </c>
      <c r="G19" s="543" t="s">
        <v>34</v>
      </c>
      <c r="H19" s="543" t="s">
        <v>1821</v>
      </c>
      <c r="I19" s="543" t="s">
        <v>5342</v>
      </c>
      <c r="J19" s="543" t="s">
        <v>1809</v>
      </c>
      <c r="K19" s="543" t="s">
        <v>819</v>
      </c>
      <c r="L19" s="543" t="s">
        <v>1895</v>
      </c>
      <c r="M19" s="543">
        <v>78863</v>
      </c>
      <c r="N19" s="543" t="s">
        <v>579</v>
      </c>
      <c r="O19" s="543" t="s">
        <v>5343</v>
      </c>
      <c r="P19" s="543" t="s">
        <v>1896</v>
      </c>
      <c r="Q19" s="543" t="s">
        <v>4555</v>
      </c>
      <c r="R19" s="543" t="s">
        <v>1814</v>
      </c>
      <c r="S19" s="543" t="s">
        <v>1898</v>
      </c>
      <c r="T19" s="543">
        <v>63.9</v>
      </c>
      <c r="U19" s="543" t="s">
        <v>1843</v>
      </c>
      <c r="V19" s="543" t="s">
        <v>1899</v>
      </c>
      <c r="W19" s="543" t="s">
        <v>1900</v>
      </c>
      <c r="X19" s="543" t="s">
        <v>4556</v>
      </c>
      <c r="Y19" s="543" t="s">
        <v>1901</v>
      </c>
      <c r="Z19" s="543" t="s">
        <v>1902</v>
      </c>
      <c r="AA19" s="543" t="s">
        <v>4556</v>
      </c>
      <c r="AB19" s="543" t="s">
        <v>34</v>
      </c>
      <c r="AC19" s="543" t="s">
        <v>1816</v>
      </c>
      <c r="AD19" s="543" t="s">
        <v>1817</v>
      </c>
      <c r="AE19" s="543" t="s">
        <v>1455</v>
      </c>
      <c r="AF19" s="543">
        <v>3.4</v>
      </c>
      <c r="AG19" s="543">
        <v>67</v>
      </c>
      <c r="AH19" s="543" t="s">
        <v>4908</v>
      </c>
      <c r="AI19" s="543" t="s">
        <v>34</v>
      </c>
      <c r="AJ19" s="543" t="s">
        <v>34</v>
      </c>
      <c r="AK19" s="543" t="s">
        <v>1818</v>
      </c>
      <c r="AL19" s="543" t="s">
        <v>34</v>
      </c>
      <c r="AM19" s="61" t="s">
        <v>4495</v>
      </c>
      <c r="AN19" s="541">
        <v>1.4583333333333332E-2</v>
      </c>
      <c r="AO19" s="541">
        <v>0</v>
      </c>
      <c r="AP19" s="61"/>
      <c r="CE19" s="447"/>
      <c r="CF19" t="e">
        <f t="shared" si="0"/>
        <v>#N/A</v>
      </c>
      <c r="CG19" s="447" t="str">
        <v>ACE CLEARWATER ENTERPRISES</v>
      </c>
      <c r="CI19" s="447"/>
      <c r="CJ19" s="447"/>
    </row>
    <row r="20" spans="1:88" x14ac:dyDescent="0.2">
      <c r="A20" s="61">
        <v>19</v>
      </c>
      <c r="B20" s="542" t="s">
        <v>614</v>
      </c>
      <c r="C20" s="543" t="s">
        <v>1643</v>
      </c>
      <c r="D20" s="543" t="s">
        <v>3670</v>
      </c>
      <c r="E20" s="543" t="s">
        <v>1700</v>
      </c>
      <c r="F20" s="543" t="s">
        <v>1697</v>
      </c>
      <c r="G20" s="543" t="s">
        <v>34</v>
      </c>
      <c r="H20" s="543" t="s">
        <v>1821</v>
      </c>
      <c r="I20" s="543" t="s">
        <v>5344</v>
      </c>
      <c r="J20" s="543" t="s">
        <v>1461</v>
      </c>
      <c r="K20" s="543" t="s">
        <v>875</v>
      </c>
      <c r="L20" s="543" t="s">
        <v>1903</v>
      </c>
      <c r="M20" s="543" t="s">
        <v>4088</v>
      </c>
      <c r="N20" s="543" t="s">
        <v>1643</v>
      </c>
      <c r="O20" s="543" t="s">
        <v>665</v>
      </c>
      <c r="P20" s="543" t="s">
        <v>1904</v>
      </c>
      <c r="Q20" s="543" t="s">
        <v>4557</v>
      </c>
      <c r="R20" s="543" t="s">
        <v>1814</v>
      </c>
      <c r="S20" s="543" t="s">
        <v>1905</v>
      </c>
      <c r="T20" s="543">
        <v>2.5</v>
      </c>
      <c r="U20" s="543" t="s">
        <v>1642</v>
      </c>
      <c r="V20" s="543" t="s">
        <v>1906</v>
      </c>
      <c r="W20" s="543">
        <v>41641754</v>
      </c>
      <c r="X20" s="543" t="s">
        <v>4558</v>
      </c>
      <c r="Y20" s="543" t="s">
        <v>109</v>
      </c>
      <c r="Z20" s="543" t="s">
        <v>109</v>
      </c>
      <c r="AA20" s="543" t="s">
        <v>109</v>
      </c>
      <c r="AB20" s="543" t="s">
        <v>1885</v>
      </c>
      <c r="AC20" s="543" t="s">
        <v>1816</v>
      </c>
      <c r="AD20" s="543" t="s">
        <v>1817</v>
      </c>
      <c r="AE20" s="543" t="s">
        <v>1455</v>
      </c>
      <c r="AF20" s="543" t="s">
        <v>3040</v>
      </c>
      <c r="AG20" s="543" t="s">
        <v>34</v>
      </c>
      <c r="AH20" s="543" t="s">
        <v>34</v>
      </c>
      <c r="AI20" s="543" t="s">
        <v>34</v>
      </c>
      <c r="AJ20" s="543" t="s">
        <v>34</v>
      </c>
      <c r="AK20" s="543" t="s">
        <v>1818</v>
      </c>
      <c r="AL20" s="543" t="s">
        <v>34</v>
      </c>
      <c r="AM20" s="61" t="s">
        <v>4495</v>
      </c>
      <c r="AN20" s="541">
        <v>0</v>
      </c>
      <c r="AO20" s="541">
        <v>0</v>
      </c>
      <c r="AP20" s="61"/>
      <c r="CE20" s="447"/>
      <c r="CF20" t="e">
        <f t="shared" si="0"/>
        <v>#N/A</v>
      </c>
      <c r="CG20" s="447" t="str">
        <v>ACME COMPANY</v>
      </c>
      <c r="CI20" s="447"/>
      <c r="CJ20" s="447"/>
    </row>
    <row r="21" spans="1:88" x14ac:dyDescent="0.2">
      <c r="A21" s="61">
        <v>20</v>
      </c>
      <c r="B21" s="542" t="s">
        <v>614</v>
      </c>
      <c r="C21" s="543" t="s">
        <v>1645</v>
      </c>
      <c r="D21" s="543" t="s">
        <v>3671</v>
      </c>
      <c r="E21" s="543" t="s">
        <v>1700</v>
      </c>
      <c r="F21" s="543" t="s">
        <v>1697</v>
      </c>
      <c r="G21" s="543" t="s">
        <v>34</v>
      </c>
      <c r="H21" s="543" t="s">
        <v>1821</v>
      </c>
      <c r="I21" s="543" t="s">
        <v>5342</v>
      </c>
      <c r="J21" s="543" t="s">
        <v>1461</v>
      </c>
      <c r="K21" s="543" t="s">
        <v>875</v>
      </c>
      <c r="L21" s="543" t="s">
        <v>1903</v>
      </c>
      <c r="M21" s="543" t="s">
        <v>4089</v>
      </c>
      <c r="N21" s="543" t="s">
        <v>1645</v>
      </c>
      <c r="O21" s="543" t="s">
        <v>665</v>
      </c>
      <c r="P21" s="543" t="s">
        <v>1904</v>
      </c>
      <c r="Q21" s="543" t="s">
        <v>4557</v>
      </c>
      <c r="R21" s="543" t="s">
        <v>1814</v>
      </c>
      <c r="S21" s="543" t="s">
        <v>1905</v>
      </c>
      <c r="T21" s="543">
        <v>2.5</v>
      </c>
      <c r="U21" s="543" t="s">
        <v>1642</v>
      </c>
      <c r="V21" s="543" t="s">
        <v>1906</v>
      </c>
      <c r="W21" s="543">
        <v>41641755</v>
      </c>
      <c r="X21" s="543" t="s">
        <v>4558</v>
      </c>
      <c r="Y21" s="543" t="s">
        <v>109</v>
      </c>
      <c r="Z21" s="543" t="s">
        <v>109</v>
      </c>
      <c r="AA21" s="543" t="s">
        <v>109</v>
      </c>
      <c r="AB21" s="543" t="s">
        <v>1885</v>
      </c>
      <c r="AC21" s="543" t="s">
        <v>1816</v>
      </c>
      <c r="AD21" s="543" t="s">
        <v>1817</v>
      </c>
      <c r="AE21" s="543" t="s">
        <v>1455</v>
      </c>
      <c r="AF21" s="543" t="s">
        <v>3040</v>
      </c>
      <c r="AG21" s="543" t="s">
        <v>34</v>
      </c>
      <c r="AH21" s="543" t="s">
        <v>34</v>
      </c>
      <c r="AI21" s="543" t="s">
        <v>34</v>
      </c>
      <c r="AJ21" s="543" t="s">
        <v>34</v>
      </c>
      <c r="AK21" s="543" t="s">
        <v>1818</v>
      </c>
      <c r="AL21" s="543" t="s">
        <v>34</v>
      </c>
      <c r="AM21" s="61" t="s">
        <v>4495</v>
      </c>
      <c r="AN21" s="541">
        <v>0</v>
      </c>
      <c r="AO21" s="541">
        <v>0</v>
      </c>
      <c r="AP21" s="61"/>
      <c r="CE21" s="447"/>
      <c r="CF21" t="e">
        <f t="shared" si="0"/>
        <v>#N/A</v>
      </c>
      <c r="CG21" s="447" t="str">
        <v>ACME FOUNDRY, INC.</v>
      </c>
      <c r="CI21" s="447"/>
      <c r="CJ21" s="447"/>
    </row>
    <row r="22" spans="1:88" x14ac:dyDescent="0.2">
      <c r="A22" s="61">
        <v>21</v>
      </c>
      <c r="B22" s="542" t="s">
        <v>614</v>
      </c>
      <c r="C22" s="543" t="s">
        <v>618</v>
      </c>
      <c r="D22" s="543" t="s">
        <v>3672</v>
      </c>
      <c r="E22" s="543" t="s">
        <v>1700</v>
      </c>
      <c r="F22" s="543" t="s">
        <v>1697</v>
      </c>
      <c r="G22" s="543" t="s">
        <v>34</v>
      </c>
      <c r="H22" s="543" t="s">
        <v>1821</v>
      </c>
      <c r="I22" s="543" t="s">
        <v>5342</v>
      </c>
      <c r="J22" s="543" t="s">
        <v>1461</v>
      </c>
      <c r="K22" s="543" t="s">
        <v>1907</v>
      </c>
      <c r="L22" s="543" t="s">
        <v>1919</v>
      </c>
      <c r="M22" s="543" t="s">
        <v>618</v>
      </c>
      <c r="N22" s="543" t="s">
        <v>618</v>
      </c>
      <c r="O22" s="543" t="s">
        <v>665</v>
      </c>
      <c r="P22" s="543" t="s">
        <v>1920</v>
      </c>
      <c r="Q22" s="543" t="s">
        <v>4555</v>
      </c>
      <c r="R22" s="543" t="s">
        <v>1915</v>
      </c>
      <c r="S22" s="543" t="s">
        <v>1921</v>
      </c>
      <c r="T22" s="543">
        <v>2</v>
      </c>
      <c r="U22" s="543" t="s">
        <v>1642</v>
      </c>
      <c r="V22" s="543" t="s">
        <v>1922</v>
      </c>
      <c r="W22" s="543" t="s">
        <v>618</v>
      </c>
      <c r="X22" s="543" t="s">
        <v>4559</v>
      </c>
      <c r="Y22" s="543" t="s">
        <v>109</v>
      </c>
      <c r="Z22" s="543" t="s">
        <v>109</v>
      </c>
      <c r="AA22" s="543" t="s">
        <v>109</v>
      </c>
      <c r="AB22" s="543" t="s">
        <v>1924</v>
      </c>
      <c r="AC22" s="543" t="s">
        <v>1816</v>
      </c>
      <c r="AD22" s="543" t="s">
        <v>1817</v>
      </c>
      <c r="AE22" s="543" t="s">
        <v>1455</v>
      </c>
      <c r="AF22" s="543" t="s">
        <v>3040</v>
      </c>
      <c r="AG22" s="543" t="s">
        <v>34</v>
      </c>
      <c r="AH22" s="543" t="s">
        <v>34</v>
      </c>
      <c r="AI22" s="543" t="s">
        <v>34</v>
      </c>
      <c r="AJ22" s="543" t="s">
        <v>34</v>
      </c>
      <c r="AK22" s="543" t="s">
        <v>1818</v>
      </c>
      <c r="AL22" s="543" t="s">
        <v>34</v>
      </c>
      <c r="AM22" s="61" t="s">
        <v>4495</v>
      </c>
      <c r="AN22" s="541">
        <v>0</v>
      </c>
      <c r="AO22" s="541">
        <v>0</v>
      </c>
      <c r="AP22" s="61"/>
      <c r="CE22" s="447"/>
      <c r="CF22" t="e">
        <f t="shared" si="0"/>
        <v>#N/A</v>
      </c>
      <c r="CG22" s="447" t="str">
        <v>ADAMS ELECTRIC, INC.</v>
      </c>
      <c r="CI22" s="447"/>
      <c r="CJ22" s="447"/>
    </row>
    <row r="23" spans="1:88" x14ac:dyDescent="0.2">
      <c r="A23" s="61">
        <v>22</v>
      </c>
      <c r="B23" s="542" t="s">
        <v>614</v>
      </c>
      <c r="C23" s="543" t="s">
        <v>616</v>
      </c>
      <c r="D23" s="543" t="s">
        <v>3673</v>
      </c>
      <c r="E23" s="543" t="s">
        <v>1700</v>
      </c>
      <c r="F23" s="543" t="s">
        <v>1697</v>
      </c>
      <c r="G23" s="543" t="s">
        <v>34</v>
      </c>
      <c r="H23" s="543" t="s">
        <v>1821</v>
      </c>
      <c r="I23" s="543" t="s">
        <v>5342</v>
      </c>
      <c r="J23" s="543" t="s">
        <v>1461</v>
      </c>
      <c r="K23" s="543" t="s">
        <v>1907</v>
      </c>
      <c r="L23" s="543" t="s">
        <v>1913</v>
      </c>
      <c r="M23" s="543" t="s">
        <v>1914</v>
      </c>
      <c r="N23" s="543" t="s">
        <v>616</v>
      </c>
      <c r="O23" s="543" t="s">
        <v>665</v>
      </c>
      <c r="P23" s="543" t="s">
        <v>1909</v>
      </c>
      <c r="Q23" s="543" t="s">
        <v>4555</v>
      </c>
      <c r="R23" s="543" t="s">
        <v>1915</v>
      </c>
      <c r="S23" s="543" t="s">
        <v>1916</v>
      </c>
      <c r="T23" s="543">
        <v>4.8</v>
      </c>
      <c r="U23" s="543" t="s">
        <v>1642</v>
      </c>
      <c r="V23" s="543" t="s">
        <v>1917</v>
      </c>
      <c r="W23" s="543" t="s">
        <v>1918</v>
      </c>
      <c r="X23" s="543" t="s">
        <v>4556</v>
      </c>
      <c r="Y23" s="543" t="s">
        <v>109</v>
      </c>
      <c r="Z23" s="543" t="s">
        <v>109</v>
      </c>
      <c r="AA23" s="543" t="s">
        <v>109</v>
      </c>
      <c r="AB23" s="543" t="s">
        <v>34</v>
      </c>
      <c r="AC23" s="543" t="s">
        <v>1816</v>
      </c>
      <c r="AD23" s="543" t="s">
        <v>1817</v>
      </c>
      <c r="AE23" s="543" t="s">
        <v>1455</v>
      </c>
      <c r="AF23" s="543" t="s">
        <v>3040</v>
      </c>
      <c r="AG23" s="543" t="s">
        <v>34</v>
      </c>
      <c r="AH23" s="543" t="s">
        <v>34</v>
      </c>
      <c r="AI23" s="543" t="s">
        <v>34</v>
      </c>
      <c r="AJ23" s="543" t="s">
        <v>34</v>
      </c>
      <c r="AK23" s="543" t="s">
        <v>1818</v>
      </c>
      <c r="AL23" s="543" t="s">
        <v>34</v>
      </c>
      <c r="AM23" s="61" t="s">
        <v>4495</v>
      </c>
      <c r="AN23" s="541">
        <v>0</v>
      </c>
      <c r="AO23" s="541">
        <v>0</v>
      </c>
      <c r="AP23" s="61"/>
      <c r="CE23" s="447"/>
      <c r="CF23" t="e">
        <f t="shared" si="0"/>
        <v>#N/A</v>
      </c>
      <c r="CG23" s="447" t="str">
        <v>ADDENG TECHNOLOGIES</v>
      </c>
      <c r="CI23" s="447"/>
      <c r="CJ23" s="447"/>
    </row>
    <row r="24" spans="1:88" x14ac:dyDescent="0.2">
      <c r="A24" s="61">
        <v>23</v>
      </c>
      <c r="B24" s="542" t="s">
        <v>614</v>
      </c>
      <c r="C24" s="543" t="s">
        <v>1647</v>
      </c>
      <c r="D24" s="543" t="s">
        <v>3674</v>
      </c>
      <c r="E24" s="543" t="s">
        <v>1700</v>
      </c>
      <c r="F24" s="543" t="s">
        <v>1697</v>
      </c>
      <c r="G24" s="543" t="s">
        <v>34</v>
      </c>
      <c r="H24" s="543" t="s">
        <v>1821</v>
      </c>
      <c r="I24" s="543" t="s">
        <v>4736</v>
      </c>
      <c r="J24" s="543" t="s">
        <v>1461</v>
      </c>
      <c r="K24" s="543" t="s">
        <v>1907</v>
      </c>
      <c r="L24" s="543" t="s">
        <v>1908</v>
      </c>
      <c r="M24" s="543">
        <v>113316</v>
      </c>
      <c r="N24" s="543" t="s">
        <v>1647</v>
      </c>
      <c r="O24" s="543" t="s">
        <v>665</v>
      </c>
      <c r="P24" s="543" t="s">
        <v>4857</v>
      </c>
      <c r="Q24" s="543" t="s">
        <v>3002</v>
      </c>
      <c r="R24" s="543" t="s">
        <v>1814</v>
      </c>
      <c r="S24" s="543" t="s">
        <v>1910</v>
      </c>
      <c r="T24" s="543">
        <v>4.5</v>
      </c>
      <c r="U24" s="543" t="s">
        <v>1642</v>
      </c>
      <c r="V24" s="543" t="s">
        <v>1911</v>
      </c>
      <c r="W24" s="543">
        <v>113316</v>
      </c>
      <c r="X24" s="543" t="s">
        <v>4022</v>
      </c>
      <c r="Y24" s="543" t="s">
        <v>1911</v>
      </c>
      <c r="Z24" s="543">
        <v>113316</v>
      </c>
      <c r="AA24" s="543" t="s">
        <v>4022</v>
      </c>
      <c r="AB24" s="543" t="s">
        <v>1912</v>
      </c>
      <c r="AC24" s="543" t="s">
        <v>1816</v>
      </c>
      <c r="AD24" s="543" t="s">
        <v>1817</v>
      </c>
      <c r="AE24" s="543" t="s">
        <v>1455</v>
      </c>
      <c r="AF24" s="543" t="s">
        <v>3040</v>
      </c>
      <c r="AG24" s="543" t="s">
        <v>34</v>
      </c>
      <c r="AH24" s="543" t="s">
        <v>34</v>
      </c>
      <c r="AI24" s="543" t="s">
        <v>34</v>
      </c>
      <c r="AJ24" s="543" t="s">
        <v>34</v>
      </c>
      <c r="AK24" s="543" t="s">
        <v>1818</v>
      </c>
      <c r="AL24" s="543" t="s">
        <v>34</v>
      </c>
      <c r="AM24" s="61" t="s">
        <v>4495</v>
      </c>
      <c r="AN24" s="541">
        <v>0</v>
      </c>
      <c r="AO24" s="541">
        <v>0</v>
      </c>
      <c r="AP24" s="61"/>
      <c r="CE24" s="447"/>
      <c r="CF24" t="e">
        <f t="shared" si="0"/>
        <v>#N/A</v>
      </c>
      <c r="CG24" s="447" t="str">
        <v>ADEX MACHINING TECHNOLOGIES</v>
      </c>
      <c r="CI24" s="447"/>
      <c r="CJ24" s="447"/>
    </row>
    <row r="25" spans="1:88" x14ac:dyDescent="0.2">
      <c r="A25" s="61">
        <v>24</v>
      </c>
      <c r="B25" s="542" t="s">
        <v>614</v>
      </c>
      <c r="C25" s="543" t="s">
        <v>4296</v>
      </c>
      <c r="D25" s="543" t="s">
        <v>4297</v>
      </c>
      <c r="E25" s="543" t="s">
        <v>1700</v>
      </c>
      <c r="F25" s="543" t="s">
        <v>1697</v>
      </c>
      <c r="G25" s="543" t="s">
        <v>34</v>
      </c>
      <c r="H25" s="543" t="s">
        <v>1821</v>
      </c>
      <c r="I25" s="543" t="s">
        <v>5342</v>
      </c>
      <c r="J25" s="543" t="s">
        <v>1461</v>
      </c>
      <c r="K25" s="543" t="s">
        <v>4298</v>
      </c>
      <c r="L25" s="543" t="s">
        <v>4299</v>
      </c>
      <c r="M25" s="543">
        <v>2019080326</v>
      </c>
      <c r="N25" s="543" t="s">
        <v>4296</v>
      </c>
      <c r="O25" s="543" t="s">
        <v>665</v>
      </c>
      <c r="P25" s="543" t="s">
        <v>4300</v>
      </c>
      <c r="Q25" s="543" t="s">
        <v>4555</v>
      </c>
      <c r="R25" s="543" t="s">
        <v>1814</v>
      </c>
      <c r="S25" s="543" t="s">
        <v>4655</v>
      </c>
      <c r="T25" s="543">
        <v>0.52</v>
      </c>
      <c r="U25" s="543" t="s">
        <v>1642</v>
      </c>
      <c r="V25" s="543" t="s">
        <v>1911</v>
      </c>
      <c r="W25" s="543" t="s">
        <v>4301</v>
      </c>
      <c r="X25" s="543" t="s">
        <v>4559</v>
      </c>
      <c r="Y25" s="543" t="s">
        <v>109</v>
      </c>
      <c r="Z25" s="543" t="s">
        <v>109</v>
      </c>
      <c r="AA25" s="543" t="s">
        <v>109</v>
      </c>
      <c r="AB25" s="543" t="s">
        <v>3410</v>
      </c>
      <c r="AC25" s="543" t="s">
        <v>1816</v>
      </c>
      <c r="AD25" s="543" t="s">
        <v>1817</v>
      </c>
      <c r="AE25" s="543" t="s">
        <v>1455</v>
      </c>
      <c r="AF25" s="543" t="s">
        <v>3040</v>
      </c>
      <c r="AG25" s="543" t="s">
        <v>34</v>
      </c>
      <c r="AH25" s="543" t="s">
        <v>34</v>
      </c>
      <c r="AI25" s="543" t="s">
        <v>34</v>
      </c>
      <c r="AJ25" s="543" t="s">
        <v>34</v>
      </c>
      <c r="AK25" s="543" t="s">
        <v>1818</v>
      </c>
      <c r="AL25" s="543" t="s">
        <v>34</v>
      </c>
      <c r="AM25" s="61" t="s">
        <v>4495</v>
      </c>
      <c r="AN25" s="541">
        <v>0</v>
      </c>
      <c r="AO25" s="541">
        <v>0</v>
      </c>
      <c r="AP25" s="61"/>
      <c r="CE25" s="447"/>
      <c r="CF25" t="e">
        <f t="shared" si="0"/>
        <v>#N/A</v>
      </c>
      <c r="CG25" s="447" t="str">
        <v>ADVANCED INTEGRATION TECHNOLOGY</v>
      </c>
      <c r="CI25" s="447"/>
      <c r="CJ25" s="447"/>
    </row>
    <row r="26" spans="1:88" x14ac:dyDescent="0.2">
      <c r="A26" s="61">
        <v>25</v>
      </c>
      <c r="B26" s="542" t="s">
        <v>620</v>
      </c>
      <c r="C26" s="543" t="s">
        <v>622</v>
      </c>
      <c r="D26" s="543" t="s">
        <v>3675</v>
      </c>
      <c r="E26" s="543" t="s">
        <v>1925</v>
      </c>
      <c r="F26" s="543" t="s">
        <v>1701</v>
      </c>
      <c r="G26" s="543" t="s">
        <v>34</v>
      </c>
      <c r="H26" s="543" t="s">
        <v>1821</v>
      </c>
      <c r="I26" s="543" t="s">
        <v>5342</v>
      </c>
      <c r="J26" s="543" t="s">
        <v>1461</v>
      </c>
      <c r="K26" s="543" t="s">
        <v>1926</v>
      </c>
      <c r="L26" s="543" t="s">
        <v>1927</v>
      </c>
      <c r="M26" s="544" t="s">
        <v>1934</v>
      </c>
      <c r="N26" s="543" t="s">
        <v>622</v>
      </c>
      <c r="O26" s="543" t="s">
        <v>665</v>
      </c>
      <c r="P26" s="543" t="s">
        <v>1929</v>
      </c>
      <c r="Q26" s="543" t="s">
        <v>4557</v>
      </c>
      <c r="R26" s="543" t="s">
        <v>1930</v>
      </c>
      <c r="S26" s="543" t="s">
        <v>1931</v>
      </c>
      <c r="T26" s="543">
        <v>800</v>
      </c>
      <c r="U26" s="543" t="s">
        <v>1642</v>
      </c>
      <c r="V26" s="543" t="s">
        <v>1932</v>
      </c>
      <c r="W26" s="543" t="s">
        <v>1935</v>
      </c>
      <c r="X26" s="543" t="s">
        <v>4556</v>
      </c>
      <c r="Y26" s="543" t="s">
        <v>109</v>
      </c>
      <c r="Z26" s="543" t="s">
        <v>109</v>
      </c>
      <c r="AA26" s="543" t="s">
        <v>109</v>
      </c>
      <c r="AB26" s="543" t="s">
        <v>1885</v>
      </c>
      <c r="AC26" s="543" t="s">
        <v>1816</v>
      </c>
      <c r="AD26" s="543" t="s">
        <v>1817</v>
      </c>
      <c r="AE26" s="543" t="s">
        <v>1455</v>
      </c>
      <c r="AF26" s="543" t="s">
        <v>3040</v>
      </c>
      <c r="AG26" s="543" t="s">
        <v>34</v>
      </c>
      <c r="AH26" s="543" t="s">
        <v>34</v>
      </c>
      <c r="AI26" s="543" t="s">
        <v>34</v>
      </c>
      <c r="AJ26" s="543" t="s">
        <v>34</v>
      </c>
      <c r="AK26" s="543" t="s">
        <v>1818</v>
      </c>
      <c r="AL26" s="543" t="s">
        <v>34</v>
      </c>
      <c r="AM26" s="61" t="s">
        <v>4495</v>
      </c>
      <c r="AN26" s="541">
        <v>0</v>
      </c>
      <c r="AO26" s="541">
        <v>0</v>
      </c>
      <c r="AP26" s="61"/>
      <c r="CE26" s="447"/>
      <c r="CF26" t="e">
        <f t="shared" si="0"/>
        <v>#N/A</v>
      </c>
      <c r="CG26" s="447" t="str">
        <v>ADVANCED MACHINE, INC.</v>
      </c>
      <c r="CI26" s="447"/>
      <c r="CJ26" s="447"/>
    </row>
    <row r="27" spans="1:88" x14ac:dyDescent="0.2">
      <c r="A27" s="61">
        <v>26</v>
      </c>
      <c r="B27" s="542" t="s">
        <v>620</v>
      </c>
      <c r="C27" s="543" t="s">
        <v>1534</v>
      </c>
      <c r="D27" s="543" t="s">
        <v>3676</v>
      </c>
      <c r="E27" s="543" t="s">
        <v>1925</v>
      </c>
      <c r="F27" s="543" t="s">
        <v>1701</v>
      </c>
      <c r="G27" s="543" t="s">
        <v>34</v>
      </c>
      <c r="H27" s="543" t="s">
        <v>1821</v>
      </c>
      <c r="I27" s="543" t="s">
        <v>5342</v>
      </c>
      <c r="J27" s="543" t="s">
        <v>1461</v>
      </c>
      <c r="K27" s="543" t="s">
        <v>1926</v>
      </c>
      <c r="L27" s="543" t="s">
        <v>1927</v>
      </c>
      <c r="M27" s="543" t="s">
        <v>1928</v>
      </c>
      <c r="N27" s="543" t="s">
        <v>1534</v>
      </c>
      <c r="O27" s="543" t="s">
        <v>665</v>
      </c>
      <c r="P27" s="543" t="s">
        <v>1929</v>
      </c>
      <c r="Q27" s="543" t="s">
        <v>4557</v>
      </c>
      <c r="R27" s="543" t="s">
        <v>1930</v>
      </c>
      <c r="S27" s="543" t="s">
        <v>1931</v>
      </c>
      <c r="T27" s="543">
        <v>800</v>
      </c>
      <c r="U27" s="543" t="s">
        <v>1642</v>
      </c>
      <c r="V27" s="543" t="s">
        <v>1932</v>
      </c>
      <c r="W27" s="543" t="s">
        <v>1933</v>
      </c>
      <c r="X27" s="543" t="s">
        <v>4556</v>
      </c>
      <c r="Y27" s="543" t="s">
        <v>109</v>
      </c>
      <c r="Z27" s="543" t="s">
        <v>109</v>
      </c>
      <c r="AA27" s="543" t="s">
        <v>109</v>
      </c>
      <c r="AB27" s="543" t="s">
        <v>1885</v>
      </c>
      <c r="AC27" s="543" t="s">
        <v>1816</v>
      </c>
      <c r="AD27" s="543" t="s">
        <v>1817</v>
      </c>
      <c r="AE27" s="543" t="s">
        <v>1455</v>
      </c>
      <c r="AF27" s="543" t="s">
        <v>3040</v>
      </c>
      <c r="AG27" s="543" t="s">
        <v>34</v>
      </c>
      <c r="AH27" s="543" t="s">
        <v>34</v>
      </c>
      <c r="AI27" s="543" t="s">
        <v>34</v>
      </c>
      <c r="AJ27" s="543" t="s">
        <v>34</v>
      </c>
      <c r="AK27" s="543" t="s">
        <v>1818</v>
      </c>
      <c r="AL27" s="543" t="s">
        <v>34</v>
      </c>
      <c r="AM27" s="61" t="s">
        <v>4495</v>
      </c>
      <c r="AN27" s="541">
        <v>0</v>
      </c>
      <c r="AO27" s="541">
        <v>0</v>
      </c>
      <c r="AP27" s="61"/>
      <c r="CE27" s="447"/>
      <c r="CF27" t="e">
        <f t="shared" si="0"/>
        <v>#N/A</v>
      </c>
      <c r="CG27" s="447" t="str">
        <v>ADVANCED MANUFACTURING TECHNOLOGIES</v>
      </c>
      <c r="CI27" s="447"/>
      <c r="CJ27" s="447"/>
    </row>
    <row r="28" spans="1:88" x14ac:dyDescent="0.2">
      <c r="A28" s="61">
        <v>27</v>
      </c>
      <c r="B28" s="542" t="s">
        <v>620</v>
      </c>
      <c r="C28" s="543" t="s">
        <v>4325</v>
      </c>
      <c r="D28" s="543" t="s">
        <v>4326</v>
      </c>
      <c r="E28" s="543" t="s">
        <v>1925</v>
      </c>
      <c r="F28" s="543" t="s">
        <v>1701</v>
      </c>
      <c r="G28" s="543" t="s">
        <v>34</v>
      </c>
      <c r="H28" s="543" t="s">
        <v>1821</v>
      </c>
      <c r="I28" s="543" t="s">
        <v>5342</v>
      </c>
      <c r="J28" s="543" t="s">
        <v>1461</v>
      </c>
      <c r="K28" s="543" t="s">
        <v>1926</v>
      </c>
      <c r="L28" s="543" t="s">
        <v>1927</v>
      </c>
      <c r="M28" s="543" t="s">
        <v>4327</v>
      </c>
      <c r="N28" s="543" t="s">
        <v>4325</v>
      </c>
      <c r="O28" s="543" t="s">
        <v>665</v>
      </c>
      <c r="P28" s="543" t="s">
        <v>1929</v>
      </c>
      <c r="Q28" s="543" t="s">
        <v>4557</v>
      </c>
      <c r="R28" s="543" t="s">
        <v>1930</v>
      </c>
      <c r="S28" s="543" t="s">
        <v>4328</v>
      </c>
      <c r="T28" s="543">
        <v>1152</v>
      </c>
      <c r="U28" s="543" t="s">
        <v>1642</v>
      </c>
      <c r="V28" s="543" t="s">
        <v>2948</v>
      </c>
      <c r="W28" s="543" t="s">
        <v>4329</v>
      </c>
      <c r="X28" s="543" t="s">
        <v>2431</v>
      </c>
      <c r="Y28" s="543" t="s">
        <v>109</v>
      </c>
      <c r="Z28" s="543" t="s">
        <v>109</v>
      </c>
      <c r="AA28" s="543" t="s">
        <v>109</v>
      </c>
      <c r="AB28" s="543" t="s">
        <v>5398</v>
      </c>
      <c r="AC28" s="543" t="s">
        <v>1816</v>
      </c>
      <c r="AD28" s="543" t="s">
        <v>1817</v>
      </c>
      <c r="AE28" s="543" t="s">
        <v>1455</v>
      </c>
      <c r="AF28" s="543" t="s">
        <v>3040</v>
      </c>
      <c r="AG28" s="543" t="s">
        <v>34</v>
      </c>
      <c r="AH28" s="543" t="s">
        <v>34</v>
      </c>
      <c r="AI28" s="543" t="s">
        <v>34</v>
      </c>
      <c r="AJ28" s="543" t="s">
        <v>34</v>
      </c>
      <c r="AK28" s="543" t="s">
        <v>1818</v>
      </c>
      <c r="AL28" s="543" t="s">
        <v>34</v>
      </c>
      <c r="AM28" s="61" t="s">
        <v>4495</v>
      </c>
      <c r="AN28" s="541">
        <v>0</v>
      </c>
      <c r="AO28" s="541">
        <v>0</v>
      </c>
      <c r="AP28" s="61"/>
      <c r="CE28" s="447"/>
      <c r="CF28" t="e">
        <f t="shared" si="0"/>
        <v>#N/A</v>
      </c>
      <c r="CG28" s="447" t="str">
        <v>ADVANCED MECHANICAL SOLUTIONS</v>
      </c>
      <c r="CI28" s="447"/>
      <c r="CJ28" s="447"/>
    </row>
    <row r="29" spans="1:88" x14ac:dyDescent="0.2">
      <c r="A29" s="61">
        <v>28</v>
      </c>
      <c r="B29" s="542" t="s">
        <v>624</v>
      </c>
      <c r="C29" s="543" t="s">
        <v>626</v>
      </c>
      <c r="D29" s="543" t="s">
        <v>3677</v>
      </c>
      <c r="E29" s="543" t="s">
        <v>1702</v>
      </c>
      <c r="F29" s="543" t="s">
        <v>1703</v>
      </c>
      <c r="G29" s="543" t="s">
        <v>34</v>
      </c>
      <c r="H29" s="543" t="s">
        <v>1821</v>
      </c>
      <c r="I29" s="543" t="s">
        <v>5342</v>
      </c>
      <c r="J29" s="543" t="s">
        <v>1461</v>
      </c>
      <c r="K29" s="543" t="s">
        <v>993</v>
      </c>
      <c r="L29" s="543" t="s">
        <v>1936</v>
      </c>
      <c r="M29" s="543" t="s">
        <v>1937</v>
      </c>
      <c r="N29" s="543" t="s">
        <v>626</v>
      </c>
      <c r="O29" s="543" t="s">
        <v>665</v>
      </c>
      <c r="P29" s="543" t="s">
        <v>1938</v>
      </c>
      <c r="Q29" s="543" t="s">
        <v>1939</v>
      </c>
      <c r="R29" s="543" t="s">
        <v>1814</v>
      </c>
      <c r="S29" s="543" t="s">
        <v>1940</v>
      </c>
      <c r="T29" s="543">
        <v>42.3</v>
      </c>
      <c r="U29" s="543" t="s">
        <v>1642</v>
      </c>
      <c r="V29" s="543" t="s">
        <v>1941</v>
      </c>
      <c r="W29" s="543" t="s">
        <v>1942</v>
      </c>
      <c r="X29" s="543" t="s">
        <v>4556</v>
      </c>
      <c r="Y29" s="543" t="s">
        <v>109</v>
      </c>
      <c r="Z29" s="543" t="s">
        <v>109</v>
      </c>
      <c r="AA29" s="543" t="s">
        <v>109</v>
      </c>
      <c r="AB29" s="543" t="s">
        <v>34</v>
      </c>
      <c r="AC29" s="543" t="s">
        <v>1816</v>
      </c>
      <c r="AD29" s="543" t="s">
        <v>1817</v>
      </c>
      <c r="AE29" s="543" t="s">
        <v>1455</v>
      </c>
      <c r="AF29" s="543">
        <v>3.2</v>
      </c>
      <c r="AG29" s="543">
        <v>1.4</v>
      </c>
      <c r="AH29" s="543">
        <v>0.25</v>
      </c>
      <c r="AI29" s="543" t="s">
        <v>3579</v>
      </c>
      <c r="AJ29" s="543" t="s">
        <v>34</v>
      </c>
      <c r="AK29" s="543" t="s">
        <v>1818</v>
      </c>
      <c r="AL29" s="543" t="s">
        <v>34</v>
      </c>
      <c r="AM29" s="61" t="s">
        <v>4495</v>
      </c>
      <c r="AN29" s="541">
        <v>0</v>
      </c>
      <c r="AO29" s="541">
        <v>0</v>
      </c>
      <c r="AP29" s="61"/>
      <c r="CE29" s="447"/>
      <c r="CF29" t="e">
        <f t="shared" si="0"/>
        <v>#N/A</v>
      </c>
      <c r="CG29" s="447" t="str">
        <v>ADVANCED THERMOPLASTIC COMPOSITES</v>
      </c>
      <c r="CI29" s="447"/>
      <c r="CJ29" s="447"/>
    </row>
    <row r="30" spans="1:88" x14ac:dyDescent="0.2">
      <c r="A30" s="61">
        <v>29</v>
      </c>
      <c r="B30" s="542" t="s">
        <v>628</v>
      </c>
      <c r="C30" s="543" t="s">
        <v>4142</v>
      </c>
      <c r="D30" s="543" t="s">
        <v>4143</v>
      </c>
      <c r="E30" s="543" t="s">
        <v>1722</v>
      </c>
      <c r="F30" s="543" t="s">
        <v>4144</v>
      </c>
      <c r="G30" s="543" t="s">
        <v>34</v>
      </c>
      <c r="H30" s="543" t="s">
        <v>1821</v>
      </c>
      <c r="I30" s="543" t="s">
        <v>4736</v>
      </c>
      <c r="J30" s="543" t="s">
        <v>1461</v>
      </c>
      <c r="K30" s="543" t="s">
        <v>1943</v>
      </c>
      <c r="L30" s="543" t="s">
        <v>4142</v>
      </c>
      <c r="M30" s="543" t="s">
        <v>4145</v>
      </c>
      <c r="N30" s="543" t="s">
        <v>1943</v>
      </c>
      <c r="O30" s="543" t="s">
        <v>665</v>
      </c>
      <c r="P30" s="543" t="s">
        <v>4146</v>
      </c>
      <c r="Q30" s="543" t="s">
        <v>4560</v>
      </c>
      <c r="R30" s="543" t="s">
        <v>1814</v>
      </c>
      <c r="S30" s="543" t="s">
        <v>4147</v>
      </c>
      <c r="T30" s="543">
        <v>4.0999999999999996</v>
      </c>
      <c r="U30" s="543" t="s">
        <v>1642</v>
      </c>
      <c r="V30" s="543" t="s">
        <v>3167</v>
      </c>
      <c r="W30" s="543" t="s">
        <v>4145</v>
      </c>
      <c r="X30" s="543" t="s">
        <v>1944</v>
      </c>
      <c r="Y30" s="543" t="s">
        <v>4148</v>
      </c>
      <c r="Z30" s="543">
        <v>14905990004</v>
      </c>
      <c r="AA30" s="543" t="s">
        <v>4561</v>
      </c>
      <c r="AB30" s="543" t="s">
        <v>1885</v>
      </c>
      <c r="AC30" s="543" t="s">
        <v>1816</v>
      </c>
      <c r="AD30" s="543" t="s">
        <v>1817</v>
      </c>
      <c r="AE30" s="543" t="s">
        <v>1455</v>
      </c>
      <c r="AF30" s="543" t="s">
        <v>3040</v>
      </c>
      <c r="AG30" s="543" t="s">
        <v>34</v>
      </c>
      <c r="AH30" s="543" t="s">
        <v>34</v>
      </c>
      <c r="AI30" s="543" t="s">
        <v>34</v>
      </c>
      <c r="AJ30" s="543" t="s">
        <v>34</v>
      </c>
      <c r="AK30" s="543" t="s">
        <v>1818</v>
      </c>
      <c r="AL30" s="543" t="s">
        <v>34</v>
      </c>
      <c r="AM30" s="61" t="s">
        <v>4496</v>
      </c>
      <c r="AN30" s="541">
        <v>0</v>
      </c>
      <c r="AO30" s="541">
        <v>0</v>
      </c>
      <c r="AP30" s="61"/>
      <c r="CE30" s="447"/>
      <c r="CF30" t="e">
        <f t="shared" si="0"/>
        <v>#N/A</v>
      </c>
      <c r="CG30" s="447" t="str">
        <v>ADVANCED TURNING &amp; MFG.</v>
      </c>
      <c r="CI30" s="447"/>
      <c r="CJ30" s="447"/>
    </row>
    <row r="31" spans="1:88" x14ac:dyDescent="0.2">
      <c r="A31" s="61">
        <v>30</v>
      </c>
      <c r="B31" s="542" t="s">
        <v>1578</v>
      </c>
      <c r="C31" s="543" t="s">
        <v>1581</v>
      </c>
      <c r="D31" s="543" t="s">
        <v>3678</v>
      </c>
      <c r="E31" s="543" t="s">
        <v>1946</v>
      </c>
      <c r="F31" s="543" t="s">
        <v>1704</v>
      </c>
      <c r="G31" s="543" t="s">
        <v>34</v>
      </c>
      <c r="H31" s="543" t="s">
        <v>1821</v>
      </c>
      <c r="I31" s="543" t="s">
        <v>5342</v>
      </c>
      <c r="J31" s="543" t="s">
        <v>1809</v>
      </c>
      <c r="K31" s="543" t="s">
        <v>1581</v>
      </c>
      <c r="L31" s="543" t="s">
        <v>1948</v>
      </c>
      <c r="M31" s="543" t="s">
        <v>1581</v>
      </c>
      <c r="N31" s="543" t="s">
        <v>1581</v>
      </c>
      <c r="O31" s="543" t="s">
        <v>665</v>
      </c>
      <c r="P31" s="543" t="s">
        <v>1956</v>
      </c>
      <c r="Q31" s="543" t="s">
        <v>1956</v>
      </c>
      <c r="R31" s="543" t="s">
        <v>1820</v>
      </c>
      <c r="S31" s="543" t="s">
        <v>1957</v>
      </c>
      <c r="T31" s="543">
        <v>324.5</v>
      </c>
      <c r="U31" s="543" t="s">
        <v>1642</v>
      </c>
      <c r="V31" s="543" t="s">
        <v>1953</v>
      </c>
      <c r="W31" s="543" t="s">
        <v>109</v>
      </c>
      <c r="X31" s="543" t="s">
        <v>4554</v>
      </c>
      <c r="Y31" s="543" t="s">
        <v>1953</v>
      </c>
      <c r="Z31" s="543" t="s">
        <v>109</v>
      </c>
      <c r="AA31" s="543" t="s">
        <v>4554</v>
      </c>
      <c r="AB31" s="543" t="s">
        <v>1958</v>
      </c>
      <c r="AC31" s="543" t="s">
        <v>1816</v>
      </c>
      <c r="AD31" s="543" t="s">
        <v>1817</v>
      </c>
      <c r="AE31" s="543" t="s">
        <v>1455</v>
      </c>
      <c r="AF31" s="543" t="s">
        <v>3040</v>
      </c>
      <c r="AG31" s="543" t="s">
        <v>34</v>
      </c>
      <c r="AH31" s="543" t="s">
        <v>34</v>
      </c>
      <c r="AI31" s="543" t="s">
        <v>34</v>
      </c>
      <c r="AJ31" s="543" t="s">
        <v>34</v>
      </c>
      <c r="AK31" s="543" t="s">
        <v>1818</v>
      </c>
      <c r="AL31" s="543" t="s">
        <v>34</v>
      </c>
      <c r="AM31" s="61" t="s">
        <v>4495</v>
      </c>
      <c r="AN31" s="541">
        <v>0</v>
      </c>
      <c r="AO31" s="541">
        <v>0</v>
      </c>
      <c r="AP31" s="61"/>
      <c r="CE31" s="447"/>
      <c r="CF31" t="e">
        <f t="shared" si="0"/>
        <v>#N/A</v>
      </c>
      <c r="CG31" s="447" t="str">
        <v>ADVANCED WELDING TECHNOLOGIES</v>
      </c>
      <c r="CI31" s="447"/>
      <c r="CJ31" s="447"/>
    </row>
    <row r="32" spans="1:88" x14ac:dyDescent="0.2">
      <c r="A32" s="61">
        <v>31</v>
      </c>
      <c r="B32" s="542" t="s">
        <v>1578</v>
      </c>
      <c r="C32" s="543" t="s">
        <v>1538</v>
      </c>
      <c r="D32" s="543" t="s">
        <v>3679</v>
      </c>
      <c r="E32" s="543" t="s">
        <v>1946</v>
      </c>
      <c r="F32" s="543" t="s">
        <v>1704</v>
      </c>
      <c r="G32" s="543" t="s">
        <v>34</v>
      </c>
      <c r="H32" s="543" t="s">
        <v>1821</v>
      </c>
      <c r="I32" s="543" t="s">
        <v>5342</v>
      </c>
      <c r="J32" s="543" t="s">
        <v>1461</v>
      </c>
      <c r="K32" s="543" t="s">
        <v>1600</v>
      </c>
      <c r="L32" s="543" t="s">
        <v>1976</v>
      </c>
      <c r="M32" s="543" t="s">
        <v>1977</v>
      </c>
      <c r="N32" s="543" t="s">
        <v>1538</v>
      </c>
      <c r="O32" s="543" t="s">
        <v>665</v>
      </c>
      <c r="P32" s="543" t="s">
        <v>1978</v>
      </c>
      <c r="Q32" s="543" t="s">
        <v>4555</v>
      </c>
      <c r="R32" s="543" t="s">
        <v>1979</v>
      </c>
      <c r="S32" s="543" t="s">
        <v>1980</v>
      </c>
      <c r="T32" s="543">
        <v>1862</v>
      </c>
      <c r="U32" s="543" t="s">
        <v>1843</v>
      </c>
      <c r="V32" s="543" t="s">
        <v>1981</v>
      </c>
      <c r="W32" s="543" t="s">
        <v>1982</v>
      </c>
      <c r="X32" s="543" t="s">
        <v>4556</v>
      </c>
      <c r="Y32" s="543" t="s">
        <v>1983</v>
      </c>
      <c r="Z32" s="543" t="s">
        <v>1984</v>
      </c>
      <c r="AA32" s="543" t="s">
        <v>4556</v>
      </c>
      <c r="AB32" s="543" t="s">
        <v>34</v>
      </c>
      <c r="AC32" s="543" t="s">
        <v>1816</v>
      </c>
      <c r="AD32" s="543" t="s">
        <v>1817</v>
      </c>
      <c r="AE32" s="543" t="s">
        <v>1455</v>
      </c>
      <c r="AF32" s="543" t="s">
        <v>3040</v>
      </c>
      <c r="AG32" s="543" t="s">
        <v>34</v>
      </c>
      <c r="AH32" s="543" t="s">
        <v>34</v>
      </c>
      <c r="AI32" s="543" t="s">
        <v>34</v>
      </c>
      <c r="AJ32" s="543" t="s">
        <v>34</v>
      </c>
      <c r="AK32" s="543" t="s">
        <v>1818</v>
      </c>
      <c r="AL32" s="543" t="s">
        <v>34</v>
      </c>
      <c r="AM32" s="61" t="s">
        <v>4495</v>
      </c>
      <c r="AN32" s="541">
        <v>0</v>
      </c>
      <c r="AO32" s="541">
        <v>0</v>
      </c>
      <c r="AP32" s="61"/>
      <c r="CE32" s="447"/>
      <c r="CF32" t="e">
        <f t="shared" si="0"/>
        <v>#N/A</v>
      </c>
      <c r="CG32" s="447" t="str">
        <v>AEQUS AERO MACHINE, INC.</v>
      </c>
      <c r="CI32" s="447"/>
      <c r="CJ32" s="447"/>
    </row>
    <row r="33" spans="1:88" x14ac:dyDescent="0.2">
      <c r="A33" s="61">
        <v>32</v>
      </c>
      <c r="B33" s="542" t="s">
        <v>1578</v>
      </c>
      <c r="C33" s="543" t="s">
        <v>1547</v>
      </c>
      <c r="D33" s="543" t="s">
        <v>3680</v>
      </c>
      <c r="E33" s="543" t="s">
        <v>1946</v>
      </c>
      <c r="F33" s="543" t="s">
        <v>1704</v>
      </c>
      <c r="G33" s="543" t="s">
        <v>34</v>
      </c>
      <c r="H33" s="543" t="s">
        <v>1821</v>
      </c>
      <c r="I33" s="543" t="s">
        <v>5342</v>
      </c>
      <c r="J33" s="543" t="s">
        <v>1461</v>
      </c>
      <c r="K33" s="543" t="s">
        <v>1547</v>
      </c>
      <c r="L33" s="543" t="s">
        <v>1948</v>
      </c>
      <c r="M33" s="543" t="s">
        <v>1968</v>
      </c>
      <c r="N33" s="543" t="s">
        <v>1547</v>
      </c>
      <c r="O33" s="543" t="s">
        <v>665</v>
      </c>
      <c r="P33" s="543" t="s">
        <v>1879</v>
      </c>
      <c r="Q33" s="543" t="s">
        <v>4555</v>
      </c>
      <c r="R33" s="543" t="s">
        <v>1814</v>
      </c>
      <c r="S33" s="543" t="s">
        <v>1969</v>
      </c>
      <c r="T33" s="543">
        <v>87.5</v>
      </c>
      <c r="U33" s="543" t="s">
        <v>1843</v>
      </c>
      <c r="V33" s="543" t="s">
        <v>1970</v>
      </c>
      <c r="W33" s="543" t="s">
        <v>1971</v>
      </c>
      <c r="X33" s="543" t="s">
        <v>4556</v>
      </c>
      <c r="Y33" s="543" t="s">
        <v>109</v>
      </c>
      <c r="Z33" s="543" t="s">
        <v>109</v>
      </c>
      <c r="AA33" s="543" t="s">
        <v>109</v>
      </c>
      <c r="AB33" s="543" t="s">
        <v>34</v>
      </c>
      <c r="AC33" s="543" t="s">
        <v>1816</v>
      </c>
      <c r="AD33" s="543" t="s">
        <v>1817</v>
      </c>
      <c r="AE33" s="543" t="s">
        <v>1455</v>
      </c>
      <c r="AF33" s="543" t="s">
        <v>3040</v>
      </c>
      <c r="AG33" s="543" t="s">
        <v>34</v>
      </c>
      <c r="AH33" s="543" t="s">
        <v>34</v>
      </c>
      <c r="AI33" s="543" t="s">
        <v>34</v>
      </c>
      <c r="AJ33" s="543" t="s">
        <v>34</v>
      </c>
      <c r="AK33" s="543" t="s">
        <v>1818</v>
      </c>
      <c r="AL33" s="543" t="s">
        <v>34</v>
      </c>
      <c r="AM33" s="61" t="s">
        <v>4497</v>
      </c>
      <c r="AN33" s="541">
        <v>0</v>
      </c>
      <c r="AO33" s="541">
        <v>0</v>
      </c>
      <c r="AP33" s="61"/>
      <c r="CE33" s="447"/>
      <c r="CF33" t="e">
        <f t="shared" si="0"/>
        <v>#N/A</v>
      </c>
      <c r="CG33" s="447" t="str">
        <v>AERO COMPONENTS INC.</v>
      </c>
      <c r="CI33" s="447"/>
      <c r="CJ33" s="447"/>
    </row>
    <row r="34" spans="1:88" x14ac:dyDescent="0.2">
      <c r="A34" s="61">
        <v>33</v>
      </c>
      <c r="B34" s="542" t="s">
        <v>1578</v>
      </c>
      <c r="C34" s="543" t="s">
        <v>1584</v>
      </c>
      <c r="D34" s="543" t="s">
        <v>3681</v>
      </c>
      <c r="E34" s="543" t="s">
        <v>1946</v>
      </c>
      <c r="F34" s="543" t="s">
        <v>1704</v>
      </c>
      <c r="G34" s="543" t="s">
        <v>34</v>
      </c>
      <c r="H34" s="543" t="s">
        <v>1821</v>
      </c>
      <c r="I34" s="543" t="s">
        <v>5342</v>
      </c>
      <c r="J34" s="543" t="s">
        <v>1461</v>
      </c>
      <c r="K34" s="543" t="s">
        <v>1959</v>
      </c>
      <c r="L34" s="543" t="s">
        <v>1948</v>
      </c>
      <c r="M34" s="543" t="s">
        <v>1959</v>
      </c>
      <c r="N34" s="543" t="s">
        <v>1584</v>
      </c>
      <c r="O34" s="543" t="s">
        <v>665</v>
      </c>
      <c r="P34" s="543" t="s">
        <v>1962</v>
      </c>
      <c r="Q34" s="543" t="s">
        <v>4557</v>
      </c>
      <c r="R34" s="543" t="s">
        <v>1820</v>
      </c>
      <c r="S34" s="543" t="s">
        <v>1952</v>
      </c>
      <c r="T34" s="543">
        <v>310.60000000000002</v>
      </c>
      <c r="U34" s="543" t="s">
        <v>1642</v>
      </c>
      <c r="V34" s="543" t="s">
        <v>1953</v>
      </c>
      <c r="W34" s="543" t="s">
        <v>109</v>
      </c>
      <c r="X34" s="543" t="s">
        <v>4558</v>
      </c>
      <c r="Y34" s="543" t="s">
        <v>1953</v>
      </c>
      <c r="Z34" s="543" t="s">
        <v>109</v>
      </c>
      <c r="AA34" s="543" t="s">
        <v>4558</v>
      </c>
      <c r="AB34" s="543" t="s">
        <v>1955</v>
      </c>
      <c r="AC34" s="543" t="s">
        <v>1816</v>
      </c>
      <c r="AD34" s="543" t="s">
        <v>1817</v>
      </c>
      <c r="AE34" s="543" t="s">
        <v>1455</v>
      </c>
      <c r="AF34" s="543" t="s">
        <v>3040</v>
      </c>
      <c r="AG34" s="543" t="s">
        <v>34</v>
      </c>
      <c r="AH34" s="543" t="s">
        <v>34</v>
      </c>
      <c r="AI34" s="543" t="s">
        <v>34</v>
      </c>
      <c r="AJ34" s="543" t="s">
        <v>34</v>
      </c>
      <c r="AK34" s="543" t="s">
        <v>1818</v>
      </c>
      <c r="AL34" s="543" t="s">
        <v>34</v>
      </c>
      <c r="AM34" s="61" t="s">
        <v>4495</v>
      </c>
      <c r="AN34" s="541">
        <v>0</v>
      </c>
      <c r="AO34" s="541">
        <v>0</v>
      </c>
      <c r="AP34" s="61"/>
      <c r="CE34" s="447"/>
      <c r="CF34" t="e">
        <f t="shared" si="0"/>
        <v>#N/A</v>
      </c>
      <c r="CG34" s="447" t="str">
        <v>AERO INSTRUMENTS</v>
      </c>
      <c r="CI34" s="447"/>
      <c r="CJ34" s="447"/>
    </row>
    <row r="35" spans="1:88" x14ac:dyDescent="0.2">
      <c r="A35" s="61">
        <v>34</v>
      </c>
      <c r="B35" s="542" t="s">
        <v>1578</v>
      </c>
      <c r="C35" s="543" t="s">
        <v>4741</v>
      </c>
      <c r="D35" s="543" t="s">
        <v>4742</v>
      </c>
      <c r="E35" s="543" t="s">
        <v>1946</v>
      </c>
      <c r="F35" s="543" t="s">
        <v>1704</v>
      </c>
      <c r="G35" s="543" t="s">
        <v>34</v>
      </c>
      <c r="H35" s="543" t="s">
        <v>1821</v>
      </c>
      <c r="I35" s="543" t="s">
        <v>5342</v>
      </c>
      <c r="J35" s="543" t="s">
        <v>1461</v>
      </c>
      <c r="K35" s="543" t="s">
        <v>4743</v>
      </c>
      <c r="L35" s="543" t="s">
        <v>1948</v>
      </c>
      <c r="M35" s="543" t="s">
        <v>4743</v>
      </c>
      <c r="N35" s="543" t="s">
        <v>4741</v>
      </c>
      <c r="O35" s="543" t="s">
        <v>665</v>
      </c>
      <c r="P35" s="543" t="s">
        <v>4744</v>
      </c>
      <c r="Q35" s="543" t="s">
        <v>4557</v>
      </c>
      <c r="R35" s="543" t="s">
        <v>1820</v>
      </c>
      <c r="S35" s="543" t="s">
        <v>1952</v>
      </c>
      <c r="T35" s="543">
        <v>310.60000000000002</v>
      </c>
      <c r="U35" s="543" t="s">
        <v>1642</v>
      </c>
      <c r="V35" s="543" t="s">
        <v>1953</v>
      </c>
      <c r="W35" s="543" t="s">
        <v>109</v>
      </c>
      <c r="X35" s="543" t="s">
        <v>4558</v>
      </c>
      <c r="Y35" s="543" t="s">
        <v>1953</v>
      </c>
      <c r="Z35" s="543" t="s">
        <v>109</v>
      </c>
      <c r="AA35" s="543" t="s">
        <v>4558</v>
      </c>
      <c r="AB35" s="543" t="s">
        <v>1955</v>
      </c>
      <c r="AC35" s="543" t="s">
        <v>1816</v>
      </c>
      <c r="AD35" s="543" t="s">
        <v>1817</v>
      </c>
      <c r="AE35" s="543" t="s">
        <v>1455</v>
      </c>
      <c r="AF35" s="543" t="s">
        <v>3040</v>
      </c>
      <c r="AG35" s="543" t="s">
        <v>34</v>
      </c>
      <c r="AH35" s="543" t="s">
        <v>34</v>
      </c>
      <c r="AI35" s="543" t="s">
        <v>34</v>
      </c>
      <c r="AJ35" s="543" t="s">
        <v>34</v>
      </c>
      <c r="AK35" s="543" t="s">
        <v>1818</v>
      </c>
      <c r="AL35" s="543" t="s">
        <v>34</v>
      </c>
      <c r="AM35" s="61" t="s">
        <v>4495</v>
      </c>
      <c r="AN35" s="541"/>
      <c r="AO35" s="541"/>
      <c r="AP35" s="61"/>
      <c r="CE35" s="447"/>
      <c r="CF35" t="e">
        <f t="shared" si="0"/>
        <v>#N/A</v>
      </c>
      <c r="CG35" s="447" t="str">
        <v>AERO METAL FORMS, INC.</v>
      </c>
      <c r="CI35" s="447"/>
      <c r="CJ35" s="447"/>
    </row>
    <row r="36" spans="1:88" x14ac:dyDescent="0.2">
      <c r="A36" s="61">
        <v>35</v>
      </c>
      <c r="B36" s="542" t="s">
        <v>1578</v>
      </c>
      <c r="C36" s="543" t="s">
        <v>1588</v>
      </c>
      <c r="D36" s="543" t="s">
        <v>3682</v>
      </c>
      <c r="E36" s="543" t="s">
        <v>1946</v>
      </c>
      <c r="F36" s="543" t="s">
        <v>1704</v>
      </c>
      <c r="G36" s="543" t="s">
        <v>34</v>
      </c>
      <c r="H36" s="543" t="s">
        <v>1821</v>
      </c>
      <c r="I36" s="543" t="s">
        <v>5342</v>
      </c>
      <c r="J36" s="543" t="s">
        <v>1461</v>
      </c>
      <c r="K36" s="543" t="s">
        <v>1964</v>
      </c>
      <c r="L36" s="543" t="s">
        <v>1948</v>
      </c>
      <c r="M36" s="543" t="s">
        <v>1964</v>
      </c>
      <c r="N36" s="543" t="s">
        <v>1588</v>
      </c>
      <c r="O36" s="543" t="s">
        <v>665</v>
      </c>
      <c r="P36" s="543" t="s">
        <v>4745</v>
      </c>
      <c r="Q36" s="543" t="s">
        <v>4557</v>
      </c>
      <c r="R36" s="543" t="s">
        <v>1820</v>
      </c>
      <c r="S36" s="543" t="s">
        <v>1952</v>
      </c>
      <c r="T36" s="543">
        <v>310.60000000000002</v>
      </c>
      <c r="U36" s="543" t="s">
        <v>1642</v>
      </c>
      <c r="V36" s="543" t="s">
        <v>1953</v>
      </c>
      <c r="W36" s="543" t="s">
        <v>109</v>
      </c>
      <c r="X36" s="543" t="s">
        <v>4558</v>
      </c>
      <c r="Y36" s="543" t="s">
        <v>1953</v>
      </c>
      <c r="Z36" s="543" t="s">
        <v>109</v>
      </c>
      <c r="AA36" s="543" t="s">
        <v>4558</v>
      </c>
      <c r="AB36" s="543" t="s">
        <v>1955</v>
      </c>
      <c r="AC36" s="543" t="s">
        <v>1816</v>
      </c>
      <c r="AD36" s="543" t="s">
        <v>1817</v>
      </c>
      <c r="AE36" s="543" t="s">
        <v>1455</v>
      </c>
      <c r="AF36" s="543" t="s">
        <v>3040</v>
      </c>
      <c r="AG36" s="543" t="s">
        <v>34</v>
      </c>
      <c r="AH36" s="543" t="s">
        <v>34</v>
      </c>
      <c r="AI36" s="543" t="s">
        <v>34</v>
      </c>
      <c r="AJ36" s="543" t="s">
        <v>34</v>
      </c>
      <c r="AK36" s="543" t="s">
        <v>1818</v>
      </c>
      <c r="AL36" s="543" t="s">
        <v>34</v>
      </c>
      <c r="AM36" s="61" t="s">
        <v>4495</v>
      </c>
      <c r="AN36" s="541">
        <v>0</v>
      </c>
      <c r="AO36" s="541">
        <v>0</v>
      </c>
      <c r="AP36" s="61"/>
      <c r="CE36" s="447"/>
      <c r="CF36" t="e">
        <f t="shared" si="0"/>
        <v>#N/A</v>
      </c>
      <c r="CG36" s="447" t="str">
        <v>AERO SPACE CONTROLS CORP.</v>
      </c>
      <c r="CI36" s="447"/>
      <c r="CJ36" s="447"/>
    </row>
    <row r="37" spans="1:88" x14ac:dyDescent="0.2">
      <c r="A37" s="61">
        <v>36</v>
      </c>
      <c r="B37" s="542" t="s">
        <v>1578</v>
      </c>
      <c r="C37" s="543" t="s">
        <v>4746</v>
      </c>
      <c r="D37" s="543" t="s">
        <v>4747</v>
      </c>
      <c r="E37" s="543" t="s">
        <v>1946</v>
      </c>
      <c r="F37" s="543" t="s">
        <v>1704</v>
      </c>
      <c r="G37" s="543" t="s">
        <v>34</v>
      </c>
      <c r="H37" s="543" t="s">
        <v>1821</v>
      </c>
      <c r="I37" s="543" t="s">
        <v>5342</v>
      </c>
      <c r="J37" s="543" t="s">
        <v>1461</v>
      </c>
      <c r="K37" s="543" t="s">
        <v>4748</v>
      </c>
      <c r="L37" s="543" t="s">
        <v>1948</v>
      </c>
      <c r="M37" s="543" t="s">
        <v>4748</v>
      </c>
      <c r="N37" s="543" t="s">
        <v>4746</v>
      </c>
      <c r="O37" s="543" t="s">
        <v>665</v>
      </c>
      <c r="P37" s="543" t="s">
        <v>4744</v>
      </c>
      <c r="Q37" s="543" t="s">
        <v>4557</v>
      </c>
      <c r="R37" s="543" t="s">
        <v>1820</v>
      </c>
      <c r="S37" s="543" t="s">
        <v>1952</v>
      </c>
      <c r="T37" s="543">
        <v>310.60000000000002</v>
      </c>
      <c r="U37" s="543" t="s">
        <v>1642</v>
      </c>
      <c r="V37" s="543" t="s">
        <v>1953</v>
      </c>
      <c r="W37" s="543" t="s">
        <v>109</v>
      </c>
      <c r="X37" s="543" t="s">
        <v>4558</v>
      </c>
      <c r="Y37" s="543" t="s">
        <v>1953</v>
      </c>
      <c r="Z37" s="543" t="s">
        <v>109</v>
      </c>
      <c r="AA37" s="543" t="s">
        <v>4558</v>
      </c>
      <c r="AB37" s="543" t="s">
        <v>1955</v>
      </c>
      <c r="AC37" s="543" t="s">
        <v>1816</v>
      </c>
      <c r="AD37" s="543" t="s">
        <v>1817</v>
      </c>
      <c r="AE37" s="543" t="s">
        <v>1455</v>
      </c>
      <c r="AF37" s="543" t="s">
        <v>3040</v>
      </c>
      <c r="AG37" s="543" t="s">
        <v>34</v>
      </c>
      <c r="AH37" s="543" t="s">
        <v>34</v>
      </c>
      <c r="AI37" s="543" t="s">
        <v>34</v>
      </c>
      <c r="AJ37" s="543" t="s">
        <v>34</v>
      </c>
      <c r="AK37" s="543" t="s">
        <v>1818</v>
      </c>
      <c r="AL37" s="543" t="s">
        <v>34</v>
      </c>
      <c r="AM37" s="61" t="s">
        <v>4495</v>
      </c>
      <c r="AN37" s="541"/>
      <c r="AO37" s="541"/>
      <c r="AP37" s="61"/>
      <c r="CE37" s="447"/>
      <c r="CF37" t="e">
        <f t="shared" si="0"/>
        <v>#N/A</v>
      </c>
      <c r="CG37" s="447" t="str">
        <v>AERO TRANS. PROD. - KEYSTONE GAGE DIV.</v>
      </c>
      <c r="CI37" s="447"/>
      <c r="CJ37" s="447"/>
    </row>
    <row r="38" spans="1:88" x14ac:dyDescent="0.2">
      <c r="A38" s="61">
        <v>37</v>
      </c>
      <c r="B38" s="542" t="s">
        <v>1578</v>
      </c>
      <c r="C38" s="543" t="s">
        <v>1586</v>
      </c>
      <c r="D38" s="543" t="s">
        <v>3683</v>
      </c>
      <c r="E38" s="543" t="s">
        <v>1946</v>
      </c>
      <c r="F38" s="543" t="s">
        <v>1704</v>
      </c>
      <c r="G38" s="543" t="s">
        <v>34</v>
      </c>
      <c r="H38" s="543" t="s">
        <v>1821</v>
      </c>
      <c r="I38" s="543" t="s">
        <v>5342</v>
      </c>
      <c r="J38" s="543" t="s">
        <v>1461</v>
      </c>
      <c r="K38" s="543" t="s">
        <v>1960</v>
      </c>
      <c r="L38" s="543" t="s">
        <v>1948</v>
      </c>
      <c r="M38" s="543" t="s">
        <v>1960</v>
      </c>
      <c r="N38" s="543" t="s">
        <v>1586</v>
      </c>
      <c r="O38" s="543" t="s">
        <v>665</v>
      </c>
      <c r="P38" s="543" t="s">
        <v>1967</v>
      </c>
      <c r="Q38" s="543" t="s">
        <v>4557</v>
      </c>
      <c r="R38" s="543" t="s">
        <v>1820</v>
      </c>
      <c r="S38" s="543" t="s">
        <v>1952</v>
      </c>
      <c r="T38" s="543">
        <v>310.60000000000002</v>
      </c>
      <c r="U38" s="543" t="s">
        <v>1642</v>
      </c>
      <c r="V38" s="543" t="s">
        <v>1953</v>
      </c>
      <c r="W38" s="543" t="s">
        <v>109</v>
      </c>
      <c r="X38" s="543" t="s">
        <v>4558</v>
      </c>
      <c r="Y38" s="543" t="s">
        <v>1953</v>
      </c>
      <c r="Z38" s="543" t="s">
        <v>109</v>
      </c>
      <c r="AA38" s="543" t="s">
        <v>4558</v>
      </c>
      <c r="AB38" s="543" t="s">
        <v>1955</v>
      </c>
      <c r="AC38" s="543" t="s">
        <v>1816</v>
      </c>
      <c r="AD38" s="543" t="s">
        <v>1817</v>
      </c>
      <c r="AE38" s="543" t="s">
        <v>1455</v>
      </c>
      <c r="AF38" s="543" t="s">
        <v>3040</v>
      </c>
      <c r="AG38" s="543" t="s">
        <v>34</v>
      </c>
      <c r="AH38" s="543" t="s">
        <v>34</v>
      </c>
      <c r="AI38" s="543" t="s">
        <v>34</v>
      </c>
      <c r="AJ38" s="543" t="s">
        <v>34</v>
      </c>
      <c r="AK38" s="543" t="s">
        <v>1818</v>
      </c>
      <c r="AL38" s="543" t="s">
        <v>34</v>
      </c>
      <c r="AM38" s="61" t="s">
        <v>4495</v>
      </c>
      <c r="AN38" s="541">
        <v>0</v>
      </c>
      <c r="AO38" s="541">
        <v>0</v>
      </c>
      <c r="AP38" s="61"/>
      <c r="CE38" s="447"/>
      <c r="CG38" s="447" t="str">
        <v>AERO-MACH LABS, INC.</v>
      </c>
      <c r="CI38" s="447"/>
      <c r="CJ38" s="447"/>
    </row>
    <row r="39" spans="1:88" x14ac:dyDescent="0.2">
      <c r="A39" s="61">
        <v>38</v>
      </c>
      <c r="B39" s="542" t="s">
        <v>1578</v>
      </c>
      <c r="C39" s="543" t="s">
        <v>1590</v>
      </c>
      <c r="D39" s="543" t="s">
        <v>3684</v>
      </c>
      <c r="E39" s="543" t="s">
        <v>1946</v>
      </c>
      <c r="F39" s="543" t="s">
        <v>1704</v>
      </c>
      <c r="G39" s="543" t="s">
        <v>34</v>
      </c>
      <c r="H39" s="543" t="s">
        <v>1821</v>
      </c>
      <c r="I39" s="543" t="s">
        <v>5342</v>
      </c>
      <c r="J39" s="543" t="s">
        <v>1461</v>
      </c>
      <c r="K39" s="543" t="s">
        <v>1965</v>
      </c>
      <c r="L39" s="543" t="s">
        <v>1948</v>
      </c>
      <c r="M39" s="543" t="s">
        <v>1965</v>
      </c>
      <c r="N39" s="543" t="s">
        <v>1590</v>
      </c>
      <c r="O39" s="543" t="s">
        <v>665</v>
      </c>
      <c r="P39" s="543" t="s">
        <v>1972</v>
      </c>
      <c r="Q39" s="543" t="s">
        <v>4557</v>
      </c>
      <c r="R39" s="543" t="s">
        <v>1973</v>
      </c>
      <c r="S39" s="543" t="s">
        <v>1952</v>
      </c>
      <c r="T39" s="543">
        <v>310.60000000000002</v>
      </c>
      <c r="U39" s="543" t="s">
        <v>1642</v>
      </c>
      <c r="V39" s="543" t="s">
        <v>1974</v>
      </c>
      <c r="W39" s="543" t="s">
        <v>109</v>
      </c>
      <c r="X39" s="543" t="s">
        <v>109</v>
      </c>
      <c r="Y39" s="543" t="s">
        <v>1974</v>
      </c>
      <c r="Z39" s="543" t="s">
        <v>109</v>
      </c>
      <c r="AA39" s="543" t="s">
        <v>109</v>
      </c>
      <c r="AB39" s="543" t="s">
        <v>1975</v>
      </c>
      <c r="AC39" s="543" t="s">
        <v>1816</v>
      </c>
      <c r="AD39" s="543" t="s">
        <v>1817</v>
      </c>
      <c r="AE39" s="543" t="s">
        <v>1455</v>
      </c>
      <c r="AF39" s="543" t="s">
        <v>3040</v>
      </c>
      <c r="AG39" s="543" t="s">
        <v>34</v>
      </c>
      <c r="AH39" s="543" t="s">
        <v>34</v>
      </c>
      <c r="AI39" s="543" t="s">
        <v>34</v>
      </c>
      <c r="AJ39" s="543" t="s">
        <v>34</v>
      </c>
      <c r="AK39" s="543" t="s">
        <v>1818</v>
      </c>
      <c r="AL39" s="543" t="s">
        <v>34</v>
      </c>
      <c r="AM39" s="61" t="s">
        <v>4495</v>
      </c>
      <c r="AN39" s="541">
        <v>0</v>
      </c>
      <c r="AO39" s="541">
        <v>0</v>
      </c>
      <c r="AP39" s="61"/>
      <c r="CE39" s="447"/>
      <c r="CG39" s="447" t="str">
        <v>AERO-TECH ENGINEERING, INC.</v>
      </c>
      <c r="CI39" s="447"/>
      <c r="CJ39" s="447"/>
    </row>
    <row r="40" spans="1:88" x14ac:dyDescent="0.2">
      <c r="A40" s="61">
        <v>39</v>
      </c>
      <c r="B40" s="542" t="s">
        <v>1578</v>
      </c>
      <c r="C40" s="543" t="s">
        <v>1592</v>
      </c>
      <c r="D40" s="543" t="s">
        <v>3685</v>
      </c>
      <c r="E40" s="543" t="s">
        <v>1946</v>
      </c>
      <c r="F40" s="543" t="s">
        <v>1704</v>
      </c>
      <c r="G40" s="543" t="s">
        <v>34</v>
      </c>
      <c r="H40" s="543" t="s">
        <v>1821</v>
      </c>
      <c r="I40" s="543" t="s">
        <v>5342</v>
      </c>
      <c r="J40" s="543" t="s">
        <v>1461</v>
      </c>
      <c r="K40" s="543" t="s">
        <v>1966</v>
      </c>
      <c r="L40" s="543" t="s">
        <v>1948</v>
      </c>
      <c r="M40" s="543" t="s">
        <v>1966</v>
      </c>
      <c r="N40" s="543" t="s">
        <v>1592</v>
      </c>
      <c r="O40" s="543" t="s">
        <v>665</v>
      </c>
      <c r="P40" s="543" t="s">
        <v>1972</v>
      </c>
      <c r="Q40" s="543" t="s">
        <v>4557</v>
      </c>
      <c r="R40" s="543" t="s">
        <v>1973</v>
      </c>
      <c r="S40" s="543" t="s">
        <v>1952</v>
      </c>
      <c r="T40" s="543">
        <v>310.60000000000002</v>
      </c>
      <c r="U40" s="543" t="s">
        <v>1642</v>
      </c>
      <c r="V40" s="543" t="s">
        <v>1974</v>
      </c>
      <c r="W40" s="543" t="s">
        <v>109</v>
      </c>
      <c r="X40" s="543" t="s">
        <v>109</v>
      </c>
      <c r="Y40" s="543" t="s">
        <v>1974</v>
      </c>
      <c r="Z40" s="543" t="s">
        <v>109</v>
      </c>
      <c r="AA40" s="543" t="s">
        <v>109</v>
      </c>
      <c r="AB40" s="543" t="s">
        <v>1975</v>
      </c>
      <c r="AC40" s="543" t="s">
        <v>1816</v>
      </c>
      <c r="AD40" s="543" t="s">
        <v>1817</v>
      </c>
      <c r="AE40" s="543" t="s">
        <v>1455</v>
      </c>
      <c r="AF40" s="543" t="s">
        <v>3040</v>
      </c>
      <c r="AG40" s="543" t="s">
        <v>34</v>
      </c>
      <c r="AH40" s="543" t="s">
        <v>34</v>
      </c>
      <c r="AI40" s="543" t="s">
        <v>34</v>
      </c>
      <c r="AJ40" s="543" t="s">
        <v>34</v>
      </c>
      <c r="AK40" s="543" t="s">
        <v>1818</v>
      </c>
      <c r="AL40" s="543" t="s">
        <v>34</v>
      </c>
      <c r="AM40" s="61" t="s">
        <v>4495</v>
      </c>
      <c r="AN40" s="541">
        <v>0</v>
      </c>
      <c r="AO40" s="541">
        <v>0</v>
      </c>
      <c r="AP40" s="61"/>
      <c r="CE40" s="447"/>
      <c r="CG40" s="447" t="str">
        <v>AEROBIND INC.</v>
      </c>
      <c r="CI40" s="447"/>
      <c r="CJ40" s="447"/>
    </row>
    <row r="41" spans="1:88" x14ac:dyDescent="0.2">
      <c r="A41" s="61">
        <v>40</v>
      </c>
      <c r="B41" s="542" t="s">
        <v>1578</v>
      </c>
      <c r="C41" s="543" t="s">
        <v>1579</v>
      </c>
      <c r="D41" s="543" t="s">
        <v>3686</v>
      </c>
      <c r="E41" s="543" t="s">
        <v>1946</v>
      </c>
      <c r="F41" s="543" t="s">
        <v>1704</v>
      </c>
      <c r="G41" s="543" t="s">
        <v>34</v>
      </c>
      <c r="H41" s="543" t="s">
        <v>1821</v>
      </c>
      <c r="I41" s="543" t="s">
        <v>5342</v>
      </c>
      <c r="J41" s="543" t="s">
        <v>1461</v>
      </c>
      <c r="K41" s="543" t="s">
        <v>1947</v>
      </c>
      <c r="L41" s="543" t="s">
        <v>1948</v>
      </c>
      <c r="M41" s="543" t="s">
        <v>1949</v>
      </c>
      <c r="N41" s="543" t="s">
        <v>1579</v>
      </c>
      <c r="O41" s="543" t="s">
        <v>665</v>
      </c>
      <c r="P41" s="543" t="s">
        <v>1950</v>
      </c>
      <c r="Q41" s="543" t="s">
        <v>4562</v>
      </c>
      <c r="R41" s="543" t="s">
        <v>1820</v>
      </c>
      <c r="S41" s="543" t="s">
        <v>1952</v>
      </c>
      <c r="T41" s="543">
        <v>310.60000000000002</v>
      </c>
      <c r="U41" s="543" t="s">
        <v>1642</v>
      </c>
      <c r="V41" s="543" t="s">
        <v>1953</v>
      </c>
      <c r="W41" s="543" t="s">
        <v>109</v>
      </c>
      <c r="X41" s="543" t="s">
        <v>4558</v>
      </c>
      <c r="Y41" s="543" t="s">
        <v>1953</v>
      </c>
      <c r="Z41" s="543" t="s">
        <v>109</v>
      </c>
      <c r="AA41" s="543" t="s">
        <v>4558</v>
      </c>
      <c r="AB41" s="543" t="s">
        <v>1955</v>
      </c>
      <c r="AC41" s="543" t="s">
        <v>1816</v>
      </c>
      <c r="AD41" s="543" t="s">
        <v>1817</v>
      </c>
      <c r="AE41" s="543" t="s">
        <v>1455</v>
      </c>
      <c r="AF41" s="543" t="s">
        <v>3040</v>
      </c>
      <c r="AG41" s="543" t="s">
        <v>34</v>
      </c>
      <c r="AH41" s="543" t="s">
        <v>34</v>
      </c>
      <c r="AI41" s="543" t="s">
        <v>34</v>
      </c>
      <c r="AJ41" s="543" t="s">
        <v>34</v>
      </c>
      <c r="AK41" s="543" t="s">
        <v>1818</v>
      </c>
      <c r="AL41" s="543" t="s">
        <v>34</v>
      </c>
      <c r="AM41" s="61" t="s">
        <v>4495</v>
      </c>
      <c r="AN41" s="541">
        <v>0</v>
      </c>
      <c r="AO41" s="541">
        <v>0</v>
      </c>
      <c r="AP41" s="61"/>
      <c r="CE41" s="447"/>
      <c r="CG41" s="447" t="str">
        <v>AEROCAP PRODUCTS</v>
      </c>
      <c r="CI41" s="447"/>
      <c r="CJ41" s="447"/>
    </row>
    <row r="42" spans="1:88" x14ac:dyDescent="0.2">
      <c r="A42" s="61">
        <v>41</v>
      </c>
      <c r="B42" s="542" t="s">
        <v>1578</v>
      </c>
      <c r="C42" s="543" t="s">
        <v>4749</v>
      </c>
      <c r="D42" s="543" t="s">
        <v>4750</v>
      </c>
      <c r="E42" s="543" t="s">
        <v>1946</v>
      </c>
      <c r="F42" s="543" t="s">
        <v>1704</v>
      </c>
      <c r="G42" s="543" t="s">
        <v>34</v>
      </c>
      <c r="H42" s="543" t="s">
        <v>1821</v>
      </c>
      <c r="I42" s="543" t="s">
        <v>4736</v>
      </c>
      <c r="J42" s="543" t="s">
        <v>1461</v>
      </c>
      <c r="K42" s="543" t="s">
        <v>4751</v>
      </c>
      <c r="L42" s="543" t="s">
        <v>1948</v>
      </c>
      <c r="M42" s="543" t="s">
        <v>4751</v>
      </c>
      <c r="N42" s="543" t="s">
        <v>4749</v>
      </c>
      <c r="O42" s="543" t="s">
        <v>665</v>
      </c>
      <c r="P42" s="543" t="s">
        <v>1961</v>
      </c>
      <c r="Q42" s="543" t="s">
        <v>4555</v>
      </c>
      <c r="R42" s="543" t="s">
        <v>1820</v>
      </c>
      <c r="S42" s="543" t="s">
        <v>1952</v>
      </c>
      <c r="T42" s="543">
        <v>310.60000000000002</v>
      </c>
      <c r="U42" s="543" t="s">
        <v>1642</v>
      </c>
      <c r="V42" s="543" t="s">
        <v>1953</v>
      </c>
      <c r="W42" s="543" t="s">
        <v>109</v>
      </c>
      <c r="X42" s="543" t="s">
        <v>4563</v>
      </c>
      <c r="Y42" s="543" t="s">
        <v>1953</v>
      </c>
      <c r="Z42" s="543" t="s">
        <v>109</v>
      </c>
      <c r="AA42" s="543" t="s">
        <v>4563</v>
      </c>
      <c r="AB42" s="543" t="s">
        <v>1955</v>
      </c>
      <c r="AC42" s="543" t="s">
        <v>1816</v>
      </c>
      <c r="AD42" s="543" t="s">
        <v>1817</v>
      </c>
      <c r="AE42" s="543" t="s">
        <v>1455</v>
      </c>
      <c r="AF42" s="543" t="s">
        <v>3040</v>
      </c>
      <c r="AG42" s="543" t="s">
        <v>34</v>
      </c>
      <c r="AH42" s="543" t="s">
        <v>34</v>
      </c>
      <c r="AI42" s="543" t="s">
        <v>34</v>
      </c>
      <c r="AJ42" s="543" t="s">
        <v>34</v>
      </c>
      <c r="AK42" s="543" t="s">
        <v>1818</v>
      </c>
      <c r="AL42" s="543" t="s">
        <v>34</v>
      </c>
      <c r="AM42" s="61" t="s">
        <v>4495</v>
      </c>
      <c r="AN42" s="541"/>
      <c r="AO42" s="541"/>
      <c r="AP42" s="61"/>
      <c r="CE42" s="447"/>
      <c r="CG42" s="447" t="str">
        <v>AERONAUTIX LLC</v>
      </c>
      <c r="CI42" s="447"/>
      <c r="CJ42" s="447"/>
    </row>
    <row r="43" spans="1:88" x14ac:dyDescent="0.2">
      <c r="A43" s="61">
        <v>42</v>
      </c>
      <c r="B43" s="542" t="s">
        <v>631</v>
      </c>
      <c r="C43" s="543" t="s">
        <v>639</v>
      </c>
      <c r="D43" s="543" t="s">
        <v>3687</v>
      </c>
      <c r="E43" s="543" t="s">
        <v>1705</v>
      </c>
      <c r="F43" s="543" t="s">
        <v>1706</v>
      </c>
      <c r="G43" s="543" t="s">
        <v>34</v>
      </c>
      <c r="H43" s="543" t="s">
        <v>1821</v>
      </c>
      <c r="I43" s="543" t="s">
        <v>5342</v>
      </c>
      <c r="J43" s="543" t="s">
        <v>1461</v>
      </c>
      <c r="K43" s="543" t="s">
        <v>1997</v>
      </c>
      <c r="L43" s="543" t="s">
        <v>3663</v>
      </c>
      <c r="M43" s="543">
        <v>1020</v>
      </c>
      <c r="N43" s="543" t="s">
        <v>639</v>
      </c>
      <c r="O43" s="543" t="s">
        <v>665</v>
      </c>
      <c r="P43" s="543" t="s">
        <v>2000</v>
      </c>
      <c r="Q43" s="543" t="s">
        <v>4555</v>
      </c>
      <c r="R43" s="543" t="s">
        <v>1814</v>
      </c>
      <c r="S43" s="543" t="s">
        <v>3664</v>
      </c>
      <c r="T43" s="543">
        <v>57.7</v>
      </c>
      <c r="U43" s="543" t="s">
        <v>1843</v>
      </c>
      <c r="V43" s="543" t="s">
        <v>3665</v>
      </c>
      <c r="W43" s="543">
        <v>95040103</v>
      </c>
      <c r="X43" s="543" t="s">
        <v>4556</v>
      </c>
      <c r="Y43" s="543" t="s">
        <v>1996</v>
      </c>
      <c r="Z43" s="543" t="s">
        <v>3666</v>
      </c>
      <c r="AA43" s="543" t="s">
        <v>4556</v>
      </c>
      <c r="AB43" s="543" t="s">
        <v>34</v>
      </c>
      <c r="AC43" s="543" t="s">
        <v>1816</v>
      </c>
      <c r="AD43" s="543" t="s">
        <v>1817</v>
      </c>
      <c r="AE43" s="543" t="s">
        <v>1455</v>
      </c>
      <c r="AF43" s="543" t="s">
        <v>3040</v>
      </c>
      <c r="AG43" s="543" t="s">
        <v>34</v>
      </c>
      <c r="AH43" s="543" t="s">
        <v>34</v>
      </c>
      <c r="AI43" s="543" t="s">
        <v>34</v>
      </c>
      <c r="AJ43" s="543" t="s">
        <v>34</v>
      </c>
      <c r="AK43" s="543" t="s">
        <v>1818</v>
      </c>
      <c r="AL43" s="543" t="s">
        <v>34</v>
      </c>
      <c r="AM43" s="61" t="s">
        <v>4498</v>
      </c>
      <c r="AN43" s="541">
        <v>0</v>
      </c>
      <c r="AO43" s="541">
        <v>0</v>
      </c>
      <c r="AP43" s="61"/>
      <c r="CE43" s="447"/>
      <c r="CG43" s="447" t="str">
        <v>AEROSPACE FABRICATIONS OF GEORGIA, INC.</v>
      </c>
      <c r="CI43" s="447"/>
      <c r="CJ43" s="447"/>
    </row>
    <row r="44" spans="1:88" x14ac:dyDescent="0.2">
      <c r="A44" s="61">
        <v>43</v>
      </c>
      <c r="B44" s="542" t="s">
        <v>631</v>
      </c>
      <c r="C44" s="543" t="s">
        <v>637</v>
      </c>
      <c r="D44" s="543" t="s">
        <v>3688</v>
      </c>
      <c r="E44" s="543" t="s">
        <v>1705</v>
      </c>
      <c r="F44" s="543" t="s">
        <v>1706</v>
      </c>
      <c r="G44" s="543" t="s">
        <v>34</v>
      </c>
      <c r="H44" s="543" t="s">
        <v>1821</v>
      </c>
      <c r="I44" s="543" t="s">
        <v>5342</v>
      </c>
      <c r="J44" s="543" t="s">
        <v>1461</v>
      </c>
      <c r="K44" s="543" t="s">
        <v>1997</v>
      </c>
      <c r="L44" s="543" t="s">
        <v>1999</v>
      </c>
      <c r="M44" s="543">
        <v>5514</v>
      </c>
      <c r="N44" s="543" t="s">
        <v>637</v>
      </c>
      <c r="O44" s="543" t="s">
        <v>665</v>
      </c>
      <c r="P44" s="543" t="s">
        <v>4871</v>
      </c>
      <c r="Q44" s="543" t="s">
        <v>4555</v>
      </c>
      <c r="R44" s="543" t="s">
        <v>1814</v>
      </c>
      <c r="S44" s="543" t="s">
        <v>2001</v>
      </c>
      <c r="T44" s="543">
        <v>1005.1</v>
      </c>
      <c r="U44" s="543" t="s">
        <v>1843</v>
      </c>
      <c r="V44" s="543" t="s">
        <v>2002</v>
      </c>
      <c r="W44" s="543" t="s">
        <v>2003</v>
      </c>
      <c r="X44" s="543" t="s">
        <v>4556</v>
      </c>
      <c r="Y44" s="543" t="s">
        <v>2002</v>
      </c>
      <c r="Z44" s="543" t="s">
        <v>2003</v>
      </c>
      <c r="AA44" s="543" t="s">
        <v>4556</v>
      </c>
      <c r="AB44" s="543" t="s">
        <v>2004</v>
      </c>
      <c r="AC44" s="543" t="s">
        <v>1816</v>
      </c>
      <c r="AD44" s="543" t="s">
        <v>1817</v>
      </c>
      <c r="AE44" s="543" t="s">
        <v>1455</v>
      </c>
      <c r="AF44" s="543" t="s">
        <v>3040</v>
      </c>
      <c r="AG44" s="543" t="s">
        <v>34</v>
      </c>
      <c r="AH44" s="543" t="s">
        <v>34</v>
      </c>
      <c r="AI44" s="543" t="s">
        <v>34</v>
      </c>
      <c r="AJ44" s="543" t="s">
        <v>34</v>
      </c>
      <c r="AK44" s="543" t="s">
        <v>1818</v>
      </c>
      <c r="AL44" s="543" t="s">
        <v>34</v>
      </c>
      <c r="AM44" s="61" t="s">
        <v>4495</v>
      </c>
      <c r="AN44" s="541">
        <v>0</v>
      </c>
      <c r="AO44" s="541">
        <v>0</v>
      </c>
      <c r="AP44" s="61"/>
      <c r="CE44" s="447"/>
      <c r="CG44" s="447" t="str">
        <v>AEROSPACE INDUSTRIAL DEVELOPMENT CORPORATION</v>
      </c>
      <c r="CI44" s="447"/>
      <c r="CJ44" s="447"/>
    </row>
    <row r="45" spans="1:88" x14ac:dyDescent="0.2">
      <c r="A45" s="61">
        <v>44</v>
      </c>
      <c r="B45" s="542" t="s">
        <v>631</v>
      </c>
      <c r="C45" s="543" t="s">
        <v>4330</v>
      </c>
      <c r="D45" s="543" t="s">
        <v>4331</v>
      </c>
      <c r="E45" s="543" t="s">
        <v>1705</v>
      </c>
      <c r="F45" s="543" t="s">
        <v>1706</v>
      </c>
      <c r="G45" s="543" t="s">
        <v>34</v>
      </c>
      <c r="H45" s="543" t="s">
        <v>4332</v>
      </c>
      <c r="I45" s="543" t="s">
        <v>5342</v>
      </c>
      <c r="J45" s="543" t="s">
        <v>1809</v>
      </c>
      <c r="K45" s="543" t="s">
        <v>1600</v>
      </c>
      <c r="L45" s="543" t="s">
        <v>4333</v>
      </c>
      <c r="M45" s="543" t="s">
        <v>4334</v>
      </c>
      <c r="N45" s="543" t="s">
        <v>4330</v>
      </c>
      <c r="O45" s="543" t="s">
        <v>2092</v>
      </c>
      <c r="P45" s="543" t="s">
        <v>4335</v>
      </c>
      <c r="Q45" s="543" t="s">
        <v>4557</v>
      </c>
      <c r="R45" s="543" t="s">
        <v>1915</v>
      </c>
      <c r="S45" s="543" t="s">
        <v>2231</v>
      </c>
      <c r="T45" s="543">
        <v>116</v>
      </c>
      <c r="U45" s="543" t="s">
        <v>1844</v>
      </c>
      <c r="V45" s="543" t="s">
        <v>4336</v>
      </c>
      <c r="W45" s="543">
        <v>8270792</v>
      </c>
      <c r="X45" s="543" t="s">
        <v>4556</v>
      </c>
      <c r="Y45" s="543" t="s">
        <v>4337</v>
      </c>
      <c r="Z45" s="543" t="s">
        <v>1992</v>
      </c>
      <c r="AA45" s="543" t="s">
        <v>4556</v>
      </c>
      <c r="AB45" s="543" t="s">
        <v>34</v>
      </c>
      <c r="AC45" s="543" t="s">
        <v>1816</v>
      </c>
      <c r="AD45" s="543" t="s">
        <v>1817</v>
      </c>
      <c r="AE45" s="543" t="s">
        <v>1455</v>
      </c>
      <c r="AF45" s="543" t="s">
        <v>3040</v>
      </c>
      <c r="AG45" s="543" t="s">
        <v>3040</v>
      </c>
      <c r="AH45" s="543" t="s">
        <v>3040</v>
      </c>
      <c r="AI45" s="543" t="s">
        <v>3040</v>
      </c>
      <c r="AJ45" s="543" t="s">
        <v>3040</v>
      </c>
      <c r="AK45" s="543" t="s">
        <v>1818</v>
      </c>
      <c r="AL45" s="543" t="s">
        <v>34</v>
      </c>
      <c r="AM45" s="61" t="s">
        <v>4495</v>
      </c>
      <c r="AN45" s="541">
        <v>0</v>
      </c>
      <c r="AO45" s="541">
        <v>0</v>
      </c>
      <c r="AP45" s="61"/>
      <c r="CE45" s="447"/>
      <c r="CG45" s="447" t="str">
        <v>AEROSPACE SYSTEMS &amp; COMPONENTS</v>
      </c>
      <c r="CI45" s="447"/>
      <c r="CJ45" s="447"/>
    </row>
    <row r="46" spans="1:88" x14ac:dyDescent="0.2">
      <c r="A46" s="61">
        <v>45</v>
      </c>
      <c r="B46" s="542" t="s">
        <v>631</v>
      </c>
      <c r="C46" s="543" t="s">
        <v>591</v>
      </c>
      <c r="D46" s="543" t="s">
        <v>3689</v>
      </c>
      <c r="E46" s="543" t="s">
        <v>1705</v>
      </c>
      <c r="F46" s="543" t="s">
        <v>1706</v>
      </c>
      <c r="G46" s="543" t="s">
        <v>34</v>
      </c>
      <c r="H46" s="543" t="s">
        <v>1821</v>
      </c>
      <c r="I46" s="543" t="s">
        <v>5342</v>
      </c>
      <c r="J46" s="543" t="s">
        <v>1809</v>
      </c>
      <c r="K46" s="543" t="s">
        <v>1985</v>
      </c>
      <c r="L46" s="543" t="s">
        <v>1948</v>
      </c>
      <c r="M46" s="543" t="s">
        <v>1986</v>
      </c>
      <c r="N46" s="543" t="s">
        <v>1986</v>
      </c>
      <c r="O46" s="543" t="s">
        <v>5343</v>
      </c>
      <c r="P46" s="543" t="s">
        <v>1987</v>
      </c>
      <c r="Q46" s="543" t="s">
        <v>4555</v>
      </c>
      <c r="R46" s="543" t="s">
        <v>1988</v>
      </c>
      <c r="S46" s="543" t="s">
        <v>1989</v>
      </c>
      <c r="T46" s="543">
        <v>509.8</v>
      </c>
      <c r="U46" s="543" t="s">
        <v>1843</v>
      </c>
      <c r="V46" s="543" t="s">
        <v>1990</v>
      </c>
      <c r="W46" s="543">
        <v>8310260</v>
      </c>
      <c r="X46" s="543" t="s">
        <v>4556</v>
      </c>
      <c r="Y46" s="543" t="s">
        <v>1991</v>
      </c>
      <c r="Z46" s="543" t="s">
        <v>1992</v>
      </c>
      <c r="AA46" s="543" t="s">
        <v>4556</v>
      </c>
      <c r="AB46" s="543" t="s">
        <v>1993</v>
      </c>
      <c r="AC46" s="543" t="s">
        <v>1816</v>
      </c>
      <c r="AD46" s="543" t="s">
        <v>1817</v>
      </c>
      <c r="AE46" s="543" t="s">
        <v>1455</v>
      </c>
      <c r="AF46" s="543">
        <v>25.5</v>
      </c>
      <c r="AG46" s="543">
        <v>135</v>
      </c>
      <c r="AH46" s="543">
        <v>32.4</v>
      </c>
      <c r="AI46" s="543" t="s">
        <v>34</v>
      </c>
      <c r="AJ46" s="543" t="s">
        <v>34</v>
      </c>
      <c r="AK46" s="543" t="s">
        <v>1818</v>
      </c>
      <c r="AL46" s="543" t="s">
        <v>34</v>
      </c>
      <c r="AM46" s="61" t="s">
        <v>4495</v>
      </c>
      <c r="AN46" s="541">
        <v>0</v>
      </c>
      <c r="AO46" s="541">
        <v>0</v>
      </c>
      <c r="AP46" s="61"/>
      <c r="CE46" s="447"/>
      <c r="CG46" s="447" t="str">
        <v>AEROSPACE TECHNOLOGIES, INC.</v>
      </c>
      <c r="CI46" s="447"/>
      <c r="CJ46" s="447"/>
    </row>
    <row r="47" spans="1:88" x14ac:dyDescent="0.2">
      <c r="A47" s="61">
        <v>46</v>
      </c>
      <c r="B47" s="542" t="s">
        <v>643</v>
      </c>
      <c r="C47" s="543" t="s">
        <v>647</v>
      </c>
      <c r="D47" s="543" t="s">
        <v>3690</v>
      </c>
      <c r="E47" s="543" t="s">
        <v>1707</v>
      </c>
      <c r="F47" s="543" t="s">
        <v>1708</v>
      </c>
      <c r="G47" s="543" t="s">
        <v>34</v>
      </c>
      <c r="H47" s="543" t="s">
        <v>1821</v>
      </c>
      <c r="I47" s="543" t="s">
        <v>5342</v>
      </c>
      <c r="J47" s="543" t="s">
        <v>1809</v>
      </c>
      <c r="K47" s="543" t="s">
        <v>1171</v>
      </c>
      <c r="L47" s="543" t="s">
        <v>2015</v>
      </c>
      <c r="M47" s="543">
        <v>3199</v>
      </c>
      <c r="N47" s="543" t="s">
        <v>647</v>
      </c>
      <c r="O47" s="543" t="s">
        <v>5345</v>
      </c>
      <c r="P47" s="543" t="s">
        <v>2016</v>
      </c>
      <c r="Q47" s="543" t="s">
        <v>4557</v>
      </c>
      <c r="R47" s="543" t="s">
        <v>1814</v>
      </c>
      <c r="S47" s="543" t="s">
        <v>2017</v>
      </c>
      <c r="T47" s="543">
        <v>258.89999999999998</v>
      </c>
      <c r="U47" s="543" t="s">
        <v>1841</v>
      </c>
      <c r="V47" s="543" t="s">
        <v>1899</v>
      </c>
      <c r="W47" s="543" t="s">
        <v>2018</v>
      </c>
      <c r="X47" s="543" t="s">
        <v>4556</v>
      </c>
      <c r="Y47" s="543" t="s">
        <v>2012</v>
      </c>
      <c r="Z47" s="543" t="s">
        <v>2013</v>
      </c>
      <c r="AA47" s="543" t="s">
        <v>4556</v>
      </c>
      <c r="AB47" s="543" t="s">
        <v>34</v>
      </c>
      <c r="AC47" s="543" t="s">
        <v>1816</v>
      </c>
      <c r="AD47" s="543" t="s">
        <v>1817</v>
      </c>
      <c r="AE47" s="543" t="s">
        <v>1455</v>
      </c>
      <c r="AF47" s="543">
        <v>6.7</v>
      </c>
      <c r="AG47" s="543">
        <v>99</v>
      </c>
      <c r="AH47" s="543">
        <v>16</v>
      </c>
      <c r="AI47" s="543" t="s">
        <v>34</v>
      </c>
      <c r="AJ47" s="543" t="s">
        <v>34</v>
      </c>
      <c r="AK47" s="543" t="s">
        <v>1818</v>
      </c>
      <c r="AL47" s="543" t="s">
        <v>34</v>
      </c>
      <c r="AM47" s="61" t="s">
        <v>4498</v>
      </c>
      <c r="AN47" s="541">
        <v>1.4583333333333332E-2</v>
      </c>
      <c r="AO47" s="541">
        <v>0</v>
      </c>
      <c r="AP47" s="61"/>
      <c r="CE47" s="447"/>
      <c r="CG47" s="447" t="str">
        <v>AEROSPACE TESTING SERVICES</v>
      </c>
      <c r="CI47" s="447"/>
      <c r="CJ47" s="447"/>
    </row>
    <row r="48" spans="1:88" x14ac:dyDescent="0.2">
      <c r="A48" s="61">
        <v>47</v>
      </c>
      <c r="B48" s="542" t="s">
        <v>643</v>
      </c>
      <c r="C48" s="543" t="s">
        <v>653</v>
      </c>
      <c r="D48" s="543" t="s">
        <v>3691</v>
      </c>
      <c r="E48" s="543" t="s">
        <v>1707</v>
      </c>
      <c r="F48" s="543" t="s">
        <v>1708</v>
      </c>
      <c r="G48" s="543" t="s">
        <v>34</v>
      </c>
      <c r="H48" s="543" t="s">
        <v>1821</v>
      </c>
      <c r="I48" s="543" t="s">
        <v>5342</v>
      </c>
      <c r="J48" s="543" t="s">
        <v>1809</v>
      </c>
      <c r="K48" s="543" t="s">
        <v>2036</v>
      </c>
      <c r="L48" s="543" t="s">
        <v>2037</v>
      </c>
      <c r="M48" s="543">
        <v>1240</v>
      </c>
      <c r="N48" s="543" t="s">
        <v>653</v>
      </c>
      <c r="O48" s="543" t="s">
        <v>5345</v>
      </c>
      <c r="P48" s="543" t="s">
        <v>2016</v>
      </c>
      <c r="Q48" s="543" t="s">
        <v>4557</v>
      </c>
      <c r="R48" s="543" t="s">
        <v>1814</v>
      </c>
      <c r="S48" s="543" t="s">
        <v>2038</v>
      </c>
      <c r="T48" s="543">
        <v>12.9</v>
      </c>
      <c r="U48" s="543" t="s">
        <v>1841</v>
      </c>
      <c r="V48" s="543" t="s">
        <v>1899</v>
      </c>
      <c r="W48" s="543" t="s">
        <v>2039</v>
      </c>
      <c r="X48" s="543" t="s">
        <v>4556</v>
      </c>
      <c r="Y48" s="543" t="s">
        <v>2012</v>
      </c>
      <c r="Z48" s="543" t="s">
        <v>4167</v>
      </c>
      <c r="AA48" s="543" t="s">
        <v>4556</v>
      </c>
      <c r="AB48" s="543" t="s">
        <v>34</v>
      </c>
      <c r="AC48" s="543" t="s">
        <v>1816</v>
      </c>
      <c r="AD48" s="543" t="s">
        <v>1817</v>
      </c>
      <c r="AE48" s="543" t="s">
        <v>1455</v>
      </c>
      <c r="AF48" s="543">
        <v>32.200000000000003</v>
      </c>
      <c r="AG48" s="543">
        <v>277</v>
      </c>
      <c r="AH48" s="543" t="s">
        <v>4090</v>
      </c>
      <c r="AI48" s="543" t="s">
        <v>3584</v>
      </c>
      <c r="AJ48" s="543" t="s">
        <v>3585</v>
      </c>
      <c r="AK48" s="543" t="s">
        <v>1818</v>
      </c>
      <c r="AL48" s="543" t="s">
        <v>34</v>
      </c>
      <c r="AM48" s="61" t="s">
        <v>4498</v>
      </c>
      <c r="AN48" s="541">
        <v>0</v>
      </c>
      <c r="AO48" s="541">
        <v>0</v>
      </c>
      <c r="AP48" s="61"/>
      <c r="CE48" s="447"/>
      <c r="CG48" s="447" t="str">
        <v>AEROSPACE TURBINE ROTABLES, INC.</v>
      </c>
      <c r="CI48" s="447"/>
      <c r="CJ48" s="447"/>
    </row>
    <row r="49" spans="1:88" x14ac:dyDescent="0.2">
      <c r="A49" s="61">
        <v>48</v>
      </c>
      <c r="B49" s="542" t="s">
        <v>643</v>
      </c>
      <c r="C49" s="543" t="s">
        <v>649</v>
      </c>
      <c r="D49" s="543" t="s">
        <v>3692</v>
      </c>
      <c r="E49" s="543" t="s">
        <v>1707</v>
      </c>
      <c r="F49" s="543" t="s">
        <v>1708</v>
      </c>
      <c r="G49" s="543" t="s">
        <v>34</v>
      </c>
      <c r="H49" s="543" t="s">
        <v>1821</v>
      </c>
      <c r="I49" s="543" t="s">
        <v>5342</v>
      </c>
      <c r="J49" s="543" t="s">
        <v>1461</v>
      </c>
      <c r="K49" s="543" t="s">
        <v>2048</v>
      </c>
      <c r="L49" s="543" t="s">
        <v>109</v>
      </c>
      <c r="M49" s="543" t="s">
        <v>2049</v>
      </c>
      <c r="N49" s="543" t="s">
        <v>649</v>
      </c>
      <c r="O49" s="543" t="s">
        <v>665</v>
      </c>
      <c r="P49" s="543">
        <v>0</v>
      </c>
      <c r="Q49" s="543">
        <v>0</v>
      </c>
      <c r="R49" s="543">
        <v>0</v>
      </c>
      <c r="S49" s="543">
        <v>0</v>
      </c>
      <c r="T49" s="543">
        <v>0</v>
      </c>
      <c r="U49" s="543">
        <v>0</v>
      </c>
      <c r="V49" s="543">
        <v>0</v>
      </c>
      <c r="W49" s="543">
        <v>0</v>
      </c>
      <c r="X49" s="543">
        <v>0</v>
      </c>
      <c r="Y49" s="543">
        <v>0</v>
      </c>
      <c r="Z49" s="543">
        <v>0</v>
      </c>
      <c r="AA49" s="543">
        <v>0</v>
      </c>
      <c r="AB49" s="543" t="s">
        <v>34</v>
      </c>
      <c r="AC49" s="543" t="s">
        <v>1816</v>
      </c>
      <c r="AD49" s="543" t="s">
        <v>1817</v>
      </c>
      <c r="AE49" s="543" t="s">
        <v>1455</v>
      </c>
      <c r="AF49" s="543" t="s">
        <v>3040</v>
      </c>
      <c r="AG49" s="543" t="s">
        <v>34</v>
      </c>
      <c r="AH49" s="543" t="s">
        <v>34</v>
      </c>
      <c r="AI49" s="543" t="s">
        <v>34</v>
      </c>
      <c r="AJ49" s="543" t="s">
        <v>34</v>
      </c>
      <c r="AK49" s="543" t="s">
        <v>1818</v>
      </c>
      <c r="AL49" s="543" t="s">
        <v>34</v>
      </c>
      <c r="AM49" s="61" t="s">
        <v>4499</v>
      </c>
      <c r="AN49" s="541">
        <v>0</v>
      </c>
      <c r="AO49" s="541">
        <v>0</v>
      </c>
      <c r="AP49" s="61"/>
      <c r="CE49" s="447"/>
      <c r="CG49" s="447" t="str">
        <v>AEROSYNC</v>
      </c>
      <c r="CI49" s="447"/>
      <c r="CJ49" s="447"/>
    </row>
    <row r="50" spans="1:88" x14ac:dyDescent="0.2">
      <c r="A50" s="61">
        <v>49</v>
      </c>
      <c r="B50" s="542" t="s">
        <v>643</v>
      </c>
      <c r="C50" s="543" t="s">
        <v>1462</v>
      </c>
      <c r="D50" s="543" t="s">
        <v>3693</v>
      </c>
      <c r="E50" s="543" t="s">
        <v>1707</v>
      </c>
      <c r="F50" s="543" t="s">
        <v>1708</v>
      </c>
      <c r="G50" s="543" t="s">
        <v>34</v>
      </c>
      <c r="H50" s="543" t="s">
        <v>1821</v>
      </c>
      <c r="I50" s="543" t="s">
        <v>5342</v>
      </c>
      <c r="J50" s="543" t="s">
        <v>1809</v>
      </c>
      <c r="K50" s="543" t="s">
        <v>2019</v>
      </c>
      <c r="L50" s="543" t="s">
        <v>1948</v>
      </c>
      <c r="M50" s="543" t="s">
        <v>1462</v>
      </c>
      <c r="N50" s="543" t="s">
        <v>1462</v>
      </c>
      <c r="O50" s="543" t="s">
        <v>5343</v>
      </c>
      <c r="P50" s="543" t="s">
        <v>2020</v>
      </c>
      <c r="Q50" s="543" t="s">
        <v>4555</v>
      </c>
      <c r="R50" s="543" t="s">
        <v>1988</v>
      </c>
      <c r="S50" s="543" t="s">
        <v>2021</v>
      </c>
      <c r="T50" s="543">
        <v>385</v>
      </c>
      <c r="U50" s="543" t="s">
        <v>1841</v>
      </c>
      <c r="V50" s="543" t="s">
        <v>2022</v>
      </c>
      <c r="W50" s="543" t="s">
        <v>2023</v>
      </c>
      <c r="X50" s="543" t="s">
        <v>4556</v>
      </c>
      <c r="Y50" s="543" t="s">
        <v>2024</v>
      </c>
      <c r="Z50" s="543">
        <v>27289</v>
      </c>
      <c r="AA50" s="543" t="s">
        <v>4556</v>
      </c>
      <c r="AB50" s="543" t="s">
        <v>34</v>
      </c>
      <c r="AC50" s="543" t="s">
        <v>1816</v>
      </c>
      <c r="AD50" s="543" t="s">
        <v>1817</v>
      </c>
      <c r="AE50" s="543" t="s">
        <v>1455</v>
      </c>
      <c r="AF50" s="543">
        <v>3.2</v>
      </c>
      <c r="AG50" s="543">
        <v>349</v>
      </c>
      <c r="AH50" s="543">
        <v>58</v>
      </c>
      <c r="AI50" s="543" t="s">
        <v>34</v>
      </c>
      <c r="AJ50" s="543" t="s">
        <v>34</v>
      </c>
      <c r="AK50" s="543" t="s">
        <v>1818</v>
      </c>
      <c r="AL50" s="543" t="s">
        <v>34</v>
      </c>
      <c r="AM50" s="61" t="s">
        <v>4495</v>
      </c>
      <c r="AN50" s="541">
        <v>1.4583333333333332E-2</v>
      </c>
      <c r="AO50" s="541">
        <v>2.1527777777777781E-2</v>
      </c>
      <c r="AP50" s="61"/>
      <c r="CE50" s="447"/>
      <c r="CG50" s="447" t="str">
        <v>AEROSYNC ENGINEERING &amp; HELI-STRUCT. SUPP.</v>
      </c>
      <c r="CI50" s="447"/>
      <c r="CJ50" s="447"/>
    </row>
    <row r="51" spans="1:88" x14ac:dyDescent="0.2">
      <c r="A51" s="61">
        <v>50</v>
      </c>
      <c r="B51" s="542" t="s">
        <v>643</v>
      </c>
      <c r="C51" s="543" t="s">
        <v>651</v>
      </c>
      <c r="D51" s="543" t="s">
        <v>3694</v>
      </c>
      <c r="E51" s="543" t="s">
        <v>1707</v>
      </c>
      <c r="F51" s="543" t="s">
        <v>1708</v>
      </c>
      <c r="G51" s="543" t="s">
        <v>34</v>
      </c>
      <c r="H51" s="543" t="s">
        <v>1821</v>
      </c>
      <c r="I51" s="543" t="s">
        <v>5342</v>
      </c>
      <c r="J51" s="543" t="s">
        <v>1809</v>
      </c>
      <c r="K51" s="543" t="s">
        <v>2040</v>
      </c>
      <c r="L51" s="543" t="s">
        <v>2041</v>
      </c>
      <c r="M51" s="543" t="s">
        <v>2042</v>
      </c>
      <c r="N51" s="543" t="s">
        <v>651</v>
      </c>
      <c r="O51" s="543" t="s">
        <v>5346</v>
      </c>
      <c r="P51" s="543" t="s">
        <v>2043</v>
      </c>
      <c r="Q51" s="543" t="s">
        <v>4581</v>
      </c>
      <c r="R51" s="543" t="s">
        <v>1814</v>
      </c>
      <c r="S51" s="543" t="s">
        <v>2044</v>
      </c>
      <c r="T51" s="543">
        <v>28.8</v>
      </c>
      <c r="U51" s="543" t="s">
        <v>1843</v>
      </c>
      <c r="V51" s="543" t="s">
        <v>2045</v>
      </c>
      <c r="W51" s="543" t="s">
        <v>2046</v>
      </c>
      <c r="X51" s="543" t="s">
        <v>4582</v>
      </c>
      <c r="Y51" s="543" t="s">
        <v>2024</v>
      </c>
      <c r="Z51" s="543" t="s">
        <v>2047</v>
      </c>
      <c r="AA51" s="543" t="s">
        <v>4582</v>
      </c>
      <c r="AB51" s="543" t="s">
        <v>34</v>
      </c>
      <c r="AC51" s="543" t="s">
        <v>1816</v>
      </c>
      <c r="AD51" s="543" t="s">
        <v>1817</v>
      </c>
      <c r="AE51" s="543" t="s">
        <v>1455</v>
      </c>
      <c r="AF51" s="543">
        <v>1</v>
      </c>
      <c r="AG51" s="543">
        <v>3</v>
      </c>
      <c r="AH51" s="543">
        <v>0.5</v>
      </c>
      <c r="AI51" s="543" t="s">
        <v>3582</v>
      </c>
      <c r="AJ51" s="543" t="s">
        <v>3583</v>
      </c>
      <c r="AK51" s="543" t="s">
        <v>1818</v>
      </c>
      <c r="AL51" s="543" t="s">
        <v>34</v>
      </c>
      <c r="AM51" s="61" t="s">
        <v>4498</v>
      </c>
      <c r="AN51" s="541">
        <v>0</v>
      </c>
      <c r="AO51" s="541">
        <v>0</v>
      </c>
      <c r="AP51" s="61"/>
      <c r="CE51" s="447"/>
      <c r="CG51" s="447" t="str">
        <v>AEsir Technologies, Inc.</v>
      </c>
      <c r="CI51" s="447"/>
      <c r="CJ51" s="447"/>
    </row>
    <row r="52" spans="1:88" x14ac:dyDescent="0.2">
      <c r="A52" s="61">
        <v>51</v>
      </c>
      <c r="B52" s="542" t="s">
        <v>643</v>
      </c>
      <c r="C52" s="543" t="s">
        <v>634</v>
      </c>
      <c r="D52" s="543" t="s">
        <v>3695</v>
      </c>
      <c r="E52" s="543" t="s">
        <v>1707</v>
      </c>
      <c r="F52" s="543" t="s">
        <v>1708</v>
      </c>
      <c r="G52" s="543" t="s">
        <v>34</v>
      </c>
      <c r="H52" s="543" t="s">
        <v>1821</v>
      </c>
      <c r="I52" s="543" t="s">
        <v>5342</v>
      </c>
      <c r="J52" s="543" t="s">
        <v>1809</v>
      </c>
      <c r="K52" s="543">
        <v>0</v>
      </c>
      <c r="L52" s="543">
        <v>0</v>
      </c>
      <c r="M52" s="543">
        <v>0</v>
      </c>
      <c r="N52" s="543">
        <v>0</v>
      </c>
      <c r="O52" s="543">
        <v>0</v>
      </c>
      <c r="P52" s="543">
        <v>0</v>
      </c>
      <c r="Q52" s="543">
        <v>0</v>
      </c>
      <c r="R52" s="543">
        <v>0</v>
      </c>
      <c r="S52" s="543">
        <v>0</v>
      </c>
      <c r="T52" s="543">
        <v>0</v>
      </c>
      <c r="U52" s="543">
        <v>0</v>
      </c>
      <c r="V52" s="543">
        <v>0</v>
      </c>
      <c r="W52" s="543">
        <v>0</v>
      </c>
      <c r="X52" s="543">
        <v>0</v>
      </c>
      <c r="Y52" s="543">
        <v>0</v>
      </c>
      <c r="Z52" s="543">
        <v>0</v>
      </c>
      <c r="AA52" s="543">
        <v>0</v>
      </c>
      <c r="AB52" s="543" t="s">
        <v>34</v>
      </c>
      <c r="AC52" s="543" t="s">
        <v>1816</v>
      </c>
      <c r="AD52" s="543" t="s">
        <v>1817</v>
      </c>
      <c r="AE52" s="543" t="s">
        <v>1455</v>
      </c>
      <c r="AF52" s="543" t="s">
        <v>3040</v>
      </c>
      <c r="AG52" s="543" t="s">
        <v>34</v>
      </c>
      <c r="AH52" s="543" t="s">
        <v>34</v>
      </c>
      <c r="AI52" s="543" t="s">
        <v>34</v>
      </c>
      <c r="AJ52" s="543" t="s">
        <v>34</v>
      </c>
      <c r="AK52" s="543" t="s">
        <v>1818</v>
      </c>
      <c r="AL52" s="543" t="s">
        <v>34</v>
      </c>
      <c r="AM52" s="61" t="s">
        <v>4495</v>
      </c>
      <c r="AN52" s="541">
        <v>0</v>
      </c>
      <c r="AO52" s="541">
        <v>0</v>
      </c>
      <c r="AP52" s="61"/>
      <c r="CE52" s="447"/>
      <c r="CG52" s="447" t="str">
        <v>AFG ACQUISITION GROUP, LLC</v>
      </c>
      <c r="CI52" s="447"/>
      <c r="CJ52" s="447"/>
    </row>
    <row r="53" spans="1:88" x14ac:dyDescent="0.2">
      <c r="A53" s="61">
        <v>52</v>
      </c>
      <c r="B53" s="542" t="s">
        <v>643</v>
      </c>
      <c r="C53" s="543" t="s">
        <v>1463</v>
      </c>
      <c r="D53" s="543" t="s">
        <v>3696</v>
      </c>
      <c r="E53" s="543" t="s">
        <v>1707</v>
      </c>
      <c r="F53" s="543" t="s">
        <v>1708</v>
      </c>
      <c r="G53" s="543" t="s">
        <v>34</v>
      </c>
      <c r="H53" s="543" t="s">
        <v>1821</v>
      </c>
      <c r="I53" s="543" t="s">
        <v>5342</v>
      </c>
      <c r="J53" s="543" t="s">
        <v>1809</v>
      </c>
      <c r="K53" s="543" t="s">
        <v>993</v>
      </c>
      <c r="L53" s="543" t="s">
        <v>1812</v>
      </c>
      <c r="M53" s="543" t="s">
        <v>1463</v>
      </c>
      <c r="N53" s="543" t="s">
        <v>1463</v>
      </c>
      <c r="O53" s="543" t="s">
        <v>665</v>
      </c>
      <c r="P53" s="543" t="s">
        <v>2032</v>
      </c>
      <c r="Q53" s="543" t="s">
        <v>4568</v>
      </c>
      <c r="R53" s="543" t="s">
        <v>1915</v>
      </c>
      <c r="S53" s="543" t="s">
        <v>2033</v>
      </c>
      <c r="T53" s="543">
        <v>48.6</v>
      </c>
      <c r="U53" s="543" t="s">
        <v>1843</v>
      </c>
      <c r="V53" s="543" t="s">
        <v>2034</v>
      </c>
      <c r="W53" s="543" t="s">
        <v>2035</v>
      </c>
      <c r="X53" s="543" t="s">
        <v>4556</v>
      </c>
      <c r="Y53" s="543" t="s">
        <v>109</v>
      </c>
      <c r="Z53" s="543" t="s">
        <v>109</v>
      </c>
      <c r="AA53" s="543" t="s">
        <v>109</v>
      </c>
      <c r="AB53" s="543" t="s">
        <v>34</v>
      </c>
      <c r="AC53" s="543" t="s">
        <v>1816</v>
      </c>
      <c r="AD53" s="543" t="s">
        <v>1817</v>
      </c>
      <c r="AE53" s="543" t="s">
        <v>1455</v>
      </c>
      <c r="AF53" s="543">
        <v>0</v>
      </c>
      <c r="AG53" s="543" t="s">
        <v>4528</v>
      </c>
      <c r="AH53" s="543" t="s">
        <v>4529</v>
      </c>
      <c r="AI53" s="543" t="s">
        <v>4530</v>
      </c>
      <c r="AJ53" s="543" t="s">
        <v>34</v>
      </c>
      <c r="AK53" s="543" t="s">
        <v>1818</v>
      </c>
      <c r="AL53" s="543" t="s">
        <v>34</v>
      </c>
      <c r="AM53" s="61" t="s">
        <v>4495</v>
      </c>
      <c r="AN53" s="541">
        <v>0</v>
      </c>
      <c r="AO53" s="541">
        <v>0</v>
      </c>
      <c r="AP53" s="61"/>
      <c r="CE53" s="447"/>
      <c r="CG53" s="447" t="str">
        <v>AGCO CORPORATION</v>
      </c>
      <c r="CI53" s="447"/>
      <c r="CJ53" s="447"/>
    </row>
    <row r="54" spans="1:88" x14ac:dyDescent="0.2">
      <c r="A54" s="61">
        <v>53</v>
      </c>
      <c r="B54" s="542" t="s">
        <v>643</v>
      </c>
      <c r="C54" s="543" t="s">
        <v>660</v>
      </c>
      <c r="D54" s="543" t="s">
        <v>3697</v>
      </c>
      <c r="E54" s="543" t="s">
        <v>1707</v>
      </c>
      <c r="F54" s="543" t="s">
        <v>1708</v>
      </c>
      <c r="G54" s="543" t="s">
        <v>34</v>
      </c>
      <c r="H54" s="543" t="s">
        <v>1821</v>
      </c>
      <c r="I54" s="543" t="s">
        <v>5342</v>
      </c>
      <c r="J54" s="543" t="s">
        <v>1461</v>
      </c>
      <c r="K54" s="543" t="s">
        <v>878</v>
      </c>
      <c r="L54" s="543" t="s">
        <v>1936</v>
      </c>
      <c r="M54" s="543" t="s">
        <v>660</v>
      </c>
      <c r="N54" s="543" t="s">
        <v>660</v>
      </c>
      <c r="O54" s="543" t="s">
        <v>665</v>
      </c>
      <c r="P54" s="543" t="s">
        <v>2028</v>
      </c>
      <c r="Q54" s="543" t="s">
        <v>4553</v>
      </c>
      <c r="R54" s="543" t="s">
        <v>1878</v>
      </c>
      <c r="S54" s="543" t="s">
        <v>2029</v>
      </c>
      <c r="T54" s="543">
        <v>540</v>
      </c>
      <c r="U54" s="543" t="s">
        <v>1844</v>
      </c>
      <c r="V54" s="543" t="s">
        <v>2030</v>
      </c>
      <c r="W54" s="543" t="s">
        <v>2031</v>
      </c>
      <c r="X54" s="543" t="s">
        <v>4556</v>
      </c>
      <c r="Y54" s="543" t="s">
        <v>109</v>
      </c>
      <c r="Z54" s="543" t="s">
        <v>109</v>
      </c>
      <c r="AA54" s="543" t="s">
        <v>109</v>
      </c>
      <c r="AB54" s="543" t="s">
        <v>34</v>
      </c>
      <c r="AC54" s="543" t="s">
        <v>1816</v>
      </c>
      <c r="AD54" s="543" t="s">
        <v>1817</v>
      </c>
      <c r="AE54" s="543" t="s">
        <v>1455</v>
      </c>
      <c r="AF54" s="543" t="s">
        <v>3040</v>
      </c>
      <c r="AG54" s="543" t="s">
        <v>34</v>
      </c>
      <c r="AH54" s="543" t="s">
        <v>34</v>
      </c>
      <c r="AI54" s="543" t="s">
        <v>34</v>
      </c>
      <c r="AJ54" s="543" t="s">
        <v>34</v>
      </c>
      <c r="AK54" s="543" t="s">
        <v>1818</v>
      </c>
      <c r="AL54" s="543" t="s">
        <v>34</v>
      </c>
      <c r="AM54" s="61" t="s">
        <v>4495</v>
      </c>
      <c r="AN54" s="541">
        <v>0</v>
      </c>
      <c r="AO54" s="541">
        <v>0</v>
      </c>
      <c r="AP54" s="61"/>
      <c r="CE54" s="447"/>
      <c r="CG54" s="447" t="str">
        <v>AIR CAPITAL FLIGHT LINE</v>
      </c>
      <c r="CI54" s="447"/>
      <c r="CJ54" s="447"/>
    </row>
    <row r="55" spans="1:88" x14ac:dyDescent="0.2">
      <c r="A55" s="61">
        <v>54</v>
      </c>
      <c r="B55" s="542" t="s">
        <v>643</v>
      </c>
      <c r="C55" s="543" t="s">
        <v>658</v>
      </c>
      <c r="D55" s="543" t="s">
        <v>3698</v>
      </c>
      <c r="E55" s="543" t="s">
        <v>1707</v>
      </c>
      <c r="F55" s="543" t="s">
        <v>1708</v>
      </c>
      <c r="G55" s="543" t="s">
        <v>34</v>
      </c>
      <c r="H55" s="543" t="s">
        <v>1821</v>
      </c>
      <c r="I55" s="543" t="s">
        <v>5342</v>
      </c>
      <c r="J55" s="543" t="s">
        <v>1461</v>
      </c>
      <c r="K55" s="543" t="s">
        <v>1202</v>
      </c>
      <c r="L55" s="543" t="s">
        <v>2025</v>
      </c>
      <c r="M55" s="543">
        <v>79175</v>
      </c>
      <c r="N55" s="543" t="s">
        <v>658</v>
      </c>
      <c r="O55" s="543" t="s">
        <v>5347</v>
      </c>
      <c r="P55" s="543" t="s">
        <v>2026</v>
      </c>
      <c r="Q55" s="543" t="s">
        <v>4555</v>
      </c>
      <c r="R55" s="543" t="s">
        <v>1915</v>
      </c>
      <c r="S55" s="543" t="s">
        <v>2027</v>
      </c>
      <c r="T55" s="543">
        <v>172.5</v>
      </c>
      <c r="U55" s="543" t="s">
        <v>1841</v>
      </c>
      <c r="V55" s="543" t="s">
        <v>2234</v>
      </c>
      <c r="W55" s="543" t="s">
        <v>4690</v>
      </c>
      <c r="X55" s="543" t="s">
        <v>4556</v>
      </c>
      <c r="Y55" s="543" t="s">
        <v>2012</v>
      </c>
      <c r="Z55" s="543" t="s">
        <v>2013</v>
      </c>
      <c r="AA55" s="543" t="s">
        <v>4556</v>
      </c>
      <c r="AB55" s="543" t="s">
        <v>34</v>
      </c>
      <c r="AC55" s="543" t="s">
        <v>1816</v>
      </c>
      <c r="AD55" s="543" t="s">
        <v>1817</v>
      </c>
      <c r="AE55" s="543" t="s">
        <v>1455</v>
      </c>
      <c r="AF55" s="543" t="s">
        <v>3040</v>
      </c>
      <c r="AG55" s="543" t="s">
        <v>34</v>
      </c>
      <c r="AH55" s="543" t="s">
        <v>34</v>
      </c>
      <c r="AI55" s="543" t="s">
        <v>34</v>
      </c>
      <c r="AJ55" s="543" t="s">
        <v>34</v>
      </c>
      <c r="AK55" s="543" t="s">
        <v>1818</v>
      </c>
      <c r="AL55" s="543" t="s">
        <v>34</v>
      </c>
      <c r="AM55" s="61" t="s">
        <v>4495</v>
      </c>
      <c r="AN55" s="541">
        <v>0</v>
      </c>
      <c r="AO55" s="541">
        <v>0</v>
      </c>
      <c r="AP55" s="61"/>
      <c r="CE55" s="447"/>
      <c r="CG55" s="447" t="str">
        <v>AIR CAPITAL INTERIORS</v>
      </c>
      <c r="CI55" s="447"/>
      <c r="CJ55" s="447"/>
    </row>
    <row r="56" spans="1:88" x14ac:dyDescent="0.2">
      <c r="A56" s="61">
        <v>55</v>
      </c>
      <c r="B56" s="542" t="s">
        <v>643</v>
      </c>
      <c r="C56" s="543" t="s">
        <v>645</v>
      </c>
      <c r="D56" s="543" t="s">
        <v>3699</v>
      </c>
      <c r="E56" s="543" t="s">
        <v>1707</v>
      </c>
      <c r="F56" s="543" t="s">
        <v>1708</v>
      </c>
      <c r="G56" s="543" t="s">
        <v>34</v>
      </c>
      <c r="H56" s="543" t="s">
        <v>1821</v>
      </c>
      <c r="I56" s="543" t="s">
        <v>5342</v>
      </c>
      <c r="J56" s="543" t="s">
        <v>1809</v>
      </c>
      <c r="K56" s="543" t="s">
        <v>2005</v>
      </c>
      <c r="L56" s="543" t="s">
        <v>2006</v>
      </c>
      <c r="M56" s="543" t="s">
        <v>2007</v>
      </c>
      <c r="N56" s="543" t="s">
        <v>645</v>
      </c>
      <c r="O56" s="543" t="s">
        <v>5348</v>
      </c>
      <c r="P56" s="543" t="s">
        <v>2008</v>
      </c>
      <c r="Q56" s="543" t="s">
        <v>4583</v>
      </c>
      <c r="R56" s="543" t="s">
        <v>1814</v>
      </c>
      <c r="S56" s="543" t="s">
        <v>2009</v>
      </c>
      <c r="T56" s="543">
        <v>182.2</v>
      </c>
      <c r="U56" s="543" t="s">
        <v>1841</v>
      </c>
      <c r="V56" s="543" t="s">
        <v>2010</v>
      </c>
      <c r="W56" s="543" t="s">
        <v>2011</v>
      </c>
      <c r="X56" s="543" t="s">
        <v>4556</v>
      </c>
      <c r="Y56" s="543" t="s">
        <v>2012</v>
      </c>
      <c r="Z56" s="543" t="s">
        <v>2013</v>
      </c>
      <c r="AA56" s="543" t="s">
        <v>4556</v>
      </c>
      <c r="AB56" s="543" t="s">
        <v>2014</v>
      </c>
      <c r="AC56" s="543" t="s">
        <v>1816</v>
      </c>
      <c r="AD56" s="543" t="s">
        <v>1817</v>
      </c>
      <c r="AE56" s="543" t="s">
        <v>1455</v>
      </c>
      <c r="AF56" s="543">
        <v>3</v>
      </c>
      <c r="AG56" s="543">
        <v>1.5</v>
      </c>
      <c r="AH56" s="543">
        <v>1</v>
      </c>
      <c r="AI56" s="543" t="s">
        <v>3580</v>
      </c>
      <c r="AJ56" s="543" t="s">
        <v>3581</v>
      </c>
      <c r="AK56" s="543" t="s">
        <v>1818</v>
      </c>
      <c r="AL56" s="543" t="s">
        <v>34</v>
      </c>
      <c r="AM56" s="61" t="s">
        <v>4498</v>
      </c>
      <c r="AN56" s="541">
        <v>1.3888888888888888E-2</v>
      </c>
      <c r="AO56" s="541">
        <v>0</v>
      </c>
      <c r="AP56" s="61"/>
      <c r="CE56" s="447"/>
      <c r="CG56" s="447" t="str">
        <v>AIR CAPITAL MACHINE &amp; TOOLING INC.</v>
      </c>
      <c r="CI56" s="447"/>
      <c r="CJ56" s="447"/>
    </row>
    <row r="57" spans="1:88" x14ac:dyDescent="0.2">
      <c r="A57" s="61">
        <v>56</v>
      </c>
      <c r="B57" s="542" t="s">
        <v>643</v>
      </c>
      <c r="C57" s="543" t="s">
        <v>4628</v>
      </c>
      <c r="D57" s="543" t="s">
        <v>4629</v>
      </c>
      <c r="E57" s="543" t="s">
        <v>1707</v>
      </c>
      <c r="F57" s="543" t="s">
        <v>1708</v>
      </c>
      <c r="G57" s="543" t="s">
        <v>34</v>
      </c>
      <c r="H57" s="543" t="s">
        <v>1821</v>
      </c>
      <c r="I57" s="543" t="s">
        <v>5342</v>
      </c>
      <c r="J57" s="543" t="s">
        <v>1809</v>
      </c>
      <c r="K57" s="543" t="s">
        <v>4630</v>
      </c>
      <c r="L57" s="543" t="s">
        <v>4631</v>
      </c>
      <c r="M57" s="543" t="s">
        <v>4632</v>
      </c>
      <c r="N57" s="543" t="s">
        <v>4628</v>
      </c>
      <c r="O57" s="543" t="s">
        <v>5349</v>
      </c>
      <c r="P57" s="543" t="s">
        <v>4633</v>
      </c>
      <c r="Q57" s="543" t="s">
        <v>4553</v>
      </c>
      <c r="R57" s="543" t="s">
        <v>4063</v>
      </c>
      <c r="S57" s="543" t="s">
        <v>4634</v>
      </c>
      <c r="T57" s="543">
        <v>70</v>
      </c>
      <c r="U57" s="543" t="s">
        <v>1843</v>
      </c>
      <c r="V57" s="543" t="s">
        <v>4576</v>
      </c>
      <c r="W57" s="543">
        <v>26304</v>
      </c>
      <c r="X57" s="543" t="s">
        <v>4675</v>
      </c>
      <c r="Y57" s="543" t="s">
        <v>2024</v>
      </c>
      <c r="Z57" s="543" t="s">
        <v>2013</v>
      </c>
      <c r="AA57" s="543" t="s">
        <v>4675</v>
      </c>
      <c r="AB57" s="543" t="s">
        <v>34</v>
      </c>
      <c r="AC57" s="543" t="s">
        <v>1816</v>
      </c>
      <c r="AD57" s="543" t="s">
        <v>1817</v>
      </c>
      <c r="AE57" s="543" t="s">
        <v>1455</v>
      </c>
      <c r="AF57" s="543">
        <v>111</v>
      </c>
      <c r="AG57" s="543">
        <v>208</v>
      </c>
      <c r="AH57" s="543">
        <v>35</v>
      </c>
      <c r="AI57" s="543" t="s">
        <v>4635</v>
      </c>
      <c r="AJ57" s="543" t="s">
        <v>34</v>
      </c>
      <c r="AK57" s="543" t="s">
        <v>1818</v>
      </c>
      <c r="AL57" s="543" t="s">
        <v>34</v>
      </c>
      <c r="AM57" s="61" t="s">
        <v>4636</v>
      </c>
      <c r="AN57" s="541"/>
      <c r="AO57" s="541"/>
      <c r="AP57" s="61"/>
      <c r="CE57" s="447"/>
      <c r="CG57" s="447" t="str">
        <v>AIR CAPITAL NDI</v>
      </c>
      <c r="CI57" s="447"/>
      <c r="CJ57" s="447"/>
    </row>
    <row r="58" spans="1:88" x14ac:dyDescent="0.2">
      <c r="A58" s="61">
        <v>57</v>
      </c>
      <c r="B58" s="542" t="s">
        <v>663</v>
      </c>
      <c r="C58" s="543" t="s">
        <v>667</v>
      </c>
      <c r="D58" s="543" t="s">
        <v>3700</v>
      </c>
      <c r="E58" s="543" t="s">
        <v>1709</v>
      </c>
      <c r="F58" s="543" t="s">
        <v>1710</v>
      </c>
      <c r="G58" s="543" t="s">
        <v>34</v>
      </c>
      <c r="H58" s="543" t="s">
        <v>1821</v>
      </c>
      <c r="I58" s="543" t="s">
        <v>5342</v>
      </c>
      <c r="J58" s="543" t="s">
        <v>1461</v>
      </c>
      <c r="K58" s="543" t="s">
        <v>875</v>
      </c>
      <c r="L58" s="543" t="s">
        <v>2050</v>
      </c>
      <c r="M58" s="543" t="s">
        <v>667</v>
      </c>
      <c r="N58" s="543" t="s">
        <v>667</v>
      </c>
      <c r="O58" s="543" t="s">
        <v>665</v>
      </c>
      <c r="P58" s="543" t="s">
        <v>2051</v>
      </c>
      <c r="Q58" s="543" t="s">
        <v>4555</v>
      </c>
      <c r="R58" s="543" t="s">
        <v>1814</v>
      </c>
      <c r="S58" s="543" t="s">
        <v>2052</v>
      </c>
      <c r="T58" s="543">
        <v>26.4</v>
      </c>
      <c r="U58" s="543" t="s">
        <v>1642</v>
      </c>
      <c r="V58" s="543" t="s">
        <v>2053</v>
      </c>
      <c r="W58" s="543" t="s">
        <v>2054</v>
      </c>
      <c r="X58" s="543" t="s">
        <v>4556</v>
      </c>
      <c r="Y58" s="543" t="s">
        <v>109</v>
      </c>
      <c r="Z58" s="543" t="s">
        <v>109</v>
      </c>
      <c r="AA58" s="543" t="s">
        <v>109</v>
      </c>
      <c r="AB58" s="543" t="s">
        <v>34</v>
      </c>
      <c r="AC58" s="543" t="s">
        <v>1816</v>
      </c>
      <c r="AD58" s="543" t="s">
        <v>1817</v>
      </c>
      <c r="AE58" s="543" t="s">
        <v>1455</v>
      </c>
      <c r="AF58" s="543" t="s">
        <v>3040</v>
      </c>
      <c r="AG58" s="543" t="s">
        <v>34</v>
      </c>
      <c r="AH58" s="543" t="s">
        <v>34</v>
      </c>
      <c r="AI58" s="543" t="s">
        <v>34</v>
      </c>
      <c r="AJ58" s="543" t="s">
        <v>34</v>
      </c>
      <c r="AK58" s="543" t="s">
        <v>1818</v>
      </c>
      <c r="AL58" s="543" t="s">
        <v>34</v>
      </c>
      <c r="AM58" s="61" t="s">
        <v>4495</v>
      </c>
      <c r="AN58" s="541">
        <v>0</v>
      </c>
      <c r="AO58" s="541">
        <v>0</v>
      </c>
      <c r="AP58" s="61"/>
      <c r="CE58" s="447"/>
      <c r="CG58" s="447" t="str">
        <v>AIR CAPITOL DIAL</v>
      </c>
      <c r="CI58" s="447"/>
      <c r="CJ58" s="447"/>
    </row>
    <row r="59" spans="1:88" x14ac:dyDescent="0.2">
      <c r="A59" s="61">
        <v>58</v>
      </c>
      <c r="B59" s="542" t="s">
        <v>663</v>
      </c>
      <c r="C59" s="543" t="s">
        <v>1464</v>
      </c>
      <c r="D59" s="543" t="s">
        <v>3701</v>
      </c>
      <c r="E59" s="543" t="s">
        <v>1709</v>
      </c>
      <c r="F59" s="543" t="s">
        <v>1710</v>
      </c>
      <c r="G59" s="543" t="s">
        <v>34</v>
      </c>
      <c r="H59" s="543" t="s">
        <v>1821</v>
      </c>
      <c r="I59" s="543" t="s">
        <v>5342</v>
      </c>
      <c r="J59" s="543" t="s">
        <v>1461</v>
      </c>
      <c r="K59" s="543" t="s">
        <v>1464</v>
      </c>
      <c r="L59" s="543" t="s">
        <v>2055</v>
      </c>
      <c r="M59" s="543" t="s">
        <v>2056</v>
      </c>
      <c r="N59" s="543" t="s">
        <v>1464</v>
      </c>
      <c r="O59" s="543" t="s">
        <v>665</v>
      </c>
      <c r="P59" s="543" t="s">
        <v>2057</v>
      </c>
      <c r="Q59" s="543" t="s">
        <v>4555</v>
      </c>
      <c r="R59" s="543" t="s">
        <v>1814</v>
      </c>
      <c r="S59" s="543" t="s">
        <v>2058</v>
      </c>
      <c r="T59" s="543">
        <v>600</v>
      </c>
      <c r="U59" s="543" t="s">
        <v>1642</v>
      </c>
      <c r="V59" s="543" t="s">
        <v>2059</v>
      </c>
      <c r="W59" s="543" t="s">
        <v>2060</v>
      </c>
      <c r="X59" s="543" t="s">
        <v>4556</v>
      </c>
      <c r="Y59" s="543" t="s">
        <v>2061</v>
      </c>
      <c r="Z59" s="543" t="s">
        <v>2062</v>
      </c>
      <c r="AA59" s="543" t="s">
        <v>4556</v>
      </c>
      <c r="AB59" s="543" t="s">
        <v>34</v>
      </c>
      <c r="AC59" s="543" t="s">
        <v>1816</v>
      </c>
      <c r="AD59" s="543" t="s">
        <v>1817</v>
      </c>
      <c r="AE59" s="543" t="s">
        <v>1455</v>
      </c>
      <c r="AF59" s="543">
        <v>2</v>
      </c>
      <c r="AG59" s="543">
        <v>25</v>
      </c>
      <c r="AH59" s="543">
        <v>150</v>
      </c>
      <c r="AI59" s="543" t="s">
        <v>34</v>
      </c>
      <c r="AJ59" s="543" t="s">
        <v>34</v>
      </c>
      <c r="AK59" s="543" t="s">
        <v>1818</v>
      </c>
      <c r="AL59" s="543" t="s">
        <v>34</v>
      </c>
      <c r="AM59" s="61" t="s">
        <v>4495</v>
      </c>
      <c r="AN59" s="541">
        <v>0</v>
      </c>
      <c r="AO59" s="541">
        <v>0</v>
      </c>
      <c r="AP59" s="61"/>
      <c r="CE59" s="447"/>
      <c r="CG59" s="447" t="str">
        <v>AIR CAPITOL PLATING</v>
      </c>
      <c r="CI59" s="447"/>
      <c r="CJ59" s="447"/>
    </row>
    <row r="60" spans="1:88" x14ac:dyDescent="0.2">
      <c r="A60" s="61">
        <v>59</v>
      </c>
      <c r="B60" s="542" t="s">
        <v>669</v>
      </c>
      <c r="C60" s="543" t="s">
        <v>671</v>
      </c>
      <c r="D60" s="543" t="s">
        <v>3702</v>
      </c>
      <c r="E60" s="543" t="s">
        <v>1711</v>
      </c>
      <c r="F60" s="543" t="s">
        <v>1712</v>
      </c>
      <c r="G60" s="543" t="s">
        <v>34</v>
      </c>
      <c r="H60" s="543" t="s">
        <v>1821</v>
      </c>
      <c r="I60" s="543" t="s">
        <v>5342</v>
      </c>
      <c r="J60" s="543" t="s">
        <v>1461</v>
      </c>
      <c r="K60" s="543" t="s">
        <v>2069</v>
      </c>
      <c r="L60" s="543" t="s">
        <v>2063</v>
      </c>
      <c r="M60" s="543" t="s">
        <v>2070</v>
      </c>
      <c r="N60" s="543" t="s">
        <v>2071</v>
      </c>
      <c r="O60" s="543" t="s">
        <v>665</v>
      </c>
      <c r="P60" s="543" t="s">
        <v>4028</v>
      </c>
      <c r="Q60" s="543" t="s">
        <v>4028</v>
      </c>
      <c r="R60" s="543" t="s">
        <v>1878</v>
      </c>
      <c r="S60" s="543" t="s">
        <v>2073</v>
      </c>
      <c r="T60" s="543">
        <v>180</v>
      </c>
      <c r="U60" s="543" t="s">
        <v>1844</v>
      </c>
      <c r="V60" s="543" t="s">
        <v>2066</v>
      </c>
      <c r="W60" s="543" t="s">
        <v>2074</v>
      </c>
      <c r="X60" s="543" t="s">
        <v>1815</v>
      </c>
      <c r="Y60" s="543" t="s">
        <v>109</v>
      </c>
      <c r="Z60" s="543" t="s">
        <v>109</v>
      </c>
      <c r="AA60" s="543" t="s">
        <v>109</v>
      </c>
      <c r="AB60" s="543" t="s">
        <v>2068</v>
      </c>
      <c r="AC60" s="543" t="s">
        <v>1816</v>
      </c>
      <c r="AD60" s="543" t="s">
        <v>1817</v>
      </c>
      <c r="AE60" s="543" t="s">
        <v>1455</v>
      </c>
      <c r="AF60" s="543" t="s">
        <v>3040</v>
      </c>
      <c r="AG60" s="543" t="s">
        <v>34</v>
      </c>
      <c r="AH60" s="543" t="s">
        <v>34</v>
      </c>
      <c r="AI60" s="543" t="s">
        <v>34</v>
      </c>
      <c r="AJ60" s="543" t="s">
        <v>34</v>
      </c>
      <c r="AK60" s="543" t="s">
        <v>1818</v>
      </c>
      <c r="AL60" s="543" t="s">
        <v>34</v>
      </c>
      <c r="AM60" s="61" t="s">
        <v>4499</v>
      </c>
      <c r="AN60" s="541">
        <v>0</v>
      </c>
      <c r="AO60" s="541">
        <v>0</v>
      </c>
      <c r="AP60" s="61"/>
      <c r="CE60" s="447"/>
      <c r="CG60" s="447" t="str">
        <v>AIR PLAINS SERVICES CORP</v>
      </c>
      <c r="CI60" s="447"/>
      <c r="CJ60" s="447"/>
    </row>
    <row r="61" spans="1:88" x14ac:dyDescent="0.2">
      <c r="A61" s="61">
        <v>60</v>
      </c>
      <c r="B61" s="542" t="s">
        <v>669</v>
      </c>
      <c r="C61" s="543" t="s">
        <v>673</v>
      </c>
      <c r="D61" s="543" t="s">
        <v>3703</v>
      </c>
      <c r="E61" s="543" t="s">
        <v>1711</v>
      </c>
      <c r="F61" s="543" t="s">
        <v>1712</v>
      </c>
      <c r="G61" s="543" t="s">
        <v>34</v>
      </c>
      <c r="H61" s="543" t="s">
        <v>1821</v>
      </c>
      <c r="I61" s="543" t="s">
        <v>5342</v>
      </c>
      <c r="J61" s="543" t="s">
        <v>1461</v>
      </c>
      <c r="K61" s="543" t="s">
        <v>1998</v>
      </c>
      <c r="L61" s="543" t="s">
        <v>2063</v>
      </c>
      <c r="M61" s="543" t="s">
        <v>673</v>
      </c>
      <c r="N61" s="543" t="s">
        <v>673</v>
      </c>
      <c r="O61" s="543" t="s">
        <v>665</v>
      </c>
      <c r="P61" s="543" t="s">
        <v>2064</v>
      </c>
      <c r="Q61" s="543" t="s">
        <v>2064</v>
      </c>
      <c r="R61" s="543" t="s">
        <v>1878</v>
      </c>
      <c r="S61" s="543" t="s">
        <v>2065</v>
      </c>
      <c r="T61" s="543">
        <v>882</v>
      </c>
      <c r="U61" s="543" t="s">
        <v>1844</v>
      </c>
      <c r="V61" s="543" t="s">
        <v>2066</v>
      </c>
      <c r="W61" s="543" t="s">
        <v>2067</v>
      </c>
      <c r="X61" s="543" t="s">
        <v>1815</v>
      </c>
      <c r="Y61" s="543" t="s">
        <v>109</v>
      </c>
      <c r="Z61" s="543" t="s">
        <v>109</v>
      </c>
      <c r="AA61" s="543" t="s">
        <v>109</v>
      </c>
      <c r="AB61" s="543" t="s">
        <v>2068</v>
      </c>
      <c r="AC61" s="543" t="s">
        <v>1816</v>
      </c>
      <c r="AD61" s="543" t="s">
        <v>1817</v>
      </c>
      <c r="AE61" s="543" t="s">
        <v>1455</v>
      </c>
      <c r="AF61" s="543" t="s">
        <v>3040</v>
      </c>
      <c r="AG61" s="543" t="s">
        <v>34</v>
      </c>
      <c r="AH61" s="543" t="s">
        <v>34</v>
      </c>
      <c r="AI61" s="543" t="s">
        <v>34</v>
      </c>
      <c r="AJ61" s="543" t="s">
        <v>34</v>
      </c>
      <c r="AK61" s="543" t="s">
        <v>1818</v>
      </c>
      <c r="AL61" s="543" t="s">
        <v>34</v>
      </c>
      <c r="AM61" s="61" t="s">
        <v>4499</v>
      </c>
      <c r="AN61" s="541">
        <v>0</v>
      </c>
      <c r="AO61" s="541">
        <v>0</v>
      </c>
      <c r="AP61" s="61"/>
      <c r="CE61" s="447"/>
      <c r="CG61" s="447" t="str">
        <v>AIR SERVICE BASEL AG</v>
      </c>
      <c r="CI61" s="447"/>
      <c r="CJ61" s="447"/>
    </row>
    <row r="62" spans="1:88" x14ac:dyDescent="0.2">
      <c r="A62" s="61">
        <v>61</v>
      </c>
      <c r="B62" s="542" t="s">
        <v>677</v>
      </c>
      <c r="C62" s="543" t="s">
        <v>4992</v>
      </c>
      <c r="D62" s="543" t="s">
        <v>4993</v>
      </c>
      <c r="E62" s="543" t="s">
        <v>1713</v>
      </c>
      <c r="F62" s="543" t="s">
        <v>1697</v>
      </c>
      <c r="G62" s="543" t="s">
        <v>34</v>
      </c>
      <c r="H62" s="543" t="s">
        <v>1821</v>
      </c>
      <c r="I62" s="543" t="s">
        <v>5342</v>
      </c>
      <c r="J62" s="543" t="s">
        <v>1809</v>
      </c>
      <c r="K62" s="543" t="s">
        <v>4994</v>
      </c>
      <c r="L62" s="543" t="s">
        <v>4995</v>
      </c>
      <c r="M62" s="543" t="s">
        <v>4992</v>
      </c>
      <c r="N62" s="543" t="s">
        <v>4992</v>
      </c>
      <c r="O62" s="543" t="s">
        <v>5350</v>
      </c>
      <c r="P62" s="543" t="s">
        <v>4996</v>
      </c>
      <c r="Q62" s="543" t="s">
        <v>4997</v>
      </c>
      <c r="R62" s="543" t="s">
        <v>1814</v>
      </c>
      <c r="S62" s="543" t="s">
        <v>4998</v>
      </c>
      <c r="T62" s="543">
        <v>24.89</v>
      </c>
      <c r="U62" s="543" t="s">
        <v>4999</v>
      </c>
      <c r="V62" s="543" t="s">
        <v>5000</v>
      </c>
      <c r="W62" s="543">
        <v>162408210</v>
      </c>
      <c r="X62" s="543" t="s">
        <v>1815</v>
      </c>
      <c r="Y62" s="543" t="s">
        <v>5001</v>
      </c>
      <c r="Z62" s="543" t="s">
        <v>5002</v>
      </c>
      <c r="AA62" s="543" t="s">
        <v>1815</v>
      </c>
      <c r="AB62" s="543" t="s">
        <v>5003</v>
      </c>
      <c r="AC62" s="543" t="s">
        <v>1816</v>
      </c>
      <c r="AD62" s="543" t="s">
        <v>1817</v>
      </c>
      <c r="AE62" s="543" t="s">
        <v>1455</v>
      </c>
      <c r="AF62" s="543" t="s">
        <v>3040</v>
      </c>
      <c r="AG62" s="543" t="s">
        <v>34</v>
      </c>
      <c r="AH62" s="543" t="s">
        <v>34</v>
      </c>
      <c r="AI62" s="543" t="s">
        <v>34</v>
      </c>
      <c r="AJ62" s="543" t="s">
        <v>34</v>
      </c>
      <c r="AK62" s="543" t="s">
        <v>1818</v>
      </c>
      <c r="AL62" s="543" t="s">
        <v>34</v>
      </c>
      <c r="AM62" s="61" t="s">
        <v>4500</v>
      </c>
      <c r="AN62" s="541"/>
      <c r="AO62" s="541"/>
      <c r="AP62" s="61"/>
      <c r="CE62" s="447"/>
      <c r="CG62" s="447" t="str">
        <v>AIRCO SERVICES, LLC</v>
      </c>
      <c r="CI62" s="447"/>
      <c r="CJ62" s="447"/>
    </row>
    <row r="63" spans="1:88" x14ac:dyDescent="0.2">
      <c r="A63" s="61">
        <v>62</v>
      </c>
      <c r="B63" s="542" t="s">
        <v>717</v>
      </c>
      <c r="C63" s="543" t="s">
        <v>5256</v>
      </c>
      <c r="D63" s="543" t="s">
        <v>5257</v>
      </c>
      <c r="E63" s="543" t="s">
        <v>1714</v>
      </c>
      <c r="F63" s="543" t="s">
        <v>1703</v>
      </c>
      <c r="G63" s="543" t="s">
        <v>34</v>
      </c>
      <c r="H63" s="543" t="s">
        <v>1821</v>
      </c>
      <c r="I63" s="543" t="s">
        <v>5342</v>
      </c>
      <c r="J63" s="543" t="s">
        <v>1809</v>
      </c>
      <c r="K63" s="543" t="s">
        <v>5258</v>
      </c>
      <c r="L63" s="543" t="s">
        <v>5259</v>
      </c>
      <c r="M63" s="543">
        <v>49518</v>
      </c>
      <c r="N63" s="543" t="s">
        <v>5260</v>
      </c>
      <c r="O63" s="543" t="s">
        <v>5261</v>
      </c>
      <c r="P63" s="543" t="s">
        <v>5262</v>
      </c>
      <c r="Q63" s="543" t="s">
        <v>1813</v>
      </c>
      <c r="R63" s="543" t="s">
        <v>5263</v>
      </c>
      <c r="S63" s="543" t="s">
        <v>5264</v>
      </c>
      <c r="T63" s="543">
        <v>468.02</v>
      </c>
      <c r="U63" s="543" t="s">
        <v>1841</v>
      </c>
      <c r="V63" s="543" t="s">
        <v>2486</v>
      </c>
      <c r="W63" s="543">
        <v>4.25</v>
      </c>
      <c r="X63" s="543" t="s">
        <v>1815</v>
      </c>
      <c r="Y63" s="543" t="s">
        <v>109</v>
      </c>
      <c r="Z63" s="543" t="s">
        <v>109</v>
      </c>
      <c r="AA63" s="543" t="s">
        <v>109</v>
      </c>
      <c r="AB63" s="543" t="s">
        <v>34</v>
      </c>
      <c r="AC63" s="543" t="s">
        <v>1816</v>
      </c>
      <c r="AD63" s="543" t="s">
        <v>5265</v>
      </c>
      <c r="AE63" s="543" t="s">
        <v>1455</v>
      </c>
      <c r="AF63" s="543">
        <v>2.5</v>
      </c>
      <c r="AG63" s="543">
        <v>0.15</v>
      </c>
      <c r="AH63" s="543">
        <v>5.0000000000000001E-3</v>
      </c>
      <c r="AI63" s="543" t="s">
        <v>5266</v>
      </c>
      <c r="AJ63" s="543" t="s">
        <v>34</v>
      </c>
      <c r="AK63" s="543" t="s">
        <v>1818</v>
      </c>
      <c r="AL63" s="543" t="s">
        <v>34</v>
      </c>
      <c r="AM63" s="61" t="s">
        <v>4495</v>
      </c>
      <c r="AN63" s="541">
        <v>0</v>
      </c>
      <c r="AO63" s="541">
        <v>0</v>
      </c>
      <c r="AP63" s="61"/>
      <c r="CE63" s="447"/>
      <c r="CG63" s="447" t="str">
        <v>AIRCRAFT &amp; COMMERCIAL ENT.</v>
      </c>
      <c r="CI63" s="447"/>
      <c r="CJ63" s="447"/>
    </row>
    <row r="64" spans="1:88" x14ac:dyDescent="0.2">
      <c r="A64" s="61">
        <v>63</v>
      </c>
      <c r="B64" s="542" t="s">
        <v>717</v>
      </c>
      <c r="C64" s="543" t="s">
        <v>1549</v>
      </c>
      <c r="D64" s="543" t="s">
        <v>3704</v>
      </c>
      <c r="E64" s="543" t="s">
        <v>1714</v>
      </c>
      <c r="F64" s="543" t="s">
        <v>1703</v>
      </c>
      <c r="G64" s="543" t="s">
        <v>34</v>
      </c>
      <c r="H64" s="543" t="s">
        <v>1821</v>
      </c>
      <c r="I64" s="543" t="s">
        <v>5342</v>
      </c>
      <c r="J64" s="543" t="s">
        <v>1461</v>
      </c>
      <c r="K64" s="543" t="s">
        <v>2075</v>
      </c>
      <c r="L64" s="543" t="s">
        <v>2076</v>
      </c>
      <c r="M64" s="543" t="s">
        <v>2077</v>
      </c>
      <c r="N64" s="543" t="s">
        <v>1549</v>
      </c>
      <c r="O64" s="543" t="s">
        <v>665</v>
      </c>
      <c r="P64" s="543" t="s">
        <v>2078</v>
      </c>
      <c r="Q64" s="543" t="s">
        <v>2079</v>
      </c>
      <c r="R64" s="543" t="s">
        <v>1814</v>
      </c>
      <c r="S64" s="543" t="s">
        <v>2080</v>
      </c>
      <c r="T64" s="543">
        <v>5.8</v>
      </c>
      <c r="U64" s="543" t="s">
        <v>1844</v>
      </c>
      <c r="V64" s="543" t="s">
        <v>2081</v>
      </c>
      <c r="W64" s="543" t="s">
        <v>2077</v>
      </c>
      <c r="X64" s="543" t="s">
        <v>1824</v>
      </c>
      <c r="Y64" s="543" t="s">
        <v>109</v>
      </c>
      <c r="Z64" s="543" t="s">
        <v>109</v>
      </c>
      <c r="AA64" s="543" t="s">
        <v>109</v>
      </c>
      <c r="AB64" s="543" t="s">
        <v>2082</v>
      </c>
      <c r="AC64" s="543" t="s">
        <v>1816</v>
      </c>
      <c r="AD64" s="543" t="s">
        <v>1817</v>
      </c>
      <c r="AE64" s="543" t="s">
        <v>1455</v>
      </c>
      <c r="AF64" s="543" t="s">
        <v>34</v>
      </c>
      <c r="AG64" s="543" t="s">
        <v>34</v>
      </c>
      <c r="AH64" s="543" t="s">
        <v>34</v>
      </c>
      <c r="AI64" s="543" t="s">
        <v>34</v>
      </c>
      <c r="AJ64" s="543" t="s">
        <v>34</v>
      </c>
      <c r="AK64" s="543" t="s">
        <v>1818</v>
      </c>
      <c r="AL64" s="543" t="s">
        <v>34</v>
      </c>
      <c r="AM64" s="61" t="s">
        <v>4500</v>
      </c>
      <c r="AN64" s="541">
        <v>0</v>
      </c>
      <c r="AO64" s="541">
        <v>0</v>
      </c>
      <c r="AP64" s="61"/>
      <c r="CE64" s="447"/>
      <c r="CG64" s="447" t="str">
        <v>AIRCRAFT INSTRUMENTS &amp; RADIO SERVICES</v>
      </c>
      <c r="CI64" s="447"/>
      <c r="CJ64" s="447"/>
    </row>
    <row r="65" spans="1:88" x14ac:dyDescent="0.2">
      <c r="A65" s="61">
        <v>64</v>
      </c>
      <c r="B65" s="542" t="s">
        <v>746</v>
      </c>
      <c r="C65" s="543" t="s">
        <v>1602</v>
      </c>
      <c r="D65" s="543" t="s">
        <v>4465</v>
      </c>
      <c r="E65" s="543" t="s">
        <v>1715</v>
      </c>
      <c r="F65" s="543" t="s">
        <v>1716</v>
      </c>
      <c r="G65" s="543" t="s">
        <v>34</v>
      </c>
      <c r="H65" s="543" t="s">
        <v>1821</v>
      </c>
      <c r="I65" s="543" t="s">
        <v>5351</v>
      </c>
      <c r="J65" s="543" t="s">
        <v>2744</v>
      </c>
      <c r="K65" s="543" t="s">
        <v>2974</v>
      </c>
      <c r="L65" s="543" t="s">
        <v>4466</v>
      </c>
      <c r="M65" s="543">
        <v>1947</v>
      </c>
      <c r="N65" s="543" t="s">
        <v>4467</v>
      </c>
      <c r="O65" s="543" t="s">
        <v>2744</v>
      </c>
      <c r="P65" s="543" t="s">
        <v>2093</v>
      </c>
      <c r="Q65" s="543" t="s">
        <v>1897</v>
      </c>
      <c r="R65" s="543" t="s">
        <v>4468</v>
      </c>
      <c r="S65" s="543" t="s">
        <v>4469</v>
      </c>
      <c r="T65" s="543">
        <v>100.48</v>
      </c>
      <c r="U65" s="543" t="s">
        <v>1642</v>
      </c>
      <c r="V65" s="543" t="s">
        <v>1899</v>
      </c>
      <c r="W65" s="543" t="s">
        <v>4470</v>
      </c>
      <c r="X65" s="543" t="s">
        <v>1815</v>
      </c>
      <c r="Y65" s="543" t="s">
        <v>2012</v>
      </c>
      <c r="Z65" s="543" t="s">
        <v>2097</v>
      </c>
      <c r="AA65" s="543" t="s">
        <v>1815</v>
      </c>
      <c r="AB65" s="543" t="s">
        <v>5048</v>
      </c>
      <c r="AC65" s="543" t="s">
        <v>1816</v>
      </c>
      <c r="AD65" s="543" t="s">
        <v>1817</v>
      </c>
      <c r="AE65" s="543" t="s">
        <v>1455</v>
      </c>
      <c r="AF65" s="543">
        <v>2</v>
      </c>
      <c r="AG65" s="543">
        <v>2.5</v>
      </c>
      <c r="AH65" s="543">
        <v>1</v>
      </c>
      <c r="AI65" s="543" t="s">
        <v>34</v>
      </c>
      <c r="AJ65" s="543" t="s">
        <v>34</v>
      </c>
      <c r="AK65" s="543" t="s">
        <v>1818</v>
      </c>
      <c r="AL65" s="543" t="s">
        <v>34</v>
      </c>
      <c r="AM65" s="61" t="s">
        <v>4501</v>
      </c>
      <c r="AN65" s="541">
        <v>0</v>
      </c>
      <c r="AO65" s="541">
        <v>0</v>
      </c>
      <c r="AP65" s="61"/>
      <c r="CE65" s="447"/>
      <c r="CG65" s="447" t="str">
        <v>AIRCRAFT INTERIOR PRODUCTS</v>
      </c>
      <c r="CI65" s="447"/>
      <c r="CJ65" s="447"/>
    </row>
    <row r="66" spans="1:88" x14ac:dyDescent="0.2">
      <c r="A66" s="61">
        <v>65</v>
      </c>
      <c r="B66" s="542" t="s">
        <v>746</v>
      </c>
      <c r="C66" s="543" t="s">
        <v>4257</v>
      </c>
      <c r="D66" s="543" t="s">
        <v>4258</v>
      </c>
      <c r="E66" s="543" t="s">
        <v>1715</v>
      </c>
      <c r="F66" s="543" t="s">
        <v>1716</v>
      </c>
      <c r="G66" s="543" t="s">
        <v>34</v>
      </c>
      <c r="H66" s="543" t="s">
        <v>1821</v>
      </c>
      <c r="I66" s="543" t="s">
        <v>5351</v>
      </c>
      <c r="J66" s="543" t="s">
        <v>2744</v>
      </c>
      <c r="K66" s="543" t="s">
        <v>4257</v>
      </c>
      <c r="L66" s="543" t="s">
        <v>4259</v>
      </c>
      <c r="M66" s="543">
        <v>7893</v>
      </c>
      <c r="N66" s="543" t="s">
        <v>4257</v>
      </c>
      <c r="O66" s="543" t="s">
        <v>665</v>
      </c>
      <c r="P66" s="543" t="s">
        <v>4260</v>
      </c>
      <c r="Q66" s="543" t="s">
        <v>4261</v>
      </c>
      <c r="R66" s="543" t="s">
        <v>4262</v>
      </c>
      <c r="S66" s="543" t="s">
        <v>4263</v>
      </c>
      <c r="T66" s="543">
        <v>882.1</v>
      </c>
      <c r="U66" s="543" t="s">
        <v>1642</v>
      </c>
      <c r="V66" s="543" t="s">
        <v>4264</v>
      </c>
      <c r="W66" s="543" t="s">
        <v>4265</v>
      </c>
      <c r="X66" s="543" t="s">
        <v>1815</v>
      </c>
      <c r="Y66" s="543" t="s">
        <v>2012</v>
      </c>
      <c r="Z66" s="543" t="s">
        <v>4266</v>
      </c>
      <c r="AA66" s="543" t="s">
        <v>1815</v>
      </c>
      <c r="AB66" s="543" t="s">
        <v>4267</v>
      </c>
      <c r="AC66" s="543" t="s">
        <v>1816</v>
      </c>
      <c r="AD66" s="543" t="s">
        <v>1817</v>
      </c>
      <c r="AE66" s="543" t="s">
        <v>1455</v>
      </c>
      <c r="AF66" s="543" t="s">
        <v>4268</v>
      </c>
      <c r="AG66" s="543" t="s">
        <v>34</v>
      </c>
      <c r="AH66" s="543" t="s">
        <v>34</v>
      </c>
      <c r="AI66" s="543" t="s">
        <v>34</v>
      </c>
      <c r="AJ66" s="543" t="s">
        <v>34</v>
      </c>
      <c r="AK66" s="543" t="s">
        <v>1818</v>
      </c>
      <c r="AL66" s="543" t="s">
        <v>34</v>
      </c>
      <c r="AM66" s="61" t="s">
        <v>4501</v>
      </c>
      <c r="AN66" s="541">
        <v>0</v>
      </c>
      <c r="AO66" s="541">
        <v>0</v>
      </c>
      <c r="AP66" s="61"/>
      <c r="CG66" t="str">
        <v>AIRCRAFT PARTS CORP. Moved to CA 2013</v>
      </c>
      <c r="CI66" s="447"/>
      <c r="CJ66" s="447"/>
    </row>
    <row r="67" spans="1:88" x14ac:dyDescent="0.2">
      <c r="A67" s="61">
        <v>66</v>
      </c>
      <c r="B67" s="542" t="s">
        <v>746</v>
      </c>
      <c r="C67" s="543" t="s">
        <v>749</v>
      </c>
      <c r="D67" s="543" t="s">
        <v>3705</v>
      </c>
      <c r="E67" s="543" t="s">
        <v>1715</v>
      </c>
      <c r="F67" s="543" t="s">
        <v>1716</v>
      </c>
      <c r="G67" s="543" t="s">
        <v>34</v>
      </c>
      <c r="H67" s="543" t="s">
        <v>1821</v>
      </c>
      <c r="I67" s="543" t="s">
        <v>5342</v>
      </c>
      <c r="J67" s="543" t="s">
        <v>1461</v>
      </c>
      <c r="K67" s="543" t="s">
        <v>1825</v>
      </c>
      <c r="L67" s="543" t="s">
        <v>2083</v>
      </c>
      <c r="M67" s="543" t="s">
        <v>2084</v>
      </c>
      <c r="N67" s="543" t="s">
        <v>749</v>
      </c>
      <c r="O67" s="543" t="s">
        <v>665</v>
      </c>
      <c r="P67" s="543" t="s">
        <v>2085</v>
      </c>
      <c r="Q67" s="543" t="s">
        <v>1897</v>
      </c>
      <c r="R67" s="543" t="s">
        <v>1988</v>
      </c>
      <c r="S67" s="543" t="s">
        <v>2086</v>
      </c>
      <c r="T67" s="543">
        <v>544</v>
      </c>
      <c r="U67" s="543" t="s">
        <v>1642</v>
      </c>
      <c r="V67" s="543" t="s">
        <v>1899</v>
      </c>
      <c r="W67" s="543" t="s">
        <v>2087</v>
      </c>
      <c r="X67" s="543" t="s">
        <v>1815</v>
      </c>
      <c r="Y67" s="543" t="s">
        <v>2012</v>
      </c>
      <c r="Z67" s="543" t="s">
        <v>2088</v>
      </c>
      <c r="AA67" s="543" t="s">
        <v>1815</v>
      </c>
      <c r="AB67" s="543" t="s">
        <v>34</v>
      </c>
      <c r="AC67" s="543" t="s">
        <v>1816</v>
      </c>
      <c r="AD67" s="543" t="s">
        <v>1817</v>
      </c>
      <c r="AE67" s="543" t="s">
        <v>1455</v>
      </c>
      <c r="AF67" s="543">
        <v>65</v>
      </c>
      <c r="AG67" s="543">
        <v>154</v>
      </c>
      <c r="AH67" s="543">
        <v>10</v>
      </c>
      <c r="AI67" s="543" t="s">
        <v>34</v>
      </c>
      <c r="AJ67" s="543" t="s">
        <v>34</v>
      </c>
      <c r="AK67" s="543" t="s">
        <v>1818</v>
      </c>
      <c r="AL67" s="543" t="s">
        <v>3418</v>
      </c>
      <c r="AM67" s="61" t="s">
        <v>4495</v>
      </c>
      <c r="AN67" s="541">
        <v>0</v>
      </c>
      <c r="AO67" s="541">
        <v>0</v>
      </c>
      <c r="AP67" s="61"/>
      <c r="CG67" t="str">
        <v>AIRMD/LIFETEAM</v>
      </c>
      <c r="CI67" s="447"/>
      <c r="CJ67" s="447"/>
    </row>
    <row r="68" spans="1:88" x14ac:dyDescent="0.2">
      <c r="A68" s="61">
        <v>67</v>
      </c>
      <c r="B68" s="542" t="s">
        <v>746</v>
      </c>
      <c r="C68" s="543" t="s">
        <v>1617</v>
      </c>
      <c r="D68" s="543" t="s">
        <v>3706</v>
      </c>
      <c r="E68" s="543" t="s">
        <v>1715</v>
      </c>
      <c r="F68" s="543" t="s">
        <v>1716</v>
      </c>
      <c r="G68" s="543" t="s">
        <v>34</v>
      </c>
      <c r="H68" s="543" t="s">
        <v>1821</v>
      </c>
      <c r="I68" s="543" t="s">
        <v>5351</v>
      </c>
      <c r="J68" s="543" t="s">
        <v>2744</v>
      </c>
      <c r="K68" s="543" t="s">
        <v>1825</v>
      </c>
      <c r="L68" s="543" t="s">
        <v>2090</v>
      </c>
      <c r="M68" s="543" t="s">
        <v>2091</v>
      </c>
      <c r="N68" s="543" t="s">
        <v>1617</v>
      </c>
      <c r="O68" s="543" t="s">
        <v>2092</v>
      </c>
      <c r="P68" s="543" t="s">
        <v>2093</v>
      </c>
      <c r="Q68" s="543" t="s">
        <v>2094</v>
      </c>
      <c r="R68" s="543" t="s">
        <v>1814</v>
      </c>
      <c r="S68" s="543" t="s">
        <v>2095</v>
      </c>
      <c r="T68" s="543">
        <v>73.5</v>
      </c>
      <c r="U68" s="543" t="s">
        <v>1642</v>
      </c>
      <c r="V68" s="543" t="s">
        <v>2096</v>
      </c>
      <c r="W68" s="543">
        <v>5856</v>
      </c>
      <c r="X68" s="543" t="s">
        <v>1815</v>
      </c>
      <c r="Y68" s="543" t="s">
        <v>2012</v>
      </c>
      <c r="Z68" s="543" t="s">
        <v>2097</v>
      </c>
      <c r="AA68" s="543" t="s">
        <v>1815</v>
      </c>
      <c r="AB68" s="543" t="s">
        <v>4029</v>
      </c>
      <c r="AC68" s="543" t="s">
        <v>1816</v>
      </c>
      <c r="AD68" s="543" t="s">
        <v>1817</v>
      </c>
      <c r="AE68" s="543" t="s">
        <v>1455</v>
      </c>
      <c r="AF68" s="543">
        <v>5</v>
      </c>
      <c r="AG68" s="543">
        <v>0.08</v>
      </c>
      <c r="AH68" s="543">
        <v>0.32</v>
      </c>
      <c r="AI68" s="543" t="s">
        <v>34</v>
      </c>
      <c r="AJ68" s="543" t="s">
        <v>34</v>
      </c>
      <c r="AK68" s="543" t="s">
        <v>1818</v>
      </c>
      <c r="AL68" s="543" t="s">
        <v>3418</v>
      </c>
      <c r="AM68" s="61" t="s">
        <v>4501</v>
      </c>
      <c r="AN68" s="541">
        <v>0</v>
      </c>
      <c r="AO68" s="541">
        <v>0</v>
      </c>
      <c r="AP68" s="61"/>
      <c r="CG68" t="str">
        <v>AIRTECH SUPPLY</v>
      </c>
    </row>
    <row r="69" spans="1:88" x14ac:dyDescent="0.2">
      <c r="A69" s="61">
        <v>68</v>
      </c>
      <c r="B69" s="542" t="s">
        <v>746</v>
      </c>
      <c r="C69" s="543" t="s">
        <v>599</v>
      </c>
      <c r="D69" s="543" t="s">
        <v>3707</v>
      </c>
      <c r="E69" s="543" t="s">
        <v>1715</v>
      </c>
      <c r="F69" s="543" t="s">
        <v>1716</v>
      </c>
      <c r="G69" s="543" t="s">
        <v>34</v>
      </c>
      <c r="H69" s="543" t="s">
        <v>1821</v>
      </c>
      <c r="I69" s="543" t="s">
        <v>5351</v>
      </c>
      <c r="J69" s="543" t="s">
        <v>1461</v>
      </c>
      <c r="K69" s="543" t="s">
        <v>1202</v>
      </c>
      <c r="L69" s="543" t="s">
        <v>2098</v>
      </c>
      <c r="M69" s="543" t="s">
        <v>2099</v>
      </c>
      <c r="N69" s="543" t="s">
        <v>599</v>
      </c>
      <c r="O69" s="543" t="s">
        <v>665</v>
      </c>
      <c r="P69" s="543" t="s">
        <v>2093</v>
      </c>
      <c r="Q69" s="543" t="s">
        <v>1897</v>
      </c>
      <c r="R69" s="543" t="s">
        <v>1814</v>
      </c>
      <c r="S69" s="543" t="s">
        <v>2100</v>
      </c>
      <c r="T69" s="543">
        <v>19.8</v>
      </c>
      <c r="U69" s="543" t="s">
        <v>1642</v>
      </c>
      <c r="V69" s="543" t="s">
        <v>2101</v>
      </c>
      <c r="W69" s="543" t="s">
        <v>2102</v>
      </c>
      <c r="X69" s="543" t="s">
        <v>1815</v>
      </c>
      <c r="Y69" s="543" t="s">
        <v>2012</v>
      </c>
      <c r="Z69" s="543" t="s">
        <v>2097</v>
      </c>
      <c r="AA69" s="543" t="s">
        <v>1815</v>
      </c>
      <c r="AB69" s="543" t="s">
        <v>4030</v>
      </c>
      <c r="AC69" s="543" t="s">
        <v>1816</v>
      </c>
      <c r="AD69" s="543" t="s">
        <v>1817</v>
      </c>
      <c r="AE69" s="543" t="s">
        <v>1455</v>
      </c>
      <c r="AF69" s="543">
        <v>1.1000000000000001</v>
      </c>
      <c r="AG69" s="543">
        <v>0.5</v>
      </c>
      <c r="AH69" s="543">
        <v>0.13</v>
      </c>
      <c r="AI69" s="543" t="s">
        <v>3587</v>
      </c>
      <c r="AJ69" s="543" t="s">
        <v>3588</v>
      </c>
      <c r="AK69" s="543" t="s">
        <v>1818</v>
      </c>
      <c r="AL69" s="543" t="s">
        <v>3418</v>
      </c>
      <c r="AM69" s="61" t="s">
        <v>4495</v>
      </c>
      <c r="AN69" s="541">
        <v>0</v>
      </c>
      <c r="AO69" s="541">
        <v>0</v>
      </c>
      <c r="AP69" s="61"/>
      <c r="CG69" t="str">
        <v>AIRWAY MFG.</v>
      </c>
    </row>
    <row r="70" spans="1:88" x14ac:dyDescent="0.2">
      <c r="A70" s="61">
        <v>69</v>
      </c>
      <c r="B70" s="542" t="s">
        <v>746</v>
      </c>
      <c r="C70" s="543" t="s">
        <v>587</v>
      </c>
      <c r="D70" s="543" t="s">
        <v>4194</v>
      </c>
      <c r="E70" s="543" t="s">
        <v>1715</v>
      </c>
      <c r="F70" s="543" t="s">
        <v>1716</v>
      </c>
      <c r="G70" s="543" t="s">
        <v>34</v>
      </c>
      <c r="H70" s="543" t="s">
        <v>1821</v>
      </c>
      <c r="I70" s="543" t="s">
        <v>5342</v>
      </c>
      <c r="J70" s="543" t="s">
        <v>1461</v>
      </c>
      <c r="K70" s="543" t="s">
        <v>1202</v>
      </c>
      <c r="L70" s="543" t="s">
        <v>2098</v>
      </c>
      <c r="M70" s="543" t="s">
        <v>4195</v>
      </c>
      <c r="N70" s="543" t="s">
        <v>4196</v>
      </c>
      <c r="O70" s="543" t="s">
        <v>665</v>
      </c>
      <c r="P70" s="543" t="s">
        <v>3229</v>
      </c>
      <c r="Q70" s="543" t="s">
        <v>1813</v>
      </c>
      <c r="R70" s="543" t="s">
        <v>1814</v>
      </c>
      <c r="S70" s="543" t="s">
        <v>4197</v>
      </c>
      <c r="T70" s="543">
        <v>13.6</v>
      </c>
      <c r="U70" s="543" t="s">
        <v>4198</v>
      </c>
      <c r="V70" s="543" t="s">
        <v>2101</v>
      </c>
      <c r="W70" s="543" t="s">
        <v>4199</v>
      </c>
      <c r="X70" s="543" t="s">
        <v>1815</v>
      </c>
      <c r="Y70" s="543" t="s">
        <v>2012</v>
      </c>
      <c r="Z70" s="543" t="s">
        <v>2097</v>
      </c>
      <c r="AA70" s="543" t="s">
        <v>1815</v>
      </c>
      <c r="AB70" s="543" t="s">
        <v>4200</v>
      </c>
      <c r="AC70" s="543" t="s">
        <v>1816</v>
      </c>
      <c r="AD70" s="543" t="s">
        <v>1817</v>
      </c>
      <c r="AE70" s="543" t="s">
        <v>1455</v>
      </c>
      <c r="AF70" s="543">
        <v>3.1</v>
      </c>
      <c r="AG70" s="543">
        <v>2</v>
      </c>
      <c r="AH70" s="543">
        <v>0.3</v>
      </c>
      <c r="AI70" s="543" t="s">
        <v>4201</v>
      </c>
      <c r="AJ70" s="543" t="s">
        <v>34</v>
      </c>
      <c r="AK70" s="543" t="s">
        <v>1818</v>
      </c>
      <c r="AL70" s="543" t="s">
        <v>3418</v>
      </c>
      <c r="AM70" s="61" t="s">
        <v>4495</v>
      </c>
      <c r="AN70" s="541">
        <v>0</v>
      </c>
      <c r="AO70" s="541">
        <v>0</v>
      </c>
      <c r="AP70" s="61"/>
      <c r="CG70" t="str">
        <v>AIRXCEL</v>
      </c>
    </row>
    <row r="71" spans="1:88" x14ac:dyDescent="0.2">
      <c r="A71" s="61">
        <v>70</v>
      </c>
      <c r="B71" s="542" t="s">
        <v>746</v>
      </c>
      <c r="C71" s="543" t="s">
        <v>585</v>
      </c>
      <c r="D71" s="543" t="s">
        <v>3708</v>
      </c>
      <c r="E71" s="543" t="s">
        <v>1715</v>
      </c>
      <c r="F71" s="543" t="s">
        <v>1716</v>
      </c>
      <c r="G71" s="543" t="s">
        <v>34</v>
      </c>
      <c r="H71" s="543" t="s">
        <v>1821</v>
      </c>
      <c r="I71" s="543" t="s">
        <v>5342</v>
      </c>
      <c r="J71" s="543" t="s">
        <v>1461</v>
      </c>
      <c r="K71" s="543" t="s">
        <v>1825</v>
      </c>
      <c r="L71" s="543" t="s">
        <v>2103</v>
      </c>
      <c r="M71" s="543">
        <v>27676</v>
      </c>
      <c r="N71" s="543" t="s">
        <v>585</v>
      </c>
      <c r="O71" s="543" t="s">
        <v>665</v>
      </c>
      <c r="P71" s="543" t="s">
        <v>3275</v>
      </c>
      <c r="Q71" s="543" t="s">
        <v>1897</v>
      </c>
      <c r="R71" s="543" t="s">
        <v>1988</v>
      </c>
      <c r="S71" s="543" t="s">
        <v>5176</v>
      </c>
      <c r="T71" s="543">
        <v>275</v>
      </c>
      <c r="U71" s="543" t="s">
        <v>1642</v>
      </c>
      <c r="V71" s="543" t="s">
        <v>2096</v>
      </c>
      <c r="W71" s="543">
        <v>2489</v>
      </c>
      <c r="X71" s="543" t="s">
        <v>1815</v>
      </c>
      <c r="Y71" s="543" t="s">
        <v>2012</v>
      </c>
      <c r="Z71" s="543" t="s">
        <v>2104</v>
      </c>
      <c r="AA71" s="543" t="s">
        <v>1815</v>
      </c>
      <c r="AB71" s="543" t="s">
        <v>34</v>
      </c>
      <c r="AC71" s="543" t="s">
        <v>1816</v>
      </c>
      <c r="AD71" s="543" t="s">
        <v>1817</v>
      </c>
      <c r="AE71" s="543" t="s">
        <v>1455</v>
      </c>
      <c r="AF71" s="543">
        <v>10</v>
      </c>
      <c r="AG71" s="543">
        <v>0.05</v>
      </c>
      <c r="AH71" s="543">
        <v>0.02</v>
      </c>
      <c r="AI71" s="543" t="s">
        <v>34</v>
      </c>
      <c r="AJ71" s="543" t="s">
        <v>34</v>
      </c>
      <c r="AK71" s="543" t="s">
        <v>1818</v>
      </c>
      <c r="AL71" s="543" t="s">
        <v>3418</v>
      </c>
      <c r="AM71" s="61" t="s">
        <v>4495</v>
      </c>
      <c r="AN71" s="541">
        <v>0</v>
      </c>
      <c r="AO71" s="541">
        <v>0</v>
      </c>
      <c r="AP71" s="61"/>
      <c r="CG71" t="str">
        <v>AIT CANADA</v>
      </c>
    </row>
    <row r="72" spans="1:88" x14ac:dyDescent="0.2">
      <c r="A72" s="61">
        <v>71</v>
      </c>
      <c r="B72" s="542" t="s">
        <v>333</v>
      </c>
      <c r="C72" s="543" t="s">
        <v>778</v>
      </c>
      <c r="D72" s="543" t="s">
        <v>3709</v>
      </c>
      <c r="E72" s="543" t="s">
        <v>1717</v>
      </c>
      <c r="F72" s="543" t="s">
        <v>1697</v>
      </c>
      <c r="G72" s="543" t="s">
        <v>34</v>
      </c>
      <c r="H72" s="543" t="s">
        <v>1821</v>
      </c>
      <c r="I72" s="543" t="s">
        <v>5352</v>
      </c>
      <c r="J72" s="543" t="s">
        <v>2089</v>
      </c>
      <c r="K72" s="543" t="s">
        <v>819</v>
      </c>
      <c r="L72" s="543" t="s">
        <v>2112</v>
      </c>
      <c r="M72" s="543" t="s">
        <v>2113</v>
      </c>
      <c r="N72" s="543" t="s">
        <v>778</v>
      </c>
      <c r="O72" s="543" t="s">
        <v>5353</v>
      </c>
      <c r="P72" s="543" t="s">
        <v>2114</v>
      </c>
      <c r="Q72" s="543" t="s">
        <v>4557</v>
      </c>
      <c r="R72" s="543" t="s">
        <v>1814</v>
      </c>
      <c r="S72" s="543" t="s">
        <v>2115</v>
      </c>
      <c r="T72" s="543">
        <v>288</v>
      </c>
      <c r="U72" s="543" t="s">
        <v>1843</v>
      </c>
      <c r="V72" s="543" t="s">
        <v>2116</v>
      </c>
      <c r="W72" s="543" t="s">
        <v>2117</v>
      </c>
      <c r="X72" s="543" t="s">
        <v>4556</v>
      </c>
      <c r="Y72" s="543" t="s">
        <v>2110</v>
      </c>
      <c r="Z72" s="543" t="s">
        <v>2111</v>
      </c>
      <c r="AA72" s="543" t="s">
        <v>4556</v>
      </c>
      <c r="AB72" s="543" t="s">
        <v>5399</v>
      </c>
      <c r="AC72" s="543" t="s">
        <v>1816</v>
      </c>
      <c r="AD72" s="543" t="s">
        <v>1817</v>
      </c>
      <c r="AE72" s="543" t="s">
        <v>1455</v>
      </c>
      <c r="AF72" s="543">
        <v>8</v>
      </c>
      <c r="AG72" s="543">
        <v>251</v>
      </c>
      <c r="AH72" s="543">
        <v>43</v>
      </c>
      <c r="AI72" s="543" t="s">
        <v>3590</v>
      </c>
      <c r="AJ72" s="543" t="s">
        <v>3591</v>
      </c>
      <c r="AK72" s="543" t="s">
        <v>1818</v>
      </c>
      <c r="AL72" s="543" t="s">
        <v>3418</v>
      </c>
      <c r="AM72" s="61" t="s">
        <v>4498</v>
      </c>
      <c r="AN72" s="541">
        <v>1.4583333333333332E-2</v>
      </c>
      <c r="AO72" s="541">
        <v>0</v>
      </c>
      <c r="AP72" s="61"/>
      <c r="CG72" t="str">
        <v>ALBERS FINISHING &amp; SOLUTIONS LLC</v>
      </c>
    </row>
    <row r="73" spans="1:88" x14ac:dyDescent="0.2">
      <c r="A73" s="61">
        <v>72</v>
      </c>
      <c r="B73" s="542" t="s">
        <v>333</v>
      </c>
      <c r="C73" s="543" t="s">
        <v>780</v>
      </c>
      <c r="D73" s="543" t="s">
        <v>3710</v>
      </c>
      <c r="E73" s="543" t="s">
        <v>1717</v>
      </c>
      <c r="F73" s="543" t="s">
        <v>1697</v>
      </c>
      <c r="G73" s="543" t="s">
        <v>34</v>
      </c>
      <c r="H73" s="543" t="s">
        <v>1821</v>
      </c>
      <c r="I73" s="543" t="s">
        <v>5352</v>
      </c>
      <c r="J73" s="543" t="s">
        <v>2089</v>
      </c>
      <c r="K73" s="543" t="s">
        <v>2130</v>
      </c>
      <c r="L73" s="543" t="s">
        <v>2131</v>
      </c>
      <c r="M73" s="543" t="s">
        <v>2135</v>
      </c>
      <c r="N73" s="543" t="s">
        <v>780</v>
      </c>
      <c r="O73" s="543" t="s">
        <v>5353</v>
      </c>
      <c r="P73" s="543" t="s">
        <v>2114</v>
      </c>
      <c r="Q73" s="543" t="s">
        <v>4557</v>
      </c>
      <c r="R73" s="543" t="s">
        <v>1814</v>
      </c>
      <c r="S73" s="543" t="s">
        <v>2133</v>
      </c>
      <c r="T73" s="543">
        <v>24.8</v>
      </c>
      <c r="U73" s="543" t="s">
        <v>1843</v>
      </c>
      <c r="V73" s="543" t="s">
        <v>2116</v>
      </c>
      <c r="W73" s="543" t="s">
        <v>2134</v>
      </c>
      <c r="X73" s="543" t="s">
        <v>4556</v>
      </c>
      <c r="Y73" s="543" t="s">
        <v>2110</v>
      </c>
      <c r="Z73" s="543" t="s">
        <v>2111</v>
      </c>
      <c r="AA73" s="543" t="s">
        <v>4556</v>
      </c>
      <c r="AB73" s="543" t="s">
        <v>5399</v>
      </c>
      <c r="AC73" s="543" t="s">
        <v>1816</v>
      </c>
      <c r="AD73" s="543" t="s">
        <v>1817</v>
      </c>
      <c r="AE73" s="543" t="s">
        <v>1455</v>
      </c>
      <c r="AF73" s="543">
        <v>4</v>
      </c>
      <c r="AG73" s="543" t="s">
        <v>3555</v>
      </c>
      <c r="AH73" s="543">
        <v>13</v>
      </c>
      <c r="AI73" s="543" t="s">
        <v>3594</v>
      </c>
      <c r="AJ73" s="543" t="s">
        <v>34</v>
      </c>
      <c r="AK73" s="543" t="s">
        <v>1818</v>
      </c>
      <c r="AL73" s="543" t="s">
        <v>3418</v>
      </c>
      <c r="AM73" s="61" t="s">
        <v>4496</v>
      </c>
      <c r="AN73" s="541">
        <v>1.4583333333333332E-2</v>
      </c>
      <c r="AO73" s="541">
        <v>0</v>
      </c>
      <c r="AP73" s="61"/>
      <c r="CG73" t="str">
        <v>ALBERTSON &amp; HEIN, INC.</v>
      </c>
    </row>
    <row r="74" spans="1:88" x14ac:dyDescent="0.2">
      <c r="A74" s="61">
        <v>73</v>
      </c>
      <c r="B74" s="542" t="s">
        <v>333</v>
      </c>
      <c r="C74" s="543" t="s">
        <v>770</v>
      </c>
      <c r="D74" s="543" t="s">
        <v>3711</v>
      </c>
      <c r="E74" s="543" t="s">
        <v>1717</v>
      </c>
      <c r="F74" s="543" t="s">
        <v>1697</v>
      </c>
      <c r="G74" s="543" t="s">
        <v>34</v>
      </c>
      <c r="H74" s="543" t="s">
        <v>1821</v>
      </c>
      <c r="I74" s="543" t="s">
        <v>5352</v>
      </c>
      <c r="J74" s="543" t="s">
        <v>2089</v>
      </c>
      <c r="K74" s="543" t="s">
        <v>2130</v>
      </c>
      <c r="L74" s="543" t="s">
        <v>2131</v>
      </c>
      <c r="M74" s="543" t="s">
        <v>2132</v>
      </c>
      <c r="N74" s="543" t="s">
        <v>770</v>
      </c>
      <c r="O74" s="543" t="s">
        <v>5353</v>
      </c>
      <c r="P74" s="543" t="s">
        <v>2114</v>
      </c>
      <c r="Q74" s="543" t="s">
        <v>4557</v>
      </c>
      <c r="R74" s="543" t="s">
        <v>1814</v>
      </c>
      <c r="S74" s="543" t="s">
        <v>2133</v>
      </c>
      <c r="T74" s="543">
        <v>24.8</v>
      </c>
      <c r="U74" s="543" t="s">
        <v>1843</v>
      </c>
      <c r="V74" s="543" t="s">
        <v>2116</v>
      </c>
      <c r="W74" s="543" t="s">
        <v>5094</v>
      </c>
      <c r="X74" s="543" t="s">
        <v>4556</v>
      </c>
      <c r="Y74" s="543" t="s">
        <v>2110</v>
      </c>
      <c r="Z74" s="543" t="s">
        <v>2111</v>
      </c>
      <c r="AA74" s="543" t="s">
        <v>4556</v>
      </c>
      <c r="AB74" s="543" t="s">
        <v>5399</v>
      </c>
      <c r="AC74" s="543" t="s">
        <v>1816</v>
      </c>
      <c r="AD74" s="543" t="s">
        <v>1817</v>
      </c>
      <c r="AE74" s="543" t="s">
        <v>1455</v>
      </c>
      <c r="AF74" s="543">
        <v>8</v>
      </c>
      <c r="AG74" s="543">
        <v>140</v>
      </c>
      <c r="AH74" s="543">
        <v>20</v>
      </c>
      <c r="AI74" s="543" t="s">
        <v>3592</v>
      </c>
      <c r="AJ74" s="543" t="s">
        <v>3593</v>
      </c>
      <c r="AK74" s="543" t="s">
        <v>1818</v>
      </c>
      <c r="AL74" s="543" t="s">
        <v>3418</v>
      </c>
      <c r="AM74" s="61" t="s">
        <v>4496</v>
      </c>
      <c r="AN74" s="541">
        <v>1.4583333333333332E-2</v>
      </c>
      <c r="AO74" s="541">
        <v>0</v>
      </c>
      <c r="AP74" s="61"/>
      <c r="CG74" t="str">
        <v>ALJO-GEFA PRECISION MFG.,LLC</v>
      </c>
    </row>
    <row r="75" spans="1:88" x14ac:dyDescent="0.2">
      <c r="A75" s="61">
        <v>74</v>
      </c>
      <c r="B75" s="542" t="s">
        <v>333</v>
      </c>
      <c r="C75" s="543" t="s">
        <v>334</v>
      </c>
      <c r="D75" s="543" t="s">
        <v>3712</v>
      </c>
      <c r="E75" s="543" t="s">
        <v>1717</v>
      </c>
      <c r="F75" s="543" t="s">
        <v>1697</v>
      </c>
      <c r="G75" s="543"/>
      <c r="H75" s="543" t="s">
        <v>1821</v>
      </c>
      <c r="I75" s="543" t="s">
        <v>5352</v>
      </c>
      <c r="J75" s="543" t="s">
        <v>2089</v>
      </c>
      <c r="K75" s="543" t="s">
        <v>819</v>
      </c>
      <c r="L75" s="543" t="s">
        <v>2105</v>
      </c>
      <c r="M75" s="543">
        <v>11108</v>
      </c>
      <c r="N75" s="543" t="s">
        <v>334</v>
      </c>
      <c r="O75" s="543" t="s">
        <v>5354</v>
      </c>
      <c r="P75" s="543" t="s">
        <v>2106</v>
      </c>
      <c r="Q75" s="543" t="s">
        <v>4584</v>
      </c>
      <c r="R75" s="543" t="s">
        <v>1814</v>
      </c>
      <c r="S75" s="543" t="s">
        <v>2107</v>
      </c>
      <c r="T75" s="543">
        <v>1394.9</v>
      </c>
      <c r="U75" s="543" t="s">
        <v>1843</v>
      </c>
      <c r="V75" s="543" t="s">
        <v>2108</v>
      </c>
      <c r="W75" s="543" t="s">
        <v>2109</v>
      </c>
      <c r="X75" s="543" t="s">
        <v>4556</v>
      </c>
      <c r="Y75" s="543" t="s">
        <v>2110</v>
      </c>
      <c r="Z75" s="543" t="s">
        <v>2111</v>
      </c>
      <c r="AA75" s="543" t="s">
        <v>4556</v>
      </c>
      <c r="AB75" s="543" t="s">
        <v>5400</v>
      </c>
      <c r="AC75" s="543" t="s">
        <v>1816</v>
      </c>
      <c r="AD75" s="543" t="s">
        <v>1817</v>
      </c>
      <c r="AE75" s="543" t="s">
        <v>1455</v>
      </c>
      <c r="AF75" s="543">
        <v>8</v>
      </c>
      <c r="AG75" s="543">
        <v>101</v>
      </c>
      <c r="AH75" s="543">
        <v>16</v>
      </c>
      <c r="AI75" s="543" t="s">
        <v>3589</v>
      </c>
      <c r="AJ75" s="543"/>
      <c r="AK75" s="543" t="s">
        <v>1818</v>
      </c>
      <c r="AL75" s="543" t="s">
        <v>3418</v>
      </c>
      <c r="AM75" s="61" t="s">
        <v>4498</v>
      </c>
      <c r="AN75" s="541">
        <v>1.4583333333333332E-2</v>
      </c>
      <c r="AO75" s="541"/>
      <c r="AP75" s="61"/>
      <c r="CG75" t="str">
        <v>ALLFAST FASTENING SYSTEMS, INC.</v>
      </c>
    </row>
    <row r="76" spans="1:88" x14ac:dyDescent="0.2">
      <c r="A76" s="61">
        <v>75</v>
      </c>
      <c r="B76" s="542" t="s">
        <v>333</v>
      </c>
      <c r="C76" s="543" t="s">
        <v>1360</v>
      </c>
      <c r="D76" s="543" t="s">
        <v>4776</v>
      </c>
      <c r="E76" s="543" t="s">
        <v>1717</v>
      </c>
      <c r="F76" s="543" t="s">
        <v>1697</v>
      </c>
      <c r="G76" s="543" t="s">
        <v>34</v>
      </c>
      <c r="H76" s="543" t="s">
        <v>1821</v>
      </c>
      <c r="I76" s="543" t="s">
        <v>5352</v>
      </c>
      <c r="J76" s="543" t="s">
        <v>2089</v>
      </c>
      <c r="K76" s="543" t="s">
        <v>819</v>
      </c>
      <c r="L76" s="543" t="s">
        <v>4777</v>
      </c>
      <c r="M76" s="543" t="s">
        <v>4778</v>
      </c>
      <c r="N76" s="543" t="s">
        <v>1360</v>
      </c>
      <c r="O76" s="543" t="s">
        <v>5353</v>
      </c>
      <c r="P76" s="543" t="s">
        <v>2114</v>
      </c>
      <c r="Q76" s="543" t="s">
        <v>4557</v>
      </c>
      <c r="R76" s="543" t="s">
        <v>4779</v>
      </c>
      <c r="S76" s="543" t="s">
        <v>4780</v>
      </c>
      <c r="T76" s="543">
        <v>495</v>
      </c>
      <c r="U76" s="543" t="s">
        <v>1843</v>
      </c>
      <c r="V76" s="543" t="s">
        <v>2234</v>
      </c>
      <c r="W76" s="543" t="s">
        <v>4781</v>
      </c>
      <c r="X76" s="543" t="s">
        <v>4556</v>
      </c>
      <c r="Y76" s="543" t="s">
        <v>2110</v>
      </c>
      <c r="Z76" s="543" t="s">
        <v>2111</v>
      </c>
      <c r="AA76" s="543" t="s">
        <v>4556</v>
      </c>
      <c r="AB76" s="543" t="s">
        <v>5401</v>
      </c>
      <c r="AC76" s="543" t="s">
        <v>1816</v>
      </c>
      <c r="AD76" s="543" t="s">
        <v>1817</v>
      </c>
      <c r="AE76" s="543" t="s">
        <v>1455</v>
      </c>
      <c r="AF76" s="543">
        <v>10.199999999999999</v>
      </c>
      <c r="AG76" s="543">
        <v>131</v>
      </c>
      <c r="AH76" s="543">
        <v>22</v>
      </c>
      <c r="AI76" s="543">
        <v>22</v>
      </c>
      <c r="AJ76" s="543">
        <v>16.399999999999999</v>
      </c>
      <c r="AK76" s="543" t="s">
        <v>1818</v>
      </c>
      <c r="AL76" s="543" t="s">
        <v>3418</v>
      </c>
      <c r="AM76" s="61" t="s">
        <v>4498</v>
      </c>
      <c r="AN76" s="541"/>
      <c r="AO76" s="541"/>
      <c r="AP76" s="61"/>
      <c r="CG76" t="str">
        <v>ALLIED MATERIALS AND EQUIPMENT</v>
      </c>
    </row>
    <row r="77" spans="1:88" x14ac:dyDescent="0.2">
      <c r="A77" s="61">
        <v>76</v>
      </c>
      <c r="B77" s="542" t="s">
        <v>333</v>
      </c>
      <c r="C77" s="543" t="s">
        <v>766</v>
      </c>
      <c r="D77" s="543" t="s">
        <v>3713</v>
      </c>
      <c r="E77" s="543" t="s">
        <v>1717</v>
      </c>
      <c r="F77" s="543" t="s">
        <v>1697</v>
      </c>
      <c r="G77" s="543" t="s">
        <v>34</v>
      </c>
      <c r="H77" s="543" t="s">
        <v>1821</v>
      </c>
      <c r="I77" s="543" t="s">
        <v>5352</v>
      </c>
      <c r="J77" s="543" t="s">
        <v>2089</v>
      </c>
      <c r="K77" s="543" t="s">
        <v>821</v>
      </c>
      <c r="L77" s="543" t="s">
        <v>2128</v>
      </c>
      <c r="M77" s="543">
        <v>146046</v>
      </c>
      <c r="N77" s="543" t="s">
        <v>766</v>
      </c>
      <c r="O77" s="543" t="s">
        <v>5355</v>
      </c>
      <c r="P77" s="543" t="s">
        <v>4317</v>
      </c>
      <c r="Q77" s="543" t="s">
        <v>4555</v>
      </c>
      <c r="R77" s="543" t="s">
        <v>1814</v>
      </c>
      <c r="S77" s="543" t="s">
        <v>2129</v>
      </c>
      <c r="T77" s="543">
        <v>1185.7</v>
      </c>
      <c r="U77" s="543" t="s">
        <v>1843</v>
      </c>
      <c r="V77" s="543" t="s">
        <v>5037</v>
      </c>
      <c r="W77" s="543" t="s">
        <v>5038</v>
      </c>
      <c r="X77" s="543" t="s">
        <v>4556</v>
      </c>
      <c r="Y77" s="543" t="s">
        <v>2110</v>
      </c>
      <c r="Z77" s="543" t="s">
        <v>2111</v>
      </c>
      <c r="AA77" s="543" t="s">
        <v>4556</v>
      </c>
      <c r="AB77" s="543" t="s">
        <v>34</v>
      </c>
      <c r="AC77" s="543" t="s">
        <v>1816</v>
      </c>
      <c r="AD77" s="543" t="s">
        <v>1817</v>
      </c>
      <c r="AE77" s="543" t="s">
        <v>1455</v>
      </c>
      <c r="AF77" s="543">
        <v>32000</v>
      </c>
      <c r="AG77" s="543">
        <v>3000</v>
      </c>
      <c r="AH77" s="543">
        <v>12000</v>
      </c>
      <c r="AI77" s="543" t="s">
        <v>34</v>
      </c>
      <c r="AJ77" s="543" t="s">
        <v>34</v>
      </c>
      <c r="AK77" s="543" t="s">
        <v>1818</v>
      </c>
      <c r="AL77" s="543" t="s">
        <v>3418</v>
      </c>
      <c r="AM77" s="61" t="s">
        <v>4502</v>
      </c>
      <c r="AN77" s="541">
        <v>1.4583333333333332E-2</v>
      </c>
      <c r="AO77" s="541">
        <v>2.1527777777777781E-2</v>
      </c>
      <c r="AP77" s="61"/>
      <c r="CG77" t="str">
        <v>ALLTITE</v>
      </c>
    </row>
    <row r="78" spans="1:88" x14ac:dyDescent="0.2">
      <c r="A78" s="61">
        <v>77</v>
      </c>
      <c r="B78" s="542" t="s">
        <v>333</v>
      </c>
      <c r="C78" s="543" t="s">
        <v>3459</v>
      </c>
      <c r="D78" s="543" t="s">
        <v>4031</v>
      </c>
      <c r="E78" s="543" t="s">
        <v>1717</v>
      </c>
      <c r="F78" s="543" t="s">
        <v>1697</v>
      </c>
      <c r="G78" s="543" t="s">
        <v>34</v>
      </c>
      <c r="H78" s="543" t="s">
        <v>1821</v>
      </c>
      <c r="I78" s="543" t="s">
        <v>5352</v>
      </c>
      <c r="J78" s="543" t="s">
        <v>2089</v>
      </c>
      <c r="K78" s="543" t="s">
        <v>2118</v>
      </c>
      <c r="L78" s="543" t="s">
        <v>2119</v>
      </c>
      <c r="M78" s="543">
        <v>146905</v>
      </c>
      <c r="N78" s="543" t="s">
        <v>2120</v>
      </c>
      <c r="O78" s="543" t="s">
        <v>5355</v>
      </c>
      <c r="P78" s="543" t="s">
        <v>2121</v>
      </c>
      <c r="Q78" s="543" t="s">
        <v>4555</v>
      </c>
      <c r="R78" s="543" t="s">
        <v>1814</v>
      </c>
      <c r="S78" s="543" t="s">
        <v>2122</v>
      </c>
      <c r="T78" s="543">
        <v>737.5</v>
      </c>
      <c r="U78" s="543" t="s">
        <v>1843</v>
      </c>
      <c r="V78" s="543" t="s">
        <v>2123</v>
      </c>
      <c r="W78" s="543" t="s">
        <v>2124</v>
      </c>
      <c r="X78" s="543" t="s">
        <v>4556</v>
      </c>
      <c r="Y78" s="543" t="s">
        <v>2110</v>
      </c>
      <c r="Z78" s="543" t="s">
        <v>2111</v>
      </c>
      <c r="AA78" s="543" t="s">
        <v>4556</v>
      </c>
      <c r="AB78" s="543" t="s">
        <v>34</v>
      </c>
      <c r="AC78" s="543" t="s">
        <v>1816</v>
      </c>
      <c r="AD78" s="543" t="s">
        <v>1817</v>
      </c>
      <c r="AE78" s="543" t="s">
        <v>1455</v>
      </c>
      <c r="AF78" s="543" t="s">
        <v>3554</v>
      </c>
      <c r="AG78" s="543">
        <v>9</v>
      </c>
      <c r="AH78" s="543">
        <v>0</v>
      </c>
      <c r="AI78" s="543" t="s">
        <v>34</v>
      </c>
      <c r="AJ78" s="543" t="s">
        <v>34</v>
      </c>
      <c r="AK78" s="543" t="s">
        <v>1818</v>
      </c>
      <c r="AL78" s="543" t="s">
        <v>3418</v>
      </c>
      <c r="AM78" s="61" t="s">
        <v>4498</v>
      </c>
      <c r="AN78" s="541">
        <v>1.4583333333333332E-2</v>
      </c>
      <c r="AO78" s="541">
        <v>2.1527777777777781E-2</v>
      </c>
      <c r="AP78" s="61"/>
      <c r="CG78" t="str">
        <v>ALLTITE - NORTH DAKOTA</v>
      </c>
    </row>
    <row r="79" spans="1:88" x14ac:dyDescent="0.2">
      <c r="A79" s="61">
        <v>78</v>
      </c>
      <c r="B79" s="542" t="s">
        <v>333</v>
      </c>
      <c r="C79" s="543" t="s">
        <v>772</v>
      </c>
      <c r="D79" s="543" t="s">
        <v>3714</v>
      </c>
      <c r="E79" s="543" t="s">
        <v>1717</v>
      </c>
      <c r="F79" s="543" t="s">
        <v>1697</v>
      </c>
      <c r="G79" s="543" t="s">
        <v>34</v>
      </c>
      <c r="H79" s="543" t="s">
        <v>1821</v>
      </c>
      <c r="I79" s="543" t="s">
        <v>5342</v>
      </c>
      <c r="J79" s="543" t="s">
        <v>1461</v>
      </c>
      <c r="K79" s="543" t="s">
        <v>2125</v>
      </c>
      <c r="L79" s="543" t="s">
        <v>1936</v>
      </c>
      <c r="M79" s="543" t="s">
        <v>772</v>
      </c>
      <c r="N79" s="543" t="s">
        <v>772</v>
      </c>
      <c r="O79" s="543" t="s">
        <v>665</v>
      </c>
      <c r="P79" s="543" t="s">
        <v>2126</v>
      </c>
      <c r="Q79" s="543" t="s">
        <v>1894</v>
      </c>
      <c r="R79" s="543" t="s">
        <v>1814</v>
      </c>
      <c r="S79" s="543" t="s">
        <v>2127</v>
      </c>
      <c r="T79" s="543">
        <v>536.29999999999995</v>
      </c>
      <c r="U79" s="543">
        <v>0</v>
      </c>
      <c r="V79" s="543">
        <v>0</v>
      </c>
      <c r="W79" s="543">
        <v>0</v>
      </c>
      <c r="X79" s="543">
        <v>0</v>
      </c>
      <c r="Y79" s="543">
        <v>0</v>
      </c>
      <c r="Z79" s="543">
        <v>0</v>
      </c>
      <c r="AA79" s="543">
        <v>0</v>
      </c>
      <c r="AB79" s="543" t="s">
        <v>34</v>
      </c>
      <c r="AC79" s="543" t="s">
        <v>1816</v>
      </c>
      <c r="AD79" s="543" t="s">
        <v>1817</v>
      </c>
      <c r="AE79" s="543" t="s">
        <v>1455</v>
      </c>
      <c r="AF79" s="543" t="s">
        <v>3040</v>
      </c>
      <c r="AG79" s="543" t="s">
        <v>34</v>
      </c>
      <c r="AH79" s="543" t="s">
        <v>34</v>
      </c>
      <c r="AI79" s="543" t="s">
        <v>34</v>
      </c>
      <c r="AJ79" s="543" t="s">
        <v>34</v>
      </c>
      <c r="AK79" s="543" t="s">
        <v>1818</v>
      </c>
      <c r="AL79" s="543" t="s">
        <v>34</v>
      </c>
      <c r="AM79" s="61" t="s">
        <v>4495</v>
      </c>
      <c r="AN79" s="541">
        <v>0</v>
      </c>
      <c r="AO79" s="541">
        <v>0</v>
      </c>
      <c r="AP79" s="61"/>
      <c r="CG79" t="str">
        <v>ALM TECHNOLOGIES, INC.</v>
      </c>
    </row>
    <row r="80" spans="1:88" x14ac:dyDescent="0.2">
      <c r="A80" s="61">
        <v>79</v>
      </c>
      <c r="B80" s="542" t="s">
        <v>782</v>
      </c>
      <c r="C80" s="543" t="s">
        <v>805</v>
      </c>
      <c r="D80" s="543" t="s">
        <v>3715</v>
      </c>
      <c r="E80" s="543" t="s">
        <v>1718</v>
      </c>
      <c r="F80" s="543" t="s">
        <v>1697</v>
      </c>
      <c r="G80" s="543" t="s">
        <v>34</v>
      </c>
      <c r="H80" s="543" t="s">
        <v>1821</v>
      </c>
      <c r="I80" s="543" t="s">
        <v>5356</v>
      </c>
      <c r="J80" s="543" t="s">
        <v>2089</v>
      </c>
      <c r="K80" s="543">
        <v>0</v>
      </c>
      <c r="L80" s="543">
        <v>0</v>
      </c>
      <c r="M80" s="543">
        <v>0</v>
      </c>
      <c r="N80" s="543">
        <v>0</v>
      </c>
      <c r="O80" s="543">
        <v>0</v>
      </c>
      <c r="P80" s="543">
        <v>0</v>
      </c>
      <c r="Q80" s="543">
        <v>0</v>
      </c>
      <c r="R80" s="543">
        <v>0</v>
      </c>
      <c r="S80" s="543">
        <v>0</v>
      </c>
      <c r="T80" s="543">
        <v>0</v>
      </c>
      <c r="U80" s="543">
        <v>0</v>
      </c>
      <c r="V80" s="543">
        <v>0</v>
      </c>
      <c r="W80" s="543">
        <v>0</v>
      </c>
      <c r="X80" s="543">
        <v>0</v>
      </c>
      <c r="Y80" s="543">
        <v>0</v>
      </c>
      <c r="Z80" s="543">
        <v>0</v>
      </c>
      <c r="AA80" s="543">
        <v>0</v>
      </c>
      <c r="AB80" s="543" t="s">
        <v>34</v>
      </c>
      <c r="AC80" s="543" t="s">
        <v>1816</v>
      </c>
      <c r="AD80" s="543" t="s">
        <v>1817</v>
      </c>
      <c r="AE80" s="543" t="s">
        <v>1455</v>
      </c>
      <c r="AF80" s="543" t="s">
        <v>3040</v>
      </c>
      <c r="AG80" s="543" t="s">
        <v>34</v>
      </c>
      <c r="AH80" s="543" t="s">
        <v>34</v>
      </c>
      <c r="AI80" s="543" t="s">
        <v>34</v>
      </c>
      <c r="AJ80" s="543" t="s">
        <v>34</v>
      </c>
      <c r="AK80" s="543" t="s">
        <v>1818</v>
      </c>
      <c r="AL80" s="543" t="s">
        <v>34</v>
      </c>
      <c r="AM80" s="61" t="s">
        <v>4495</v>
      </c>
      <c r="AN80" s="541">
        <v>0</v>
      </c>
      <c r="AO80" s="541">
        <v>0</v>
      </c>
      <c r="AP80" s="61"/>
      <c r="CG80" t="str">
        <v>ALOFT AEROARCHITECTS</v>
      </c>
    </row>
    <row r="81" spans="1:85" x14ac:dyDescent="0.2">
      <c r="A81" s="61">
        <v>80</v>
      </c>
      <c r="B81" s="542" t="s">
        <v>782</v>
      </c>
      <c r="C81" s="543" t="s">
        <v>803</v>
      </c>
      <c r="D81" s="543" t="s">
        <v>3716</v>
      </c>
      <c r="E81" s="543" t="s">
        <v>1718</v>
      </c>
      <c r="F81" s="543" t="s">
        <v>1697</v>
      </c>
      <c r="G81" s="543" t="s">
        <v>34</v>
      </c>
      <c r="H81" s="543" t="s">
        <v>1821</v>
      </c>
      <c r="I81" s="543" t="s">
        <v>5342</v>
      </c>
      <c r="J81" s="543" t="s">
        <v>2089</v>
      </c>
      <c r="K81" s="543" t="s">
        <v>967</v>
      </c>
      <c r="L81" s="543" t="s">
        <v>2136</v>
      </c>
      <c r="M81" s="543" t="s">
        <v>2137</v>
      </c>
      <c r="N81" s="543" t="s">
        <v>803</v>
      </c>
      <c r="O81" s="543" t="s">
        <v>4606</v>
      </c>
      <c r="P81" s="543" t="s">
        <v>2138</v>
      </c>
      <c r="Q81" s="543" t="s">
        <v>4568</v>
      </c>
      <c r="R81" s="543" t="s">
        <v>1878</v>
      </c>
      <c r="S81" s="543" t="s">
        <v>2139</v>
      </c>
      <c r="T81" s="543">
        <v>80</v>
      </c>
      <c r="U81" s="543" t="s">
        <v>1843</v>
      </c>
      <c r="V81" s="543" t="s">
        <v>2140</v>
      </c>
      <c r="W81" s="543" t="s">
        <v>4668</v>
      </c>
      <c r="X81" s="543" t="s">
        <v>4556</v>
      </c>
      <c r="Y81" s="543" t="s">
        <v>2141</v>
      </c>
      <c r="Z81" s="543" t="s">
        <v>2142</v>
      </c>
      <c r="AA81" s="543" t="s">
        <v>4556</v>
      </c>
      <c r="AB81" s="543" t="s">
        <v>34</v>
      </c>
      <c r="AC81" s="543" t="s">
        <v>1816</v>
      </c>
      <c r="AD81" s="543" t="s">
        <v>1817</v>
      </c>
      <c r="AE81" s="543" t="s">
        <v>1455</v>
      </c>
      <c r="AF81" s="543" t="s">
        <v>3040</v>
      </c>
      <c r="AG81" s="543" t="s">
        <v>34</v>
      </c>
      <c r="AH81" s="543" t="s">
        <v>34</v>
      </c>
      <c r="AI81" s="543" t="s">
        <v>34</v>
      </c>
      <c r="AJ81" s="543" t="s">
        <v>34</v>
      </c>
      <c r="AK81" s="543" t="s">
        <v>1818</v>
      </c>
      <c r="AL81" s="543" t="s">
        <v>34</v>
      </c>
      <c r="AM81" s="61" t="s">
        <v>4498</v>
      </c>
      <c r="AN81" s="541">
        <v>0</v>
      </c>
      <c r="AO81" s="541">
        <v>0</v>
      </c>
      <c r="AP81" s="61"/>
      <c r="CG81" t="str">
        <v>ALSTOM POWER, INC. AIR PREHEATER CO.</v>
      </c>
    </row>
    <row r="82" spans="1:85" x14ac:dyDescent="0.2">
      <c r="A82" s="61">
        <v>81</v>
      </c>
      <c r="B82" s="542" t="s">
        <v>782</v>
      </c>
      <c r="C82" s="543" t="s">
        <v>784</v>
      </c>
      <c r="D82" s="543" t="s">
        <v>3717</v>
      </c>
      <c r="E82" s="543" t="s">
        <v>1718</v>
      </c>
      <c r="F82" s="543" t="s">
        <v>1697</v>
      </c>
      <c r="G82" s="543" t="s">
        <v>34</v>
      </c>
      <c r="H82" s="543" t="s">
        <v>1821</v>
      </c>
      <c r="I82" s="543" t="s">
        <v>5342</v>
      </c>
      <c r="J82" s="543" t="s">
        <v>2089</v>
      </c>
      <c r="K82" s="543" t="s">
        <v>2148</v>
      </c>
      <c r="L82" s="543" t="s">
        <v>2136</v>
      </c>
      <c r="M82" s="543" t="s">
        <v>2149</v>
      </c>
      <c r="N82" s="543" t="s">
        <v>784</v>
      </c>
      <c r="O82" s="543" t="s">
        <v>5347</v>
      </c>
      <c r="P82" s="543" t="s">
        <v>2144</v>
      </c>
      <c r="Q82" s="543" t="s">
        <v>4555</v>
      </c>
      <c r="R82" s="543" t="s">
        <v>1878</v>
      </c>
      <c r="S82" s="543" t="s">
        <v>2150</v>
      </c>
      <c r="T82" s="543">
        <v>1725</v>
      </c>
      <c r="U82" s="543" t="s">
        <v>1842</v>
      </c>
      <c r="V82" s="543" t="s">
        <v>2140</v>
      </c>
      <c r="W82" s="543">
        <v>9.06</v>
      </c>
      <c r="X82" s="543" t="s">
        <v>4556</v>
      </c>
      <c r="Y82" s="543" t="s">
        <v>2141</v>
      </c>
      <c r="Z82" s="543" t="s">
        <v>2142</v>
      </c>
      <c r="AA82" s="543" t="s">
        <v>4556</v>
      </c>
      <c r="AB82" s="543" t="s">
        <v>34</v>
      </c>
      <c r="AC82" s="543" t="s">
        <v>1816</v>
      </c>
      <c r="AD82" s="543" t="s">
        <v>1817</v>
      </c>
      <c r="AE82" s="543" t="s">
        <v>1455</v>
      </c>
      <c r="AF82" s="543">
        <v>15.7</v>
      </c>
      <c r="AG82" s="543">
        <v>2.31</v>
      </c>
      <c r="AH82" s="543">
        <v>0.38</v>
      </c>
      <c r="AI82" s="543" t="s">
        <v>3587</v>
      </c>
      <c r="AJ82" s="543" t="s">
        <v>34</v>
      </c>
      <c r="AK82" s="543" t="s">
        <v>1818</v>
      </c>
      <c r="AL82" s="543" t="s">
        <v>34</v>
      </c>
      <c r="AM82" s="61" t="s">
        <v>4497</v>
      </c>
      <c r="AN82" s="541">
        <v>0</v>
      </c>
      <c r="AO82" s="541">
        <v>0</v>
      </c>
      <c r="AP82" s="61"/>
      <c r="CG82" t="str">
        <v>AMAZING GREEN</v>
      </c>
    </row>
    <row r="83" spans="1:85" x14ac:dyDescent="0.2">
      <c r="A83" s="61">
        <v>82</v>
      </c>
      <c r="B83" s="542" t="s">
        <v>782</v>
      </c>
      <c r="C83" s="543" t="s">
        <v>786</v>
      </c>
      <c r="D83" s="543" t="s">
        <v>3718</v>
      </c>
      <c r="E83" s="543" t="s">
        <v>1718</v>
      </c>
      <c r="F83" s="543" t="s">
        <v>1697</v>
      </c>
      <c r="G83" s="543" t="s">
        <v>34</v>
      </c>
      <c r="H83" s="543" t="s">
        <v>1821</v>
      </c>
      <c r="I83" s="543" t="s">
        <v>5342</v>
      </c>
      <c r="J83" s="543" t="s">
        <v>2089</v>
      </c>
      <c r="K83" s="543" t="s">
        <v>878</v>
      </c>
      <c r="L83" s="543" t="s">
        <v>2143</v>
      </c>
      <c r="M83" s="543">
        <v>389</v>
      </c>
      <c r="N83" s="543" t="s">
        <v>786</v>
      </c>
      <c r="O83" s="543" t="s">
        <v>5347</v>
      </c>
      <c r="P83" s="543" t="s">
        <v>2144</v>
      </c>
      <c r="Q83" s="543" t="s">
        <v>4555</v>
      </c>
      <c r="R83" s="543" t="s">
        <v>1979</v>
      </c>
      <c r="S83" s="543" t="s">
        <v>2145</v>
      </c>
      <c r="T83" s="543">
        <v>588</v>
      </c>
      <c r="U83" s="543" t="s">
        <v>1842</v>
      </c>
      <c r="V83" s="543" t="s">
        <v>2146</v>
      </c>
      <c r="W83" s="543" t="s">
        <v>2147</v>
      </c>
      <c r="X83" s="543" t="s">
        <v>4556</v>
      </c>
      <c r="Y83" s="543" t="s">
        <v>2110</v>
      </c>
      <c r="Z83" s="543" t="s">
        <v>2142</v>
      </c>
      <c r="AA83" s="543" t="s">
        <v>4556</v>
      </c>
      <c r="AB83" s="543" t="s">
        <v>34</v>
      </c>
      <c r="AC83" s="543" t="s">
        <v>1816</v>
      </c>
      <c r="AD83" s="543" t="s">
        <v>1817</v>
      </c>
      <c r="AE83" s="543" t="s">
        <v>1455</v>
      </c>
      <c r="AF83" s="543">
        <v>0.6</v>
      </c>
      <c r="AG83" s="543">
        <v>127</v>
      </c>
      <c r="AH83" s="543">
        <v>1</v>
      </c>
      <c r="AI83" s="543" t="s">
        <v>34</v>
      </c>
      <c r="AJ83" s="543" t="s">
        <v>34</v>
      </c>
      <c r="AK83" s="543" t="s">
        <v>1818</v>
      </c>
      <c r="AL83" s="543" t="s">
        <v>34</v>
      </c>
      <c r="AM83" s="61" t="s">
        <v>4495</v>
      </c>
      <c r="AN83" s="541">
        <v>0</v>
      </c>
      <c r="AO83" s="541">
        <v>0</v>
      </c>
      <c r="AP83" s="61"/>
      <c r="CG83" t="str">
        <v>AMERICA JET AT SLN DIV. OF JRM ENTERPRISES, INC.</v>
      </c>
    </row>
    <row r="84" spans="1:85" x14ac:dyDescent="0.2">
      <c r="A84" s="61">
        <v>83</v>
      </c>
      <c r="B84" s="542" t="s">
        <v>782</v>
      </c>
      <c r="C84" s="543" t="s">
        <v>768</v>
      </c>
      <c r="D84" s="543" t="s">
        <v>3719</v>
      </c>
      <c r="E84" s="543" t="s">
        <v>1718</v>
      </c>
      <c r="F84" s="543" t="s">
        <v>1697</v>
      </c>
      <c r="G84" s="543" t="s">
        <v>34</v>
      </c>
      <c r="H84" s="543" t="s">
        <v>1821</v>
      </c>
      <c r="I84" s="543" t="s">
        <v>5356</v>
      </c>
      <c r="J84" s="543" t="s">
        <v>2089</v>
      </c>
      <c r="K84" s="543" t="s">
        <v>3419</v>
      </c>
      <c r="L84" s="543" t="s">
        <v>1936</v>
      </c>
      <c r="M84" s="543" t="s">
        <v>768</v>
      </c>
      <c r="N84" s="543" t="s">
        <v>768</v>
      </c>
      <c r="O84" s="543" t="s">
        <v>3420</v>
      </c>
      <c r="P84" s="543" t="s">
        <v>2848</v>
      </c>
      <c r="Q84" s="543" t="s">
        <v>1894</v>
      </c>
      <c r="R84" s="543" t="s">
        <v>1814</v>
      </c>
      <c r="S84" s="543" t="s">
        <v>2127</v>
      </c>
      <c r="T84" s="543">
        <v>536.29999999999995</v>
      </c>
      <c r="U84" s="543" t="s">
        <v>1642</v>
      </c>
      <c r="V84" s="543" t="s">
        <v>3422</v>
      </c>
      <c r="W84" s="543" t="s">
        <v>3426</v>
      </c>
      <c r="X84" s="543" t="s">
        <v>1815</v>
      </c>
      <c r="Y84" s="543" t="s">
        <v>2250</v>
      </c>
      <c r="Z84" s="543" t="s">
        <v>2142</v>
      </c>
      <c r="AA84" s="543" t="s">
        <v>1815</v>
      </c>
      <c r="AB84" s="543" t="s">
        <v>34</v>
      </c>
      <c r="AC84" s="543" t="s">
        <v>1816</v>
      </c>
      <c r="AD84" s="543" t="s">
        <v>1817</v>
      </c>
      <c r="AE84" s="543" t="s">
        <v>1455</v>
      </c>
      <c r="AF84" s="543" t="s">
        <v>3040</v>
      </c>
      <c r="AG84" s="543" t="s">
        <v>34</v>
      </c>
      <c r="AH84" s="543" t="s">
        <v>34</v>
      </c>
      <c r="AI84" s="543" t="s">
        <v>34</v>
      </c>
      <c r="AJ84" s="543" t="s">
        <v>34</v>
      </c>
      <c r="AK84" s="543" t="s">
        <v>1818</v>
      </c>
      <c r="AL84" s="543" t="s">
        <v>3418</v>
      </c>
      <c r="AM84" s="61" t="s">
        <v>4495</v>
      </c>
      <c r="AN84" s="541">
        <v>0</v>
      </c>
      <c r="AO84" s="541">
        <v>0</v>
      </c>
      <c r="AP84" s="61"/>
      <c r="CG84" t="str">
        <v>AMERICAN CONTROL &amp; ENGINEERING SERVICE</v>
      </c>
    </row>
    <row r="85" spans="1:85" x14ac:dyDescent="0.2">
      <c r="A85" s="61">
        <v>84</v>
      </c>
      <c r="B85" s="542" t="s">
        <v>782</v>
      </c>
      <c r="C85" s="543" t="s">
        <v>790</v>
      </c>
      <c r="D85" s="543" t="s">
        <v>3720</v>
      </c>
      <c r="E85" s="543" t="s">
        <v>1718</v>
      </c>
      <c r="F85" s="543" t="s">
        <v>1697</v>
      </c>
      <c r="G85" s="543" t="s">
        <v>34</v>
      </c>
      <c r="H85" s="543" t="s">
        <v>1821</v>
      </c>
      <c r="I85" s="543" t="s">
        <v>5356</v>
      </c>
      <c r="J85" s="543" t="s">
        <v>2089</v>
      </c>
      <c r="K85" s="543" t="s">
        <v>3427</v>
      </c>
      <c r="L85" s="543" t="s">
        <v>1936</v>
      </c>
      <c r="M85" s="543" t="s">
        <v>790</v>
      </c>
      <c r="N85" s="543" t="s">
        <v>790</v>
      </c>
      <c r="O85" s="543" t="s">
        <v>3420</v>
      </c>
      <c r="P85" s="543" t="s">
        <v>3430</v>
      </c>
      <c r="Q85" s="543" t="s">
        <v>1894</v>
      </c>
      <c r="R85" s="543" t="s">
        <v>1814</v>
      </c>
      <c r="S85" s="543" t="s">
        <v>2127</v>
      </c>
      <c r="T85" s="543">
        <v>536.29999999999995</v>
      </c>
      <c r="U85" s="543" t="s">
        <v>1642</v>
      </c>
      <c r="V85" s="543" t="s">
        <v>3422</v>
      </c>
      <c r="W85" s="543" t="s">
        <v>3431</v>
      </c>
      <c r="X85" s="543" t="s">
        <v>1815</v>
      </c>
      <c r="Y85" s="543" t="s">
        <v>2110</v>
      </c>
      <c r="Z85" s="543" t="s">
        <v>2142</v>
      </c>
      <c r="AA85" s="543" t="s">
        <v>1815</v>
      </c>
      <c r="AB85" s="543" t="s">
        <v>34</v>
      </c>
      <c r="AC85" s="543" t="s">
        <v>1816</v>
      </c>
      <c r="AD85" s="543" t="s">
        <v>1817</v>
      </c>
      <c r="AE85" s="543" t="s">
        <v>1455</v>
      </c>
      <c r="AF85" s="543" t="s">
        <v>3040</v>
      </c>
      <c r="AG85" s="543" t="s">
        <v>34</v>
      </c>
      <c r="AH85" s="543" t="s">
        <v>34</v>
      </c>
      <c r="AI85" s="543" t="s">
        <v>34</v>
      </c>
      <c r="AJ85" s="543" t="s">
        <v>34</v>
      </c>
      <c r="AK85" s="543" t="s">
        <v>1818</v>
      </c>
      <c r="AL85" s="543" t="s">
        <v>3418</v>
      </c>
      <c r="AM85" s="61" t="s">
        <v>4495</v>
      </c>
      <c r="AN85" s="541">
        <v>0</v>
      </c>
      <c r="AO85" s="541">
        <v>0</v>
      </c>
      <c r="AP85" s="61"/>
      <c r="CG85" t="str">
        <v>AMERICAN HEAT TREATING - ALABAMA, LLC</v>
      </c>
    </row>
    <row r="86" spans="1:85" x14ac:dyDescent="0.2">
      <c r="A86" s="61">
        <v>85</v>
      </c>
      <c r="B86" s="542" t="s">
        <v>782</v>
      </c>
      <c r="C86" s="543" t="s">
        <v>764</v>
      </c>
      <c r="D86" s="543" t="s">
        <v>3721</v>
      </c>
      <c r="E86" s="543" t="s">
        <v>1718</v>
      </c>
      <c r="F86" s="543" t="s">
        <v>1697</v>
      </c>
      <c r="G86" s="543" t="s">
        <v>34</v>
      </c>
      <c r="H86" s="543" t="s">
        <v>1821</v>
      </c>
      <c r="I86" s="543" t="s">
        <v>5356</v>
      </c>
      <c r="J86" s="543" t="s">
        <v>2089</v>
      </c>
      <c r="K86" s="543" t="s">
        <v>2468</v>
      </c>
      <c r="L86" s="543" t="s">
        <v>1936</v>
      </c>
      <c r="M86" s="543" t="s">
        <v>764</v>
      </c>
      <c r="N86" s="543" t="s">
        <v>764</v>
      </c>
      <c r="O86" s="543" t="s">
        <v>3420</v>
      </c>
      <c r="P86" s="543" t="s">
        <v>3423</v>
      </c>
      <c r="Q86" s="543" t="s">
        <v>1894</v>
      </c>
      <c r="R86" s="543" t="s">
        <v>1814</v>
      </c>
      <c r="S86" s="543" t="s">
        <v>2127</v>
      </c>
      <c r="T86" s="543">
        <v>536.29999999999995</v>
      </c>
      <c r="U86" s="543" t="s">
        <v>1642</v>
      </c>
      <c r="V86" s="543" t="s">
        <v>3422</v>
      </c>
      <c r="W86" s="543" t="s">
        <v>3425</v>
      </c>
      <c r="X86" s="543" t="s">
        <v>1815</v>
      </c>
      <c r="Y86" s="543" t="s">
        <v>2250</v>
      </c>
      <c r="Z86" s="543" t="s">
        <v>2142</v>
      </c>
      <c r="AA86" s="543" t="s">
        <v>1815</v>
      </c>
      <c r="AB86" s="543" t="s">
        <v>34</v>
      </c>
      <c r="AC86" s="543" t="s">
        <v>1816</v>
      </c>
      <c r="AD86" s="543" t="s">
        <v>1817</v>
      </c>
      <c r="AE86" s="543" t="s">
        <v>1455</v>
      </c>
      <c r="AF86" s="543" t="s">
        <v>3040</v>
      </c>
      <c r="AG86" s="543" t="s">
        <v>34</v>
      </c>
      <c r="AH86" s="543" t="s">
        <v>34</v>
      </c>
      <c r="AI86" s="543" t="s">
        <v>34</v>
      </c>
      <c r="AJ86" s="543" t="s">
        <v>34</v>
      </c>
      <c r="AK86" s="543" t="s">
        <v>1818</v>
      </c>
      <c r="AL86" s="543" t="s">
        <v>3418</v>
      </c>
      <c r="AM86" s="61" t="s">
        <v>4495</v>
      </c>
      <c r="AN86" s="541">
        <v>0</v>
      </c>
      <c r="AO86" s="541">
        <v>0</v>
      </c>
      <c r="AP86" s="61"/>
      <c r="CG86" t="str">
        <v>AMERICAN MEATS PROCESSORS L.L.C.</v>
      </c>
    </row>
    <row r="87" spans="1:85" x14ac:dyDescent="0.2">
      <c r="A87" s="61">
        <v>86</v>
      </c>
      <c r="B87" s="542" t="s">
        <v>782</v>
      </c>
      <c r="C87" s="543" t="s">
        <v>762</v>
      </c>
      <c r="D87" s="543" t="s">
        <v>3722</v>
      </c>
      <c r="E87" s="543" t="s">
        <v>1718</v>
      </c>
      <c r="F87" s="543" t="s">
        <v>1697</v>
      </c>
      <c r="G87" s="543" t="s">
        <v>34</v>
      </c>
      <c r="H87" s="543" t="s">
        <v>1821</v>
      </c>
      <c r="I87" s="543" t="s">
        <v>5356</v>
      </c>
      <c r="J87" s="543" t="s">
        <v>2089</v>
      </c>
      <c r="K87" s="543" t="s">
        <v>2466</v>
      </c>
      <c r="L87" s="543" t="s">
        <v>1936</v>
      </c>
      <c r="M87" s="543" t="s">
        <v>762</v>
      </c>
      <c r="N87" s="543" t="s">
        <v>762</v>
      </c>
      <c r="O87" s="543" t="s">
        <v>3420</v>
      </c>
      <c r="P87" s="543" t="s">
        <v>3421</v>
      </c>
      <c r="Q87" s="543" t="s">
        <v>1894</v>
      </c>
      <c r="R87" s="543" t="s">
        <v>1814</v>
      </c>
      <c r="S87" s="543" t="s">
        <v>2127</v>
      </c>
      <c r="T87" s="543">
        <v>536.29999999999995</v>
      </c>
      <c r="U87" s="543" t="s">
        <v>1642</v>
      </c>
      <c r="V87" s="543" t="s">
        <v>3422</v>
      </c>
      <c r="W87" s="543" t="s">
        <v>3424</v>
      </c>
      <c r="X87" s="543" t="s">
        <v>1815</v>
      </c>
      <c r="Y87" s="543" t="s">
        <v>2250</v>
      </c>
      <c r="Z87" s="543" t="s">
        <v>2142</v>
      </c>
      <c r="AA87" s="543" t="s">
        <v>1815</v>
      </c>
      <c r="AB87" s="543" t="s">
        <v>34</v>
      </c>
      <c r="AC87" s="543" t="s">
        <v>1816</v>
      </c>
      <c r="AD87" s="543" t="s">
        <v>1817</v>
      </c>
      <c r="AE87" s="543" t="s">
        <v>1455</v>
      </c>
      <c r="AF87" s="543" t="s">
        <v>3040</v>
      </c>
      <c r="AG87" s="543" t="s">
        <v>34</v>
      </c>
      <c r="AH87" s="543" t="s">
        <v>34</v>
      </c>
      <c r="AI87" s="543" t="s">
        <v>34</v>
      </c>
      <c r="AJ87" s="543" t="s">
        <v>34</v>
      </c>
      <c r="AK87" s="543" t="s">
        <v>1818</v>
      </c>
      <c r="AL87" s="543" t="s">
        <v>3418</v>
      </c>
      <c r="AM87" s="61" t="s">
        <v>4495</v>
      </c>
      <c r="AN87" s="541">
        <v>0</v>
      </c>
      <c r="AO87" s="541">
        <v>0</v>
      </c>
      <c r="AP87" s="61"/>
      <c r="CG87" t="str">
        <v>AMERICAN METAL FABRICATION - WELLINGTON</v>
      </c>
    </row>
    <row r="88" spans="1:85" x14ac:dyDescent="0.2">
      <c r="A88" s="61">
        <v>87</v>
      </c>
      <c r="B88" s="542" t="s">
        <v>782</v>
      </c>
      <c r="C88" s="543" t="s">
        <v>799</v>
      </c>
      <c r="D88" s="543" t="s">
        <v>3723</v>
      </c>
      <c r="E88" s="543" t="s">
        <v>1718</v>
      </c>
      <c r="F88" s="543" t="s">
        <v>1697</v>
      </c>
      <c r="G88" s="543" t="s">
        <v>34</v>
      </c>
      <c r="H88" s="543" t="s">
        <v>1821</v>
      </c>
      <c r="I88" s="543" t="s">
        <v>5356</v>
      </c>
      <c r="J88" s="543" t="s">
        <v>2089</v>
      </c>
      <c r="K88" s="543" t="s">
        <v>3439</v>
      </c>
      <c r="L88" s="543" t="s">
        <v>1936</v>
      </c>
      <c r="M88" s="543" t="s">
        <v>799</v>
      </c>
      <c r="N88" s="543" t="s">
        <v>799</v>
      </c>
      <c r="O88" s="543" t="s">
        <v>3420</v>
      </c>
      <c r="P88" s="543" t="s">
        <v>3440</v>
      </c>
      <c r="Q88" s="543" t="s">
        <v>1894</v>
      </c>
      <c r="R88" s="543" t="s">
        <v>1814</v>
      </c>
      <c r="S88" s="543" t="s">
        <v>2127</v>
      </c>
      <c r="T88" s="543">
        <v>536.29999999999995</v>
      </c>
      <c r="U88" s="543" t="s">
        <v>1642</v>
      </c>
      <c r="V88" s="543" t="s">
        <v>3422</v>
      </c>
      <c r="W88" s="543" t="s">
        <v>3441</v>
      </c>
      <c r="X88" s="543" t="s">
        <v>1815</v>
      </c>
      <c r="Y88" s="543" t="s">
        <v>2110</v>
      </c>
      <c r="Z88" s="543" t="s">
        <v>2142</v>
      </c>
      <c r="AA88" s="543" t="s">
        <v>1815</v>
      </c>
      <c r="AB88" s="543" t="s">
        <v>34</v>
      </c>
      <c r="AC88" s="543" t="s">
        <v>1816</v>
      </c>
      <c r="AD88" s="543" t="s">
        <v>1817</v>
      </c>
      <c r="AE88" s="543" t="s">
        <v>1455</v>
      </c>
      <c r="AF88" s="543" t="s">
        <v>3040</v>
      </c>
      <c r="AG88" s="543" t="s">
        <v>34</v>
      </c>
      <c r="AH88" s="543" t="s">
        <v>34</v>
      </c>
      <c r="AI88" s="543" t="s">
        <v>34</v>
      </c>
      <c r="AJ88" s="543" t="s">
        <v>34</v>
      </c>
      <c r="AK88" s="543" t="s">
        <v>1818</v>
      </c>
      <c r="AL88" s="543" t="s">
        <v>3418</v>
      </c>
      <c r="AM88" s="61" t="s">
        <v>4495</v>
      </c>
      <c r="AN88" s="541">
        <v>0</v>
      </c>
      <c r="AO88" s="541">
        <v>0</v>
      </c>
      <c r="AP88" s="61"/>
      <c r="CG88" t="str">
        <v>AMERICAN METAL WICHITA</v>
      </c>
    </row>
    <row r="89" spans="1:85" x14ac:dyDescent="0.2">
      <c r="A89" s="61">
        <v>88</v>
      </c>
      <c r="B89" s="542" t="s">
        <v>782</v>
      </c>
      <c r="C89" s="543" t="s">
        <v>796</v>
      </c>
      <c r="D89" s="543" t="s">
        <v>3724</v>
      </c>
      <c r="E89" s="543" t="s">
        <v>1718</v>
      </c>
      <c r="F89" s="543" t="s">
        <v>1697</v>
      </c>
      <c r="G89" s="543" t="s">
        <v>34</v>
      </c>
      <c r="H89" s="543" t="s">
        <v>1821</v>
      </c>
      <c r="I89" s="543" t="s">
        <v>5356</v>
      </c>
      <c r="J89" s="543" t="s">
        <v>2089</v>
      </c>
      <c r="K89" s="543" t="s">
        <v>3436</v>
      </c>
      <c r="L89" s="543" t="s">
        <v>1936</v>
      </c>
      <c r="M89" s="543" t="s">
        <v>796</v>
      </c>
      <c r="N89" s="543" t="s">
        <v>796</v>
      </c>
      <c r="O89" s="543" t="s">
        <v>3420</v>
      </c>
      <c r="P89" s="543" t="s">
        <v>3437</v>
      </c>
      <c r="Q89" s="543" t="s">
        <v>1894</v>
      </c>
      <c r="R89" s="543" t="s">
        <v>1814</v>
      </c>
      <c r="S89" s="543" t="s">
        <v>2127</v>
      </c>
      <c r="T89" s="543">
        <v>536.29999999999995</v>
      </c>
      <c r="U89" s="543" t="s">
        <v>1642</v>
      </c>
      <c r="V89" s="543" t="s">
        <v>3422</v>
      </c>
      <c r="W89" s="543" t="s">
        <v>3438</v>
      </c>
      <c r="X89" s="543" t="s">
        <v>1815</v>
      </c>
      <c r="Y89" s="543" t="s">
        <v>2110</v>
      </c>
      <c r="Z89" s="543" t="s">
        <v>2142</v>
      </c>
      <c r="AA89" s="543" t="s">
        <v>1815</v>
      </c>
      <c r="AB89" s="543" t="s">
        <v>34</v>
      </c>
      <c r="AC89" s="543" t="s">
        <v>1816</v>
      </c>
      <c r="AD89" s="543" t="s">
        <v>1817</v>
      </c>
      <c r="AE89" s="543" t="s">
        <v>1455</v>
      </c>
      <c r="AF89" s="543" t="s">
        <v>3040</v>
      </c>
      <c r="AG89" s="543" t="s">
        <v>34</v>
      </c>
      <c r="AH89" s="543" t="s">
        <v>34</v>
      </c>
      <c r="AI89" s="543" t="s">
        <v>34</v>
      </c>
      <c r="AJ89" s="543" t="s">
        <v>34</v>
      </c>
      <c r="AK89" s="543" t="s">
        <v>1818</v>
      </c>
      <c r="AL89" s="543" t="s">
        <v>3418</v>
      </c>
      <c r="AM89" s="61" t="s">
        <v>4495</v>
      </c>
      <c r="AN89" s="541">
        <v>0</v>
      </c>
      <c r="AO89" s="541">
        <v>0</v>
      </c>
      <c r="AP89" s="61"/>
      <c r="CG89" t="str">
        <v>AMERICAN PRECISION MACHINING LLC</v>
      </c>
    </row>
    <row r="90" spans="1:85" x14ac:dyDescent="0.2">
      <c r="A90" s="61">
        <v>89</v>
      </c>
      <c r="B90" s="542" t="s">
        <v>782</v>
      </c>
      <c r="C90" s="543" t="s">
        <v>792</v>
      </c>
      <c r="D90" s="543" t="s">
        <v>3725</v>
      </c>
      <c r="E90" s="543" t="s">
        <v>1718</v>
      </c>
      <c r="F90" s="543" t="s">
        <v>1697</v>
      </c>
      <c r="G90" s="543" t="s">
        <v>34</v>
      </c>
      <c r="H90" s="543" t="s">
        <v>1821</v>
      </c>
      <c r="I90" s="543" t="s">
        <v>5356</v>
      </c>
      <c r="J90" s="543" t="s">
        <v>2089</v>
      </c>
      <c r="K90" s="543" t="s">
        <v>3432</v>
      </c>
      <c r="L90" s="543" t="s">
        <v>1936</v>
      </c>
      <c r="M90" s="543" t="s">
        <v>792</v>
      </c>
      <c r="N90" s="543" t="s">
        <v>792</v>
      </c>
      <c r="O90" s="543" t="s">
        <v>3420</v>
      </c>
      <c r="P90" s="543" t="s">
        <v>3433</v>
      </c>
      <c r="Q90" s="543" t="s">
        <v>1894</v>
      </c>
      <c r="R90" s="543" t="s">
        <v>1814</v>
      </c>
      <c r="S90" s="543" t="s">
        <v>2127</v>
      </c>
      <c r="T90" s="543">
        <v>536.29999999999995</v>
      </c>
      <c r="U90" s="543" t="s">
        <v>1642</v>
      </c>
      <c r="V90" s="543" t="s">
        <v>3422</v>
      </c>
      <c r="W90" s="543" t="s">
        <v>3434</v>
      </c>
      <c r="X90" s="543" t="s">
        <v>1815</v>
      </c>
      <c r="Y90" s="543" t="s">
        <v>2110</v>
      </c>
      <c r="Z90" s="543" t="s">
        <v>2142</v>
      </c>
      <c r="AA90" s="543" t="s">
        <v>1815</v>
      </c>
      <c r="AB90" s="543" t="s">
        <v>34</v>
      </c>
      <c r="AC90" s="543" t="s">
        <v>1816</v>
      </c>
      <c r="AD90" s="543" t="s">
        <v>1817</v>
      </c>
      <c r="AE90" s="543" t="s">
        <v>1455</v>
      </c>
      <c r="AF90" s="543" t="s">
        <v>3040</v>
      </c>
      <c r="AG90" s="543" t="s">
        <v>34</v>
      </c>
      <c r="AH90" s="543" t="s">
        <v>34</v>
      </c>
      <c r="AI90" s="543" t="s">
        <v>34</v>
      </c>
      <c r="AJ90" s="543" t="s">
        <v>34</v>
      </c>
      <c r="AK90" s="543" t="s">
        <v>1818</v>
      </c>
      <c r="AL90" s="543" t="s">
        <v>3418</v>
      </c>
      <c r="AM90" s="61" t="s">
        <v>4495</v>
      </c>
      <c r="AN90" s="541">
        <v>0</v>
      </c>
      <c r="AO90" s="541">
        <v>0</v>
      </c>
      <c r="AP90" s="61"/>
      <c r="CG90" t="str">
        <v>AMERICAN STRUCTURAL SYSTEMS</v>
      </c>
    </row>
    <row r="91" spans="1:85" x14ac:dyDescent="0.2">
      <c r="A91" s="61">
        <v>90</v>
      </c>
      <c r="B91" s="542" t="s">
        <v>782</v>
      </c>
      <c r="C91" s="543" t="s">
        <v>788</v>
      </c>
      <c r="D91" s="543" t="s">
        <v>3726</v>
      </c>
      <c r="E91" s="543" t="s">
        <v>1718</v>
      </c>
      <c r="F91" s="543" t="s">
        <v>1697</v>
      </c>
      <c r="G91" s="543" t="s">
        <v>34</v>
      </c>
      <c r="H91" s="543" t="s">
        <v>1821</v>
      </c>
      <c r="I91" s="543" t="s">
        <v>5356</v>
      </c>
      <c r="J91" s="543" t="s">
        <v>2089</v>
      </c>
      <c r="K91" s="543" t="s">
        <v>3427</v>
      </c>
      <c r="L91" s="543" t="s">
        <v>1936</v>
      </c>
      <c r="M91" s="544" t="s">
        <v>788</v>
      </c>
      <c r="N91" s="543" t="s">
        <v>788</v>
      </c>
      <c r="O91" s="543" t="s">
        <v>3420</v>
      </c>
      <c r="P91" s="543" t="s">
        <v>3428</v>
      </c>
      <c r="Q91" s="543" t="s">
        <v>1894</v>
      </c>
      <c r="R91" s="543" t="s">
        <v>1915</v>
      </c>
      <c r="S91" s="543" t="s">
        <v>2127</v>
      </c>
      <c r="T91" s="543">
        <v>536.29999999999995</v>
      </c>
      <c r="U91" s="543" t="s">
        <v>1642</v>
      </c>
      <c r="V91" s="543" t="s">
        <v>3422</v>
      </c>
      <c r="W91" s="543" t="s">
        <v>3429</v>
      </c>
      <c r="X91" s="543" t="s">
        <v>1815</v>
      </c>
      <c r="Y91" s="543" t="s">
        <v>2110</v>
      </c>
      <c r="Z91" s="543" t="s">
        <v>2142</v>
      </c>
      <c r="AA91" s="543" t="s">
        <v>1815</v>
      </c>
      <c r="AB91" s="543" t="s">
        <v>34</v>
      </c>
      <c r="AC91" s="543" t="s">
        <v>1816</v>
      </c>
      <c r="AD91" s="543" t="s">
        <v>1817</v>
      </c>
      <c r="AE91" s="543" t="s">
        <v>1455</v>
      </c>
      <c r="AF91" s="543" t="s">
        <v>3040</v>
      </c>
      <c r="AG91" s="543" t="s">
        <v>34</v>
      </c>
      <c r="AH91" s="543" t="s">
        <v>34</v>
      </c>
      <c r="AI91" s="543" t="s">
        <v>34</v>
      </c>
      <c r="AJ91" s="543" t="s">
        <v>34</v>
      </c>
      <c r="AK91" s="543" t="s">
        <v>1818</v>
      </c>
      <c r="AL91" s="543" t="s">
        <v>3418</v>
      </c>
      <c r="AM91" s="61" t="s">
        <v>4495</v>
      </c>
      <c r="AN91" s="541">
        <v>0</v>
      </c>
      <c r="AO91" s="541">
        <v>0</v>
      </c>
      <c r="AP91" s="61"/>
      <c r="CG91" t="str">
        <v>AMERICOLD LOGISTICS</v>
      </c>
    </row>
    <row r="92" spans="1:85" x14ac:dyDescent="0.2">
      <c r="A92" s="61">
        <v>91</v>
      </c>
      <c r="B92" s="542" t="s">
        <v>782</v>
      </c>
      <c r="C92" s="543" t="s">
        <v>794</v>
      </c>
      <c r="D92" s="543" t="s">
        <v>3727</v>
      </c>
      <c r="E92" s="543" t="s">
        <v>1718</v>
      </c>
      <c r="F92" s="543" t="s">
        <v>1697</v>
      </c>
      <c r="G92" s="543" t="s">
        <v>34</v>
      </c>
      <c r="H92" s="543" t="s">
        <v>1821</v>
      </c>
      <c r="I92" s="543" t="s">
        <v>5356</v>
      </c>
      <c r="J92" s="543" t="s">
        <v>2089</v>
      </c>
      <c r="K92" s="543" t="s">
        <v>4876</v>
      </c>
      <c r="L92" s="543" t="s">
        <v>1936</v>
      </c>
      <c r="M92" s="543" t="s">
        <v>794</v>
      </c>
      <c r="N92" s="543" t="s">
        <v>794</v>
      </c>
      <c r="O92" s="543" t="s">
        <v>3420</v>
      </c>
      <c r="P92" s="543" t="s">
        <v>2464</v>
      </c>
      <c r="Q92" s="543" t="s">
        <v>1894</v>
      </c>
      <c r="R92" s="543" t="s">
        <v>1915</v>
      </c>
      <c r="S92" s="543" t="s">
        <v>3435</v>
      </c>
      <c r="T92" s="543">
        <v>25</v>
      </c>
      <c r="U92" s="543" t="s">
        <v>1642</v>
      </c>
      <c r="V92" s="543" t="s">
        <v>3422</v>
      </c>
      <c r="W92" s="543" t="s">
        <v>3429</v>
      </c>
      <c r="X92" s="543" t="s">
        <v>1815</v>
      </c>
      <c r="Y92" s="543" t="s">
        <v>109</v>
      </c>
      <c r="Z92" s="543" t="s">
        <v>109</v>
      </c>
      <c r="AA92" s="543" t="s">
        <v>109</v>
      </c>
      <c r="AB92" s="543" t="s">
        <v>34</v>
      </c>
      <c r="AC92" s="543" t="s">
        <v>1816</v>
      </c>
      <c r="AD92" s="543" t="s">
        <v>1817</v>
      </c>
      <c r="AE92" s="543" t="s">
        <v>1455</v>
      </c>
      <c r="AF92" s="543" t="s">
        <v>3040</v>
      </c>
      <c r="AG92" s="543" t="s">
        <v>34</v>
      </c>
      <c r="AH92" s="543" t="s">
        <v>34</v>
      </c>
      <c r="AI92" s="543" t="s">
        <v>34</v>
      </c>
      <c r="AJ92" s="543" t="s">
        <v>34</v>
      </c>
      <c r="AK92" s="543" t="s">
        <v>1818</v>
      </c>
      <c r="AL92" s="543" t="s">
        <v>3418</v>
      </c>
      <c r="AM92" s="61" t="s">
        <v>4495</v>
      </c>
      <c r="AN92" s="541">
        <v>0</v>
      </c>
      <c r="AO92" s="541">
        <v>0</v>
      </c>
      <c r="AP92" s="61"/>
      <c r="CG92" t="str">
        <v>AMERICUS CORP.</v>
      </c>
    </row>
    <row r="93" spans="1:85" x14ac:dyDescent="0.2">
      <c r="A93" s="61">
        <v>92</v>
      </c>
      <c r="B93" s="542" t="s">
        <v>807</v>
      </c>
      <c r="C93" s="543" t="s">
        <v>579</v>
      </c>
      <c r="D93" s="543" t="s">
        <v>3728</v>
      </c>
      <c r="E93" s="543" t="s">
        <v>1719</v>
      </c>
      <c r="F93" s="543" t="s">
        <v>1720</v>
      </c>
      <c r="G93" s="543" t="s">
        <v>34</v>
      </c>
      <c r="H93" s="543" t="s">
        <v>1821</v>
      </c>
      <c r="I93" s="543" t="s">
        <v>5342</v>
      </c>
      <c r="J93" s="543" t="s">
        <v>2089</v>
      </c>
      <c r="K93" s="543" t="s">
        <v>875</v>
      </c>
      <c r="L93" s="543" t="s">
        <v>2151</v>
      </c>
      <c r="M93" s="543">
        <v>1</v>
      </c>
      <c r="N93" s="543" t="s">
        <v>579</v>
      </c>
      <c r="O93" s="543" t="s">
        <v>5357</v>
      </c>
      <c r="P93" s="543" t="s">
        <v>2152</v>
      </c>
      <c r="Q93" s="543" t="s">
        <v>4553</v>
      </c>
      <c r="R93" s="543" t="s">
        <v>1878</v>
      </c>
      <c r="S93" s="543" t="s">
        <v>2153</v>
      </c>
      <c r="T93" s="543">
        <v>3</v>
      </c>
      <c r="U93" s="543" t="s">
        <v>1844</v>
      </c>
      <c r="V93" s="543" t="s">
        <v>2154</v>
      </c>
      <c r="W93" s="543">
        <v>1704112167</v>
      </c>
      <c r="X93" s="543" t="s">
        <v>4556</v>
      </c>
      <c r="Y93" s="543" t="s">
        <v>2154</v>
      </c>
      <c r="Z93" s="543">
        <v>1704112167</v>
      </c>
      <c r="AA93" s="543" t="s">
        <v>4556</v>
      </c>
      <c r="AB93" s="543" t="s">
        <v>34</v>
      </c>
      <c r="AC93" s="543" t="s">
        <v>1816</v>
      </c>
      <c r="AD93" s="543" t="s">
        <v>1817</v>
      </c>
      <c r="AE93" s="543" t="s">
        <v>1455</v>
      </c>
      <c r="AF93" s="543" t="s">
        <v>3040</v>
      </c>
      <c r="AG93" s="543" t="s">
        <v>34</v>
      </c>
      <c r="AH93" s="543" t="s">
        <v>34</v>
      </c>
      <c r="AI93" s="543" t="s">
        <v>34</v>
      </c>
      <c r="AJ93" s="543" t="s">
        <v>34</v>
      </c>
      <c r="AK93" s="543" t="s">
        <v>1818</v>
      </c>
      <c r="AL93" s="543" t="s">
        <v>34</v>
      </c>
      <c r="AM93" s="61" t="s">
        <v>4495</v>
      </c>
      <c r="AN93" s="541">
        <v>0</v>
      </c>
      <c r="AO93" s="541">
        <v>0</v>
      </c>
      <c r="AP93" s="61"/>
      <c r="CG93" t="str">
        <v>AMERITECH DIE &amp; MOLD SOUTH, INC.</v>
      </c>
    </row>
    <row r="94" spans="1:85" x14ac:dyDescent="0.2">
      <c r="A94" s="61">
        <v>93</v>
      </c>
      <c r="B94" s="542" t="s">
        <v>810</v>
      </c>
      <c r="C94" s="543" t="s">
        <v>814</v>
      </c>
      <c r="D94" s="543" t="s">
        <v>3729</v>
      </c>
      <c r="E94" s="543" t="s">
        <v>2155</v>
      </c>
      <c r="F94" s="543" t="s">
        <v>1721</v>
      </c>
      <c r="G94" s="543" t="s">
        <v>34</v>
      </c>
      <c r="H94" s="543" t="s">
        <v>1821</v>
      </c>
      <c r="I94" s="543" t="s">
        <v>5342</v>
      </c>
      <c r="J94" s="543" t="s">
        <v>2089</v>
      </c>
      <c r="K94" s="543" t="s">
        <v>819</v>
      </c>
      <c r="L94" s="543" t="s">
        <v>2168</v>
      </c>
      <c r="M94" s="543">
        <v>411110</v>
      </c>
      <c r="N94" s="543" t="s">
        <v>814</v>
      </c>
      <c r="O94" s="543" t="s">
        <v>5347</v>
      </c>
      <c r="P94" s="543" t="s">
        <v>2156</v>
      </c>
      <c r="Q94" s="543" t="s">
        <v>4555</v>
      </c>
      <c r="R94" s="543" t="s">
        <v>1979</v>
      </c>
      <c r="S94" s="543" t="s">
        <v>2157</v>
      </c>
      <c r="T94" s="543">
        <v>225</v>
      </c>
      <c r="U94" s="543" t="s">
        <v>1842</v>
      </c>
      <c r="V94" s="543" t="s">
        <v>2022</v>
      </c>
      <c r="W94" s="543" t="s">
        <v>2169</v>
      </c>
      <c r="X94" s="543" t="s">
        <v>4556</v>
      </c>
      <c r="Y94" s="543" t="s">
        <v>2170</v>
      </c>
      <c r="Z94" s="543" t="s">
        <v>2171</v>
      </c>
      <c r="AA94" s="543" t="s">
        <v>4556</v>
      </c>
      <c r="AB94" s="543" t="s">
        <v>34</v>
      </c>
      <c r="AC94" s="543" t="s">
        <v>1816</v>
      </c>
      <c r="AD94" s="543" t="s">
        <v>1817</v>
      </c>
      <c r="AE94" s="543" t="s">
        <v>1455</v>
      </c>
      <c r="AF94" s="543">
        <v>2</v>
      </c>
      <c r="AG94" s="543">
        <v>0.5</v>
      </c>
      <c r="AH94" s="543">
        <v>0.05</v>
      </c>
      <c r="AI94" s="543" t="s">
        <v>3597</v>
      </c>
      <c r="AJ94" s="543" t="s">
        <v>34</v>
      </c>
      <c r="AK94" s="543" t="s">
        <v>1818</v>
      </c>
      <c r="AL94" s="543" t="s">
        <v>34</v>
      </c>
      <c r="AM94" s="61" t="s">
        <v>4495</v>
      </c>
      <c r="AN94" s="541">
        <v>1.4583333333333332E-2</v>
      </c>
      <c r="AO94" s="541">
        <v>0</v>
      </c>
      <c r="AP94" s="61"/>
      <c r="CG94" t="str">
        <v>AMETEK ADVANCED INDUSTRIES, INC.</v>
      </c>
    </row>
    <row r="95" spans="1:85" x14ac:dyDescent="0.2">
      <c r="A95" s="61">
        <v>94</v>
      </c>
      <c r="B95" s="542" t="s">
        <v>810</v>
      </c>
      <c r="C95" s="543" t="s">
        <v>816</v>
      </c>
      <c r="D95" s="543" t="s">
        <v>3730</v>
      </c>
      <c r="E95" s="543" t="s">
        <v>2155</v>
      </c>
      <c r="F95" s="543" t="s">
        <v>1721</v>
      </c>
      <c r="G95" s="543" t="s">
        <v>34</v>
      </c>
      <c r="H95" s="543" t="s">
        <v>1821</v>
      </c>
      <c r="I95" s="543" t="s">
        <v>5342</v>
      </c>
      <c r="J95" s="543" t="s">
        <v>2089</v>
      </c>
      <c r="K95" s="543" t="s">
        <v>819</v>
      </c>
      <c r="L95" s="543">
        <v>501</v>
      </c>
      <c r="M95" s="543">
        <v>212</v>
      </c>
      <c r="N95" s="543" t="s">
        <v>816</v>
      </c>
      <c r="O95" s="543" t="s">
        <v>5347</v>
      </c>
      <c r="P95" s="543" t="s">
        <v>2156</v>
      </c>
      <c r="Q95" s="543" t="s">
        <v>4555</v>
      </c>
      <c r="R95" s="543" t="s">
        <v>1979</v>
      </c>
      <c r="S95" s="543" t="s">
        <v>2157</v>
      </c>
      <c r="T95" s="543">
        <v>225</v>
      </c>
      <c r="U95" s="543" t="s">
        <v>1842</v>
      </c>
      <c r="V95" s="543" t="s">
        <v>2158</v>
      </c>
      <c r="W95" s="543" t="s">
        <v>2159</v>
      </c>
      <c r="X95" s="543" t="s">
        <v>4556</v>
      </c>
      <c r="Y95" s="543" t="s">
        <v>2160</v>
      </c>
      <c r="Z95" s="543" t="s">
        <v>2161</v>
      </c>
      <c r="AA95" s="543" t="s">
        <v>4556</v>
      </c>
      <c r="AB95" s="543" t="s">
        <v>34</v>
      </c>
      <c r="AC95" s="543" t="s">
        <v>1816</v>
      </c>
      <c r="AD95" s="543" t="s">
        <v>1817</v>
      </c>
      <c r="AE95" s="543" t="s">
        <v>1455</v>
      </c>
      <c r="AF95" s="543">
        <v>2.5</v>
      </c>
      <c r="AG95" s="543">
        <v>0.9</v>
      </c>
      <c r="AH95" s="543">
        <v>0</v>
      </c>
      <c r="AI95" s="543" t="s">
        <v>3595</v>
      </c>
      <c r="AJ95" s="543" t="s">
        <v>34</v>
      </c>
      <c r="AK95" s="543" t="s">
        <v>1818</v>
      </c>
      <c r="AL95" s="543" t="s">
        <v>34</v>
      </c>
      <c r="AM95" s="61" t="s">
        <v>4495</v>
      </c>
      <c r="AN95" s="541">
        <v>1.4583333333333332E-2</v>
      </c>
      <c r="AO95" s="541">
        <v>0</v>
      </c>
      <c r="AP95" s="61"/>
      <c r="CG95" t="str">
        <v>AMETEK B &amp; S AIRCRAFT PARTS &amp; ACC., INC.</v>
      </c>
    </row>
    <row r="96" spans="1:85" x14ac:dyDescent="0.2">
      <c r="A96" s="61">
        <v>95</v>
      </c>
      <c r="B96" s="542" t="s">
        <v>810</v>
      </c>
      <c r="C96" s="543" t="s">
        <v>4928</v>
      </c>
      <c r="D96" s="543" t="s">
        <v>4929</v>
      </c>
      <c r="E96" s="543" t="s">
        <v>2155</v>
      </c>
      <c r="F96" s="543" t="s">
        <v>1721</v>
      </c>
      <c r="G96" s="543" t="s">
        <v>34</v>
      </c>
      <c r="H96" s="543" t="s">
        <v>1821</v>
      </c>
      <c r="I96" s="543" t="s">
        <v>5342</v>
      </c>
      <c r="J96" s="543" t="s">
        <v>2089</v>
      </c>
      <c r="K96" s="543" t="s">
        <v>4930</v>
      </c>
      <c r="L96" s="543" t="s">
        <v>4931</v>
      </c>
      <c r="M96" s="543" t="s">
        <v>4932</v>
      </c>
      <c r="N96" s="543" t="s">
        <v>4928</v>
      </c>
      <c r="O96" s="543" t="s">
        <v>5358</v>
      </c>
      <c r="P96" s="543" t="s">
        <v>4933</v>
      </c>
      <c r="Q96" s="543" t="s">
        <v>4555</v>
      </c>
      <c r="R96" s="543" t="s">
        <v>1988</v>
      </c>
      <c r="S96" s="543" t="s">
        <v>4934</v>
      </c>
      <c r="T96" s="543">
        <v>39.6</v>
      </c>
      <c r="U96" s="543" t="s">
        <v>5402</v>
      </c>
      <c r="V96" s="543" t="s">
        <v>3033</v>
      </c>
      <c r="W96" s="543" t="s">
        <v>4935</v>
      </c>
      <c r="X96" s="543" t="s">
        <v>4556</v>
      </c>
      <c r="Y96" s="543" t="s">
        <v>4936</v>
      </c>
      <c r="Z96" s="543" t="s">
        <v>4937</v>
      </c>
      <c r="AA96" s="543" t="s">
        <v>4556</v>
      </c>
      <c r="AB96" s="543" t="s">
        <v>34</v>
      </c>
      <c r="AC96" s="543" t="s">
        <v>1816</v>
      </c>
      <c r="AD96" s="543" t="s">
        <v>1817</v>
      </c>
      <c r="AE96" s="543" t="s">
        <v>1455</v>
      </c>
      <c r="AF96" s="543">
        <v>40</v>
      </c>
      <c r="AG96" s="543">
        <v>200</v>
      </c>
      <c r="AH96" s="543">
        <v>15</v>
      </c>
      <c r="AI96" s="543" t="s">
        <v>5095</v>
      </c>
      <c r="AJ96" s="543" t="s">
        <v>5096</v>
      </c>
      <c r="AK96" s="543" t="s">
        <v>1818</v>
      </c>
      <c r="AL96" s="543" t="s">
        <v>34</v>
      </c>
      <c r="AM96" s="61" t="s">
        <v>4495</v>
      </c>
      <c r="AN96" s="541"/>
      <c r="AO96" s="541"/>
      <c r="AP96" s="61"/>
      <c r="CG96" t="str">
        <v>AMI METALS - EUROPE DIVISION</v>
      </c>
    </row>
    <row r="97" spans="1:85" x14ac:dyDescent="0.2">
      <c r="A97" s="61">
        <v>96</v>
      </c>
      <c r="B97" s="542" t="s">
        <v>810</v>
      </c>
      <c r="C97" s="543" t="s">
        <v>812</v>
      </c>
      <c r="D97" s="543" t="s">
        <v>3731</v>
      </c>
      <c r="E97" s="543" t="s">
        <v>2155</v>
      </c>
      <c r="F97" s="543" t="s">
        <v>1721</v>
      </c>
      <c r="G97" s="543" t="s">
        <v>34</v>
      </c>
      <c r="H97" s="543" t="s">
        <v>1821</v>
      </c>
      <c r="I97" s="543" t="s">
        <v>5342</v>
      </c>
      <c r="J97" s="543" t="s">
        <v>2089</v>
      </c>
      <c r="K97" s="543" t="s">
        <v>1169</v>
      </c>
      <c r="L97" s="543" t="s">
        <v>2162</v>
      </c>
      <c r="M97" s="543" t="s">
        <v>2163</v>
      </c>
      <c r="N97" s="543" t="s">
        <v>812</v>
      </c>
      <c r="O97" s="543" t="s">
        <v>665</v>
      </c>
      <c r="P97" s="543" t="s">
        <v>2164</v>
      </c>
      <c r="Q97" s="543" t="s">
        <v>4555</v>
      </c>
      <c r="R97" s="543" t="s">
        <v>1979</v>
      </c>
      <c r="S97" s="543" t="s">
        <v>2165</v>
      </c>
      <c r="T97" s="543">
        <v>180</v>
      </c>
      <c r="U97" s="543" t="s">
        <v>1844</v>
      </c>
      <c r="V97" s="543" t="s">
        <v>2022</v>
      </c>
      <c r="W97" s="543" t="s">
        <v>2166</v>
      </c>
      <c r="X97" s="543" t="s">
        <v>4556</v>
      </c>
      <c r="Y97" s="543" t="s">
        <v>2160</v>
      </c>
      <c r="Z97" s="543" t="s">
        <v>2167</v>
      </c>
      <c r="AA97" s="543" t="s">
        <v>4556</v>
      </c>
      <c r="AB97" s="543" t="s">
        <v>34</v>
      </c>
      <c r="AC97" s="543" t="s">
        <v>1816</v>
      </c>
      <c r="AD97" s="543" t="s">
        <v>1817</v>
      </c>
      <c r="AE97" s="543" t="s">
        <v>1455</v>
      </c>
      <c r="AF97" s="543">
        <v>3</v>
      </c>
      <c r="AG97" s="543">
        <v>5.51</v>
      </c>
      <c r="AH97" s="543" t="s">
        <v>3596</v>
      </c>
      <c r="AI97" s="543" t="s">
        <v>34</v>
      </c>
      <c r="AJ97" s="543" t="s">
        <v>34</v>
      </c>
      <c r="AK97" s="543" t="s">
        <v>1818</v>
      </c>
      <c r="AL97" s="543" t="s">
        <v>34</v>
      </c>
      <c r="AM97" s="61" t="s">
        <v>4495</v>
      </c>
      <c r="AN97" s="541">
        <v>1.4583333333333332E-2</v>
      </c>
      <c r="AO97" s="541">
        <v>2.1527777777777781E-2</v>
      </c>
      <c r="AP97" s="61"/>
      <c r="CG97" t="str">
        <v>AMI METALS, INC.</v>
      </c>
    </row>
    <row r="98" spans="1:85" x14ac:dyDescent="0.2">
      <c r="A98" s="61">
        <v>97</v>
      </c>
      <c r="B98" s="542" t="s">
        <v>827</v>
      </c>
      <c r="C98" s="543" t="s">
        <v>829</v>
      </c>
      <c r="D98" s="543" t="s">
        <v>3732</v>
      </c>
      <c r="E98" s="543" t="s">
        <v>1723</v>
      </c>
      <c r="F98" s="543" t="s">
        <v>1724</v>
      </c>
      <c r="G98" s="543" t="s">
        <v>34</v>
      </c>
      <c r="H98" s="543" t="s">
        <v>1821</v>
      </c>
      <c r="I98" s="543" t="s">
        <v>5356</v>
      </c>
      <c r="J98" s="543" t="s">
        <v>2089</v>
      </c>
      <c r="K98" s="543" t="s">
        <v>770</v>
      </c>
      <c r="L98" s="543" t="s">
        <v>2176</v>
      </c>
      <c r="M98" s="543" t="s">
        <v>829</v>
      </c>
      <c r="N98" s="543" t="s">
        <v>829</v>
      </c>
      <c r="O98" s="543" t="s">
        <v>5359</v>
      </c>
      <c r="P98" s="543" t="s">
        <v>2114</v>
      </c>
      <c r="Q98" s="543" t="s">
        <v>4555</v>
      </c>
      <c r="R98" s="543" t="s">
        <v>1988</v>
      </c>
      <c r="S98" s="543" t="s">
        <v>2177</v>
      </c>
      <c r="T98" s="543">
        <v>618.79999999999995</v>
      </c>
      <c r="U98" s="543" t="s">
        <v>1841</v>
      </c>
      <c r="V98" s="543" t="s">
        <v>2096</v>
      </c>
      <c r="W98" s="543">
        <v>53128</v>
      </c>
      <c r="X98" s="543" t="s">
        <v>4556</v>
      </c>
      <c r="Y98" s="543" t="s">
        <v>2012</v>
      </c>
      <c r="Z98" s="543" t="s">
        <v>2174</v>
      </c>
      <c r="AA98" s="543" t="s">
        <v>4556</v>
      </c>
      <c r="AB98" s="543" t="s">
        <v>2175</v>
      </c>
      <c r="AC98" s="543" t="s">
        <v>1816</v>
      </c>
      <c r="AD98" s="543" t="s">
        <v>1817</v>
      </c>
      <c r="AE98" s="543" t="s">
        <v>1455</v>
      </c>
      <c r="AF98" s="543">
        <v>17</v>
      </c>
      <c r="AG98" s="543">
        <v>0.17</v>
      </c>
      <c r="AH98" s="543">
        <v>0.15</v>
      </c>
      <c r="AI98" s="543" t="s">
        <v>34</v>
      </c>
      <c r="AJ98" s="543" t="s">
        <v>34</v>
      </c>
      <c r="AK98" s="543" t="s">
        <v>1818</v>
      </c>
      <c r="AL98" s="543" t="s">
        <v>34</v>
      </c>
      <c r="AM98" s="61" t="s">
        <v>4495</v>
      </c>
      <c r="AN98" s="541">
        <v>1.4583333333333332E-2</v>
      </c>
      <c r="AO98" s="541">
        <v>0</v>
      </c>
      <c r="AP98" s="61"/>
      <c r="CG98" t="str">
        <v>AMI METALS, INC. - CA DIVISION</v>
      </c>
    </row>
    <row r="99" spans="1:85" x14ac:dyDescent="0.2">
      <c r="A99" s="61">
        <v>98</v>
      </c>
      <c r="B99" s="542" t="s">
        <v>827</v>
      </c>
      <c r="C99" s="543">
        <v>411623</v>
      </c>
      <c r="D99" s="543" t="s">
        <v>3733</v>
      </c>
      <c r="E99" s="543" t="s">
        <v>1723</v>
      </c>
      <c r="F99" s="543" t="s">
        <v>1724</v>
      </c>
      <c r="G99" s="543" t="s">
        <v>34</v>
      </c>
      <c r="H99" s="543" t="s">
        <v>1821</v>
      </c>
      <c r="I99" s="543" t="s">
        <v>5356</v>
      </c>
      <c r="J99" s="543" t="s">
        <v>2089</v>
      </c>
      <c r="K99" s="543" t="s">
        <v>819</v>
      </c>
      <c r="L99" s="543" t="s">
        <v>2172</v>
      </c>
      <c r="M99" s="543">
        <v>411623</v>
      </c>
      <c r="N99" s="543">
        <v>411623</v>
      </c>
      <c r="O99" s="543" t="s">
        <v>5359</v>
      </c>
      <c r="P99" s="543" t="s">
        <v>2114</v>
      </c>
      <c r="Q99" s="543" t="s">
        <v>4555</v>
      </c>
      <c r="R99" s="543" t="s">
        <v>1814</v>
      </c>
      <c r="S99" s="543" t="s">
        <v>2173</v>
      </c>
      <c r="T99" s="543">
        <v>348.5</v>
      </c>
      <c r="U99" s="543" t="s">
        <v>1841</v>
      </c>
      <c r="V99" s="543" t="s">
        <v>2096</v>
      </c>
      <c r="W99" s="543">
        <v>47092</v>
      </c>
      <c r="X99" s="543" t="s">
        <v>4556</v>
      </c>
      <c r="Y99" s="543" t="s">
        <v>2012</v>
      </c>
      <c r="Z99" s="543" t="s">
        <v>2174</v>
      </c>
      <c r="AA99" s="543" t="s">
        <v>4556</v>
      </c>
      <c r="AB99" s="543" t="s">
        <v>2175</v>
      </c>
      <c r="AC99" s="543" t="s">
        <v>1816</v>
      </c>
      <c r="AD99" s="543" t="s">
        <v>1817</v>
      </c>
      <c r="AE99" s="543" t="s">
        <v>1455</v>
      </c>
      <c r="AF99" s="543">
        <v>16</v>
      </c>
      <c r="AG99" s="543">
        <v>14.35</v>
      </c>
      <c r="AH99" s="543">
        <v>0.55000000000000004</v>
      </c>
      <c r="AI99" s="543" t="s">
        <v>3598</v>
      </c>
      <c r="AJ99" s="543" t="s">
        <v>34</v>
      </c>
      <c r="AK99" s="543" t="s">
        <v>1818</v>
      </c>
      <c r="AL99" s="543" t="s">
        <v>34</v>
      </c>
      <c r="AM99" s="61" t="s">
        <v>4495</v>
      </c>
      <c r="AN99" s="541">
        <v>1.4583333333333332E-2</v>
      </c>
      <c r="AO99" s="541">
        <v>0</v>
      </c>
      <c r="AP99" s="61"/>
      <c r="CG99" t="str">
        <v>AMI METALS, INC. - TX DIVISION</v>
      </c>
    </row>
    <row r="100" spans="1:85" x14ac:dyDescent="0.2">
      <c r="A100" s="61">
        <v>99</v>
      </c>
      <c r="B100" s="542" t="s">
        <v>832</v>
      </c>
      <c r="C100" s="543" t="s">
        <v>579</v>
      </c>
      <c r="D100" s="543" t="s">
        <v>3734</v>
      </c>
      <c r="E100" s="543" t="s">
        <v>2178</v>
      </c>
      <c r="F100" s="543" t="s">
        <v>1721</v>
      </c>
      <c r="G100" s="543" t="s">
        <v>34</v>
      </c>
      <c r="H100" s="543" t="s">
        <v>1821</v>
      </c>
      <c r="I100" s="543" t="s">
        <v>5342</v>
      </c>
      <c r="J100" s="543" t="s">
        <v>2089</v>
      </c>
      <c r="K100" s="543" t="s">
        <v>878</v>
      </c>
      <c r="L100" s="543" t="s">
        <v>2179</v>
      </c>
      <c r="M100" s="543" t="s">
        <v>2180</v>
      </c>
      <c r="N100" s="543" t="s">
        <v>579</v>
      </c>
      <c r="O100" s="543" t="s">
        <v>5360</v>
      </c>
      <c r="P100" s="543" t="s">
        <v>1994</v>
      </c>
      <c r="Q100" s="543" t="s">
        <v>4553</v>
      </c>
      <c r="R100" s="543" t="s">
        <v>1814</v>
      </c>
      <c r="S100" s="543" t="s">
        <v>2181</v>
      </c>
      <c r="T100" s="543">
        <v>539</v>
      </c>
      <c r="U100" s="543" t="s">
        <v>1843</v>
      </c>
      <c r="V100" s="543" t="s">
        <v>2182</v>
      </c>
      <c r="W100" s="543">
        <v>675626</v>
      </c>
      <c r="X100" s="543" t="s">
        <v>4556</v>
      </c>
      <c r="Y100" s="543" t="s">
        <v>1901</v>
      </c>
      <c r="Z100" s="543" t="s">
        <v>2183</v>
      </c>
      <c r="AA100" s="543" t="s">
        <v>4556</v>
      </c>
      <c r="AB100" s="543" t="s">
        <v>34</v>
      </c>
      <c r="AC100" s="543" t="s">
        <v>1816</v>
      </c>
      <c r="AD100" s="543" t="s">
        <v>1817</v>
      </c>
      <c r="AE100" s="543" t="s">
        <v>1455</v>
      </c>
      <c r="AF100" s="543" t="s">
        <v>3040</v>
      </c>
      <c r="AG100" s="543" t="s">
        <v>34</v>
      </c>
      <c r="AH100" s="543" t="s">
        <v>34</v>
      </c>
      <c r="AI100" s="543" t="s">
        <v>34</v>
      </c>
      <c r="AJ100" s="543" t="s">
        <v>34</v>
      </c>
      <c r="AK100" s="543" t="s">
        <v>1818</v>
      </c>
      <c r="AL100" s="543" t="s">
        <v>4600</v>
      </c>
      <c r="AM100" s="61" t="s">
        <v>4495</v>
      </c>
      <c r="AN100" s="541">
        <v>0</v>
      </c>
      <c r="AO100" s="541">
        <v>0</v>
      </c>
      <c r="AP100" s="61"/>
      <c r="CG100" t="str">
        <v>AMI METALS, INC. - WA DIVISION</v>
      </c>
    </row>
    <row r="101" spans="1:85" x14ac:dyDescent="0.2">
      <c r="A101" s="61">
        <v>100</v>
      </c>
      <c r="B101" s="542" t="s">
        <v>832</v>
      </c>
      <c r="C101" s="543" t="s">
        <v>597</v>
      </c>
      <c r="D101" s="543" t="s">
        <v>3735</v>
      </c>
      <c r="E101" s="543" t="s">
        <v>2178</v>
      </c>
      <c r="F101" s="543" t="s">
        <v>1721</v>
      </c>
      <c r="G101" s="543" t="s">
        <v>34</v>
      </c>
      <c r="H101" s="543" t="s">
        <v>1821</v>
      </c>
      <c r="I101" s="543" t="s">
        <v>4531</v>
      </c>
      <c r="J101" s="543" t="s">
        <v>2089</v>
      </c>
      <c r="K101" s="543" t="s">
        <v>2241</v>
      </c>
      <c r="L101" s="543" t="s">
        <v>2242</v>
      </c>
      <c r="M101" s="543" t="s">
        <v>2243</v>
      </c>
      <c r="N101" s="543" t="s">
        <v>597</v>
      </c>
      <c r="O101" s="543" t="s">
        <v>4532</v>
      </c>
      <c r="P101" s="543" t="s">
        <v>2244</v>
      </c>
      <c r="Q101" s="543" t="s">
        <v>4568</v>
      </c>
      <c r="R101" s="543" t="s">
        <v>1814</v>
      </c>
      <c r="S101" s="543" t="s">
        <v>2245</v>
      </c>
      <c r="T101" s="543">
        <v>525</v>
      </c>
      <c r="U101" s="543" t="s">
        <v>1843</v>
      </c>
      <c r="V101" s="543" t="s">
        <v>2182</v>
      </c>
      <c r="W101" s="543">
        <v>675624</v>
      </c>
      <c r="X101" s="543" t="s">
        <v>4556</v>
      </c>
      <c r="Y101" s="543" t="s">
        <v>109</v>
      </c>
      <c r="Z101" s="543" t="s">
        <v>109</v>
      </c>
      <c r="AA101" s="543" t="s">
        <v>109</v>
      </c>
      <c r="AB101" s="543" t="s">
        <v>34</v>
      </c>
      <c r="AC101" s="543" t="s">
        <v>1816</v>
      </c>
      <c r="AD101" s="543" t="s">
        <v>1817</v>
      </c>
      <c r="AE101" s="543" t="s">
        <v>1455</v>
      </c>
      <c r="AF101" s="543" t="s">
        <v>3040</v>
      </c>
      <c r="AG101" s="543" t="s">
        <v>34</v>
      </c>
      <c r="AH101" s="543" t="s">
        <v>34</v>
      </c>
      <c r="AI101" s="543" t="s">
        <v>34</v>
      </c>
      <c r="AJ101" s="543" t="s">
        <v>34</v>
      </c>
      <c r="AK101" s="543" t="s">
        <v>1818</v>
      </c>
      <c r="AL101" s="543" t="s">
        <v>4600</v>
      </c>
      <c r="AM101" s="61" t="s">
        <v>4495</v>
      </c>
      <c r="AN101" s="541">
        <v>0</v>
      </c>
      <c r="AO101" s="541">
        <v>0</v>
      </c>
      <c r="AP101" s="61"/>
      <c r="CG101" t="str">
        <v>AMI METALS, INC. - WICHITA DIVISION</v>
      </c>
    </row>
    <row r="102" spans="1:85" x14ac:dyDescent="0.2">
      <c r="A102" s="61">
        <v>101</v>
      </c>
      <c r="B102" s="542" t="s">
        <v>832</v>
      </c>
      <c r="C102" s="543" t="s">
        <v>599</v>
      </c>
      <c r="D102" s="543" t="s">
        <v>3736</v>
      </c>
      <c r="E102" s="543" t="s">
        <v>2178</v>
      </c>
      <c r="F102" s="543" t="s">
        <v>1721</v>
      </c>
      <c r="G102" s="543" t="s">
        <v>34</v>
      </c>
      <c r="H102" s="543" t="s">
        <v>1821</v>
      </c>
      <c r="I102" s="543" t="s">
        <v>5342</v>
      </c>
      <c r="J102" s="543" t="s">
        <v>2089</v>
      </c>
      <c r="K102" s="543" t="s">
        <v>2212</v>
      </c>
      <c r="L102" s="543" t="s">
        <v>2213</v>
      </c>
      <c r="M102" s="543" t="s">
        <v>2214</v>
      </c>
      <c r="N102" s="543" t="s">
        <v>599</v>
      </c>
      <c r="O102" s="543" t="s">
        <v>5360</v>
      </c>
      <c r="P102" s="543" t="s">
        <v>2215</v>
      </c>
      <c r="Q102" s="543" t="s">
        <v>4553</v>
      </c>
      <c r="R102" s="543" t="s">
        <v>1814</v>
      </c>
      <c r="S102" s="543" t="s">
        <v>2216</v>
      </c>
      <c r="T102" s="543">
        <v>188.1</v>
      </c>
      <c r="U102" s="543" t="s">
        <v>1843</v>
      </c>
      <c r="V102" s="543" t="s">
        <v>2217</v>
      </c>
      <c r="W102" s="543" t="s">
        <v>2218</v>
      </c>
      <c r="X102" s="543" t="s">
        <v>4556</v>
      </c>
      <c r="Y102" s="543" t="s">
        <v>2192</v>
      </c>
      <c r="Z102" s="543">
        <v>5256764</v>
      </c>
      <c r="AA102" s="543" t="s">
        <v>4556</v>
      </c>
      <c r="AB102" s="543" t="s">
        <v>34</v>
      </c>
      <c r="AC102" s="543" t="s">
        <v>1816</v>
      </c>
      <c r="AD102" s="543" t="s">
        <v>1817</v>
      </c>
      <c r="AE102" s="543" t="s">
        <v>1455</v>
      </c>
      <c r="AF102" s="543" t="s">
        <v>3040</v>
      </c>
      <c r="AG102" s="543" t="s">
        <v>34</v>
      </c>
      <c r="AH102" s="543" t="s">
        <v>34</v>
      </c>
      <c r="AI102" s="543" t="s">
        <v>34</v>
      </c>
      <c r="AJ102" s="543" t="s">
        <v>34</v>
      </c>
      <c r="AK102" s="543" t="s">
        <v>1818</v>
      </c>
      <c r="AL102" s="543" t="s">
        <v>4600</v>
      </c>
      <c r="AM102" s="61" t="s">
        <v>4498</v>
      </c>
      <c r="AN102" s="541">
        <v>0</v>
      </c>
      <c r="AO102" s="541">
        <v>0</v>
      </c>
      <c r="AP102" s="61"/>
      <c r="CG102" t="str">
        <v>AMI METALS, INC. MO DIVISION</v>
      </c>
    </row>
    <row r="103" spans="1:85" x14ac:dyDescent="0.2">
      <c r="A103" s="61">
        <v>102</v>
      </c>
      <c r="B103" s="542" t="s">
        <v>832</v>
      </c>
      <c r="C103" s="543" t="s">
        <v>587</v>
      </c>
      <c r="D103" s="543" t="s">
        <v>3737</v>
      </c>
      <c r="E103" s="543" t="s">
        <v>2178</v>
      </c>
      <c r="F103" s="543" t="s">
        <v>1721</v>
      </c>
      <c r="G103" s="543" t="s">
        <v>34</v>
      </c>
      <c r="H103" s="543" t="s">
        <v>1821</v>
      </c>
      <c r="I103" s="543" t="s">
        <v>5342</v>
      </c>
      <c r="J103" s="543" t="s">
        <v>2089</v>
      </c>
      <c r="K103" s="543" t="s">
        <v>878</v>
      </c>
      <c r="L103" s="543" t="s">
        <v>2179</v>
      </c>
      <c r="M103" s="543" t="s">
        <v>2219</v>
      </c>
      <c r="N103" s="543" t="s">
        <v>587</v>
      </c>
      <c r="O103" s="543" t="s">
        <v>5361</v>
      </c>
      <c r="P103" s="543" t="s">
        <v>2220</v>
      </c>
      <c r="Q103" s="543" t="s">
        <v>4568</v>
      </c>
      <c r="R103" s="543" t="s">
        <v>1814</v>
      </c>
      <c r="S103" s="543" t="s">
        <v>2221</v>
      </c>
      <c r="T103" s="543">
        <v>577.5</v>
      </c>
      <c r="U103" s="543" t="s">
        <v>1843</v>
      </c>
      <c r="V103" s="543" t="s">
        <v>2222</v>
      </c>
      <c r="W103" s="543" t="s">
        <v>2223</v>
      </c>
      <c r="X103" s="543" t="s">
        <v>4556</v>
      </c>
      <c r="Y103" s="543" t="s">
        <v>2034</v>
      </c>
      <c r="Z103" s="543" t="s">
        <v>2183</v>
      </c>
      <c r="AA103" s="543" t="s">
        <v>4556</v>
      </c>
      <c r="AB103" s="543" t="s">
        <v>34</v>
      </c>
      <c r="AC103" s="543" t="s">
        <v>1816</v>
      </c>
      <c r="AD103" s="543" t="s">
        <v>1817</v>
      </c>
      <c r="AE103" s="543" t="s">
        <v>1455</v>
      </c>
      <c r="AF103" s="543" t="s">
        <v>3040</v>
      </c>
      <c r="AG103" s="543" t="s">
        <v>34</v>
      </c>
      <c r="AH103" s="543" t="s">
        <v>34</v>
      </c>
      <c r="AI103" s="543" t="s">
        <v>34</v>
      </c>
      <c r="AJ103" s="543" t="s">
        <v>34</v>
      </c>
      <c r="AK103" s="543" t="s">
        <v>1818</v>
      </c>
      <c r="AL103" s="543" t="s">
        <v>4600</v>
      </c>
      <c r="AM103" s="61" t="s">
        <v>4495</v>
      </c>
      <c r="AN103" s="541">
        <v>0</v>
      </c>
      <c r="AO103" s="541">
        <v>0</v>
      </c>
      <c r="AP103" s="61"/>
      <c r="CG103" t="str">
        <v>AMI METALS, INC. NJ DIVISION</v>
      </c>
    </row>
    <row r="104" spans="1:85" x14ac:dyDescent="0.2">
      <c r="A104" s="61">
        <v>103</v>
      </c>
      <c r="B104" s="542" t="s">
        <v>832</v>
      </c>
      <c r="C104" s="543" t="s">
        <v>849</v>
      </c>
      <c r="D104" s="543" t="s">
        <v>3738</v>
      </c>
      <c r="E104" s="543" t="s">
        <v>2178</v>
      </c>
      <c r="F104" s="543" t="s">
        <v>1721</v>
      </c>
      <c r="G104" s="543" t="s">
        <v>34</v>
      </c>
      <c r="H104" s="543" t="s">
        <v>1821</v>
      </c>
      <c r="I104" s="543" t="s">
        <v>5342</v>
      </c>
      <c r="J104" s="543" t="s">
        <v>2089</v>
      </c>
      <c r="K104" s="543" t="s">
        <v>875</v>
      </c>
      <c r="L104" s="543" t="s">
        <v>2206</v>
      </c>
      <c r="M104" s="543" t="s">
        <v>2207</v>
      </c>
      <c r="N104" s="543" t="s">
        <v>849</v>
      </c>
      <c r="O104" s="543" t="s">
        <v>5347</v>
      </c>
      <c r="P104" s="543" t="s">
        <v>2208</v>
      </c>
      <c r="Q104" s="543" t="s">
        <v>4555</v>
      </c>
      <c r="R104" s="543" t="s">
        <v>1814</v>
      </c>
      <c r="S104" s="543" t="s">
        <v>2209</v>
      </c>
      <c r="T104" s="543">
        <v>7.9</v>
      </c>
      <c r="U104" s="543" t="s">
        <v>1841</v>
      </c>
      <c r="V104" s="543" t="s">
        <v>2210</v>
      </c>
      <c r="W104" s="543" t="s">
        <v>2211</v>
      </c>
      <c r="X104" s="543" t="s">
        <v>4556</v>
      </c>
      <c r="Y104" s="543" t="s">
        <v>2192</v>
      </c>
      <c r="Z104" s="543" t="s">
        <v>2205</v>
      </c>
      <c r="AA104" s="543" t="s">
        <v>4556</v>
      </c>
      <c r="AB104" s="543" t="s">
        <v>34</v>
      </c>
      <c r="AC104" s="543" t="s">
        <v>1816</v>
      </c>
      <c r="AD104" s="543" t="s">
        <v>1817</v>
      </c>
      <c r="AE104" s="543" t="s">
        <v>1455</v>
      </c>
      <c r="AF104" s="543" t="s">
        <v>4805</v>
      </c>
      <c r="AG104" s="543" t="s">
        <v>34</v>
      </c>
      <c r="AH104" s="543" t="s">
        <v>34</v>
      </c>
      <c r="AI104" s="543" t="s">
        <v>34</v>
      </c>
      <c r="AJ104" s="543" t="s">
        <v>34</v>
      </c>
      <c r="AK104" s="543" t="s">
        <v>1818</v>
      </c>
      <c r="AL104" s="543" t="s">
        <v>4600</v>
      </c>
      <c r="AM104" s="61" t="s">
        <v>4495</v>
      </c>
      <c r="AN104" s="541">
        <v>0</v>
      </c>
      <c r="AO104" s="541">
        <v>0</v>
      </c>
      <c r="AP104" s="61"/>
      <c r="CG104" t="str">
        <v>AO AVIATION LLC</v>
      </c>
    </row>
    <row r="105" spans="1:85" x14ac:dyDescent="0.2">
      <c r="A105" s="61">
        <v>104</v>
      </c>
      <c r="B105" s="542" t="s">
        <v>832</v>
      </c>
      <c r="C105" s="543" t="s">
        <v>585</v>
      </c>
      <c r="D105" s="543" t="s">
        <v>3739</v>
      </c>
      <c r="E105" s="543" t="s">
        <v>2178</v>
      </c>
      <c r="F105" s="543" t="s">
        <v>1721</v>
      </c>
      <c r="G105" s="543" t="s">
        <v>34</v>
      </c>
      <c r="H105" s="543" t="s">
        <v>1821</v>
      </c>
      <c r="I105" s="543" t="s">
        <v>5342</v>
      </c>
      <c r="J105" s="543" t="s">
        <v>2089</v>
      </c>
      <c r="K105" s="543" t="s">
        <v>2040</v>
      </c>
      <c r="L105" s="543">
        <v>80573</v>
      </c>
      <c r="M105" s="543" t="s">
        <v>2232</v>
      </c>
      <c r="N105" s="543" t="s">
        <v>585</v>
      </c>
      <c r="O105" s="543" t="s">
        <v>5362</v>
      </c>
      <c r="P105" s="543" t="s">
        <v>4637</v>
      </c>
      <c r="Q105" s="543" t="s">
        <v>4585</v>
      </c>
      <c r="R105" s="543" t="s">
        <v>1814</v>
      </c>
      <c r="S105" s="543" t="s">
        <v>2233</v>
      </c>
      <c r="T105" s="543">
        <v>19.399999999999999</v>
      </c>
      <c r="U105" s="543" t="s">
        <v>1843</v>
      </c>
      <c r="V105" s="543" t="s">
        <v>2234</v>
      </c>
      <c r="W105" s="543" t="s">
        <v>2235</v>
      </c>
      <c r="X105" s="543" t="s">
        <v>4556</v>
      </c>
      <c r="Y105" s="543" t="s">
        <v>1901</v>
      </c>
      <c r="Z105" s="543">
        <v>5256764</v>
      </c>
      <c r="AA105" s="543" t="s">
        <v>4556</v>
      </c>
      <c r="AB105" s="543" t="s">
        <v>34</v>
      </c>
      <c r="AC105" s="543" t="s">
        <v>1816</v>
      </c>
      <c r="AD105" s="543" t="s">
        <v>1817</v>
      </c>
      <c r="AE105" s="543" t="s">
        <v>1455</v>
      </c>
      <c r="AF105" s="543" t="s">
        <v>3040</v>
      </c>
      <c r="AG105" s="543" t="s">
        <v>34</v>
      </c>
      <c r="AH105" s="543" t="s">
        <v>34</v>
      </c>
      <c r="AI105" s="543" t="s">
        <v>34</v>
      </c>
      <c r="AJ105" s="543" t="s">
        <v>34</v>
      </c>
      <c r="AK105" s="543" t="s">
        <v>1818</v>
      </c>
      <c r="AL105" s="543" t="s">
        <v>4600</v>
      </c>
      <c r="AM105" s="61" t="s">
        <v>4495</v>
      </c>
      <c r="AN105" s="541">
        <v>0</v>
      </c>
      <c r="AO105" s="541">
        <v>0</v>
      </c>
      <c r="AP105" s="61"/>
      <c r="CG105" t="str">
        <v>APAC Kansas Inc., Shears Division</v>
      </c>
    </row>
    <row r="106" spans="1:85" x14ac:dyDescent="0.2">
      <c r="A106" s="61">
        <v>105</v>
      </c>
      <c r="B106" s="542" t="s">
        <v>832</v>
      </c>
      <c r="C106" s="543" t="s">
        <v>601</v>
      </c>
      <c r="D106" s="543" t="s">
        <v>3740</v>
      </c>
      <c r="E106" s="543" t="s">
        <v>2178</v>
      </c>
      <c r="F106" s="543" t="s">
        <v>1721</v>
      </c>
      <c r="G106" s="543" t="s">
        <v>34</v>
      </c>
      <c r="H106" s="543" t="s">
        <v>1821</v>
      </c>
      <c r="I106" s="543" t="s">
        <v>5342</v>
      </c>
      <c r="J106" s="543" t="s">
        <v>2089</v>
      </c>
      <c r="K106" s="543" t="s">
        <v>2236</v>
      </c>
      <c r="L106" s="543" t="s">
        <v>2237</v>
      </c>
      <c r="M106" s="543" t="s">
        <v>2238</v>
      </c>
      <c r="N106" s="543" t="s">
        <v>601</v>
      </c>
      <c r="O106" s="543" t="s">
        <v>5361</v>
      </c>
      <c r="P106" s="543" t="s">
        <v>5049</v>
      </c>
      <c r="Q106" s="543" t="s">
        <v>4568</v>
      </c>
      <c r="R106" s="543" t="s">
        <v>1878</v>
      </c>
      <c r="S106" s="543" t="s">
        <v>5050</v>
      </c>
      <c r="T106" s="543">
        <v>12</v>
      </c>
      <c r="U106" s="543" t="s">
        <v>1843</v>
      </c>
      <c r="V106" s="543" t="s">
        <v>5051</v>
      </c>
      <c r="W106" s="543" t="s">
        <v>5052</v>
      </c>
      <c r="X106" s="543" t="s">
        <v>4556</v>
      </c>
      <c r="Y106" s="543" t="s">
        <v>1901</v>
      </c>
      <c r="Z106" s="543" t="s">
        <v>2240</v>
      </c>
      <c r="AA106" s="543" t="s">
        <v>4556</v>
      </c>
      <c r="AB106" s="543" t="s">
        <v>34</v>
      </c>
      <c r="AC106" s="543" t="s">
        <v>1816</v>
      </c>
      <c r="AD106" s="543" t="s">
        <v>1817</v>
      </c>
      <c r="AE106" s="543" t="s">
        <v>1455</v>
      </c>
      <c r="AF106" s="543" t="s">
        <v>3040</v>
      </c>
      <c r="AG106" s="543" t="s">
        <v>34</v>
      </c>
      <c r="AH106" s="543" t="s">
        <v>34</v>
      </c>
      <c r="AI106" s="543" t="s">
        <v>34</v>
      </c>
      <c r="AJ106" s="543" t="s">
        <v>34</v>
      </c>
      <c r="AK106" s="543" t="s">
        <v>1818</v>
      </c>
      <c r="AL106" s="543" t="s">
        <v>4600</v>
      </c>
      <c r="AM106" s="61" t="s">
        <v>4496</v>
      </c>
      <c r="AN106" s="541">
        <v>0</v>
      </c>
      <c r="AO106" s="541">
        <v>0</v>
      </c>
      <c r="AP106" s="61"/>
      <c r="CG106" t="str">
        <v>APAX WICHITA</v>
      </c>
    </row>
    <row r="107" spans="1:85" x14ac:dyDescent="0.2">
      <c r="A107" s="61">
        <v>106</v>
      </c>
      <c r="B107" s="542" t="s">
        <v>832</v>
      </c>
      <c r="C107" s="543" t="s">
        <v>1446</v>
      </c>
      <c r="D107" s="543" t="s">
        <v>3741</v>
      </c>
      <c r="E107" s="543" t="s">
        <v>2178</v>
      </c>
      <c r="F107" s="543" t="s">
        <v>1721</v>
      </c>
      <c r="G107" s="543" t="s">
        <v>34</v>
      </c>
      <c r="H107" s="543" t="s">
        <v>1821</v>
      </c>
      <c r="I107" s="543" t="s">
        <v>5342</v>
      </c>
      <c r="J107" s="543" t="s">
        <v>2089</v>
      </c>
      <c r="K107" s="543" t="s">
        <v>593</v>
      </c>
      <c r="L107" s="543" t="s">
        <v>2187</v>
      </c>
      <c r="M107" s="543" t="s">
        <v>2188</v>
      </c>
      <c r="N107" s="543" t="s">
        <v>1446</v>
      </c>
      <c r="O107" s="543" t="s">
        <v>5360</v>
      </c>
      <c r="P107" s="543" t="s">
        <v>2189</v>
      </c>
      <c r="Q107" s="543" t="s">
        <v>4553</v>
      </c>
      <c r="R107" s="543" t="s">
        <v>1814</v>
      </c>
      <c r="S107" s="543" t="s">
        <v>2190</v>
      </c>
      <c r="T107" s="543">
        <v>17.3</v>
      </c>
      <c r="U107" s="543" t="s">
        <v>1843</v>
      </c>
      <c r="V107" s="543" t="s">
        <v>2191</v>
      </c>
      <c r="W107" s="543" t="s">
        <v>2191</v>
      </c>
      <c r="X107" s="543" t="s">
        <v>4556</v>
      </c>
      <c r="Y107" s="543" t="s">
        <v>2192</v>
      </c>
      <c r="Z107" s="543">
        <v>5256764</v>
      </c>
      <c r="AA107" s="543" t="s">
        <v>4556</v>
      </c>
      <c r="AB107" s="543" t="s">
        <v>34</v>
      </c>
      <c r="AC107" s="543" t="s">
        <v>1816</v>
      </c>
      <c r="AD107" s="543" t="s">
        <v>1817</v>
      </c>
      <c r="AE107" s="543" t="s">
        <v>1455</v>
      </c>
      <c r="AF107" s="543" t="s">
        <v>3040</v>
      </c>
      <c r="AG107" s="543" t="s">
        <v>34</v>
      </c>
      <c r="AH107" s="543" t="s">
        <v>34</v>
      </c>
      <c r="AI107" s="543" t="s">
        <v>34</v>
      </c>
      <c r="AJ107" s="543" t="s">
        <v>34</v>
      </c>
      <c r="AK107" s="543" t="s">
        <v>1818</v>
      </c>
      <c r="AL107" s="543" t="s">
        <v>4600</v>
      </c>
      <c r="AM107" s="61" t="s">
        <v>4495</v>
      </c>
      <c r="AN107" s="541">
        <v>0</v>
      </c>
      <c r="AO107" s="541">
        <v>0</v>
      </c>
      <c r="AP107" s="61"/>
      <c r="CG107" t="str">
        <v>APEX COMPOSITES - OKLAHOMA DIV.</v>
      </c>
    </row>
    <row r="108" spans="1:85" x14ac:dyDescent="0.2">
      <c r="A108" s="61">
        <v>107</v>
      </c>
      <c r="B108" s="542" t="s">
        <v>832</v>
      </c>
      <c r="C108" s="543" t="s">
        <v>1649</v>
      </c>
      <c r="D108" s="543" t="s">
        <v>3742</v>
      </c>
      <c r="E108" s="543" t="s">
        <v>2178</v>
      </c>
      <c r="F108" s="543" t="s">
        <v>1721</v>
      </c>
      <c r="G108" s="543" t="s">
        <v>34</v>
      </c>
      <c r="H108" s="543" t="s">
        <v>1821</v>
      </c>
      <c r="I108" s="543" t="s">
        <v>5342</v>
      </c>
      <c r="J108" s="543" t="s">
        <v>2089</v>
      </c>
      <c r="K108" s="543" t="s">
        <v>595</v>
      </c>
      <c r="L108" s="543" t="s">
        <v>2184</v>
      </c>
      <c r="M108" s="543">
        <v>1280</v>
      </c>
      <c r="N108" s="543" t="s">
        <v>1649</v>
      </c>
      <c r="O108" s="543" t="s">
        <v>5347</v>
      </c>
      <c r="P108" s="543" t="s">
        <v>2273</v>
      </c>
      <c r="Q108" s="543" t="s">
        <v>4555</v>
      </c>
      <c r="R108" s="543" t="s">
        <v>1814</v>
      </c>
      <c r="S108" s="543" t="s">
        <v>2185</v>
      </c>
      <c r="T108" s="543">
        <v>480</v>
      </c>
      <c r="U108" s="543" t="s">
        <v>1841</v>
      </c>
      <c r="V108" s="543" t="s">
        <v>4269</v>
      </c>
      <c r="W108" s="543">
        <v>22973</v>
      </c>
      <c r="X108" s="543" t="s">
        <v>4556</v>
      </c>
      <c r="Y108" s="543" t="s">
        <v>1901</v>
      </c>
      <c r="Z108" s="543" t="s">
        <v>2183</v>
      </c>
      <c r="AA108" s="543" t="s">
        <v>4556</v>
      </c>
      <c r="AB108" s="543" t="s">
        <v>34</v>
      </c>
      <c r="AC108" s="543" t="s">
        <v>1816</v>
      </c>
      <c r="AD108" s="543" t="s">
        <v>1817</v>
      </c>
      <c r="AE108" s="543" t="s">
        <v>1455</v>
      </c>
      <c r="AF108" s="543" t="s">
        <v>3040</v>
      </c>
      <c r="AG108" s="543" t="s">
        <v>34</v>
      </c>
      <c r="AH108" s="543" t="s">
        <v>34</v>
      </c>
      <c r="AI108" s="543" t="s">
        <v>34</v>
      </c>
      <c r="AJ108" s="543" t="s">
        <v>34</v>
      </c>
      <c r="AK108" s="543" t="s">
        <v>1818</v>
      </c>
      <c r="AL108" s="543" t="s">
        <v>4600</v>
      </c>
      <c r="AM108" s="61" t="s">
        <v>4495</v>
      </c>
      <c r="AN108" s="541">
        <v>0</v>
      </c>
      <c r="AO108" s="541">
        <v>0</v>
      </c>
      <c r="AP108" s="61"/>
      <c r="CG108" t="str">
        <v>APEX ENGINEERING WICHITA DIV.</v>
      </c>
    </row>
    <row r="109" spans="1:85" x14ac:dyDescent="0.2">
      <c r="A109" s="61">
        <v>108</v>
      </c>
      <c r="B109" s="542" t="s">
        <v>832</v>
      </c>
      <c r="C109" s="543" t="s">
        <v>1595</v>
      </c>
      <c r="D109" s="543" t="s">
        <v>3743</v>
      </c>
      <c r="E109" s="543" t="s">
        <v>2178</v>
      </c>
      <c r="F109" s="543" t="s">
        <v>1721</v>
      </c>
      <c r="G109" s="543" t="s">
        <v>34</v>
      </c>
      <c r="H109" s="543" t="s">
        <v>1821</v>
      </c>
      <c r="I109" s="543" t="s">
        <v>5342</v>
      </c>
      <c r="J109" s="543" t="s">
        <v>2089</v>
      </c>
      <c r="K109" s="543" t="s">
        <v>2196</v>
      </c>
      <c r="L109" s="543" t="s">
        <v>2197</v>
      </c>
      <c r="M109" s="544">
        <v>54087</v>
      </c>
      <c r="N109" s="543" t="s">
        <v>1595</v>
      </c>
      <c r="O109" s="543" t="s">
        <v>5361</v>
      </c>
      <c r="P109" s="543" t="s">
        <v>2189</v>
      </c>
      <c r="Q109" s="543" t="s">
        <v>4568</v>
      </c>
      <c r="R109" s="543" t="s">
        <v>1878</v>
      </c>
      <c r="S109" s="543" t="s">
        <v>2198</v>
      </c>
      <c r="T109" s="543">
        <v>60.5</v>
      </c>
      <c r="U109" s="543" t="s">
        <v>1843</v>
      </c>
      <c r="V109" s="543" t="s">
        <v>2199</v>
      </c>
      <c r="W109" s="543" t="s">
        <v>2200</v>
      </c>
      <c r="X109" s="543" t="s">
        <v>4556</v>
      </c>
      <c r="Y109" s="543" t="s">
        <v>2192</v>
      </c>
      <c r="Z109" s="543">
        <v>5256764</v>
      </c>
      <c r="AA109" s="543" t="s">
        <v>4556</v>
      </c>
      <c r="AB109" s="543" t="s">
        <v>34</v>
      </c>
      <c r="AC109" s="543" t="s">
        <v>1816</v>
      </c>
      <c r="AD109" s="543" t="s">
        <v>1817</v>
      </c>
      <c r="AE109" s="543" t="s">
        <v>1455</v>
      </c>
      <c r="AF109" s="543" t="s">
        <v>3040</v>
      </c>
      <c r="AG109" s="543" t="s">
        <v>34</v>
      </c>
      <c r="AH109" s="543" t="s">
        <v>34</v>
      </c>
      <c r="AI109" s="543" t="s">
        <v>34</v>
      </c>
      <c r="AJ109" s="543" t="s">
        <v>34</v>
      </c>
      <c r="AK109" s="543" t="s">
        <v>1818</v>
      </c>
      <c r="AL109" s="543" t="s">
        <v>4600</v>
      </c>
      <c r="AM109" s="61" t="s">
        <v>4496</v>
      </c>
      <c r="AN109" s="541">
        <v>0</v>
      </c>
      <c r="AO109" s="541">
        <v>0</v>
      </c>
      <c r="AP109" s="61"/>
      <c r="CG109" t="str">
        <v>API METLAB</v>
      </c>
    </row>
    <row r="110" spans="1:85" x14ac:dyDescent="0.2">
      <c r="A110" s="61">
        <v>109</v>
      </c>
      <c r="B110" s="542" t="s">
        <v>832</v>
      </c>
      <c r="C110" s="543" t="s">
        <v>1466</v>
      </c>
      <c r="D110" s="543" t="s">
        <v>3744</v>
      </c>
      <c r="E110" s="543" t="s">
        <v>2178</v>
      </c>
      <c r="F110" s="543" t="s">
        <v>1721</v>
      </c>
      <c r="G110" s="543" t="s">
        <v>34</v>
      </c>
      <c r="H110" s="543" t="s">
        <v>1821</v>
      </c>
      <c r="I110" s="543" t="s">
        <v>5342</v>
      </c>
      <c r="J110" s="543" t="s">
        <v>2089</v>
      </c>
      <c r="K110" s="543" t="s">
        <v>583</v>
      </c>
      <c r="L110" s="543" t="s">
        <v>2201</v>
      </c>
      <c r="M110" s="543">
        <v>370334</v>
      </c>
      <c r="N110" s="543" t="s">
        <v>1466</v>
      </c>
      <c r="O110" s="543" t="s">
        <v>5347</v>
      </c>
      <c r="P110" s="543" t="s">
        <v>2634</v>
      </c>
      <c r="Q110" s="543" t="s">
        <v>4555</v>
      </c>
      <c r="R110" s="543" t="s">
        <v>1814</v>
      </c>
      <c r="S110" s="543" t="s">
        <v>2202</v>
      </c>
      <c r="T110" s="543">
        <v>12</v>
      </c>
      <c r="U110" s="543" t="s">
        <v>1842</v>
      </c>
      <c r="V110" s="543" t="s">
        <v>2203</v>
      </c>
      <c r="W110" s="543" t="s">
        <v>2204</v>
      </c>
      <c r="X110" s="543" t="s">
        <v>4556</v>
      </c>
      <c r="Y110" s="543" t="s">
        <v>2192</v>
      </c>
      <c r="Z110" s="543" t="s">
        <v>2205</v>
      </c>
      <c r="AA110" s="543" t="s">
        <v>4556</v>
      </c>
      <c r="AB110" s="543" t="s">
        <v>34</v>
      </c>
      <c r="AC110" s="543" t="s">
        <v>1816</v>
      </c>
      <c r="AD110" s="543" t="s">
        <v>1817</v>
      </c>
      <c r="AE110" s="543" t="s">
        <v>1455</v>
      </c>
      <c r="AF110" s="543" t="s">
        <v>3040</v>
      </c>
      <c r="AG110" s="543" t="s">
        <v>34</v>
      </c>
      <c r="AH110" s="543" t="s">
        <v>34</v>
      </c>
      <c r="AI110" s="543" t="s">
        <v>34</v>
      </c>
      <c r="AJ110" s="543" t="s">
        <v>34</v>
      </c>
      <c r="AK110" s="543" t="s">
        <v>1818</v>
      </c>
      <c r="AL110" s="543" t="s">
        <v>4600</v>
      </c>
      <c r="AM110" s="61" t="s">
        <v>4496</v>
      </c>
      <c r="AN110" s="541">
        <v>0</v>
      </c>
      <c r="AO110" s="541">
        <v>0</v>
      </c>
      <c r="AP110" s="61"/>
      <c r="CG110" t="str">
        <v>API SERVICES</v>
      </c>
    </row>
    <row r="111" spans="1:85" x14ac:dyDescent="0.2">
      <c r="A111" s="61">
        <v>110</v>
      </c>
      <c r="B111" s="542" t="s">
        <v>832</v>
      </c>
      <c r="C111" s="543" t="s">
        <v>3448</v>
      </c>
      <c r="D111" s="543" t="s">
        <v>3745</v>
      </c>
      <c r="E111" s="543" t="s">
        <v>2178</v>
      </c>
      <c r="F111" s="543" t="s">
        <v>1721</v>
      </c>
      <c r="G111" s="543" t="s">
        <v>34</v>
      </c>
      <c r="H111" s="543" t="s">
        <v>1821</v>
      </c>
      <c r="I111" s="543" t="s">
        <v>5342</v>
      </c>
      <c r="J111" s="543" t="s">
        <v>2089</v>
      </c>
      <c r="K111" s="543" t="s">
        <v>603</v>
      </c>
      <c r="L111" s="543" t="s">
        <v>2193</v>
      </c>
      <c r="M111" s="543">
        <v>70773</v>
      </c>
      <c r="N111" s="543" t="s">
        <v>844</v>
      </c>
      <c r="O111" s="543" t="s">
        <v>5347</v>
      </c>
      <c r="P111" s="543" t="s">
        <v>5363</v>
      </c>
      <c r="Q111" s="543" t="s">
        <v>4555</v>
      </c>
      <c r="R111" s="543" t="s">
        <v>1988</v>
      </c>
      <c r="S111" s="543" t="s">
        <v>2194</v>
      </c>
      <c r="T111" s="543">
        <v>121</v>
      </c>
      <c r="U111" s="543" t="s">
        <v>1841</v>
      </c>
      <c r="V111" s="543" t="s">
        <v>2195</v>
      </c>
      <c r="W111" s="543">
        <v>5.25</v>
      </c>
      <c r="X111" s="543" t="s">
        <v>4556</v>
      </c>
      <c r="Y111" s="543" t="s">
        <v>2192</v>
      </c>
      <c r="Z111" s="543">
        <v>5256764</v>
      </c>
      <c r="AA111" s="543" t="s">
        <v>4556</v>
      </c>
      <c r="AB111" s="543" t="s">
        <v>34</v>
      </c>
      <c r="AC111" s="543" t="s">
        <v>1816</v>
      </c>
      <c r="AD111" s="543" t="s">
        <v>1817</v>
      </c>
      <c r="AE111" s="543" t="s">
        <v>1455</v>
      </c>
      <c r="AF111" s="543" t="s">
        <v>3040</v>
      </c>
      <c r="AG111" s="543" t="s">
        <v>34</v>
      </c>
      <c r="AH111" s="543" t="s">
        <v>34</v>
      </c>
      <c r="AI111" s="543" t="s">
        <v>34</v>
      </c>
      <c r="AJ111" s="543" t="s">
        <v>34</v>
      </c>
      <c r="AK111" s="543" t="s">
        <v>1818</v>
      </c>
      <c r="AL111" s="543" t="s">
        <v>4600</v>
      </c>
      <c r="AM111" s="61" t="s">
        <v>4498</v>
      </c>
      <c r="AN111" s="541">
        <v>0</v>
      </c>
      <c r="AO111" s="541">
        <v>0</v>
      </c>
      <c r="AP111" s="61"/>
      <c r="CG111" t="str">
        <v>APPH WICHITA, INC.</v>
      </c>
    </row>
    <row r="112" spans="1:85" x14ac:dyDescent="0.2">
      <c r="A112" s="61">
        <v>111</v>
      </c>
      <c r="B112" s="542" t="s">
        <v>832</v>
      </c>
      <c r="C112" s="543" t="s">
        <v>3450</v>
      </c>
      <c r="D112" s="543" t="s">
        <v>3746</v>
      </c>
      <c r="E112" s="543" t="s">
        <v>2178</v>
      </c>
      <c r="F112" s="543" t="s">
        <v>1721</v>
      </c>
      <c r="G112" s="543" t="s">
        <v>34</v>
      </c>
      <c r="H112" s="543" t="s">
        <v>1821</v>
      </c>
      <c r="I112" s="543" t="s">
        <v>5342</v>
      </c>
      <c r="J112" s="543" t="s">
        <v>2089</v>
      </c>
      <c r="K112" s="543" t="s">
        <v>878</v>
      </c>
      <c r="L112" s="543" t="s">
        <v>2224</v>
      </c>
      <c r="M112" s="543" t="s">
        <v>2229</v>
      </c>
      <c r="N112" s="543" t="s">
        <v>838</v>
      </c>
      <c r="O112" s="543" t="s">
        <v>5361</v>
      </c>
      <c r="P112" s="543" t="s">
        <v>2230</v>
      </c>
      <c r="Q112" s="543" t="s">
        <v>4568</v>
      </c>
      <c r="R112" s="543" t="s">
        <v>1988</v>
      </c>
      <c r="S112" s="543" t="s">
        <v>2231</v>
      </c>
      <c r="T112" s="543">
        <v>1298</v>
      </c>
      <c r="U112" s="543" t="s">
        <v>1843</v>
      </c>
      <c r="V112" s="543" t="s">
        <v>2146</v>
      </c>
      <c r="W112" s="543">
        <v>23144</v>
      </c>
      <c r="X112" s="543" t="s">
        <v>4556</v>
      </c>
      <c r="Y112" s="543" t="s">
        <v>1901</v>
      </c>
      <c r="Z112" s="543" t="s">
        <v>2228</v>
      </c>
      <c r="AA112" s="543" t="s">
        <v>4556</v>
      </c>
      <c r="AB112" s="543" t="s">
        <v>34</v>
      </c>
      <c r="AC112" s="543" t="s">
        <v>1816</v>
      </c>
      <c r="AD112" s="543" t="s">
        <v>1817</v>
      </c>
      <c r="AE112" s="543" t="s">
        <v>1455</v>
      </c>
      <c r="AF112" s="543" t="s">
        <v>3040</v>
      </c>
      <c r="AG112" s="543" t="s">
        <v>34</v>
      </c>
      <c r="AH112" s="543" t="s">
        <v>34</v>
      </c>
      <c r="AI112" s="543" t="s">
        <v>34</v>
      </c>
      <c r="AJ112" s="543" t="s">
        <v>34</v>
      </c>
      <c r="AK112" s="543" t="s">
        <v>1818</v>
      </c>
      <c r="AL112" s="543" t="s">
        <v>4600</v>
      </c>
      <c r="AM112" s="61" t="s">
        <v>4495</v>
      </c>
      <c r="AN112" s="541">
        <v>0</v>
      </c>
      <c r="AO112" s="541">
        <v>0</v>
      </c>
      <c r="AP112" s="61"/>
      <c r="CG112" t="str">
        <v>APPLIED TECHNICAL SERVICES, LLC</v>
      </c>
    </row>
    <row r="113" spans="1:85" x14ac:dyDescent="0.2">
      <c r="A113" s="61">
        <v>112</v>
      </c>
      <c r="B113" s="542" t="s">
        <v>832</v>
      </c>
      <c r="C113" s="543" t="s">
        <v>3449</v>
      </c>
      <c r="D113" s="543" t="s">
        <v>3747</v>
      </c>
      <c r="E113" s="543" t="s">
        <v>2178</v>
      </c>
      <c r="F113" s="543" t="s">
        <v>1721</v>
      </c>
      <c r="G113" s="543" t="s">
        <v>34</v>
      </c>
      <c r="H113" s="543" t="s">
        <v>1821</v>
      </c>
      <c r="I113" s="543" t="s">
        <v>5342</v>
      </c>
      <c r="J113" s="543" t="s">
        <v>2089</v>
      </c>
      <c r="K113" s="543" t="s">
        <v>878</v>
      </c>
      <c r="L113" s="543" t="s">
        <v>2224</v>
      </c>
      <c r="M113" s="543" t="s">
        <v>2225</v>
      </c>
      <c r="N113" s="543" t="s">
        <v>836</v>
      </c>
      <c r="O113" s="543" t="s">
        <v>5361</v>
      </c>
      <c r="P113" s="543" t="s">
        <v>2226</v>
      </c>
      <c r="Q113" s="543" t="s">
        <v>4568</v>
      </c>
      <c r="R113" s="543" t="s">
        <v>1988</v>
      </c>
      <c r="S113" s="543" t="s">
        <v>2227</v>
      </c>
      <c r="T113" s="543">
        <v>1377</v>
      </c>
      <c r="U113" s="543" t="s">
        <v>1843</v>
      </c>
      <c r="V113" s="543" t="s">
        <v>2146</v>
      </c>
      <c r="W113" s="543">
        <v>23144</v>
      </c>
      <c r="X113" s="543" t="s">
        <v>4556</v>
      </c>
      <c r="Y113" s="543" t="s">
        <v>1901</v>
      </c>
      <c r="Z113" s="543" t="s">
        <v>2228</v>
      </c>
      <c r="AA113" s="543" t="s">
        <v>4556</v>
      </c>
      <c r="AB113" s="543" t="s">
        <v>34</v>
      </c>
      <c r="AC113" s="543" t="s">
        <v>1816</v>
      </c>
      <c r="AD113" s="543" t="s">
        <v>1817</v>
      </c>
      <c r="AE113" s="543" t="s">
        <v>1455</v>
      </c>
      <c r="AF113" s="543" t="s">
        <v>3040</v>
      </c>
      <c r="AG113" s="543" t="s">
        <v>34</v>
      </c>
      <c r="AH113" s="543" t="s">
        <v>34</v>
      </c>
      <c r="AI113" s="543" t="s">
        <v>34</v>
      </c>
      <c r="AJ113" s="543" t="s">
        <v>34</v>
      </c>
      <c r="AK113" s="543" t="s">
        <v>1818</v>
      </c>
      <c r="AL113" s="543" t="s">
        <v>4600</v>
      </c>
      <c r="AM113" s="61" t="s">
        <v>4495</v>
      </c>
      <c r="AN113" s="541">
        <v>0</v>
      </c>
      <c r="AO113" s="541">
        <v>0</v>
      </c>
      <c r="AP113" s="61"/>
      <c r="CG113" t="str">
        <v>APSCO INC.</v>
      </c>
    </row>
    <row r="114" spans="1:85" x14ac:dyDescent="0.2">
      <c r="A114" s="61">
        <v>113</v>
      </c>
      <c r="B114" s="542" t="s">
        <v>832</v>
      </c>
      <c r="C114" s="543" t="s">
        <v>3451</v>
      </c>
      <c r="D114" s="543" t="s">
        <v>3748</v>
      </c>
      <c r="E114" s="543" t="s">
        <v>2178</v>
      </c>
      <c r="F114" s="543" t="s">
        <v>1721</v>
      </c>
      <c r="G114" s="543" t="s">
        <v>34</v>
      </c>
      <c r="H114" s="543" t="s">
        <v>1821</v>
      </c>
      <c r="I114" s="543" t="s">
        <v>5342</v>
      </c>
      <c r="J114" s="543" t="s">
        <v>2089</v>
      </c>
      <c r="K114" s="543" t="s">
        <v>875</v>
      </c>
      <c r="L114" s="543" t="s">
        <v>1936</v>
      </c>
      <c r="M114" s="543" t="s">
        <v>3452</v>
      </c>
      <c r="N114" s="543" t="s">
        <v>3453</v>
      </c>
      <c r="O114" s="543" t="s">
        <v>5364</v>
      </c>
      <c r="P114" s="543" t="s">
        <v>4643</v>
      </c>
      <c r="Q114" s="543" t="s">
        <v>4557</v>
      </c>
      <c r="R114" s="543" t="s">
        <v>1814</v>
      </c>
      <c r="S114" s="543" t="s">
        <v>3454</v>
      </c>
      <c r="T114" s="543">
        <v>416</v>
      </c>
      <c r="U114" s="543" t="s">
        <v>1841</v>
      </c>
      <c r="V114" s="543" t="s">
        <v>2234</v>
      </c>
      <c r="W114" s="543" t="s">
        <v>3455</v>
      </c>
      <c r="X114" s="543" t="s">
        <v>4556</v>
      </c>
      <c r="Y114" s="543" t="s">
        <v>3456</v>
      </c>
      <c r="Z114" s="543" t="s">
        <v>2183</v>
      </c>
      <c r="AA114" s="543" t="s">
        <v>4556</v>
      </c>
      <c r="AB114" s="543" t="s">
        <v>34</v>
      </c>
      <c r="AC114" s="543" t="s">
        <v>1816</v>
      </c>
      <c r="AD114" s="543" t="s">
        <v>1817</v>
      </c>
      <c r="AE114" s="543" t="s">
        <v>1455</v>
      </c>
      <c r="AF114" s="543" t="s">
        <v>3040</v>
      </c>
      <c r="AG114" s="543" t="s">
        <v>34</v>
      </c>
      <c r="AH114" s="543" t="s">
        <v>34</v>
      </c>
      <c r="AI114" s="543" t="s">
        <v>34</v>
      </c>
      <c r="AJ114" s="543" t="s">
        <v>34</v>
      </c>
      <c r="AK114" s="543" t="s">
        <v>1818</v>
      </c>
      <c r="AL114" s="543" t="s">
        <v>4600</v>
      </c>
      <c r="AM114" s="61" t="s">
        <v>4497</v>
      </c>
      <c r="AN114" s="541">
        <v>0</v>
      </c>
      <c r="AO114" s="541">
        <v>0</v>
      </c>
      <c r="AP114" s="61"/>
      <c r="CG114" t="str">
        <v>ARCHROCK SERVICES, L.P.</v>
      </c>
    </row>
    <row r="115" spans="1:85" x14ac:dyDescent="0.2">
      <c r="A115" s="61">
        <v>114</v>
      </c>
      <c r="B115" s="542" t="s">
        <v>832</v>
      </c>
      <c r="C115" s="543" t="s">
        <v>4168</v>
      </c>
      <c r="D115" s="543" t="s">
        <v>4169</v>
      </c>
      <c r="E115" s="543" t="s">
        <v>2178</v>
      </c>
      <c r="F115" s="543" t="s">
        <v>1721</v>
      </c>
      <c r="G115" s="543" t="s">
        <v>34</v>
      </c>
      <c r="H115" s="543" t="s">
        <v>1821</v>
      </c>
      <c r="I115" s="543" t="s">
        <v>5342</v>
      </c>
      <c r="J115" s="543" t="s">
        <v>2089</v>
      </c>
      <c r="K115" s="543" t="s">
        <v>4170</v>
      </c>
      <c r="L115" s="543" t="s">
        <v>4171</v>
      </c>
      <c r="M115" s="543" t="s">
        <v>4172</v>
      </c>
      <c r="N115" s="543" t="s">
        <v>4168</v>
      </c>
      <c r="O115" s="543" t="s">
        <v>5361</v>
      </c>
      <c r="P115" s="543" t="s">
        <v>2215</v>
      </c>
      <c r="Q115" s="543" t="s">
        <v>4568</v>
      </c>
      <c r="R115" s="543" t="s">
        <v>1814</v>
      </c>
      <c r="S115" s="543" t="s">
        <v>4173</v>
      </c>
      <c r="T115" s="543">
        <v>506.4</v>
      </c>
      <c r="U115" s="543" t="s">
        <v>1843</v>
      </c>
      <c r="V115" s="543" t="s">
        <v>4174</v>
      </c>
      <c r="W115" s="543" t="s">
        <v>4175</v>
      </c>
      <c r="X115" s="543" t="s">
        <v>4556</v>
      </c>
      <c r="Y115" s="543" t="s">
        <v>1901</v>
      </c>
      <c r="Z115" s="543">
        <v>5256764</v>
      </c>
      <c r="AA115" s="543" t="s">
        <v>4556</v>
      </c>
      <c r="AB115" s="543" t="s">
        <v>34</v>
      </c>
      <c r="AC115" s="543" t="s">
        <v>1816</v>
      </c>
      <c r="AD115" s="543" t="s">
        <v>1817</v>
      </c>
      <c r="AE115" s="543" t="s">
        <v>1455</v>
      </c>
      <c r="AF115" s="543" t="s">
        <v>3040</v>
      </c>
      <c r="AG115" s="543" t="s">
        <v>34</v>
      </c>
      <c r="AH115" s="543" t="s">
        <v>34</v>
      </c>
      <c r="AI115" s="543" t="s">
        <v>34</v>
      </c>
      <c r="AJ115" s="543" t="s">
        <v>34</v>
      </c>
      <c r="AK115" s="543" t="s">
        <v>1818</v>
      </c>
      <c r="AL115" s="543" t="s">
        <v>4600</v>
      </c>
      <c r="AM115" s="61" t="s">
        <v>4495</v>
      </c>
      <c r="AN115" s="541">
        <v>0</v>
      </c>
      <c r="AO115" s="541">
        <v>0</v>
      </c>
      <c r="AP115" s="61"/>
      <c r="CG115" t="str">
        <v>ARCHROCK, INC.</v>
      </c>
    </row>
    <row r="116" spans="1:85" x14ac:dyDescent="0.2">
      <c r="A116" s="61">
        <v>115</v>
      </c>
      <c r="B116" s="542" t="s">
        <v>832</v>
      </c>
      <c r="C116" s="543" t="s">
        <v>5455</v>
      </c>
      <c r="D116" s="543" t="s">
        <v>5456</v>
      </c>
      <c r="E116" s="543" t="s">
        <v>2178</v>
      </c>
      <c r="F116" s="543" t="s">
        <v>1721</v>
      </c>
      <c r="G116" s="543"/>
      <c r="H116" s="543" t="s">
        <v>1821</v>
      </c>
      <c r="I116" s="543" t="s">
        <v>5342</v>
      </c>
      <c r="J116" s="543" t="s">
        <v>2089</v>
      </c>
      <c r="K116" s="543" t="s">
        <v>1825</v>
      </c>
      <c r="L116" s="543" t="s">
        <v>5421</v>
      </c>
      <c r="M116" s="543" t="s">
        <v>4290</v>
      </c>
      <c r="N116" s="543" t="s">
        <v>5457</v>
      </c>
      <c r="O116" s="543" t="s">
        <v>5361</v>
      </c>
      <c r="P116" s="543" t="s">
        <v>1881</v>
      </c>
      <c r="Q116" s="543" t="s">
        <v>4568</v>
      </c>
      <c r="R116" s="543" t="s">
        <v>1988</v>
      </c>
      <c r="S116" s="543" t="s">
        <v>5423</v>
      </c>
      <c r="T116" s="543">
        <v>1300</v>
      </c>
      <c r="U116" s="543" t="s">
        <v>1843</v>
      </c>
      <c r="V116" s="543" t="s">
        <v>5424</v>
      </c>
      <c r="W116" s="543" t="s">
        <v>5458</v>
      </c>
      <c r="X116" s="543" t="s">
        <v>4556</v>
      </c>
      <c r="Y116" s="543" t="s">
        <v>5426</v>
      </c>
      <c r="Z116" s="543" t="s">
        <v>5459</v>
      </c>
      <c r="AA116" s="543" t="s">
        <v>4556</v>
      </c>
      <c r="AB116" s="543"/>
      <c r="AC116" s="543" t="s">
        <v>1816</v>
      </c>
      <c r="AD116" s="543" t="s">
        <v>1817</v>
      </c>
      <c r="AE116" s="543" t="s">
        <v>5191</v>
      </c>
      <c r="AF116" s="543" t="s">
        <v>3040</v>
      </c>
      <c r="AG116" s="543"/>
      <c r="AH116" s="543"/>
      <c r="AI116" s="543"/>
      <c r="AJ116" s="543"/>
      <c r="AK116" s="543" t="s">
        <v>1818</v>
      </c>
      <c r="AL116" s="543"/>
      <c r="AM116" s="61" t="s">
        <v>5428</v>
      </c>
      <c r="AN116" s="541"/>
      <c r="AO116" s="541"/>
      <c r="AP116" s="61"/>
      <c r="CG116" t="str">
        <v>ARCONIC AEROSPACE CENTER</v>
      </c>
    </row>
    <row r="117" spans="1:85" x14ac:dyDescent="0.2">
      <c r="A117" s="61">
        <v>116</v>
      </c>
      <c r="B117" s="542" t="s">
        <v>832</v>
      </c>
      <c r="C117" s="543" t="s">
        <v>5429</v>
      </c>
      <c r="D117" s="543" t="s">
        <v>5432</v>
      </c>
      <c r="E117" s="543" t="s">
        <v>2178</v>
      </c>
      <c r="F117" s="543" t="s">
        <v>1721</v>
      </c>
      <c r="G117" s="543" t="s">
        <v>4431</v>
      </c>
      <c r="H117" s="543" t="s">
        <v>1821</v>
      </c>
      <c r="I117" s="543" t="s">
        <v>5342</v>
      </c>
      <c r="J117" s="543" t="s">
        <v>2089</v>
      </c>
      <c r="K117" s="543" t="s">
        <v>1825</v>
      </c>
      <c r="L117" s="543" t="s">
        <v>5421</v>
      </c>
      <c r="M117" s="543" t="s">
        <v>4611</v>
      </c>
      <c r="N117" s="543" t="s">
        <v>5430</v>
      </c>
      <c r="O117" s="543" t="s">
        <v>5422</v>
      </c>
      <c r="P117" s="543" t="s">
        <v>1881</v>
      </c>
      <c r="Q117" s="543" t="s">
        <v>4568</v>
      </c>
      <c r="R117" s="543" t="s">
        <v>1988</v>
      </c>
      <c r="S117" s="543" t="s">
        <v>5423</v>
      </c>
      <c r="T117" s="543">
        <v>1300</v>
      </c>
      <c r="U117" s="543" t="s">
        <v>1843</v>
      </c>
      <c r="V117" s="543" t="s">
        <v>5424</v>
      </c>
      <c r="W117" s="543" t="s">
        <v>5425</v>
      </c>
      <c r="X117" s="543" t="s">
        <v>4556</v>
      </c>
      <c r="Y117" s="543" t="s">
        <v>5426</v>
      </c>
      <c r="Z117" s="543" t="s">
        <v>5427</v>
      </c>
      <c r="AA117" s="543" t="s">
        <v>4556</v>
      </c>
      <c r="AB117" s="543"/>
      <c r="AC117" s="543" t="s">
        <v>1816</v>
      </c>
      <c r="AD117" s="543" t="s">
        <v>1817</v>
      </c>
      <c r="AE117" s="543" t="s">
        <v>5191</v>
      </c>
      <c r="AF117" s="543" t="s">
        <v>3040</v>
      </c>
      <c r="AG117" s="543"/>
      <c r="AH117" s="543"/>
      <c r="AI117" s="543"/>
      <c r="AJ117" s="543"/>
      <c r="AK117" s="543" t="s">
        <v>1818</v>
      </c>
      <c r="AL117" s="543"/>
      <c r="AM117" s="61" t="s">
        <v>5428</v>
      </c>
      <c r="AN117" s="541"/>
      <c r="AO117" s="541"/>
      <c r="AP117" s="61"/>
      <c r="CG117" t="str">
        <v>ARCUS PROCESSING LLC</v>
      </c>
    </row>
    <row r="118" spans="1:85" x14ac:dyDescent="0.2">
      <c r="A118" s="61">
        <v>117</v>
      </c>
      <c r="B118" s="542" t="s">
        <v>1356</v>
      </c>
      <c r="C118" s="543" t="s">
        <v>1360</v>
      </c>
      <c r="D118" s="543" t="s">
        <v>3749</v>
      </c>
      <c r="E118" s="543" t="s">
        <v>1726</v>
      </c>
      <c r="F118" s="543" t="s">
        <v>2246</v>
      </c>
      <c r="G118" s="543" t="s">
        <v>34</v>
      </c>
      <c r="H118" s="543" t="s">
        <v>1821</v>
      </c>
      <c r="I118" s="543" t="s">
        <v>5342</v>
      </c>
      <c r="J118" s="543" t="s">
        <v>2089</v>
      </c>
      <c r="K118" s="543" t="s">
        <v>819</v>
      </c>
      <c r="L118" s="543" t="s">
        <v>2251</v>
      </c>
      <c r="M118" s="543" t="s">
        <v>2252</v>
      </c>
      <c r="N118" s="543" t="s">
        <v>1360</v>
      </c>
      <c r="O118" s="543" t="s">
        <v>5343</v>
      </c>
      <c r="P118" s="543" t="s">
        <v>2215</v>
      </c>
      <c r="Q118" s="543" t="s">
        <v>4555</v>
      </c>
      <c r="R118" s="543" t="s">
        <v>1814</v>
      </c>
      <c r="S118" s="543" t="s">
        <v>2253</v>
      </c>
      <c r="T118" s="543">
        <v>26.1</v>
      </c>
      <c r="U118" s="543" t="s">
        <v>1841</v>
      </c>
      <c r="V118" s="543" t="s">
        <v>2096</v>
      </c>
      <c r="W118" s="543">
        <v>52012</v>
      </c>
      <c r="X118" s="543" t="s">
        <v>4556</v>
      </c>
      <c r="Y118" s="543" t="s">
        <v>2250</v>
      </c>
      <c r="Z118" s="543" t="s">
        <v>4860</v>
      </c>
      <c r="AA118" s="543" t="s">
        <v>4556</v>
      </c>
      <c r="AB118" s="543" t="s">
        <v>34</v>
      </c>
      <c r="AC118" s="543" t="s">
        <v>1816</v>
      </c>
      <c r="AD118" s="543" t="s">
        <v>1817</v>
      </c>
      <c r="AE118" s="543" t="s">
        <v>1455</v>
      </c>
      <c r="AF118" s="543">
        <v>12</v>
      </c>
      <c r="AG118" s="543">
        <v>5</v>
      </c>
      <c r="AH118" s="543">
        <v>0.18</v>
      </c>
      <c r="AI118" s="543" t="s">
        <v>34</v>
      </c>
      <c r="AJ118" s="543" t="s">
        <v>34</v>
      </c>
      <c r="AK118" s="543" t="s">
        <v>1818</v>
      </c>
      <c r="AL118" s="543" t="s">
        <v>3418</v>
      </c>
      <c r="AM118" s="61" t="s">
        <v>4496</v>
      </c>
      <c r="AN118" s="541">
        <v>1.4583333333333332E-2</v>
      </c>
      <c r="AO118" s="541">
        <v>0</v>
      </c>
      <c r="AP118" s="61"/>
      <c r="CG118" t="str">
        <v>AREMAC HEAT TREATING - EAST LLC.</v>
      </c>
    </row>
    <row r="119" spans="1:85" x14ac:dyDescent="0.2">
      <c r="A119" s="61">
        <v>118</v>
      </c>
      <c r="B119" s="542" t="s">
        <v>1356</v>
      </c>
      <c r="C119" s="543" t="s">
        <v>1365</v>
      </c>
      <c r="D119" s="543" t="s">
        <v>3750</v>
      </c>
      <c r="E119" s="543" t="s">
        <v>1726</v>
      </c>
      <c r="F119" s="543" t="s">
        <v>2246</v>
      </c>
      <c r="G119" s="543" t="s">
        <v>34</v>
      </c>
      <c r="H119" s="543" t="s">
        <v>1821</v>
      </c>
      <c r="I119" s="543" t="s">
        <v>5342</v>
      </c>
      <c r="J119" s="543" t="s">
        <v>2089</v>
      </c>
      <c r="K119" s="543" t="s">
        <v>2260</v>
      </c>
      <c r="L119" s="543" t="s">
        <v>2261</v>
      </c>
      <c r="M119" s="543" t="s">
        <v>2262</v>
      </c>
      <c r="N119" s="543" t="s">
        <v>1365</v>
      </c>
      <c r="O119" s="543" t="s">
        <v>5343</v>
      </c>
      <c r="P119" s="543" t="s">
        <v>2263</v>
      </c>
      <c r="Q119" s="543" t="s">
        <v>4555</v>
      </c>
      <c r="R119" s="543" t="s">
        <v>1988</v>
      </c>
      <c r="S119" s="543" t="s">
        <v>2264</v>
      </c>
      <c r="T119" s="543">
        <v>61.3</v>
      </c>
      <c r="U119" s="543" t="s">
        <v>1841</v>
      </c>
      <c r="V119" s="543" t="s">
        <v>1899</v>
      </c>
      <c r="W119" s="543" t="s">
        <v>2265</v>
      </c>
      <c r="X119" s="543" t="s">
        <v>4619</v>
      </c>
      <c r="Y119" s="543" t="s">
        <v>2250</v>
      </c>
      <c r="Z119" s="543" t="s">
        <v>4860</v>
      </c>
      <c r="AA119" s="543" t="s">
        <v>4619</v>
      </c>
      <c r="AB119" s="543" t="s">
        <v>34</v>
      </c>
      <c r="AC119" s="543" t="s">
        <v>1816</v>
      </c>
      <c r="AD119" s="543" t="s">
        <v>1817</v>
      </c>
      <c r="AE119" s="543" t="s">
        <v>1455</v>
      </c>
      <c r="AF119" s="543">
        <v>8</v>
      </c>
      <c r="AG119" s="543">
        <v>50</v>
      </c>
      <c r="AH119" s="543">
        <v>5</v>
      </c>
      <c r="AI119" s="543" t="s">
        <v>3601</v>
      </c>
      <c r="AJ119" s="543" t="s">
        <v>3602</v>
      </c>
      <c r="AK119" s="543" t="s">
        <v>1818</v>
      </c>
      <c r="AL119" s="543" t="s">
        <v>3418</v>
      </c>
      <c r="AM119" s="61" t="s">
        <v>4498</v>
      </c>
      <c r="AN119" s="541">
        <v>1.4583333333333332E-2</v>
      </c>
      <c r="AO119" s="541">
        <v>2.1527777777777781E-2</v>
      </c>
      <c r="AP119" s="61"/>
      <c r="CG119" t="str">
        <v>ARK VALLEY AERO</v>
      </c>
    </row>
    <row r="120" spans="1:85" x14ac:dyDescent="0.2">
      <c r="A120" s="61">
        <v>119</v>
      </c>
      <c r="B120" s="542" t="s">
        <v>1356</v>
      </c>
      <c r="C120" s="543" t="s">
        <v>599</v>
      </c>
      <c r="D120" s="543" t="s">
        <v>3751</v>
      </c>
      <c r="E120" s="543" t="s">
        <v>1726</v>
      </c>
      <c r="F120" s="543" t="s">
        <v>2246</v>
      </c>
      <c r="G120" s="543" t="s">
        <v>34</v>
      </c>
      <c r="H120" s="543" t="s">
        <v>1821</v>
      </c>
      <c r="I120" s="543" t="s">
        <v>5342</v>
      </c>
      <c r="J120" s="543" t="s">
        <v>2089</v>
      </c>
      <c r="K120" s="543" t="s">
        <v>819</v>
      </c>
      <c r="L120" s="543" t="s">
        <v>2256</v>
      </c>
      <c r="M120" s="543" t="s">
        <v>2257</v>
      </c>
      <c r="N120" s="543" t="s">
        <v>599</v>
      </c>
      <c r="O120" s="543" t="s">
        <v>5343</v>
      </c>
      <c r="P120" s="543" t="s">
        <v>2215</v>
      </c>
      <c r="Q120" s="543" t="s">
        <v>4555</v>
      </c>
      <c r="R120" s="543" t="s">
        <v>1814</v>
      </c>
      <c r="S120" s="543" t="s">
        <v>2258</v>
      </c>
      <c r="T120" s="543">
        <v>65.8</v>
      </c>
      <c r="U120" s="543" t="s">
        <v>1841</v>
      </c>
      <c r="V120" s="543" t="s">
        <v>2096</v>
      </c>
      <c r="W120" s="543" t="s">
        <v>2259</v>
      </c>
      <c r="X120" s="543" t="s">
        <v>4556</v>
      </c>
      <c r="Y120" s="543" t="s">
        <v>2250</v>
      </c>
      <c r="Z120" s="543" t="s">
        <v>4860</v>
      </c>
      <c r="AA120" s="543" t="s">
        <v>4556</v>
      </c>
      <c r="AB120" s="543" t="s">
        <v>4045</v>
      </c>
      <c r="AC120" s="543" t="s">
        <v>1816</v>
      </c>
      <c r="AD120" s="543" t="s">
        <v>1817</v>
      </c>
      <c r="AE120" s="543" t="s">
        <v>1455</v>
      </c>
      <c r="AF120" s="543">
        <v>8</v>
      </c>
      <c r="AG120" s="543" t="s">
        <v>3556</v>
      </c>
      <c r="AH120" s="543" t="s">
        <v>3600</v>
      </c>
      <c r="AI120" s="543" t="s">
        <v>34</v>
      </c>
      <c r="AJ120" s="543" t="s">
        <v>34</v>
      </c>
      <c r="AK120" s="543" t="s">
        <v>1818</v>
      </c>
      <c r="AL120" s="543" t="s">
        <v>3418</v>
      </c>
      <c r="AM120" s="61" t="s">
        <v>4498</v>
      </c>
      <c r="AN120" s="541">
        <v>1.4583333333333332E-2</v>
      </c>
      <c r="AO120" s="541">
        <v>0</v>
      </c>
      <c r="AP120" s="61"/>
      <c r="CG120" t="str">
        <v>ARMOR EXPRESS</v>
      </c>
    </row>
    <row r="121" spans="1:85" x14ac:dyDescent="0.2">
      <c r="A121" s="61">
        <v>120</v>
      </c>
      <c r="B121" s="542" t="s">
        <v>1356</v>
      </c>
      <c r="C121" s="543" t="s">
        <v>1362</v>
      </c>
      <c r="D121" s="543" t="s">
        <v>3752</v>
      </c>
      <c r="E121" s="543" t="s">
        <v>1726</v>
      </c>
      <c r="F121" s="543" t="s">
        <v>2246</v>
      </c>
      <c r="G121" s="543" t="s">
        <v>34</v>
      </c>
      <c r="H121" s="543" t="s">
        <v>1821</v>
      </c>
      <c r="I121" s="543" t="s">
        <v>5342</v>
      </c>
      <c r="J121" s="543" t="s">
        <v>2089</v>
      </c>
      <c r="K121" s="543" t="s">
        <v>819</v>
      </c>
      <c r="L121" s="543" t="s">
        <v>2247</v>
      </c>
      <c r="M121" s="543" t="s">
        <v>2254</v>
      </c>
      <c r="N121" s="543" t="s">
        <v>1362</v>
      </c>
      <c r="O121" s="543" t="s">
        <v>5343</v>
      </c>
      <c r="P121" s="543" t="s">
        <v>2215</v>
      </c>
      <c r="Q121" s="543" t="s">
        <v>4555</v>
      </c>
      <c r="R121" s="543" t="s">
        <v>1814</v>
      </c>
      <c r="S121" s="543" t="s">
        <v>2249</v>
      </c>
      <c r="T121" s="543">
        <v>36.299999999999997</v>
      </c>
      <c r="U121" s="543" t="s">
        <v>1841</v>
      </c>
      <c r="V121" s="543" t="s">
        <v>2096</v>
      </c>
      <c r="W121" s="543" t="s">
        <v>2255</v>
      </c>
      <c r="X121" s="543" t="s">
        <v>4556</v>
      </c>
      <c r="Y121" s="543" t="s">
        <v>2250</v>
      </c>
      <c r="Z121" s="543" t="s">
        <v>4860</v>
      </c>
      <c r="AA121" s="543" t="s">
        <v>4556</v>
      </c>
      <c r="AB121" s="543" t="s">
        <v>34</v>
      </c>
      <c r="AC121" s="543" t="s">
        <v>1816</v>
      </c>
      <c r="AD121" s="543" t="s">
        <v>1817</v>
      </c>
      <c r="AE121" s="543" t="s">
        <v>1455</v>
      </c>
      <c r="AF121" s="543">
        <v>10</v>
      </c>
      <c r="AG121" s="543">
        <v>0.2</v>
      </c>
      <c r="AH121" s="543">
        <v>0</v>
      </c>
      <c r="AI121" s="543" t="s">
        <v>3599</v>
      </c>
      <c r="AJ121" s="543" t="s">
        <v>34</v>
      </c>
      <c r="AK121" s="543" t="s">
        <v>1818</v>
      </c>
      <c r="AL121" s="543" t="s">
        <v>3418</v>
      </c>
      <c r="AM121" s="61" t="s">
        <v>4496</v>
      </c>
      <c r="AN121" s="541">
        <v>1.4583333333333332E-2</v>
      </c>
      <c r="AO121" s="541">
        <v>0</v>
      </c>
      <c r="AP121" s="61"/>
      <c r="CG121" t="str">
        <v>ARROW LAB</v>
      </c>
    </row>
    <row r="122" spans="1:85" x14ac:dyDescent="0.2">
      <c r="A122" s="61">
        <v>121</v>
      </c>
      <c r="B122" s="542" t="s">
        <v>1356</v>
      </c>
      <c r="C122" s="543" t="s">
        <v>1358</v>
      </c>
      <c r="D122" s="543" t="s">
        <v>3753</v>
      </c>
      <c r="E122" s="543" t="s">
        <v>1726</v>
      </c>
      <c r="F122" s="543" t="s">
        <v>2246</v>
      </c>
      <c r="G122" s="543" t="s">
        <v>34</v>
      </c>
      <c r="H122" s="543" t="s">
        <v>1821</v>
      </c>
      <c r="I122" s="543" t="s">
        <v>5342</v>
      </c>
      <c r="J122" s="543" t="s">
        <v>2089</v>
      </c>
      <c r="K122" s="543" t="s">
        <v>819</v>
      </c>
      <c r="L122" s="543" t="s">
        <v>2247</v>
      </c>
      <c r="M122" s="543" t="s">
        <v>2248</v>
      </c>
      <c r="N122" s="543" t="s">
        <v>1358</v>
      </c>
      <c r="O122" s="543" t="s">
        <v>5343</v>
      </c>
      <c r="P122" s="543" t="s">
        <v>2215</v>
      </c>
      <c r="Q122" s="543" t="s">
        <v>4555</v>
      </c>
      <c r="R122" s="543" t="s">
        <v>1814</v>
      </c>
      <c r="S122" s="543" t="s">
        <v>2249</v>
      </c>
      <c r="T122" s="543">
        <v>36.299999999999997</v>
      </c>
      <c r="U122" s="543" t="s">
        <v>1841</v>
      </c>
      <c r="V122" s="543" t="s">
        <v>2096</v>
      </c>
      <c r="W122" s="543">
        <v>16293</v>
      </c>
      <c r="X122" s="543" t="s">
        <v>4556</v>
      </c>
      <c r="Y122" s="543" t="s">
        <v>2250</v>
      </c>
      <c r="Z122" s="543" t="s">
        <v>4860</v>
      </c>
      <c r="AA122" s="543" t="s">
        <v>4556</v>
      </c>
      <c r="AB122" s="543" t="s">
        <v>34</v>
      </c>
      <c r="AC122" s="543" t="s">
        <v>1816</v>
      </c>
      <c r="AD122" s="543" t="s">
        <v>1817</v>
      </c>
      <c r="AE122" s="543" t="s">
        <v>1455</v>
      </c>
      <c r="AF122" s="543">
        <v>10</v>
      </c>
      <c r="AG122" s="543">
        <v>0.2</v>
      </c>
      <c r="AH122" s="543">
        <v>0</v>
      </c>
      <c r="AI122" s="543" t="s">
        <v>3599</v>
      </c>
      <c r="AJ122" s="543" t="s">
        <v>34</v>
      </c>
      <c r="AK122" s="543" t="s">
        <v>1818</v>
      </c>
      <c r="AL122" s="543" t="s">
        <v>3418</v>
      </c>
      <c r="AM122" s="61" t="s">
        <v>4496</v>
      </c>
      <c r="AN122" s="541">
        <v>1.4583333333333332E-2</v>
      </c>
      <c r="AO122" s="541">
        <v>0</v>
      </c>
      <c r="AP122" s="61"/>
      <c r="CG122" t="str">
        <v>ARROW LABORATORY, INC.</v>
      </c>
    </row>
    <row r="123" spans="1:85" x14ac:dyDescent="0.2">
      <c r="A123" s="61">
        <v>122</v>
      </c>
      <c r="B123" s="542" t="s">
        <v>873</v>
      </c>
      <c r="C123" s="543" t="s">
        <v>875</v>
      </c>
      <c r="D123" s="543" t="s">
        <v>3754</v>
      </c>
      <c r="E123" s="543" t="s">
        <v>2321</v>
      </c>
      <c r="F123" s="543" t="s">
        <v>1731</v>
      </c>
      <c r="G123" s="543" t="s">
        <v>34</v>
      </c>
      <c r="H123" s="543" t="s">
        <v>1821</v>
      </c>
      <c r="I123" s="543" t="s">
        <v>5342</v>
      </c>
      <c r="J123" s="543" t="s">
        <v>2089</v>
      </c>
      <c r="K123" s="543" t="s">
        <v>875</v>
      </c>
      <c r="L123" s="543" t="s">
        <v>2334</v>
      </c>
      <c r="M123" s="543" t="s">
        <v>2335</v>
      </c>
      <c r="N123" s="543" t="s">
        <v>875</v>
      </c>
      <c r="O123" s="543" t="s">
        <v>665</v>
      </c>
      <c r="P123" s="543" t="s">
        <v>2344</v>
      </c>
      <c r="Q123" s="543" t="s">
        <v>1813</v>
      </c>
      <c r="R123" s="543" t="s">
        <v>2336</v>
      </c>
      <c r="S123" s="543" t="s">
        <v>2337</v>
      </c>
      <c r="T123" s="543">
        <v>30</v>
      </c>
      <c r="U123" s="543" t="s">
        <v>1843</v>
      </c>
      <c r="V123" s="543" t="s">
        <v>2338</v>
      </c>
      <c r="W123" s="543">
        <v>9162039</v>
      </c>
      <c r="X123" s="543" t="s">
        <v>1815</v>
      </c>
      <c r="Y123" s="543" t="s">
        <v>2339</v>
      </c>
      <c r="Z123" s="543">
        <v>8297145</v>
      </c>
      <c r="AA123" s="543" t="s">
        <v>1815</v>
      </c>
      <c r="AB123" s="543" t="s">
        <v>2340</v>
      </c>
      <c r="AC123" s="543" t="s">
        <v>1816</v>
      </c>
      <c r="AD123" s="543" t="s">
        <v>1817</v>
      </c>
      <c r="AE123" s="543" t="s">
        <v>1455</v>
      </c>
      <c r="AF123" s="543">
        <v>6</v>
      </c>
      <c r="AG123" s="543">
        <v>0.08</v>
      </c>
      <c r="AH123" s="543">
        <v>0.5</v>
      </c>
      <c r="AI123" s="543" t="s">
        <v>3606</v>
      </c>
      <c r="AJ123" s="543" t="s">
        <v>3607</v>
      </c>
      <c r="AK123" s="543" t="s">
        <v>1818</v>
      </c>
      <c r="AL123" s="543" t="s">
        <v>34</v>
      </c>
      <c r="AM123" s="61" t="s">
        <v>4495</v>
      </c>
      <c r="AN123" s="541">
        <v>0</v>
      </c>
      <c r="AO123" s="541">
        <v>0</v>
      </c>
      <c r="AP123" s="61"/>
      <c r="CG123" t="str">
        <v>ARVOS INC.</v>
      </c>
    </row>
    <row r="124" spans="1:85" x14ac:dyDescent="0.2">
      <c r="A124" s="61">
        <v>123</v>
      </c>
      <c r="B124" s="542" t="s">
        <v>873</v>
      </c>
      <c r="C124" s="543" t="s">
        <v>1467</v>
      </c>
      <c r="D124" s="543" t="s">
        <v>3755</v>
      </c>
      <c r="E124" s="543" t="s">
        <v>2321</v>
      </c>
      <c r="F124" s="543" t="s">
        <v>1731</v>
      </c>
      <c r="G124" s="543" t="s">
        <v>34</v>
      </c>
      <c r="H124" s="543" t="s">
        <v>1821</v>
      </c>
      <c r="I124" s="543" t="s">
        <v>5342</v>
      </c>
      <c r="J124" s="543" t="s">
        <v>2089</v>
      </c>
      <c r="K124" s="543" t="s">
        <v>1825</v>
      </c>
      <c r="L124" s="543" t="s">
        <v>1936</v>
      </c>
      <c r="M124" s="543" t="s">
        <v>1825</v>
      </c>
      <c r="N124" s="543" t="s">
        <v>2329</v>
      </c>
      <c r="O124" s="543" t="s">
        <v>665</v>
      </c>
      <c r="P124" s="543" t="s">
        <v>2330</v>
      </c>
      <c r="Q124" s="543" t="s">
        <v>1897</v>
      </c>
      <c r="R124" s="543" t="s">
        <v>1988</v>
      </c>
      <c r="S124" s="543" t="s">
        <v>2331</v>
      </c>
      <c r="T124" s="543">
        <v>3348</v>
      </c>
      <c r="U124" s="543" t="s">
        <v>1843</v>
      </c>
      <c r="V124" s="543" t="s">
        <v>2332</v>
      </c>
      <c r="W124" s="543">
        <v>0</v>
      </c>
      <c r="X124" s="543" t="s">
        <v>1815</v>
      </c>
      <c r="Y124" s="543" t="s">
        <v>2327</v>
      </c>
      <c r="Z124" s="543" t="s">
        <v>2333</v>
      </c>
      <c r="AA124" s="543" t="s">
        <v>1815</v>
      </c>
      <c r="AB124" s="543" t="s">
        <v>34</v>
      </c>
      <c r="AC124" s="543" t="s">
        <v>1816</v>
      </c>
      <c r="AD124" s="543" t="s">
        <v>1817</v>
      </c>
      <c r="AE124" s="543" t="s">
        <v>1455</v>
      </c>
      <c r="AF124" s="543" t="s">
        <v>3040</v>
      </c>
      <c r="AG124" s="543" t="s">
        <v>34</v>
      </c>
      <c r="AH124" s="543" t="s">
        <v>34</v>
      </c>
      <c r="AI124" s="543" t="s">
        <v>34</v>
      </c>
      <c r="AJ124" s="543" t="s">
        <v>34</v>
      </c>
      <c r="AK124" s="543" t="s">
        <v>1818</v>
      </c>
      <c r="AL124" s="543" t="s">
        <v>34</v>
      </c>
      <c r="AM124" s="61" t="s">
        <v>4495</v>
      </c>
      <c r="AN124" s="541">
        <v>0</v>
      </c>
      <c r="AO124" s="541">
        <v>0</v>
      </c>
      <c r="AP124" s="61"/>
      <c r="CG124" t="str">
        <v>ASCO AEROSPACE USA LLC</v>
      </c>
    </row>
    <row r="125" spans="1:85" x14ac:dyDescent="0.2">
      <c r="A125" s="61">
        <v>124</v>
      </c>
      <c r="B125" s="542" t="s">
        <v>873</v>
      </c>
      <c r="C125" s="543" t="s">
        <v>1650</v>
      </c>
      <c r="D125" s="543" t="s">
        <v>4026</v>
      </c>
      <c r="E125" s="543" t="s">
        <v>2321</v>
      </c>
      <c r="F125" s="543" t="s">
        <v>1731</v>
      </c>
      <c r="G125" s="543" t="s">
        <v>34</v>
      </c>
      <c r="H125" s="543" t="s">
        <v>1821</v>
      </c>
      <c r="I125" s="543" t="s">
        <v>5342</v>
      </c>
      <c r="J125" s="543" t="s">
        <v>1461</v>
      </c>
      <c r="K125" s="543" t="s">
        <v>2322</v>
      </c>
      <c r="L125" s="543" t="s">
        <v>1936</v>
      </c>
      <c r="M125" s="543" t="s">
        <v>1642</v>
      </c>
      <c r="N125" s="543" t="s">
        <v>1650</v>
      </c>
      <c r="O125" s="543" t="s">
        <v>665</v>
      </c>
      <c r="P125" s="543" t="s">
        <v>2323</v>
      </c>
      <c r="Q125" s="543" t="s">
        <v>1897</v>
      </c>
      <c r="R125" s="543" t="s">
        <v>1979</v>
      </c>
      <c r="S125" s="543" t="s">
        <v>2324</v>
      </c>
      <c r="T125" s="543">
        <v>5440</v>
      </c>
      <c r="U125" s="543" t="s">
        <v>1843</v>
      </c>
      <c r="V125" s="543" t="s">
        <v>2325</v>
      </c>
      <c r="W125" s="543" t="s">
        <v>2326</v>
      </c>
      <c r="X125" s="543" t="s">
        <v>1963</v>
      </c>
      <c r="Y125" s="543" t="s">
        <v>2327</v>
      </c>
      <c r="Z125" s="543" t="s">
        <v>2328</v>
      </c>
      <c r="AA125" s="543" t="s">
        <v>1815</v>
      </c>
      <c r="AB125" s="543" t="s">
        <v>1885</v>
      </c>
      <c r="AC125" s="543" t="s">
        <v>1816</v>
      </c>
      <c r="AD125" s="543" t="s">
        <v>1817</v>
      </c>
      <c r="AE125" s="543" t="s">
        <v>1455</v>
      </c>
      <c r="AF125" s="543">
        <v>8</v>
      </c>
      <c r="AG125" s="543">
        <v>40</v>
      </c>
      <c r="AH125" s="543">
        <v>71</v>
      </c>
      <c r="AI125" s="543" t="s">
        <v>34</v>
      </c>
      <c r="AJ125" s="543" t="s">
        <v>34</v>
      </c>
      <c r="AK125" s="543" t="s">
        <v>1818</v>
      </c>
      <c r="AL125" s="543" t="s">
        <v>34</v>
      </c>
      <c r="AM125" s="61" t="s">
        <v>4495</v>
      </c>
      <c r="AN125" s="541">
        <v>0</v>
      </c>
      <c r="AO125" s="541">
        <v>0</v>
      </c>
      <c r="AP125" s="61"/>
      <c r="CG125" t="str">
        <v>ASSOCIATED INDUSTRIES, INC.</v>
      </c>
    </row>
    <row r="126" spans="1:85" x14ac:dyDescent="0.2">
      <c r="A126" s="61">
        <v>125</v>
      </c>
      <c r="B126" s="542" t="s">
        <v>873</v>
      </c>
      <c r="C126" s="543" t="s">
        <v>878</v>
      </c>
      <c r="D126" s="543" t="s">
        <v>3756</v>
      </c>
      <c r="E126" s="543" t="s">
        <v>2321</v>
      </c>
      <c r="F126" s="543" t="s">
        <v>1731</v>
      </c>
      <c r="G126" s="543" t="s">
        <v>34</v>
      </c>
      <c r="H126" s="543" t="s">
        <v>1821</v>
      </c>
      <c r="I126" s="543" t="s">
        <v>5342</v>
      </c>
      <c r="J126" s="543" t="s">
        <v>2089</v>
      </c>
      <c r="K126" s="543" t="s">
        <v>878</v>
      </c>
      <c r="L126" s="543" t="s">
        <v>2341</v>
      </c>
      <c r="M126" s="543" t="s">
        <v>2342</v>
      </c>
      <c r="N126" s="543" t="s">
        <v>878</v>
      </c>
      <c r="O126" s="543" t="s">
        <v>665</v>
      </c>
      <c r="P126" s="543" t="s">
        <v>2343</v>
      </c>
      <c r="Q126" s="543" t="s">
        <v>1897</v>
      </c>
      <c r="R126" s="543" t="s">
        <v>1878</v>
      </c>
      <c r="S126" s="543" t="s">
        <v>2345</v>
      </c>
      <c r="T126" s="543">
        <v>54.3</v>
      </c>
      <c r="U126" s="543" t="s">
        <v>1843</v>
      </c>
      <c r="V126" s="543" t="s">
        <v>2346</v>
      </c>
      <c r="W126" s="543">
        <v>5.39</v>
      </c>
      <c r="X126" s="543" t="s">
        <v>1815</v>
      </c>
      <c r="Y126" s="543" t="s">
        <v>2327</v>
      </c>
      <c r="Z126" s="543" t="s">
        <v>2347</v>
      </c>
      <c r="AA126" s="543" t="s">
        <v>1815</v>
      </c>
      <c r="AB126" s="543" t="s">
        <v>2348</v>
      </c>
      <c r="AC126" s="543" t="s">
        <v>1816</v>
      </c>
      <c r="AD126" s="543" t="s">
        <v>1817</v>
      </c>
      <c r="AE126" s="543" t="s">
        <v>1455</v>
      </c>
      <c r="AF126" s="543">
        <v>1</v>
      </c>
      <c r="AG126" s="543">
        <v>0.2</v>
      </c>
      <c r="AH126" s="543">
        <v>0.2</v>
      </c>
      <c r="AI126" s="543" t="s">
        <v>3608</v>
      </c>
      <c r="AJ126" s="543" t="s">
        <v>3609</v>
      </c>
      <c r="AK126" s="543" t="s">
        <v>1818</v>
      </c>
      <c r="AL126" s="543" t="s">
        <v>34</v>
      </c>
      <c r="AM126" s="61" t="s">
        <v>4498</v>
      </c>
      <c r="AN126" s="541">
        <v>0</v>
      </c>
      <c r="AO126" s="541">
        <v>0</v>
      </c>
      <c r="AP126" s="61"/>
      <c r="CG126" t="str">
        <v>ATEC, INC.</v>
      </c>
    </row>
    <row r="127" spans="1:85" x14ac:dyDescent="0.2">
      <c r="A127" s="61">
        <v>126</v>
      </c>
      <c r="B127" s="542" t="s">
        <v>853</v>
      </c>
      <c r="C127" s="543" t="s">
        <v>639</v>
      </c>
      <c r="D127" s="543" t="s">
        <v>3757</v>
      </c>
      <c r="E127" s="543" t="s">
        <v>1727</v>
      </c>
      <c r="F127" s="543" t="s">
        <v>1728</v>
      </c>
      <c r="G127" s="543" t="s">
        <v>34</v>
      </c>
      <c r="H127" s="543" t="s">
        <v>1821</v>
      </c>
      <c r="I127" s="543" t="s">
        <v>5342</v>
      </c>
      <c r="J127" s="543" t="s">
        <v>1461</v>
      </c>
      <c r="K127" s="543" t="s">
        <v>1997</v>
      </c>
      <c r="L127" s="543" t="s">
        <v>2286</v>
      </c>
      <c r="M127" s="543">
        <v>3217457</v>
      </c>
      <c r="N127" s="543" t="s">
        <v>639</v>
      </c>
      <c r="O127" s="543" t="s">
        <v>665</v>
      </c>
      <c r="P127" s="543" t="s">
        <v>2085</v>
      </c>
      <c r="Q127" s="543" t="s">
        <v>4555</v>
      </c>
      <c r="R127" s="543" t="s">
        <v>1814</v>
      </c>
      <c r="S127" s="543" t="s">
        <v>2287</v>
      </c>
      <c r="T127" s="543">
        <v>500</v>
      </c>
      <c r="U127" s="543" t="s">
        <v>1642</v>
      </c>
      <c r="V127" s="543" t="s">
        <v>2288</v>
      </c>
      <c r="W127" s="543" t="s">
        <v>2289</v>
      </c>
      <c r="X127" s="543" t="s">
        <v>4556</v>
      </c>
      <c r="Y127" s="543" t="s">
        <v>2288</v>
      </c>
      <c r="Z127" s="543" t="s">
        <v>2289</v>
      </c>
      <c r="AA127" s="543" t="s">
        <v>4556</v>
      </c>
      <c r="AB127" s="543" t="s">
        <v>2290</v>
      </c>
      <c r="AC127" s="543" t="s">
        <v>1816</v>
      </c>
      <c r="AD127" s="543" t="s">
        <v>1817</v>
      </c>
      <c r="AE127" s="543" t="s">
        <v>1455</v>
      </c>
      <c r="AF127" s="543" t="s">
        <v>3040</v>
      </c>
      <c r="AG127" s="543" t="s">
        <v>34</v>
      </c>
      <c r="AH127" s="543" t="s">
        <v>34</v>
      </c>
      <c r="AI127" s="543" t="s">
        <v>34</v>
      </c>
      <c r="AJ127" s="543" t="s">
        <v>34</v>
      </c>
      <c r="AK127" s="543" t="s">
        <v>1818</v>
      </c>
      <c r="AL127" s="543" t="s">
        <v>34</v>
      </c>
      <c r="AM127" s="61" t="s">
        <v>4495</v>
      </c>
      <c r="AN127" s="541">
        <v>0</v>
      </c>
      <c r="AO127" s="541">
        <v>0</v>
      </c>
      <c r="AP127" s="61"/>
      <c r="CG127" t="str">
        <v>ATLAS SPRING &amp; AXLE CO. INC.</v>
      </c>
    </row>
    <row r="128" spans="1:85" x14ac:dyDescent="0.2">
      <c r="A128" s="61">
        <v>127</v>
      </c>
      <c r="B128" s="542" t="s">
        <v>853</v>
      </c>
      <c r="C128" s="543" t="s">
        <v>758</v>
      </c>
      <c r="D128" s="543" t="s">
        <v>4638</v>
      </c>
      <c r="E128" s="543" t="s">
        <v>1727</v>
      </c>
      <c r="F128" s="543" t="s">
        <v>1728</v>
      </c>
      <c r="G128" s="543" t="s">
        <v>34</v>
      </c>
      <c r="H128" s="543" t="s">
        <v>1821</v>
      </c>
      <c r="I128" s="543" t="s">
        <v>5342</v>
      </c>
      <c r="J128" s="543" t="s">
        <v>1461</v>
      </c>
      <c r="K128" s="543" t="s">
        <v>1997</v>
      </c>
      <c r="L128" s="543" t="s">
        <v>2961</v>
      </c>
      <c r="M128" s="543">
        <v>11408</v>
      </c>
      <c r="N128" s="543" t="s">
        <v>4639</v>
      </c>
      <c r="O128" s="543" t="s">
        <v>1461</v>
      </c>
      <c r="P128" s="543" t="s">
        <v>2085</v>
      </c>
      <c r="Q128" s="543" t="s">
        <v>4555</v>
      </c>
      <c r="R128" s="543" t="s">
        <v>1814</v>
      </c>
      <c r="S128" s="543" t="s">
        <v>4640</v>
      </c>
      <c r="T128" s="543">
        <v>417</v>
      </c>
      <c r="U128" s="543" t="s">
        <v>1642</v>
      </c>
      <c r="V128" s="543" t="s">
        <v>2961</v>
      </c>
      <c r="W128" s="543" t="s">
        <v>1948</v>
      </c>
      <c r="X128" s="543" t="s">
        <v>4556</v>
      </c>
      <c r="Y128" s="543" t="s">
        <v>2961</v>
      </c>
      <c r="Z128" s="543" t="s">
        <v>1948</v>
      </c>
      <c r="AA128" s="543" t="s">
        <v>4556</v>
      </c>
      <c r="AB128" s="543" t="s">
        <v>4641</v>
      </c>
      <c r="AC128" s="543" t="s">
        <v>4064</v>
      </c>
      <c r="AD128" s="543" t="s">
        <v>4642</v>
      </c>
      <c r="AE128" s="543" t="s">
        <v>1455</v>
      </c>
      <c r="AF128" s="543" t="s">
        <v>3040</v>
      </c>
      <c r="AG128" s="543" t="s">
        <v>34</v>
      </c>
      <c r="AH128" s="543" t="s">
        <v>34</v>
      </c>
      <c r="AI128" s="543" t="s">
        <v>34</v>
      </c>
      <c r="AJ128" s="543" t="s">
        <v>34</v>
      </c>
      <c r="AK128" s="543" t="s">
        <v>1818</v>
      </c>
      <c r="AL128" s="543" t="s">
        <v>34</v>
      </c>
      <c r="AM128" s="61" t="s">
        <v>4495</v>
      </c>
      <c r="AN128" s="541"/>
      <c r="AO128" s="541"/>
      <c r="AP128" s="61"/>
      <c r="CG128" t="str">
        <v>ATTICA ENGINEERING L.L.C.</v>
      </c>
    </row>
    <row r="129" spans="1:85" x14ac:dyDescent="0.2">
      <c r="A129" s="61">
        <v>128</v>
      </c>
      <c r="B129" s="542" t="s">
        <v>853</v>
      </c>
      <c r="C129" s="543" t="s">
        <v>861</v>
      </c>
      <c r="D129" s="543" t="s">
        <v>3758</v>
      </c>
      <c r="E129" s="543" t="s">
        <v>1727</v>
      </c>
      <c r="F129" s="543" t="s">
        <v>1728</v>
      </c>
      <c r="G129" s="543" t="s">
        <v>34</v>
      </c>
      <c r="H129" s="543" t="s">
        <v>1821</v>
      </c>
      <c r="I129" s="543" t="s">
        <v>5342</v>
      </c>
      <c r="J129" s="543" t="s">
        <v>1461</v>
      </c>
      <c r="K129" s="543" t="s">
        <v>2277</v>
      </c>
      <c r="L129" s="543" t="s">
        <v>2278</v>
      </c>
      <c r="M129" s="543">
        <v>446705</v>
      </c>
      <c r="N129" s="543" t="s">
        <v>861</v>
      </c>
      <c r="O129" s="543" t="s">
        <v>665</v>
      </c>
      <c r="P129" s="543" t="s">
        <v>2279</v>
      </c>
      <c r="Q129" s="543" t="s">
        <v>4555</v>
      </c>
      <c r="R129" s="543" t="s">
        <v>1814</v>
      </c>
      <c r="S129" s="543" t="s">
        <v>2280</v>
      </c>
      <c r="T129" s="543">
        <v>1.53</v>
      </c>
      <c r="U129" s="543" t="s">
        <v>1642</v>
      </c>
      <c r="V129" s="543" t="s">
        <v>2282</v>
      </c>
      <c r="W129" s="543" t="s">
        <v>2281</v>
      </c>
      <c r="X129" s="543" t="s">
        <v>4556</v>
      </c>
      <c r="Y129" s="543" t="s">
        <v>2283</v>
      </c>
      <c r="Z129" s="543" t="s">
        <v>2284</v>
      </c>
      <c r="AA129" s="543" t="s">
        <v>4556</v>
      </c>
      <c r="AB129" s="543" t="s">
        <v>2285</v>
      </c>
      <c r="AC129" s="543" t="s">
        <v>1816</v>
      </c>
      <c r="AD129" s="543" t="s">
        <v>1817</v>
      </c>
      <c r="AE129" s="543" t="s">
        <v>1455</v>
      </c>
      <c r="AF129" s="543">
        <v>2</v>
      </c>
      <c r="AG129" s="543">
        <v>0.02</v>
      </c>
      <c r="AH129" s="543">
        <v>1</v>
      </c>
      <c r="AI129" s="543" t="s">
        <v>3603</v>
      </c>
      <c r="AJ129" s="543" t="s">
        <v>3604</v>
      </c>
      <c r="AK129" s="543" t="s">
        <v>1818</v>
      </c>
      <c r="AL129" s="543" t="s">
        <v>34</v>
      </c>
      <c r="AM129" s="61" t="s">
        <v>4495</v>
      </c>
      <c r="AN129" s="541">
        <v>0</v>
      </c>
      <c r="AO129" s="541">
        <v>0</v>
      </c>
      <c r="AP129" s="61"/>
      <c r="CG129" t="str">
        <v>AUSTIN MACHINE, INC.</v>
      </c>
    </row>
    <row r="130" spans="1:85" x14ac:dyDescent="0.2">
      <c r="A130" s="61">
        <v>129</v>
      </c>
      <c r="B130" s="542" t="s">
        <v>853</v>
      </c>
      <c r="C130" s="543" t="s">
        <v>855</v>
      </c>
      <c r="D130" s="543" t="s">
        <v>3759</v>
      </c>
      <c r="E130" s="543" t="s">
        <v>1727</v>
      </c>
      <c r="F130" s="543" t="s">
        <v>1728</v>
      </c>
      <c r="G130" s="543" t="s">
        <v>34</v>
      </c>
      <c r="H130" s="543" t="s">
        <v>1821</v>
      </c>
      <c r="I130" s="543" t="s">
        <v>5342</v>
      </c>
      <c r="J130" s="543" t="s">
        <v>1461</v>
      </c>
      <c r="K130" s="543" t="s">
        <v>2266</v>
      </c>
      <c r="L130" s="543" t="s">
        <v>2267</v>
      </c>
      <c r="M130" s="543" t="s">
        <v>2268</v>
      </c>
      <c r="N130" s="543" t="s">
        <v>855</v>
      </c>
      <c r="O130" s="543" t="s">
        <v>665</v>
      </c>
      <c r="P130" s="543" t="s">
        <v>2244</v>
      </c>
      <c r="Q130" s="543" t="s">
        <v>4555</v>
      </c>
      <c r="R130" s="543" t="s">
        <v>1915</v>
      </c>
      <c r="S130" s="543" t="s">
        <v>2269</v>
      </c>
      <c r="T130" s="543">
        <v>84.4</v>
      </c>
      <c r="U130" s="543" t="s">
        <v>1844</v>
      </c>
      <c r="V130" s="543" t="s">
        <v>2270</v>
      </c>
      <c r="W130" s="543" t="s">
        <v>2271</v>
      </c>
      <c r="X130" s="543" t="s">
        <v>4556</v>
      </c>
      <c r="Y130" s="543" t="s">
        <v>109</v>
      </c>
      <c r="Z130" s="543" t="s">
        <v>109</v>
      </c>
      <c r="AA130" s="543" t="s">
        <v>109</v>
      </c>
      <c r="AB130" s="543" t="s">
        <v>34</v>
      </c>
      <c r="AC130" s="543" t="s">
        <v>1816</v>
      </c>
      <c r="AD130" s="543" t="s">
        <v>1817</v>
      </c>
      <c r="AE130" s="543" t="s">
        <v>1455</v>
      </c>
      <c r="AF130" s="543" t="s">
        <v>3040</v>
      </c>
      <c r="AG130" s="543" t="s">
        <v>34</v>
      </c>
      <c r="AH130" s="543" t="s">
        <v>34</v>
      </c>
      <c r="AI130" s="543" t="s">
        <v>34</v>
      </c>
      <c r="AJ130" s="543" t="s">
        <v>34</v>
      </c>
      <c r="AK130" s="543" t="s">
        <v>1818</v>
      </c>
      <c r="AL130" s="543" t="s">
        <v>34</v>
      </c>
      <c r="AM130" s="61" t="s">
        <v>4495</v>
      </c>
      <c r="AN130" s="541">
        <v>0</v>
      </c>
      <c r="AO130" s="541">
        <v>0</v>
      </c>
      <c r="AP130" s="61"/>
      <c r="CG130" t="str">
        <v>AUTH-FLORENCE MANUFACTURING</v>
      </c>
    </row>
    <row r="131" spans="1:85" x14ac:dyDescent="0.2">
      <c r="A131" s="61">
        <v>130</v>
      </c>
      <c r="B131" s="542" t="s">
        <v>853</v>
      </c>
      <c r="C131" s="543" t="s">
        <v>4941</v>
      </c>
      <c r="D131" s="543" t="s">
        <v>4942</v>
      </c>
      <c r="E131" s="543" t="s">
        <v>1727</v>
      </c>
      <c r="F131" s="543" t="s">
        <v>1728</v>
      </c>
      <c r="G131" s="543" t="s">
        <v>34</v>
      </c>
      <c r="H131" s="543" t="s">
        <v>1821</v>
      </c>
      <c r="I131" s="543" t="s">
        <v>5342</v>
      </c>
      <c r="J131" s="543" t="s">
        <v>1809</v>
      </c>
      <c r="K131" s="543" t="s">
        <v>819</v>
      </c>
      <c r="L131" s="543" t="s">
        <v>4943</v>
      </c>
      <c r="M131" s="543" t="s">
        <v>5393</v>
      </c>
      <c r="N131" s="543" t="s">
        <v>5393</v>
      </c>
      <c r="O131" s="543" t="s">
        <v>5343</v>
      </c>
      <c r="P131" s="543" t="s">
        <v>4944</v>
      </c>
      <c r="Q131" s="543" t="s">
        <v>4555</v>
      </c>
      <c r="R131" s="543" t="s">
        <v>4945</v>
      </c>
      <c r="S131" s="543" t="s">
        <v>4946</v>
      </c>
      <c r="T131" s="543">
        <v>1700</v>
      </c>
      <c r="U131" s="543" t="s">
        <v>1841</v>
      </c>
      <c r="V131" s="543" t="s">
        <v>4947</v>
      </c>
      <c r="W131" s="543" t="s">
        <v>4948</v>
      </c>
      <c r="X131" s="543" t="s">
        <v>4556</v>
      </c>
      <c r="Y131" s="543" t="s">
        <v>4278</v>
      </c>
      <c r="Z131" s="543" t="s">
        <v>4949</v>
      </c>
      <c r="AA131" s="543" t="s">
        <v>4556</v>
      </c>
      <c r="AB131" s="543" t="s">
        <v>5097</v>
      </c>
      <c r="AC131" s="543" t="s">
        <v>1816</v>
      </c>
      <c r="AD131" s="543" t="s">
        <v>1817</v>
      </c>
      <c r="AE131" s="543" t="s">
        <v>1455</v>
      </c>
      <c r="AF131" s="543">
        <v>13.1</v>
      </c>
      <c r="AG131" s="543">
        <v>300</v>
      </c>
      <c r="AH131" s="543">
        <v>68</v>
      </c>
      <c r="AI131" s="543" t="s">
        <v>34</v>
      </c>
      <c r="AJ131" s="543" t="s">
        <v>34</v>
      </c>
      <c r="AK131" s="543" t="s">
        <v>1818</v>
      </c>
      <c r="AL131" s="543" t="s">
        <v>34</v>
      </c>
      <c r="AM131" s="61" t="s">
        <v>4495</v>
      </c>
      <c r="AN131" s="541"/>
      <c r="AO131" s="541"/>
      <c r="AP131" s="61"/>
      <c r="CG131" t="str">
        <v>AUTOMATION-PLUS, INC</v>
      </c>
    </row>
    <row r="132" spans="1:85" x14ac:dyDescent="0.2">
      <c r="A132" s="61">
        <v>131</v>
      </c>
      <c r="B132" s="542" t="s">
        <v>853</v>
      </c>
      <c r="C132" s="543" t="s">
        <v>859</v>
      </c>
      <c r="D132" s="543" t="s">
        <v>3760</v>
      </c>
      <c r="E132" s="543" t="s">
        <v>1727</v>
      </c>
      <c r="F132" s="543" t="s">
        <v>1728</v>
      </c>
      <c r="G132" s="543" t="s">
        <v>34</v>
      </c>
      <c r="H132" s="543" t="s">
        <v>1821</v>
      </c>
      <c r="I132" s="543" t="s">
        <v>5342</v>
      </c>
      <c r="J132" s="543" t="s">
        <v>1461</v>
      </c>
      <c r="K132" s="543" t="s">
        <v>1943</v>
      </c>
      <c r="L132" s="543" t="s">
        <v>2272</v>
      </c>
      <c r="M132" s="543">
        <v>126912</v>
      </c>
      <c r="N132" s="543" t="s">
        <v>859</v>
      </c>
      <c r="O132" s="543" t="s">
        <v>665</v>
      </c>
      <c r="P132" s="543" t="s">
        <v>2273</v>
      </c>
      <c r="Q132" s="543" t="s">
        <v>4555</v>
      </c>
      <c r="R132" s="543" t="s">
        <v>1915</v>
      </c>
      <c r="S132" s="543" t="s">
        <v>2274</v>
      </c>
      <c r="T132" s="543">
        <v>21.5</v>
      </c>
      <c r="U132" s="543" t="s">
        <v>1642</v>
      </c>
      <c r="V132" s="543" t="s">
        <v>2275</v>
      </c>
      <c r="W132" s="543" t="s">
        <v>2276</v>
      </c>
      <c r="X132" s="543" t="s">
        <v>4556</v>
      </c>
      <c r="Y132" s="543" t="s">
        <v>109</v>
      </c>
      <c r="Z132" s="543" t="s">
        <v>109</v>
      </c>
      <c r="AA132" s="543" t="s">
        <v>109</v>
      </c>
      <c r="AB132" s="543" t="s">
        <v>34</v>
      </c>
      <c r="AC132" s="543" t="s">
        <v>1816</v>
      </c>
      <c r="AD132" s="543" t="s">
        <v>1817</v>
      </c>
      <c r="AE132" s="543" t="s">
        <v>1455</v>
      </c>
      <c r="AF132" s="543" t="s">
        <v>3040</v>
      </c>
      <c r="AG132" s="543" t="s">
        <v>34</v>
      </c>
      <c r="AH132" s="543" t="s">
        <v>34</v>
      </c>
      <c r="AI132" s="543" t="s">
        <v>34</v>
      </c>
      <c r="AJ132" s="543" t="s">
        <v>34</v>
      </c>
      <c r="AK132" s="543" t="s">
        <v>1818</v>
      </c>
      <c r="AL132" s="543" t="s">
        <v>34</v>
      </c>
      <c r="AM132" s="61" t="s">
        <v>4498</v>
      </c>
      <c r="AN132" s="541">
        <v>0</v>
      </c>
      <c r="AO132" s="541">
        <v>0</v>
      </c>
      <c r="AP132" s="61"/>
      <c r="CG132" t="str">
        <v>AVCON INDUSTRIES, INC.</v>
      </c>
    </row>
    <row r="133" spans="1:85" x14ac:dyDescent="0.2">
      <c r="A133" s="61">
        <v>132</v>
      </c>
      <c r="B133" s="542" t="s">
        <v>864</v>
      </c>
      <c r="C133" s="543" t="s">
        <v>2315</v>
      </c>
      <c r="D133" s="543" t="s">
        <v>3996</v>
      </c>
      <c r="E133" s="543" t="s">
        <v>1729</v>
      </c>
      <c r="F133" s="543" t="s">
        <v>1730</v>
      </c>
      <c r="G133" s="543" t="s">
        <v>34</v>
      </c>
      <c r="H133" s="543" t="s">
        <v>1821</v>
      </c>
      <c r="I133" s="543" t="s">
        <v>5342</v>
      </c>
      <c r="J133" s="543" t="s">
        <v>2089</v>
      </c>
      <c r="K133" s="543" t="s">
        <v>2313</v>
      </c>
      <c r="L133" s="543" t="s">
        <v>2314</v>
      </c>
      <c r="M133" s="543" t="s">
        <v>819</v>
      </c>
      <c r="N133" s="543" t="s">
        <v>2315</v>
      </c>
      <c r="O133" s="543" t="s">
        <v>5345</v>
      </c>
      <c r="P133" s="543" t="s">
        <v>2114</v>
      </c>
      <c r="Q133" s="543" t="s">
        <v>4557</v>
      </c>
      <c r="R133" s="543" t="s">
        <v>1814</v>
      </c>
      <c r="S133" s="543" t="s">
        <v>4909</v>
      </c>
      <c r="T133" s="543">
        <v>1040</v>
      </c>
      <c r="U133" s="543" t="s">
        <v>1841</v>
      </c>
      <c r="V133" s="543" t="s">
        <v>3021</v>
      </c>
      <c r="W133" s="543" t="s">
        <v>4910</v>
      </c>
      <c r="X133" s="543" t="s">
        <v>4556</v>
      </c>
      <c r="Y133" s="543" t="s">
        <v>3021</v>
      </c>
      <c r="Z133" s="543" t="s">
        <v>4910</v>
      </c>
      <c r="AA133" s="543" t="s">
        <v>4556</v>
      </c>
      <c r="AB133" s="543" t="s">
        <v>5098</v>
      </c>
      <c r="AC133" s="543" t="s">
        <v>1816</v>
      </c>
      <c r="AD133" s="543" t="s">
        <v>1817</v>
      </c>
      <c r="AE133" s="543" t="s">
        <v>1455</v>
      </c>
      <c r="AF133" s="543" t="s">
        <v>4914</v>
      </c>
      <c r="AG133" s="543" t="s">
        <v>4915</v>
      </c>
      <c r="AH133" s="543" t="s">
        <v>4916</v>
      </c>
      <c r="AI133" s="543" t="s">
        <v>34</v>
      </c>
      <c r="AJ133" s="543" t="s">
        <v>34</v>
      </c>
      <c r="AK133" s="543" t="s">
        <v>1818</v>
      </c>
      <c r="AL133" s="543" t="s">
        <v>3418</v>
      </c>
      <c r="AM133" s="61" t="s">
        <v>4498</v>
      </c>
      <c r="AN133" s="541">
        <v>1.4583333333333332E-2</v>
      </c>
      <c r="AO133" s="541">
        <v>0</v>
      </c>
      <c r="AP133" s="61"/>
      <c r="CG133" t="str">
        <v>AVFLIGHT</v>
      </c>
    </row>
    <row r="134" spans="1:85" x14ac:dyDescent="0.2">
      <c r="A134" s="61">
        <v>133</v>
      </c>
      <c r="B134" s="542" t="s">
        <v>864</v>
      </c>
      <c r="C134" s="543" t="s">
        <v>2299</v>
      </c>
      <c r="D134" s="543" t="s">
        <v>4011</v>
      </c>
      <c r="E134" s="543" t="s">
        <v>1729</v>
      </c>
      <c r="F134" s="543" t="s">
        <v>1730</v>
      </c>
      <c r="G134" s="543" t="s">
        <v>34</v>
      </c>
      <c r="H134" s="543" t="s">
        <v>1821</v>
      </c>
      <c r="I134" s="543" t="s">
        <v>5342</v>
      </c>
      <c r="J134" s="543" t="s">
        <v>2089</v>
      </c>
      <c r="K134" s="543" t="s">
        <v>870</v>
      </c>
      <c r="L134" s="543" t="s">
        <v>2298</v>
      </c>
      <c r="M134" s="543">
        <v>6625</v>
      </c>
      <c r="N134" s="543" t="s">
        <v>2299</v>
      </c>
      <c r="O134" s="543" t="s">
        <v>5349</v>
      </c>
      <c r="P134" s="543" t="s">
        <v>2300</v>
      </c>
      <c r="Q134" s="543" t="s">
        <v>4553</v>
      </c>
      <c r="R134" s="543" t="s">
        <v>1814</v>
      </c>
      <c r="S134" s="543" t="s">
        <v>2301</v>
      </c>
      <c r="T134" s="543">
        <v>1372</v>
      </c>
      <c r="U134" s="543" t="s">
        <v>1843</v>
      </c>
      <c r="V134" s="543" t="s">
        <v>4302</v>
      </c>
      <c r="W134" s="543" t="s">
        <v>4303</v>
      </c>
      <c r="X134" s="543" t="s">
        <v>4556</v>
      </c>
      <c r="Y134" s="543" t="s">
        <v>3021</v>
      </c>
      <c r="Z134" s="543" t="s">
        <v>4303</v>
      </c>
      <c r="AA134" s="543" t="s">
        <v>4556</v>
      </c>
      <c r="AB134" s="543" t="s">
        <v>34</v>
      </c>
      <c r="AC134" s="543" t="s">
        <v>1816</v>
      </c>
      <c r="AD134" s="543" t="s">
        <v>1817</v>
      </c>
      <c r="AE134" s="543" t="s">
        <v>1455</v>
      </c>
      <c r="AF134" s="543" t="s">
        <v>3040</v>
      </c>
      <c r="AG134" s="543" t="s">
        <v>34</v>
      </c>
      <c r="AH134" s="543" t="s">
        <v>34</v>
      </c>
      <c r="AI134" s="543" t="s">
        <v>34</v>
      </c>
      <c r="AJ134" s="543" t="s">
        <v>34</v>
      </c>
      <c r="AK134" s="543" t="s">
        <v>1818</v>
      </c>
      <c r="AL134" s="543" t="s">
        <v>3418</v>
      </c>
      <c r="AM134" s="61" t="s">
        <v>4495</v>
      </c>
      <c r="AN134" s="541">
        <v>0</v>
      </c>
      <c r="AO134" s="541">
        <v>0</v>
      </c>
      <c r="AP134" s="61"/>
      <c r="CG134" t="str">
        <v>AVIAN PRECISION LLC</v>
      </c>
    </row>
    <row r="135" spans="1:85" x14ac:dyDescent="0.2">
      <c r="A135" s="61">
        <v>134</v>
      </c>
      <c r="B135" s="542" t="s">
        <v>864</v>
      </c>
      <c r="C135" s="543" t="s">
        <v>2319</v>
      </c>
      <c r="D135" s="543" t="s">
        <v>3997</v>
      </c>
      <c r="E135" s="543" t="s">
        <v>1729</v>
      </c>
      <c r="F135" s="543" t="s">
        <v>1730</v>
      </c>
      <c r="G135" s="543" t="s">
        <v>34</v>
      </c>
      <c r="H135" s="543" t="s">
        <v>1821</v>
      </c>
      <c r="I135" s="543" t="s">
        <v>5342</v>
      </c>
      <c r="J135" s="543" t="s">
        <v>2089</v>
      </c>
      <c r="K135" s="543" t="s">
        <v>2316</v>
      </c>
      <c r="L135" s="543" t="s">
        <v>2317</v>
      </c>
      <c r="M135" s="543" t="s">
        <v>2318</v>
      </c>
      <c r="N135" s="543" t="s">
        <v>2319</v>
      </c>
      <c r="O135" s="543" t="s">
        <v>5343</v>
      </c>
      <c r="P135" s="543" t="s">
        <v>2020</v>
      </c>
      <c r="Q135" s="543" t="s">
        <v>4555</v>
      </c>
      <c r="R135" s="543" t="s">
        <v>1814</v>
      </c>
      <c r="S135" s="543" t="s">
        <v>2320</v>
      </c>
      <c r="T135" s="543">
        <v>1273.3</v>
      </c>
      <c r="U135" s="543" t="s">
        <v>1843</v>
      </c>
      <c r="V135" s="543" t="s">
        <v>2234</v>
      </c>
      <c r="W135" s="543" t="s">
        <v>4344</v>
      </c>
      <c r="X135" s="543" t="s">
        <v>4556</v>
      </c>
      <c r="Y135" s="543" t="s">
        <v>4278</v>
      </c>
      <c r="Z135" s="543" t="s">
        <v>4345</v>
      </c>
      <c r="AA135" s="543" t="s">
        <v>4556</v>
      </c>
      <c r="AB135" s="543" t="s">
        <v>5177</v>
      </c>
      <c r="AC135" s="543" t="s">
        <v>1816</v>
      </c>
      <c r="AD135" s="543" t="s">
        <v>1817</v>
      </c>
      <c r="AE135" s="543" t="s">
        <v>1455</v>
      </c>
      <c r="AF135" s="543">
        <v>36</v>
      </c>
      <c r="AG135" s="543">
        <v>360</v>
      </c>
      <c r="AH135" s="543">
        <v>60</v>
      </c>
      <c r="AI135" s="543" t="s">
        <v>34</v>
      </c>
      <c r="AJ135" s="543" t="s">
        <v>34</v>
      </c>
      <c r="AK135" s="543" t="s">
        <v>1818</v>
      </c>
      <c r="AL135" s="543" t="s">
        <v>3418</v>
      </c>
      <c r="AM135" s="61" t="s">
        <v>4502</v>
      </c>
      <c r="AN135" s="541">
        <v>1.4583333333333332E-2</v>
      </c>
      <c r="AO135" s="541">
        <v>2.1527777777777781E-2</v>
      </c>
      <c r="AP135" s="61"/>
      <c r="CG135" t="str">
        <v>AVIATION CONSULTING &amp; ENGINEERING SOL</v>
      </c>
    </row>
    <row r="136" spans="1:85" x14ac:dyDescent="0.2">
      <c r="A136" s="61">
        <v>135</v>
      </c>
      <c r="B136" s="542" t="s">
        <v>864</v>
      </c>
      <c r="C136" s="543" t="s">
        <v>2293</v>
      </c>
      <c r="D136" s="543" t="s">
        <v>4012</v>
      </c>
      <c r="E136" s="543" t="s">
        <v>1729</v>
      </c>
      <c r="F136" s="543" t="s">
        <v>1730</v>
      </c>
      <c r="G136" s="543" t="s">
        <v>34</v>
      </c>
      <c r="H136" s="543" t="s">
        <v>1821</v>
      </c>
      <c r="I136" s="543" t="s">
        <v>5342</v>
      </c>
      <c r="J136" s="543" t="s">
        <v>2089</v>
      </c>
      <c r="K136" s="543" t="s">
        <v>2291</v>
      </c>
      <c r="L136" s="543" t="s">
        <v>2292</v>
      </c>
      <c r="M136" s="543">
        <v>2615</v>
      </c>
      <c r="N136" s="543" t="s">
        <v>2293</v>
      </c>
      <c r="O136" s="543" t="s">
        <v>5343</v>
      </c>
      <c r="P136" s="543" t="s">
        <v>2294</v>
      </c>
      <c r="Q136" s="543" t="s">
        <v>4555</v>
      </c>
      <c r="R136" s="543" t="s">
        <v>1814</v>
      </c>
      <c r="S136" s="543" t="s">
        <v>2295</v>
      </c>
      <c r="T136" s="543">
        <v>400.9</v>
      </c>
      <c r="U136" s="543" t="s">
        <v>1841</v>
      </c>
      <c r="V136" s="543" t="s">
        <v>2234</v>
      </c>
      <c r="W136" s="543" t="s">
        <v>4607</v>
      </c>
      <c r="X136" s="543" t="s">
        <v>4556</v>
      </c>
      <c r="Y136" s="543" t="s">
        <v>2296</v>
      </c>
      <c r="Z136" s="543" t="s">
        <v>2297</v>
      </c>
      <c r="AA136" s="543" t="s">
        <v>4556</v>
      </c>
      <c r="AB136" s="543" t="s">
        <v>4620</v>
      </c>
      <c r="AC136" s="543" t="s">
        <v>1816</v>
      </c>
      <c r="AD136" s="543" t="s">
        <v>1817</v>
      </c>
      <c r="AE136" s="543" t="s">
        <v>1455</v>
      </c>
      <c r="AF136" s="543">
        <v>8.4</v>
      </c>
      <c r="AG136" s="543">
        <v>105</v>
      </c>
      <c r="AH136" s="543">
        <v>18</v>
      </c>
      <c r="AI136" s="543" t="s">
        <v>34</v>
      </c>
      <c r="AJ136" s="543" t="s">
        <v>34</v>
      </c>
      <c r="AK136" s="543" t="s">
        <v>1818</v>
      </c>
      <c r="AL136" s="543" t="s">
        <v>3418</v>
      </c>
      <c r="AM136" s="61" t="s">
        <v>4502</v>
      </c>
      <c r="AN136" s="541">
        <v>1.4583333333333332E-2</v>
      </c>
      <c r="AO136" s="541">
        <v>2.1527777777777781E-2</v>
      </c>
      <c r="AP136" s="61"/>
      <c r="CG136" t="str">
        <v>AXIOM ENGINEERING INC.</v>
      </c>
    </row>
    <row r="137" spans="1:85" x14ac:dyDescent="0.2">
      <c r="A137" s="61">
        <v>136</v>
      </c>
      <c r="B137" s="542" t="s">
        <v>864</v>
      </c>
      <c r="C137" s="543" t="s">
        <v>4202</v>
      </c>
      <c r="D137" s="543" t="s">
        <v>4203</v>
      </c>
      <c r="E137" s="543" t="s">
        <v>1729</v>
      </c>
      <c r="F137" s="543" t="s">
        <v>1730</v>
      </c>
      <c r="G137" s="543" t="s">
        <v>34</v>
      </c>
      <c r="H137" s="543" t="s">
        <v>1821</v>
      </c>
      <c r="I137" s="543" t="s">
        <v>5342</v>
      </c>
      <c r="J137" s="543" t="s">
        <v>2089</v>
      </c>
      <c r="K137" s="543" t="s">
        <v>1883</v>
      </c>
      <c r="L137" s="543" t="s">
        <v>2302</v>
      </c>
      <c r="M137" s="543">
        <v>207049</v>
      </c>
      <c r="N137" s="543" t="s">
        <v>2303</v>
      </c>
      <c r="O137" s="543" t="s">
        <v>5365</v>
      </c>
      <c r="P137" s="543" t="s">
        <v>4053</v>
      </c>
      <c r="Q137" s="543" t="s">
        <v>4564</v>
      </c>
      <c r="R137" s="543" t="s">
        <v>1814</v>
      </c>
      <c r="S137" s="543" t="s">
        <v>2305</v>
      </c>
      <c r="T137" s="543">
        <v>156</v>
      </c>
      <c r="U137" s="543" t="s">
        <v>1841</v>
      </c>
      <c r="V137" s="543" t="s">
        <v>2306</v>
      </c>
      <c r="W137" s="543">
        <v>7083003</v>
      </c>
      <c r="X137" s="543" t="s">
        <v>4556</v>
      </c>
      <c r="Y137" s="543" t="s">
        <v>4276</v>
      </c>
      <c r="Z137" s="543" t="s">
        <v>4277</v>
      </c>
      <c r="AA137" s="543" t="s">
        <v>4556</v>
      </c>
      <c r="AB137" s="543" t="s">
        <v>2307</v>
      </c>
      <c r="AC137" s="543" t="s">
        <v>1816</v>
      </c>
      <c r="AD137" s="543" t="s">
        <v>1817</v>
      </c>
      <c r="AE137" s="543" t="s">
        <v>1455</v>
      </c>
      <c r="AF137" s="543" t="s">
        <v>3557</v>
      </c>
      <c r="AG137" s="543" t="s">
        <v>3558</v>
      </c>
      <c r="AH137" s="543" t="s">
        <v>3605</v>
      </c>
      <c r="AI137" s="543" t="s">
        <v>4015</v>
      </c>
      <c r="AJ137" s="543" t="s">
        <v>34</v>
      </c>
      <c r="AK137" s="543" t="s">
        <v>1818</v>
      </c>
      <c r="AL137" s="543" t="s">
        <v>3418</v>
      </c>
      <c r="AM137" s="61" t="s">
        <v>4495</v>
      </c>
      <c r="AN137" s="541">
        <v>0</v>
      </c>
      <c r="AO137" s="541">
        <v>0</v>
      </c>
      <c r="AP137" s="61"/>
      <c r="CG137" t="str">
        <v>Advanced Technical Skills Inst</v>
      </c>
    </row>
    <row r="138" spans="1:85" x14ac:dyDescent="0.2">
      <c r="A138" s="61">
        <v>137</v>
      </c>
      <c r="B138" s="542" t="s">
        <v>864</v>
      </c>
      <c r="C138" s="543" t="s">
        <v>4204</v>
      </c>
      <c r="D138" s="543" t="s">
        <v>4205</v>
      </c>
      <c r="E138" s="543" t="s">
        <v>1729</v>
      </c>
      <c r="F138" s="543" t="s">
        <v>1730</v>
      </c>
      <c r="G138" s="543" t="s">
        <v>34</v>
      </c>
      <c r="H138" s="543" t="s">
        <v>1821</v>
      </c>
      <c r="I138" s="543" t="s">
        <v>5342</v>
      </c>
      <c r="J138" s="543" t="s">
        <v>2089</v>
      </c>
      <c r="K138" s="543" t="s">
        <v>1883</v>
      </c>
      <c r="L138" s="543" t="s">
        <v>2302</v>
      </c>
      <c r="M138" s="543">
        <v>207049</v>
      </c>
      <c r="N138" s="543" t="s">
        <v>2303</v>
      </c>
      <c r="O138" s="543" t="s">
        <v>5365</v>
      </c>
      <c r="P138" s="543" t="s">
        <v>4053</v>
      </c>
      <c r="Q138" s="543" t="s">
        <v>4564</v>
      </c>
      <c r="R138" s="543" t="s">
        <v>1814</v>
      </c>
      <c r="S138" s="543" t="s">
        <v>2305</v>
      </c>
      <c r="T138" s="543">
        <v>156</v>
      </c>
      <c r="U138" s="543" t="s">
        <v>1843</v>
      </c>
      <c r="V138" s="543" t="s">
        <v>2306</v>
      </c>
      <c r="W138" s="543">
        <v>7083003</v>
      </c>
      <c r="X138" s="543" t="s">
        <v>4556</v>
      </c>
      <c r="Y138" s="543" t="s">
        <v>4278</v>
      </c>
      <c r="Z138" s="543" t="s">
        <v>4277</v>
      </c>
      <c r="AA138" s="543" t="s">
        <v>4556</v>
      </c>
      <c r="AB138" s="543" t="s">
        <v>2307</v>
      </c>
      <c r="AC138" s="543" t="s">
        <v>1816</v>
      </c>
      <c r="AD138" s="543" t="s">
        <v>1817</v>
      </c>
      <c r="AE138" s="543" t="s">
        <v>1455</v>
      </c>
      <c r="AF138" s="543" t="s">
        <v>3557</v>
      </c>
      <c r="AG138" s="543" t="s">
        <v>3558</v>
      </c>
      <c r="AH138" s="543" t="s">
        <v>3605</v>
      </c>
      <c r="AI138" s="543" t="s">
        <v>4015</v>
      </c>
      <c r="AJ138" s="543" t="s">
        <v>34</v>
      </c>
      <c r="AK138" s="543" t="s">
        <v>1818</v>
      </c>
      <c r="AL138" s="543" t="s">
        <v>3418</v>
      </c>
      <c r="AM138" s="61" t="s">
        <v>4495</v>
      </c>
      <c r="AN138" s="541">
        <v>0</v>
      </c>
      <c r="AO138" s="541">
        <v>0</v>
      </c>
      <c r="AP138" s="61"/>
      <c r="CG138" t="str">
        <v>Aero Precision Services</v>
      </c>
    </row>
    <row r="139" spans="1:85" x14ac:dyDescent="0.2">
      <c r="A139" s="61">
        <v>138</v>
      </c>
      <c r="B139" s="542" t="s">
        <v>864</v>
      </c>
      <c r="C139" s="543" t="s">
        <v>4346</v>
      </c>
      <c r="D139" s="543" t="s">
        <v>4347</v>
      </c>
      <c r="E139" s="543" t="s">
        <v>1729</v>
      </c>
      <c r="F139" s="543" t="s">
        <v>1730</v>
      </c>
      <c r="G139" s="543" t="s">
        <v>34</v>
      </c>
      <c r="H139" s="543" t="s">
        <v>1821</v>
      </c>
      <c r="I139" s="543" t="s">
        <v>5342</v>
      </c>
      <c r="J139" s="543" t="s">
        <v>2089</v>
      </c>
      <c r="K139" s="543" t="s">
        <v>1883</v>
      </c>
      <c r="L139" s="543" t="s">
        <v>2302</v>
      </c>
      <c r="M139" s="543">
        <v>207049</v>
      </c>
      <c r="N139" s="543" t="s">
        <v>2303</v>
      </c>
      <c r="O139" s="543" t="s">
        <v>5365</v>
      </c>
      <c r="P139" s="543" t="s">
        <v>4053</v>
      </c>
      <c r="Q139" s="543" t="s">
        <v>4564</v>
      </c>
      <c r="R139" s="543" t="s">
        <v>1814</v>
      </c>
      <c r="S139" s="543" t="s">
        <v>2305</v>
      </c>
      <c r="T139" s="543">
        <v>156</v>
      </c>
      <c r="U139" s="543" t="s">
        <v>1844</v>
      </c>
      <c r="V139" s="543" t="s">
        <v>2306</v>
      </c>
      <c r="W139" s="543">
        <v>7083003</v>
      </c>
      <c r="X139" s="543" t="s">
        <v>4556</v>
      </c>
      <c r="Y139" s="543" t="s">
        <v>4278</v>
      </c>
      <c r="Z139" s="543" t="s">
        <v>4277</v>
      </c>
      <c r="AA139" s="543" t="s">
        <v>4556</v>
      </c>
      <c r="AB139" s="543" t="s">
        <v>2307</v>
      </c>
      <c r="AC139" s="543" t="s">
        <v>1816</v>
      </c>
      <c r="AD139" s="543" t="s">
        <v>1817</v>
      </c>
      <c r="AE139" s="543" t="s">
        <v>1455</v>
      </c>
      <c r="AF139" s="543" t="s">
        <v>3557</v>
      </c>
      <c r="AG139" s="543" t="s">
        <v>3558</v>
      </c>
      <c r="AH139" s="543" t="s">
        <v>3605</v>
      </c>
      <c r="AI139" s="543" t="s">
        <v>4015</v>
      </c>
      <c r="AJ139" s="543" t="s">
        <v>34</v>
      </c>
      <c r="AK139" s="543" t="s">
        <v>1818</v>
      </c>
      <c r="AL139" s="543" t="s">
        <v>3418</v>
      </c>
      <c r="AM139" s="61" t="s">
        <v>4495</v>
      </c>
      <c r="AN139" s="541">
        <v>0</v>
      </c>
      <c r="AO139" s="541">
        <v>0</v>
      </c>
      <c r="AP139" s="61"/>
      <c r="CG139" t="str">
        <v>All Around Lawn Care, LLC</v>
      </c>
    </row>
    <row r="140" spans="1:85" x14ac:dyDescent="0.2">
      <c r="A140" s="61">
        <v>139</v>
      </c>
      <c r="B140" s="542" t="s">
        <v>864</v>
      </c>
      <c r="C140" s="543" t="s">
        <v>3462</v>
      </c>
      <c r="D140" s="543" t="s">
        <v>4013</v>
      </c>
      <c r="E140" s="543" t="s">
        <v>1729</v>
      </c>
      <c r="F140" s="543" t="s">
        <v>1730</v>
      </c>
      <c r="G140" s="543" t="s">
        <v>34</v>
      </c>
      <c r="H140" s="543" t="s">
        <v>1821</v>
      </c>
      <c r="I140" s="543" t="s">
        <v>5342</v>
      </c>
      <c r="J140" s="543" t="s">
        <v>2089</v>
      </c>
      <c r="K140" s="543" t="s">
        <v>2308</v>
      </c>
      <c r="L140" s="543" t="s">
        <v>2309</v>
      </c>
      <c r="M140" s="543" t="s">
        <v>2310</v>
      </c>
      <c r="N140" s="543" t="s">
        <v>3462</v>
      </c>
      <c r="O140" s="543" t="s">
        <v>5349</v>
      </c>
      <c r="P140" s="543" t="s">
        <v>4474</v>
      </c>
      <c r="Q140" s="543" t="s">
        <v>4553</v>
      </c>
      <c r="R140" s="543" t="s">
        <v>1814</v>
      </c>
      <c r="S140" s="543" t="s">
        <v>4475</v>
      </c>
      <c r="T140" s="543">
        <v>105.59</v>
      </c>
      <c r="U140" s="543" t="s">
        <v>1843</v>
      </c>
      <c r="V140" s="543" t="s">
        <v>2311</v>
      </c>
      <c r="W140" s="543" t="s">
        <v>2312</v>
      </c>
      <c r="X140" s="543" t="s">
        <v>4556</v>
      </c>
      <c r="Y140" s="543" t="s">
        <v>2311</v>
      </c>
      <c r="Z140" s="543" t="s">
        <v>2312</v>
      </c>
      <c r="AA140" s="543" t="s">
        <v>4556</v>
      </c>
      <c r="AB140" s="543" t="s">
        <v>5394</v>
      </c>
      <c r="AC140" s="543" t="s">
        <v>1816</v>
      </c>
      <c r="AD140" s="543" t="s">
        <v>1817</v>
      </c>
      <c r="AE140" s="543" t="s">
        <v>1455</v>
      </c>
      <c r="AF140" s="543">
        <v>1.6</v>
      </c>
      <c r="AG140" s="543" t="s">
        <v>4476</v>
      </c>
      <c r="AH140" s="543" t="s">
        <v>4477</v>
      </c>
      <c r="AI140" s="543" t="s">
        <v>4478</v>
      </c>
      <c r="AJ140" s="543" t="s">
        <v>34</v>
      </c>
      <c r="AK140" s="543" t="s">
        <v>1818</v>
      </c>
      <c r="AL140" s="543" t="s">
        <v>3418</v>
      </c>
      <c r="AM140" s="61" t="s">
        <v>4502</v>
      </c>
      <c r="AN140" s="541">
        <v>0</v>
      </c>
      <c r="AO140" s="541">
        <v>0</v>
      </c>
      <c r="AP140" s="61"/>
      <c r="CG140" t="str">
        <v>Allied Motion/Emoteq</v>
      </c>
    </row>
    <row r="141" spans="1:85" x14ac:dyDescent="0.2">
      <c r="A141" s="61">
        <v>140</v>
      </c>
      <c r="B141" s="542" t="s">
        <v>880</v>
      </c>
      <c r="C141" s="543" t="s">
        <v>2380</v>
      </c>
      <c r="D141" s="543" t="s">
        <v>4348</v>
      </c>
      <c r="E141" s="543" t="s">
        <v>1732</v>
      </c>
      <c r="F141" s="543" t="s">
        <v>1733</v>
      </c>
      <c r="G141" s="543" t="s">
        <v>34</v>
      </c>
      <c r="H141" s="543" t="s">
        <v>1821</v>
      </c>
      <c r="I141" s="543" t="s">
        <v>5342</v>
      </c>
      <c r="J141" s="543" t="s">
        <v>2089</v>
      </c>
      <c r="K141" s="543" t="s">
        <v>892</v>
      </c>
      <c r="L141" s="543" t="s">
        <v>2379</v>
      </c>
      <c r="M141" s="543" t="s">
        <v>2380</v>
      </c>
      <c r="N141" s="543" t="s">
        <v>892</v>
      </c>
      <c r="O141" s="543" t="s">
        <v>5366</v>
      </c>
      <c r="P141" s="543" t="s">
        <v>2374</v>
      </c>
      <c r="Q141" s="543" t="s">
        <v>4553</v>
      </c>
      <c r="R141" s="543" t="s">
        <v>1814</v>
      </c>
      <c r="S141" s="543" t="s">
        <v>2381</v>
      </c>
      <c r="T141" s="543">
        <v>80</v>
      </c>
      <c r="U141" s="543" t="s">
        <v>1843</v>
      </c>
      <c r="V141" s="543" t="s">
        <v>2382</v>
      </c>
      <c r="W141" s="543" t="s">
        <v>2383</v>
      </c>
      <c r="X141" s="543" t="s">
        <v>4669</v>
      </c>
      <c r="Y141" s="543" t="s">
        <v>4278</v>
      </c>
      <c r="Z141" s="543" t="s">
        <v>4277</v>
      </c>
      <c r="AA141" s="543" t="s">
        <v>4669</v>
      </c>
      <c r="AB141" s="543" t="s">
        <v>34</v>
      </c>
      <c r="AC141" s="543" t="s">
        <v>1816</v>
      </c>
      <c r="AD141" s="543" t="s">
        <v>1817</v>
      </c>
      <c r="AE141" s="543" t="s">
        <v>1455</v>
      </c>
      <c r="AF141" s="543" t="s">
        <v>3561</v>
      </c>
      <c r="AG141" s="543" t="s">
        <v>3562</v>
      </c>
      <c r="AH141" s="543" t="s">
        <v>3562</v>
      </c>
      <c r="AI141" s="543" t="s">
        <v>3610</v>
      </c>
      <c r="AJ141" s="543" t="s">
        <v>34</v>
      </c>
      <c r="AK141" s="543" t="s">
        <v>1818</v>
      </c>
      <c r="AL141" s="543" t="s">
        <v>34</v>
      </c>
      <c r="AM141" s="61" t="s">
        <v>4498</v>
      </c>
      <c r="AN141" s="541">
        <v>0</v>
      </c>
      <c r="AO141" s="541">
        <v>0</v>
      </c>
      <c r="AP141" s="61"/>
      <c r="CG141" t="str">
        <v>Alpha HVAC &amp; Plumbing</v>
      </c>
    </row>
    <row r="142" spans="1:85" x14ac:dyDescent="0.2">
      <c r="A142" s="61">
        <v>141</v>
      </c>
      <c r="B142" s="542" t="s">
        <v>880</v>
      </c>
      <c r="C142" s="543" t="s">
        <v>888</v>
      </c>
      <c r="D142" s="543" t="s">
        <v>4043</v>
      </c>
      <c r="E142" s="543" t="s">
        <v>1732</v>
      </c>
      <c r="F142" s="543" t="s">
        <v>1733</v>
      </c>
      <c r="G142" s="543" t="s">
        <v>34</v>
      </c>
      <c r="H142" s="543" t="s">
        <v>1821</v>
      </c>
      <c r="I142" s="543" t="s">
        <v>5342</v>
      </c>
      <c r="J142" s="543" t="s">
        <v>1461</v>
      </c>
      <c r="K142" s="543" t="s">
        <v>2349</v>
      </c>
      <c r="L142" s="543" t="s">
        <v>4044</v>
      </c>
      <c r="M142" s="543">
        <v>145627</v>
      </c>
      <c r="N142" s="543" t="s">
        <v>888</v>
      </c>
      <c r="O142" s="543" t="s">
        <v>665</v>
      </c>
      <c r="P142" s="543" t="s">
        <v>2412</v>
      </c>
      <c r="Q142" s="543" t="s">
        <v>1819</v>
      </c>
      <c r="R142" s="543" t="s">
        <v>1814</v>
      </c>
      <c r="S142" s="543" t="s">
        <v>2355</v>
      </c>
      <c r="T142" s="543" t="s">
        <v>109</v>
      </c>
      <c r="U142" s="543" t="s">
        <v>1844</v>
      </c>
      <c r="V142" s="543" t="s">
        <v>2356</v>
      </c>
      <c r="W142" s="543" t="s">
        <v>2357</v>
      </c>
      <c r="X142" s="543" t="s">
        <v>2358</v>
      </c>
      <c r="Y142" s="543" t="s">
        <v>109</v>
      </c>
      <c r="Z142" s="543" t="s">
        <v>109</v>
      </c>
      <c r="AA142" s="543" t="s">
        <v>109</v>
      </c>
      <c r="AB142" s="543" t="s">
        <v>34</v>
      </c>
      <c r="AC142" s="543" t="s">
        <v>1816</v>
      </c>
      <c r="AD142" s="543" t="s">
        <v>1817</v>
      </c>
      <c r="AE142" s="543" t="s">
        <v>1455</v>
      </c>
      <c r="AF142" s="543" t="s">
        <v>3040</v>
      </c>
      <c r="AG142" s="543" t="s">
        <v>34</v>
      </c>
      <c r="AH142" s="543" t="s">
        <v>34</v>
      </c>
      <c r="AI142" s="543" t="s">
        <v>34</v>
      </c>
      <c r="AJ142" s="543" t="s">
        <v>34</v>
      </c>
      <c r="AK142" s="543" t="s">
        <v>1818</v>
      </c>
      <c r="AL142" s="543" t="s">
        <v>34</v>
      </c>
      <c r="AM142" s="61" t="s">
        <v>4495</v>
      </c>
      <c r="AN142" s="541">
        <v>0</v>
      </c>
      <c r="AO142" s="541">
        <v>0</v>
      </c>
      <c r="AP142" s="61"/>
      <c r="CG142" t="str">
        <v>Anderson &amp; Forrester</v>
      </c>
    </row>
    <row r="143" spans="1:85" x14ac:dyDescent="0.2">
      <c r="A143" s="61">
        <v>142</v>
      </c>
      <c r="B143" s="542" t="s">
        <v>880</v>
      </c>
      <c r="C143" s="543" t="s">
        <v>886</v>
      </c>
      <c r="D143" s="543" t="s">
        <v>3761</v>
      </c>
      <c r="E143" s="543" t="s">
        <v>1732</v>
      </c>
      <c r="F143" s="543" t="s">
        <v>1733</v>
      </c>
      <c r="G143" s="543" t="s">
        <v>34</v>
      </c>
      <c r="H143" s="543" t="s">
        <v>1821</v>
      </c>
      <c r="I143" s="543" t="s">
        <v>5342</v>
      </c>
      <c r="J143" s="543" t="s">
        <v>1461</v>
      </c>
      <c r="K143" s="543" t="s">
        <v>2349</v>
      </c>
      <c r="L143" s="543" t="s">
        <v>2350</v>
      </c>
      <c r="M143" s="543">
        <v>31191</v>
      </c>
      <c r="N143" s="543" t="s">
        <v>886</v>
      </c>
      <c r="O143" s="543" t="s">
        <v>665</v>
      </c>
      <c r="P143" s="543" t="s">
        <v>2352</v>
      </c>
      <c r="Q143" s="543" t="s">
        <v>1819</v>
      </c>
      <c r="R143" s="543" t="s">
        <v>1814</v>
      </c>
      <c r="S143" s="543" t="s">
        <v>2355</v>
      </c>
      <c r="T143" s="543" t="s">
        <v>109</v>
      </c>
      <c r="U143" s="543" t="s">
        <v>1844</v>
      </c>
      <c r="V143" s="543" t="s">
        <v>2356</v>
      </c>
      <c r="W143" s="543" t="s">
        <v>2357</v>
      </c>
      <c r="X143" s="543" t="s">
        <v>2358</v>
      </c>
      <c r="Y143" s="543" t="s">
        <v>109</v>
      </c>
      <c r="Z143" s="543" t="s">
        <v>109</v>
      </c>
      <c r="AA143" s="543" t="s">
        <v>109</v>
      </c>
      <c r="AB143" s="543" t="s">
        <v>34</v>
      </c>
      <c r="AC143" s="543" t="s">
        <v>1816</v>
      </c>
      <c r="AD143" s="543" t="s">
        <v>1817</v>
      </c>
      <c r="AE143" s="543" t="s">
        <v>1455</v>
      </c>
      <c r="AF143" s="543" t="s">
        <v>3040</v>
      </c>
      <c r="AG143" s="543" t="s">
        <v>34</v>
      </c>
      <c r="AH143" s="543" t="s">
        <v>34</v>
      </c>
      <c r="AI143" s="543" t="s">
        <v>34</v>
      </c>
      <c r="AJ143" s="543" t="s">
        <v>34</v>
      </c>
      <c r="AK143" s="543" t="s">
        <v>1818</v>
      </c>
      <c r="AL143" s="543" t="s">
        <v>34</v>
      </c>
      <c r="AM143" s="61" t="s">
        <v>4495</v>
      </c>
      <c r="AN143" s="541">
        <v>0</v>
      </c>
      <c r="AO143" s="541">
        <v>0</v>
      </c>
      <c r="AP143" s="61"/>
      <c r="CG143" t="str">
        <v>Apex Lawn Irrigation</v>
      </c>
    </row>
    <row r="144" spans="1:85" x14ac:dyDescent="0.2">
      <c r="A144" s="61">
        <v>143</v>
      </c>
      <c r="B144" s="542" t="s">
        <v>880</v>
      </c>
      <c r="C144" s="543" t="s">
        <v>884</v>
      </c>
      <c r="D144" s="543" t="s">
        <v>3762</v>
      </c>
      <c r="E144" s="543" t="s">
        <v>1732</v>
      </c>
      <c r="F144" s="543" t="s">
        <v>1733</v>
      </c>
      <c r="G144" s="543" t="s">
        <v>34</v>
      </c>
      <c r="H144" s="543" t="s">
        <v>1821</v>
      </c>
      <c r="I144" s="543" t="s">
        <v>5342</v>
      </c>
      <c r="J144" s="543" t="s">
        <v>1461</v>
      </c>
      <c r="K144" s="543" t="s">
        <v>2349</v>
      </c>
      <c r="L144" s="543" t="s">
        <v>2350</v>
      </c>
      <c r="M144" s="543" t="s">
        <v>2351</v>
      </c>
      <c r="N144" s="543" t="s">
        <v>884</v>
      </c>
      <c r="O144" s="543" t="s">
        <v>665</v>
      </c>
      <c r="P144" s="543" t="s">
        <v>2352</v>
      </c>
      <c r="Q144" s="543" t="s">
        <v>1819</v>
      </c>
      <c r="R144" s="543" t="s">
        <v>1814</v>
      </c>
      <c r="S144" s="543" t="s">
        <v>2353</v>
      </c>
      <c r="T144" s="543" t="s">
        <v>109</v>
      </c>
      <c r="U144" s="543" t="s">
        <v>1844</v>
      </c>
      <c r="V144" s="543" t="s">
        <v>2354</v>
      </c>
      <c r="W144" s="543" t="s">
        <v>882</v>
      </c>
      <c r="X144" s="543" t="s">
        <v>1894</v>
      </c>
      <c r="Y144" s="543" t="s">
        <v>109</v>
      </c>
      <c r="Z144" s="543" t="s">
        <v>109</v>
      </c>
      <c r="AA144" s="543" t="s">
        <v>109</v>
      </c>
      <c r="AB144" s="543" t="s">
        <v>34</v>
      </c>
      <c r="AC144" s="543" t="s">
        <v>1816</v>
      </c>
      <c r="AD144" s="543" t="s">
        <v>1817</v>
      </c>
      <c r="AE144" s="543" t="s">
        <v>1455</v>
      </c>
      <c r="AF144" s="543" t="s">
        <v>3040</v>
      </c>
      <c r="AG144" s="543" t="s">
        <v>34</v>
      </c>
      <c r="AH144" s="543" t="s">
        <v>34</v>
      </c>
      <c r="AI144" s="543" t="s">
        <v>34</v>
      </c>
      <c r="AJ144" s="543" t="s">
        <v>34</v>
      </c>
      <c r="AK144" s="543" t="s">
        <v>1818</v>
      </c>
      <c r="AL144" s="543" t="s">
        <v>34</v>
      </c>
      <c r="AM144" s="61" t="s">
        <v>4495</v>
      </c>
      <c r="AN144" s="541">
        <v>0</v>
      </c>
      <c r="AO144" s="541">
        <v>0</v>
      </c>
      <c r="AP144" s="61"/>
      <c r="CG144" t="str">
        <v>B &amp; B AIRPARTS, INC.</v>
      </c>
    </row>
    <row r="145" spans="1:85" x14ac:dyDescent="0.2">
      <c r="A145" s="61">
        <v>144</v>
      </c>
      <c r="B145" s="542" t="s">
        <v>880</v>
      </c>
      <c r="C145" s="543" t="s">
        <v>902</v>
      </c>
      <c r="D145" s="543" t="s">
        <v>3763</v>
      </c>
      <c r="E145" s="543" t="s">
        <v>1732</v>
      </c>
      <c r="F145" s="543" t="s">
        <v>1733</v>
      </c>
      <c r="G145" s="543" t="s">
        <v>34</v>
      </c>
      <c r="H145" s="543" t="s">
        <v>1821</v>
      </c>
      <c r="I145" s="543" t="s">
        <v>5342</v>
      </c>
      <c r="J145" s="543" t="s">
        <v>2089</v>
      </c>
      <c r="K145" s="543" t="s">
        <v>878</v>
      </c>
      <c r="L145" s="543" t="s">
        <v>2365</v>
      </c>
      <c r="M145" s="543" t="s">
        <v>902</v>
      </c>
      <c r="N145" s="543" t="s">
        <v>902</v>
      </c>
      <c r="O145" s="543" t="s">
        <v>665</v>
      </c>
      <c r="P145" s="543" t="s">
        <v>1882</v>
      </c>
      <c r="Q145" s="543" t="s">
        <v>4568</v>
      </c>
      <c r="R145" s="543" t="s">
        <v>1979</v>
      </c>
      <c r="S145" s="543" t="s">
        <v>2366</v>
      </c>
      <c r="T145" s="543">
        <v>450</v>
      </c>
      <c r="U145" s="543" t="s">
        <v>1844</v>
      </c>
      <c r="V145" s="543" t="s">
        <v>2367</v>
      </c>
      <c r="W145" s="543" t="s">
        <v>902</v>
      </c>
      <c r="X145" s="543" t="s">
        <v>4556</v>
      </c>
      <c r="Y145" s="543" t="s">
        <v>109</v>
      </c>
      <c r="Z145" s="543" t="s">
        <v>109</v>
      </c>
      <c r="AA145" s="543" t="s">
        <v>109</v>
      </c>
      <c r="AB145" s="543" t="s">
        <v>2368</v>
      </c>
      <c r="AC145" s="543" t="s">
        <v>1816</v>
      </c>
      <c r="AD145" s="543" t="s">
        <v>1817</v>
      </c>
      <c r="AE145" s="543" t="s">
        <v>1455</v>
      </c>
      <c r="AF145" s="543">
        <v>78</v>
      </c>
      <c r="AG145" s="543">
        <v>66</v>
      </c>
      <c r="AH145" s="543">
        <v>11</v>
      </c>
      <c r="AI145" s="543" t="s">
        <v>34</v>
      </c>
      <c r="AJ145" s="543" t="s">
        <v>34</v>
      </c>
      <c r="AK145" s="543" t="s">
        <v>1818</v>
      </c>
      <c r="AL145" s="543" t="s">
        <v>34</v>
      </c>
      <c r="AM145" s="61" t="s">
        <v>4495</v>
      </c>
      <c r="AN145" s="541">
        <v>0</v>
      </c>
      <c r="AO145" s="541">
        <v>0</v>
      </c>
      <c r="AP145" s="61"/>
      <c r="CG145" t="str">
        <v>B &amp; C SPECIALTY PRODUCTS</v>
      </c>
    </row>
    <row r="146" spans="1:85" x14ac:dyDescent="0.2">
      <c r="A146" s="61">
        <v>145</v>
      </c>
      <c r="B146" s="542" t="s">
        <v>880</v>
      </c>
      <c r="C146" s="543" t="s">
        <v>900</v>
      </c>
      <c r="D146" s="543" t="s">
        <v>3764</v>
      </c>
      <c r="E146" s="543" t="s">
        <v>1732</v>
      </c>
      <c r="F146" s="543" t="s">
        <v>1733</v>
      </c>
      <c r="G146" s="543" t="s">
        <v>34</v>
      </c>
      <c r="H146" s="543" t="s">
        <v>1821</v>
      </c>
      <c r="I146" s="543" t="s">
        <v>5342</v>
      </c>
      <c r="J146" s="543" t="s">
        <v>2089</v>
      </c>
      <c r="K146" s="543" t="s">
        <v>878</v>
      </c>
      <c r="L146" s="543" t="s">
        <v>2369</v>
      </c>
      <c r="M146" s="543">
        <v>2605</v>
      </c>
      <c r="N146" s="543" t="s">
        <v>900</v>
      </c>
      <c r="O146" s="543" t="s">
        <v>5347</v>
      </c>
      <c r="P146" s="543" t="s">
        <v>2370</v>
      </c>
      <c r="Q146" s="543" t="s">
        <v>4555</v>
      </c>
      <c r="R146" s="543" t="s">
        <v>1979</v>
      </c>
      <c r="S146" s="543" t="s">
        <v>2371</v>
      </c>
      <c r="T146" s="543">
        <v>693</v>
      </c>
      <c r="U146" s="543" t="s">
        <v>1841</v>
      </c>
      <c r="V146" s="543" t="s">
        <v>4519</v>
      </c>
      <c r="W146" s="543">
        <v>547274</v>
      </c>
      <c r="X146" s="543" t="s">
        <v>4556</v>
      </c>
      <c r="Y146" s="543" t="s">
        <v>4814</v>
      </c>
      <c r="Z146" s="543" t="s">
        <v>4815</v>
      </c>
      <c r="AA146" s="543" t="s">
        <v>4556</v>
      </c>
      <c r="AB146" s="543" t="s">
        <v>2372</v>
      </c>
      <c r="AC146" s="543" t="s">
        <v>1816</v>
      </c>
      <c r="AD146" s="543" t="s">
        <v>1817</v>
      </c>
      <c r="AE146" s="543" t="s">
        <v>1455</v>
      </c>
      <c r="AF146" s="543">
        <v>26</v>
      </c>
      <c r="AG146" s="543">
        <v>152</v>
      </c>
      <c r="AH146" s="543">
        <v>25</v>
      </c>
      <c r="AI146" s="543" t="s">
        <v>34</v>
      </c>
      <c r="AJ146" s="543" t="s">
        <v>34</v>
      </c>
      <c r="AK146" s="543" t="s">
        <v>1818</v>
      </c>
      <c r="AL146" s="543" t="s">
        <v>34</v>
      </c>
      <c r="AM146" s="61" t="s">
        <v>4497</v>
      </c>
      <c r="AN146" s="541">
        <v>0</v>
      </c>
      <c r="AO146" s="541">
        <v>0</v>
      </c>
      <c r="AP146" s="61"/>
      <c r="CG146" t="str">
        <v>B &amp; G PLATING</v>
      </c>
    </row>
    <row r="147" spans="1:85" x14ac:dyDescent="0.2">
      <c r="A147" s="61">
        <v>146</v>
      </c>
      <c r="B147" s="542" t="s">
        <v>880</v>
      </c>
      <c r="C147" s="543" t="s">
        <v>882</v>
      </c>
      <c r="D147" s="543" t="s">
        <v>3765</v>
      </c>
      <c r="E147" s="543" t="s">
        <v>1732</v>
      </c>
      <c r="F147" s="543" t="s">
        <v>1733</v>
      </c>
      <c r="G147" s="543" t="s">
        <v>34</v>
      </c>
      <c r="H147" s="543" t="s">
        <v>1821</v>
      </c>
      <c r="I147" s="543" t="s">
        <v>5342</v>
      </c>
      <c r="J147" s="543" t="s">
        <v>1461</v>
      </c>
      <c r="K147" s="543" t="s">
        <v>2349</v>
      </c>
      <c r="L147" s="543" t="s">
        <v>2359</v>
      </c>
      <c r="M147" s="543">
        <v>159874</v>
      </c>
      <c r="N147" s="543" t="s">
        <v>882</v>
      </c>
      <c r="O147" s="543" t="s">
        <v>665</v>
      </c>
      <c r="P147" s="543" t="s">
        <v>2360</v>
      </c>
      <c r="Q147" s="543" t="s">
        <v>1819</v>
      </c>
      <c r="R147" s="543" t="s">
        <v>1878</v>
      </c>
      <c r="S147" s="543" t="s">
        <v>2231</v>
      </c>
      <c r="T147" s="543" t="s">
        <v>109</v>
      </c>
      <c r="U147" s="543" t="s">
        <v>1844</v>
      </c>
      <c r="V147" s="543" t="s">
        <v>2361</v>
      </c>
      <c r="W147" s="543" t="s">
        <v>896</v>
      </c>
      <c r="X147" s="543" t="s">
        <v>1894</v>
      </c>
      <c r="Y147" s="543" t="s">
        <v>109</v>
      </c>
      <c r="Z147" s="543" t="s">
        <v>109</v>
      </c>
      <c r="AA147" s="543" t="s">
        <v>109</v>
      </c>
      <c r="AB147" s="543" t="s">
        <v>34</v>
      </c>
      <c r="AC147" s="543" t="s">
        <v>1816</v>
      </c>
      <c r="AD147" s="543" t="s">
        <v>1817</v>
      </c>
      <c r="AE147" s="543" t="s">
        <v>1455</v>
      </c>
      <c r="AF147" s="543" t="s">
        <v>3040</v>
      </c>
      <c r="AG147" s="543" t="s">
        <v>34</v>
      </c>
      <c r="AH147" s="543" t="s">
        <v>34</v>
      </c>
      <c r="AI147" s="543" t="s">
        <v>34</v>
      </c>
      <c r="AJ147" s="543" t="s">
        <v>34</v>
      </c>
      <c r="AK147" s="543" t="s">
        <v>1818</v>
      </c>
      <c r="AL147" s="543" t="s">
        <v>34</v>
      </c>
      <c r="AM147" s="61" t="s">
        <v>4495</v>
      </c>
      <c r="AN147" s="541">
        <v>0</v>
      </c>
      <c r="AO147" s="541">
        <v>0</v>
      </c>
      <c r="AP147" s="61"/>
      <c r="CG147" t="str">
        <v>B &amp; S SAW &amp; TOOL SERVICE</v>
      </c>
    </row>
    <row r="148" spans="1:85" x14ac:dyDescent="0.2">
      <c r="A148" s="61">
        <v>147</v>
      </c>
      <c r="B148" s="542" t="s">
        <v>880</v>
      </c>
      <c r="C148" s="543" t="s">
        <v>1652</v>
      </c>
      <c r="D148" s="543" t="s">
        <v>3766</v>
      </c>
      <c r="E148" s="543" t="s">
        <v>1732</v>
      </c>
      <c r="F148" s="543" t="s">
        <v>1733</v>
      </c>
      <c r="G148" s="543" t="s">
        <v>34</v>
      </c>
      <c r="H148" s="543" t="s">
        <v>1821</v>
      </c>
      <c r="I148" s="543" t="s">
        <v>4858</v>
      </c>
      <c r="J148" s="543" t="s">
        <v>2089</v>
      </c>
      <c r="K148" s="543" t="s">
        <v>2395</v>
      </c>
      <c r="L148" s="543" t="s">
        <v>2396</v>
      </c>
      <c r="M148" s="543" t="s">
        <v>2396</v>
      </c>
      <c r="N148" s="543" t="s">
        <v>2395</v>
      </c>
      <c r="O148" s="543" t="s">
        <v>665</v>
      </c>
      <c r="P148" s="543" t="s">
        <v>5099</v>
      </c>
      <c r="Q148" s="543" t="s">
        <v>4568</v>
      </c>
      <c r="R148" s="543" t="s">
        <v>1814</v>
      </c>
      <c r="S148" s="543" t="s">
        <v>2162</v>
      </c>
      <c r="T148" s="543">
        <v>97.8</v>
      </c>
      <c r="U148" s="543" t="s">
        <v>1843</v>
      </c>
      <c r="V148" s="543" t="s">
        <v>2397</v>
      </c>
      <c r="W148" s="543" t="s">
        <v>109</v>
      </c>
      <c r="X148" s="543" t="s">
        <v>1897</v>
      </c>
      <c r="Y148" s="543" t="s">
        <v>109</v>
      </c>
      <c r="Z148" s="543" t="s">
        <v>109</v>
      </c>
      <c r="AA148" s="543" t="s">
        <v>109</v>
      </c>
      <c r="AB148" s="543" t="s">
        <v>4176</v>
      </c>
      <c r="AC148" s="543" t="s">
        <v>1816</v>
      </c>
      <c r="AD148" s="543" t="s">
        <v>1817</v>
      </c>
      <c r="AE148" s="543" t="s">
        <v>1455</v>
      </c>
      <c r="AF148" s="543" t="s">
        <v>3040</v>
      </c>
      <c r="AG148" s="543" t="s">
        <v>34</v>
      </c>
      <c r="AH148" s="543" t="s">
        <v>34</v>
      </c>
      <c r="AI148" s="543" t="s">
        <v>34</v>
      </c>
      <c r="AJ148" s="543" t="s">
        <v>34</v>
      </c>
      <c r="AK148" s="543" t="s">
        <v>1818</v>
      </c>
      <c r="AL148" s="543" t="s">
        <v>34</v>
      </c>
      <c r="AM148" s="61" t="s">
        <v>4495</v>
      </c>
      <c r="AN148" s="541">
        <v>0</v>
      </c>
      <c r="AO148" s="541">
        <v>0</v>
      </c>
      <c r="AP148" s="61"/>
      <c r="CG148" t="str">
        <v>B&amp;T INDUSTRIES, LLC.</v>
      </c>
    </row>
    <row r="149" spans="1:85" x14ac:dyDescent="0.2">
      <c r="A149" s="61">
        <v>148</v>
      </c>
      <c r="B149" s="542" t="s">
        <v>880</v>
      </c>
      <c r="C149" s="543" t="s">
        <v>894</v>
      </c>
      <c r="D149" s="543" t="s">
        <v>3767</v>
      </c>
      <c r="E149" s="543" t="s">
        <v>1732</v>
      </c>
      <c r="F149" s="543" t="s">
        <v>1733</v>
      </c>
      <c r="G149" s="543" t="s">
        <v>34</v>
      </c>
      <c r="H149" s="543" t="s">
        <v>1821</v>
      </c>
      <c r="I149" s="543" t="s">
        <v>5342</v>
      </c>
      <c r="J149" s="543" t="s">
        <v>2089</v>
      </c>
      <c r="K149" s="543" t="s">
        <v>892</v>
      </c>
      <c r="L149" s="543" t="s">
        <v>2373</v>
      </c>
      <c r="M149" s="543">
        <v>609</v>
      </c>
      <c r="N149" s="543" t="s">
        <v>894</v>
      </c>
      <c r="O149" s="543" t="s">
        <v>5366</v>
      </c>
      <c r="P149" s="543" t="s">
        <v>2374</v>
      </c>
      <c r="Q149" s="543" t="s">
        <v>4553</v>
      </c>
      <c r="R149" s="543" t="s">
        <v>1814</v>
      </c>
      <c r="S149" s="543" t="s">
        <v>2375</v>
      </c>
      <c r="T149" s="543">
        <v>98.6</v>
      </c>
      <c r="U149" s="543" t="s">
        <v>1843</v>
      </c>
      <c r="V149" s="543" t="s">
        <v>2376</v>
      </c>
      <c r="W149" s="543">
        <v>1796423</v>
      </c>
      <c r="X149" s="543" t="s">
        <v>4656</v>
      </c>
      <c r="Y149" s="543" t="s">
        <v>2377</v>
      </c>
      <c r="Z149" s="543" t="s">
        <v>2378</v>
      </c>
      <c r="AA149" s="543" t="s">
        <v>4656</v>
      </c>
      <c r="AB149" s="543" t="s">
        <v>34</v>
      </c>
      <c r="AC149" s="543" t="s">
        <v>1816</v>
      </c>
      <c r="AD149" s="543" t="s">
        <v>1817</v>
      </c>
      <c r="AE149" s="543" t="s">
        <v>1455</v>
      </c>
      <c r="AF149" s="543" t="s">
        <v>3559</v>
      </c>
      <c r="AG149" s="543" t="s">
        <v>3560</v>
      </c>
      <c r="AH149" s="543">
        <v>44106</v>
      </c>
      <c r="AI149" s="543" t="s">
        <v>34</v>
      </c>
      <c r="AJ149" s="543" t="s">
        <v>34</v>
      </c>
      <c r="AK149" s="543" t="s">
        <v>1818</v>
      </c>
      <c r="AL149" s="543" t="s">
        <v>34</v>
      </c>
      <c r="AM149" s="61" t="s">
        <v>4498</v>
      </c>
      <c r="AN149" s="541">
        <v>0</v>
      </c>
      <c r="AO149" s="541">
        <v>0</v>
      </c>
      <c r="AP149" s="61"/>
      <c r="CG149" t="str">
        <v>B&amp;T MANUFACTURING</v>
      </c>
    </row>
    <row r="150" spans="1:85" x14ac:dyDescent="0.2">
      <c r="A150" s="61">
        <v>149</v>
      </c>
      <c r="B150" s="542" t="s">
        <v>880</v>
      </c>
      <c r="C150" s="543" t="s">
        <v>4503</v>
      </c>
      <c r="D150" s="543" t="s">
        <v>4504</v>
      </c>
      <c r="E150" s="543" t="s">
        <v>1732</v>
      </c>
      <c r="F150" s="543" t="s">
        <v>1733</v>
      </c>
      <c r="G150" s="543" t="s">
        <v>34</v>
      </c>
      <c r="H150" s="543" t="s">
        <v>1821</v>
      </c>
      <c r="I150" s="543" t="s">
        <v>5342</v>
      </c>
      <c r="J150" s="543" t="s">
        <v>1461</v>
      </c>
      <c r="K150" s="543" t="s">
        <v>2349</v>
      </c>
      <c r="L150" s="543" t="s">
        <v>4505</v>
      </c>
      <c r="M150" s="543" t="s">
        <v>4506</v>
      </c>
      <c r="N150" s="543" t="s">
        <v>4503</v>
      </c>
      <c r="O150" s="543" t="s">
        <v>665</v>
      </c>
      <c r="P150" s="543" t="s">
        <v>2364</v>
      </c>
      <c r="Q150" s="543" t="s">
        <v>1819</v>
      </c>
      <c r="R150" s="543" t="s">
        <v>4365</v>
      </c>
      <c r="S150" s="543" t="s">
        <v>2355</v>
      </c>
      <c r="T150" s="543" t="s">
        <v>109</v>
      </c>
      <c r="U150" s="543" t="s">
        <v>1844</v>
      </c>
      <c r="V150" s="543" t="s">
        <v>4507</v>
      </c>
      <c r="W150" s="543" t="s">
        <v>2357</v>
      </c>
      <c r="X150" s="543" t="s">
        <v>2358</v>
      </c>
      <c r="Y150" s="543" t="s">
        <v>109</v>
      </c>
      <c r="Z150" s="543" t="s">
        <v>109</v>
      </c>
      <c r="AA150" s="543" t="s">
        <v>109</v>
      </c>
      <c r="AB150" s="543" t="s">
        <v>34</v>
      </c>
      <c r="AC150" s="543" t="s">
        <v>1816</v>
      </c>
      <c r="AD150" s="543" t="s">
        <v>1817</v>
      </c>
      <c r="AE150" s="543" t="s">
        <v>1455</v>
      </c>
      <c r="AF150" s="543" t="s">
        <v>3040</v>
      </c>
      <c r="AG150" s="543" t="s">
        <v>34</v>
      </c>
      <c r="AH150" s="543" t="s">
        <v>34</v>
      </c>
      <c r="AI150" s="543" t="s">
        <v>34</v>
      </c>
      <c r="AJ150" s="543" t="s">
        <v>34</v>
      </c>
      <c r="AK150" s="543" t="s">
        <v>1818</v>
      </c>
      <c r="AL150" s="543" t="s">
        <v>34</v>
      </c>
      <c r="AM150" s="61" t="s">
        <v>4495</v>
      </c>
      <c r="AN150" s="541">
        <v>0</v>
      </c>
      <c r="AO150" s="541">
        <v>0</v>
      </c>
      <c r="AP150" s="61"/>
      <c r="CG150" t="str">
        <v>B&amp;W TRAILER HITCHES</v>
      </c>
    </row>
    <row r="151" spans="1:85" x14ac:dyDescent="0.2">
      <c r="A151" s="61">
        <v>150</v>
      </c>
      <c r="B151" s="542" t="s">
        <v>880</v>
      </c>
      <c r="C151" s="543" t="s">
        <v>896</v>
      </c>
      <c r="D151" s="543" t="s">
        <v>3768</v>
      </c>
      <c r="E151" s="543" t="s">
        <v>1732</v>
      </c>
      <c r="F151" s="543" t="s">
        <v>1733</v>
      </c>
      <c r="G151" s="543" t="s">
        <v>34</v>
      </c>
      <c r="H151" s="543" t="s">
        <v>1821</v>
      </c>
      <c r="I151" s="543" t="s">
        <v>5342</v>
      </c>
      <c r="J151" s="543" t="s">
        <v>1461</v>
      </c>
      <c r="K151" s="543" t="s">
        <v>2349</v>
      </c>
      <c r="L151" s="543" t="s">
        <v>2362</v>
      </c>
      <c r="M151" s="543" t="s">
        <v>2363</v>
      </c>
      <c r="N151" s="543" t="s">
        <v>896</v>
      </c>
      <c r="O151" s="543" t="s">
        <v>665</v>
      </c>
      <c r="P151" s="543" t="s">
        <v>2364</v>
      </c>
      <c r="Q151" s="543" t="s">
        <v>1819</v>
      </c>
      <c r="R151" s="543" t="s">
        <v>1878</v>
      </c>
      <c r="S151" s="543" t="s">
        <v>4877</v>
      </c>
      <c r="T151" s="543" t="s">
        <v>109</v>
      </c>
      <c r="U151" s="543" t="s">
        <v>1844</v>
      </c>
      <c r="V151" s="543" t="s">
        <v>4878</v>
      </c>
      <c r="W151" s="543" t="s">
        <v>2357</v>
      </c>
      <c r="X151" s="543" t="s">
        <v>2358</v>
      </c>
      <c r="Y151" s="543" t="s">
        <v>109</v>
      </c>
      <c r="Z151" s="543" t="s">
        <v>109</v>
      </c>
      <c r="AA151" s="543" t="s">
        <v>109</v>
      </c>
      <c r="AB151" s="543" t="s">
        <v>34</v>
      </c>
      <c r="AC151" s="543" t="s">
        <v>1816</v>
      </c>
      <c r="AD151" s="543" t="s">
        <v>1817</v>
      </c>
      <c r="AE151" s="543" t="s">
        <v>1455</v>
      </c>
      <c r="AF151" s="543" t="s">
        <v>3040</v>
      </c>
      <c r="AG151" s="543" t="s">
        <v>34</v>
      </c>
      <c r="AH151" s="543" t="s">
        <v>34</v>
      </c>
      <c r="AI151" s="543" t="s">
        <v>34</v>
      </c>
      <c r="AJ151" s="543" t="s">
        <v>34</v>
      </c>
      <c r="AK151" s="543" t="s">
        <v>1818</v>
      </c>
      <c r="AL151" s="543" t="s">
        <v>34</v>
      </c>
      <c r="AM151" s="61" t="s">
        <v>4495</v>
      </c>
      <c r="AN151" s="541">
        <v>0</v>
      </c>
      <c r="AO151" s="541">
        <v>0</v>
      </c>
      <c r="AP151" s="61"/>
      <c r="CG151" t="str">
        <v>B.W.I. OF KS INC.</v>
      </c>
    </row>
    <row r="152" spans="1:85" x14ac:dyDescent="0.2">
      <c r="A152" s="61">
        <v>151</v>
      </c>
      <c r="B152" s="542" t="s">
        <v>880</v>
      </c>
      <c r="C152" s="543" t="s">
        <v>898</v>
      </c>
      <c r="D152" s="543" t="s">
        <v>3769</v>
      </c>
      <c r="E152" s="543" t="s">
        <v>1732</v>
      </c>
      <c r="F152" s="543" t="s">
        <v>1733</v>
      </c>
      <c r="G152" s="543" t="s">
        <v>34</v>
      </c>
      <c r="H152" s="543" t="s">
        <v>1821</v>
      </c>
      <c r="I152" s="543" t="s">
        <v>5342</v>
      </c>
      <c r="J152" s="543">
        <v>0</v>
      </c>
      <c r="K152" s="543">
        <v>0</v>
      </c>
      <c r="L152" s="543">
        <v>0</v>
      </c>
      <c r="M152" s="543">
        <v>0</v>
      </c>
      <c r="N152" s="543">
        <v>0</v>
      </c>
      <c r="O152" s="543">
        <v>0</v>
      </c>
      <c r="P152" s="543">
        <v>0</v>
      </c>
      <c r="Q152" s="543">
        <v>0</v>
      </c>
      <c r="R152" s="543">
        <v>0</v>
      </c>
      <c r="S152" s="543">
        <v>0</v>
      </c>
      <c r="T152" s="543">
        <v>0</v>
      </c>
      <c r="U152" s="543">
        <v>0</v>
      </c>
      <c r="V152" s="543">
        <v>0</v>
      </c>
      <c r="W152" s="543">
        <v>0</v>
      </c>
      <c r="X152" s="543">
        <v>0</v>
      </c>
      <c r="Y152" s="543">
        <v>0</v>
      </c>
      <c r="Z152" s="543">
        <v>0</v>
      </c>
      <c r="AA152" s="543">
        <v>0</v>
      </c>
      <c r="AB152" s="543" t="s">
        <v>34</v>
      </c>
      <c r="AC152" s="543" t="s">
        <v>1816</v>
      </c>
      <c r="AD152" s="543" t="s">
        <v>1817</v>
      </c>
      <c r="AE152" s="543" t="s">
        <v>1455</v>
      </c>
      <c r="AF152" s="543">
        <v>6</v>
      </c>
      <c r="AG152" s="543">
        <v>1</v>
      </c>
      <c r="AH152" s="543">
        <v>8</v>
      </c>
      <c r="AI152" s="543" t="s">
        <v>34</v>
      </c>
      <c r="AJ152" s="543" t="s">
        <v>34</v>
      </c>
      <c r="AK152" s="543" t="s">
        <v>1818</v>
      </c>
      <c r="AL152" s="543" t="s">
        <v>34</v>
      </c>
      <c r="AM152" s="61" t="s">
        <v>4495</v>
      </c>
      <c r="AN152" s="541">
        <v>0</v>
      </c>
      <c r="AO152" s="541">
        <v>0</v>
      </c>
      <c r="AP152" s="61"/>
      <c r="CG152" t="str">
        <v>BAE SYSTEMS</v>
      </c>
    </row>
    <row r="153" spans="1:85" x14ac:dyDescent="0.2">
      <c r="A153" s="61">
        <v>152</v>
      </c>
      <c r="B153" s="542" t="s">
        <v>880</v>
      </c>
      <c r="C153" s="543" t="s">
        <v>5004</v>
      </c>
      <c r="D153" s="543" t="s">
        <v>5005</v>
      </c>
      <c r="E153" s="543" t="s">
        <v>1732</v>
      </c>
      <c r="F153" s="543" t="s">
        <v>1733</v>
      </c>
      <c r="G153" s="543" t="s">
        <v>34</v>
      </c>
      <c r="H153" s="543" t="s">
        <v>1821</v>
      </c>
      <c r="I153" s="543" t="s">
        <v>5342</v>
      </c>
      <c r="J153" s="543" t="s">
        <v>1461</v>
      </c>
      <c r="K153" s="543" t="s">
        <v>5006</v>
      </c>
      <c r="L153" s="543" t="s">
        <v>1948</v>
      </c>
      <c r="M153" s="543" t="s">
        <v>5007</v>
      </c>
      <c r="N153" s="543" t="s">
        <v>5004</v>
      </c>
      <c r="O153" s="543" t="s">
        <v>2092</v>
      </c>
      <c r="P153" s="543" t="s">
        <v>5008</v>
      </c>
      <c r="Q153" s="543" t="s">
        <v>4557</v>
      </c>
      <c r="R153" s="543" t="s">
        <v>1814</v>
      </c>
      <c r="S153" s="543" t="s">
        <v>5009</v>
      </c>
      <c r="T153" s="543">
        <v>176.5</v>
      </c>
      <c r="U153" s="543" t="s">
        <v>109</v>
      </c>
      <c r="V153" s="543" t="s">
        <v>5010</v>
      </c>
      <c r="W153" s="543">
        <v>479797</v>
      </c>
      <c r="X153" s="543" t="s">
        <v>4558</v>
      </c>
      <c r="Y153" s="543" t="s">
        <v>5011</v>
      </c>
      <c r="Z153" s="543" t="s">
        <v>5012</v>
      </c>
      <c r="AA153" s="543" t="s">
        <v>4558</v>
      </c>
      <c r="AB153" s="543" t="s">
        <v>5013</v>
      </c>
      <c r="AC153" s="543" t="s">
        <v>1816</v>
      </c>
      <c r="AD153" s="543" t="s">
        <v>1817</v>
      </c>
      <c r="AE153" s="543" t="s">
        <v>1455</v>
      </c>
      <c r="AF153" s="543" t="s">
        <v>3040</v>
      </c>
      <c r="AG153" s="543" t="s">
        <v>34</v>
      </c>
      <c r="AH153" s="543" t="s">
        <v>34</v>
      </c>
      <c r="AI153" s="543" t="s">
        <v>34</v>
      </c>
      <c r="AJ153" s="543" t="s">
        <v>34</v>
      </c>
      <c r="AK153" s="543" t="s">
        <v>1818</v>
      </c>
      <c r="AL153" s="543" t="s">
        <v>34</v>
      </c>
      <c r="AM153" s="61" t="s">
        <v>4495</v>
      </c>
      <c r="AN153" s="541"/>
      <c r="AO153" s="541"/>
      <c r="AP153" s="61"/>
      <c r="CG153" t="str">
        <v>BAKER HUGHES</v>
      </c>
    </row>
    <row r="154" spans="1:85" x14ac:dyDescent="0.2">
      <c r="A154" s="61">
        <v>153</v>
      </c>
      <c r="B154" s="542" t="s">
        <v>880</v>
      </c>
      <c r="C154" s="543" t="s">
        <v>1468</v>
      </c>
      <c r="D154" s="543" t="s">
        <v>3770</v>
      </c>
      <c r="E154" s="543" t="s">
        <v>1732</v>
      </c>
      <c r="F154" s="543" t="s">
        <v>1733</v>
      </c>
      <c r="G154" s="543" t="s">
        <v>34</v>
      </c>
      <c r="H154" s="543" t="s">
        <v>1821</v>
      </c>
      <c r="I154" s="543" t="s">
        <v>5342</v>
      </c>
      <c r="J154" s="543" t="s">
        <v>2089</v>
      </c>
      <c r="K154" s="543" t="s">
        <v>2389</v>
      </c>
      <c r="L154" s="543" t="s">
        <v>2390</v>
      </c>
      <c r="M154" s="543">
        <v>1705</v>
      </c>
      <c r="N154" s="543" t="s">
        <v>1468</v>
      </c>
      <c r="O154" s="543" t="s">
        <v>5366</v>
      </c>
      <c r="P154" s="543" t="s">
        <v>2374</v>
      </c>
      <c r="Q154" s="543" t="s">
        <v>4553</v>
      </c>
      <c r="R154" s="543" t="s">
        <v>1814</v>
      </c>
      <c r="S154" s="543" t="s">
        <v>2391</v>
      </c>
      <c r="T154" s="543">
        <v>93.8</v>
      </c>
      <c r="U154" s="543" t="s">
        <v>1843</v>
      </c>
      <c r="V154" s="543" t="s">
        <v>2392</v>
      </c>
      <c r="W154" s="543">
        <v>2467302</v>
      </c>
      <c r="X154" s="543" t="s">
        <v>4656</v>
      </c>
      <c r="Y154" s="543" t="s">
        <v>2393</v>
      </c>
      <c r="Z154" s="543" t="s">
        <v>2394</v>
      </c>
      <c r="AA154" s="543" t="s">
        <v>4656</v>
      </c>
      <c r="AB154" s="543" t="s">
        <v>34</v>
      </c>
      <c r="AC154" s="543" t="s">
        <v>1816</v>
      </c>
      <c r="AD154" s="543" t="s">
        <v>1817</v>
      </c>
      <c r="AE154" s="543" t="s">
        <v>1455</v>
      </c>
      <c r="AF154" s="543">
        <v>1</v>
      </c>
      <c r="AG154" s="543">
        <v>390</v>
      </c>
      <c r="AH154" s="543">
        <v>8</v>
      </c>
      <c r="AI154" s="543" t="s">
        <v>34</v>
      </c>
      <c r="AJ154" s="543" t="s">
        <v>34</v>
      </c>
      <c r="AK154" s="543" t="s">
        <v>1818</v>
      </c>
      <c r="AL154" s="543" t="s">
        <v>34</v>
      </c>
      <c r="AM154" s="61" t="s">
        <v>4498</v>
      </c>
      <c r="AN154" s="541">
        <v>0</v>
      </c>
      <c r="AO154" s="541">
        <v>0</v>
      </c>
      <c r="AP154" s="61"/>
      <c r="CG154" t="str">
        <v>BALCO, INC.</v>
      </c>
    </row>
    <row r="155" spans="1:85" x14ac:dyDescent="0.2">
      <c r="A155" s="61">
        <v>154</v>
      </c>
      <c r="B155" s="542" t="s">
        <v>880</v>
      </c>
      <c r="C155" s="543" t="s">
        <v>1506</v>
      </c>
      <c r="D155" s="543" t="s">
        <v>3771</v>
      </c>
      <c r="E155" s="543" t="s">
        <v>1732</v>
      </c>
      <c r="F155" s="543" t="s">
        <v>1733</v>
      </c>
      <c r="G155" s="543" t="s">
        <v>34</v>
      </c>
      <c r="H155" s="543" t="s">
        <v>1821</v>
      </c>
      <c r="I155" s="543" t="s">
        <v>5342</v>
      </c>
      <c r="J155" s="543" t="s">
        <v>1461</v>
      </c>
      <c r="K155" s="543" t="s">
        <v>4517</v>
      </c>
      <c r="L155" s="543" t="s">
        <v>1948</v>
      </c>
      <c r="M155" s="543">
        <v>7852</v>
      </c>
      <c r="N155" s="543" t="s">
        <v>1506</v>
      </c>
      <c r="O155" s="543" t="s">
        <v>665</v>
      </c>
      <c r="P155" s="543" t="s">
        <v>4518</v>
      </c>
      <c r="Q155" s="543" t="s">
        <v>1894</v>
      </c>
      <c r="R155" s="543" t="s">
        <v>1878</v>
      </c>
      <c r="S155" s="543" t="s">
        <v>2231</v>
      </c>
      <c r="T155" s="543">
        <v>420</v>
      </c>
      <c r="U155" s="543" t="s">
        <v>109</v>
      </c>
      <c r="V155" s="543" t="s">
        <v>4519</v>
      </c>
      <c r="W155" s="543" t="s">
        <v>2387</v>
      </c>
      <c r="X155" s="543" t="s">
        <v>1954</v>
      </c>
      <c r="Y155" s="543" t="s">
        <v>109</v>
      </c>
      <c r="Z155" s="543" t="s">
        <v>109</v>
      </c>
      <c r="AA155" s="543" t="s">
        <v>109</v>
      </c>
      <c r="AB155" s="543" t="s">
        <v>4521</v>
      </c>
      <c r="AC155" s="543" t="s">
        <v>4064</v>
      </c>
      <c r="AD155" s="543" t="s">
        <v>4520</v>
      </c>
      <c r="AE155" s="543" t="s">
        <v>1454</v>
      </c>
      <c r="AF155" s="543" t="s">
        <v>3040</v>
      </c>
      <c r="AG155" s="543" t="s">
        <v>34</v>
      </c>
      <c r="AH155" s="543" t="s">
        <v>34</v>
      </c>
      <c r="AI155" s="543" t="s">
        <v>34</v>
      </c>
      <c r="AJ155" s="543" t="s">
        <v>34</v>
      </c>
      <c r="AK155" s="543" t="s">
        <v>1818</v>
      </c>
      <c r="AL155" s="543" t="s">
        <v>34</v>
      </c>
      <c r="AM155" s="61" t="s">
        <v>4502</v>
      </c>
      <c r="AN155" s="541">
        <v>0</v>
      </c>
      <c r="AO155" s="541">
        <v>0</v>
      </c>
      <c r="AP155" s="61"/>
      <c r="CG155" t="str">
        <v>BALLARD AVIATION, INC.</v>
      </c>
    </row>
    <row r="156" spans="1:85" x14ac:dyDescent="0.2">
      <c r="A156" s="61">
        <v>155</v>
      </c>
      <c r="B156" s="542" t="s">
        <v>880</v>
      </c>
      <c r="C156" s="543" t="s">
        <v>1502</v>
      </c>
      <c r="D156" s="543" t="s">
        <v>3772</v>
      </c>
      <c r="E156" s="543" t="s">
        <v>1732</v>
      </c>
      <c r="F156" s="543" t="s">
        <v>1733</v>
      </c>
      <c r="G156" s="543" t="s">
        <v>34</v>
      </c>
      <c r="H156" s="543" t="s">
        <v>1821</v>
      </c>
      <c r="I156" s="543" t="s">
        <v>5342</v>
      </c>
      <c r="J156" s="543" t="s">
        <v>1461</v>
      </c>
      <c r="K156" s="543" t="s">
        <v>2410</v>
      </c>
      <c r="L156" s="543" t="s">
        <v>1936</v>
      </c>
      <c r="M156" s="543" t="s">
        <v>1502</v>
      </c>
      <c r="N156" s="543" t="s">
        <v>1502</v>
      </c>
      <c r="O156" s="543" t="s">
        <v>665</v>
      </c>
      <c r="P156" s="543" t="s">
        <v>2411</v>
      </c>
      <c r="Q156" s="543" t="s">
        <v>1894</v>
      </c>
      <c r="R156" s="543" t="s">
        <v>1878</v>
      </c>
      <c r="S156" s="543" t="s">
        <v>2400</v>
      </c>
      <c r="T156" s="543">
        <v>420</v>
      </c>
      <c r="U156" s="543" t="s">
        <v>109</v>
      </c>
      <c r="V156" s="543" t="s">
        <v>2386</v>
      </c>
      <c r="W156" s="543" t="s">
        <v>2401</v>
      </c>
      <c r="X156" s="543" t="s">
        <v>1815</v>
      </c>
      <c r="Y156" s="543" t="s">
        <v>2386</v>
      </c>
      <c r="Z156" s="543" t="s">
        <v>2401</v>
      </c>
      <c r="AA156" s="543" t="s">
        <v>1815</v>
      </c>
      <c r="AB156" s="543" t="s">
        <v>2402</v>
      </c>
      <c r="AC156" s="543" t="s">
        <v>1816</v>
      </c>
      <c r="AD156" s="543" t="s">
        <v>1817</v>
      </c>
      <c r="AE156" s="543" t="s">
        <v>1455</v>
      </c>
      <c r="AF156" s="543" t="s">
        <v>34</v>
      </c>
      <c r="AG156" s="543" t="s">
        <v>34</v>
      </c>
      <c r="AH156" s="543" t="s">
        <v>34</v>
      </c>
      <c r="AI156" s="543" t="s">
        <v>34</v>
      </c>
      <c r="AJ156" s="543" t="s">
        <v>34</v>
      </c>
      <c r="AK156" s="543" t="s">
        <v>1818</v>
      </c>
      <c r="AL156" s="543" t="s">
        <v>34</v>
      </c>
      <c r="AM156" s="61" t="s">
        <v>4508</v>
      </c>
      <c r="AN156" s="541">
        <v>0</v>
      </c>
      <c r="AO156" s="541">
        <v>0</v>
      </c>
      <c r="AP156" s="61"/>
      <c r="CG156" t="str">
        <v>BARCOR, INC.</v>
      </c>
    </row>
    <row r="157" spans="1:85" x14ac:dyDescent="0.2">
      <c r="A157" s="61">
        <v>156</v>
      </c>
      <c r="B157" s="542" t="s">
        <v>880</v>
      </c>
      <c r="C157" s="543" t="s">
        <v>1504</v>
      </c>
      <c r="D157" s="543" t="s">
        <v>3773</v>
      </c>
      <c r="E157" s="543" t="s">
        <v>1732</v>
      </c>
      <c r="F157" s="543" t="s">
        <v>1733</v>
      </c>
      <c r="G157" s="543" t="s">
        <v>34</v>
      </c>
      <c r="H157" s="543" t="s">
        <v>1821</v>
      </c>
      <c r="I157" s="543" t="s">
        <v>5342</v>
      </c>
      <c r="J157" s="543" t="s">
        <v>1461</v>
      </c>
      <c r="K157" s="543" t="s">
        <v>2413</v>
      </c>
      <c r="L157" s="543" t="s">
        <v>1936</v>
      </c>
      <c r="M157" s="543" t="s">
        <v>1504</v>
      </c>
      <c r="N157" s="543" t="s">
        <v>1504</v>
      </c>
      <c r="O157" s="543" t="s">
        <v>665</v>
      </c>
      <c r="P157" s="543" t="s">
        <v>2414</v>
      </c>
      <c r="Q157" s="543" t="s">
        <v>1894</v>
      </c>
      <c r="R157" s="543" t="s">
        <v>1878</v>
      </c>
      <c r="S157" s="543" t="s">
        <v>2400</v>
      </c>
      <c r="T157" s="543">
        <v>420</v>
      </c>
      <c r="U157" s="543" t="s">
        <v>109</v>
      </c>
      <c r="V157" s="543" t="s">
        <v>2386</v>
      </c>
      <c r="W157" s="543" t="s">
        <v>2401</v>
      </c>
      <c r="X157" s="543" t="s">
        <v>1815</v>
      </c>
      <c r="Y157" s="543" t="s">
        <v>2386</v>
      </c>
      <c r="Z157" s="543" t="s">
        <v>2401</v>
      </c>
      <c r="AA157" s="543" t="s">
        <v>1815</v>
      </c>
      <c r="AB157" s="543" t="s">
        <v>2402</v>
      </c>
      <c r="AC157" s="543" t="s">
        <v>1816</v>
      </c>
      <c r="AD157" s="543" t="s">
        <v>1817</v>
      </c>
      <c r="AE157" s="543" t="s">
        <v>1455</v>
      </c>
      <c r="AF157" s="543" t="s">
        <v>34</v>
      </c>
      <c r="AG157" s="543" t="s">
        <v>34</v>
      </c>
      <c r="AH157" s="543" t="s">
        <v>34</v>
      </c>
      <c r="AI157" s="543" t="s">
        <v>34</v>
      </c>
      <c r="AJ157" s="543" t="s">
        <v>34</v>
      </c>
      <c r="AK157" s="543" t="s">
        <v>1818</v>
      </c>
      <c r="AL157" s="543" t="s">
        <v>34</v>
      </c>
      <c r="AM157" s="61" t="s">
        <v>4495</v>
      </c>
      <c r="AN157" s="541">
        <v>0</v>
      </c>
      <c r="AO157" s="541">
        <v>0</v>
      </c>
      <c r="AP157" s="61"/>
      <c r="CG157" t="str">
        <v>BASKINS MACHINED PRODUCTS, LLC</v>
      </c>
    </row>
    <row r="158" spans="1:85" x14ac:dyDescent="0.2">
      <c r="A158" s="61">
        <v>157</v>
      </c>
      <c r="B158" s="542" t="s">
        <v>880</v>
      </c>
      <c r="C158" s="543" t="s">
        <v>1500</v>
      </c>
      <c r="D158" s="543" t="s">
        <v>3774</v>
      </c>
      <c r="E158" s="543" t="s">
        <v>1732</v>
      </c>
      <c r="F158" s="543" t="s">
        <v>1733</v>
      </c>
      <c r="G158" s="543" t="s">
        <v>34</v>
      </c>
      <c r="H158" s="543" t="s">
        <v>1821</v>
      </c>
      <c r="I158" s="543" t="s">
        <v>5342</v>
      </c>
      <c r="J158" s="543" t="s">
        <v>1461</v>
      </c>
      <c r="K158" s="543" t="s">
        <v>2398</v>
      </c>
      <c r="L158" s="543" t="s">
        <v>1936</v>
      </c>
      <c r="M158" s="543" t="s">
        <v>1500</v>
      </c>
      <c r="N158" s="543" t="s">
        <v>1500</v>
      </c>
      <c r="O158" s="543" t="s">
        <v>665</v>
      </c>
      <c r="P158" s="543" t="s">
        <v>2399</v>
      </c>
      <c r="Q158" s="543" t="s">
        <v>1894</v>
      </c>
      <c r="R158" s="543" t="s">
        <v>1878</v>
      </c>
      <c r="S158" s="543" t="s">
        <v>2400</v>
      </c>
      <c r="T158" s="543">
        <v>420</v>
      </c>
      <c r="U158" s="543" t="s">
        <v>109</v>
      </c>
      <c r="V158" s="543" t="s">
        <v>2386</v>
      </c>
      <c r="W158" s="543" t="s">
        <v>2401</v>
      </c>
      <c r="X158" s="543" t="s">
        <v>1815</v>
      </c>
      <c r="Y158" s="543" t="s">
        <v>2386</v>
      </c>
      <c r="Z158" s="543" t="s">
        <v>2401</v>
      </c>
      <c r="AA158" s="543" t="s">
        <v>1815</v>
      </c>
      <c r="AB158" s="543" t="s">
        <v>2402</v>
      </c>
      <c r="AC158" s="543" t="s">
        <v>1816</v>
      </c>
      <c r="AD158" s="543" t="s">
        <v>1817</v>
      </c>
      <c r="AE158" s="543" t="s">
        <v>1455</v>
      </c>
      <c r="AF158" s="543" t="s">
        <v>34</v>
      </c>
      <c r="AG158" s="543" t="s">
        <v>34</v>
      </c>
      <c r="AH158" s="543" t="s">
        <v>34</v>
      </c>
      <c r="AI158" s="543" t="s">
        <v>34</v>
      </c>
      <c r="AJ158" s="543" t="s">
        <v>34</v>
      </c>
      <c r="AK158" s="543" t="s">
        <v>1818</v>
      </c>
      <c r="AL158" s="543" t="s">
        <v>34</v>
      </c>
      <c r="AM158" s="61" t="s">
        <v>4495</v>
      </c>
      <c r="AN158" s="541">
        <v>0</v>
      </c>
      <c r="AO158" s="541">
        <v>0</v>
      </c>
      <c r="AP158" s="61"/>
      <c r="CG158" t="str">
        <v>BATTENFELD-CINCINNATI</v>
      </c>
    </row>
    <row r="159" spans="1:85" x14ac:dyDescent="0.2">
      <c r="A159" s="61">
        <v>158</v>
      </c>
      <c r="B159" s="542" t="s">
        <v>880</v>
      </c>
      <c r="C159" s="543" t="s">
        <v>1498</v>
      </c>
      <c r="D159" s="543" t="s">
        <v>3775</v>
      </c>
      <c r="E159" s="543" t="s">
        <v>1732</v>
      </c>
      <c r="F159" s="543" t="s">
        <v>1733</v>
      </c>
      <c r="G159" s="543" t="s">
        <v>34</v>
      </c>
      <c r="H159" s="543" t="s">
        <v>1821</v>
      </c>
      <c r="I159" s="543" t="s">
        <v>5342</v>
      </c>
      <c r="J159" s="543" t="s">
        <v>1461</v>
      </c>
      <c r="K159" s="543" t="s">
        <v>2384</v>
      </c>
      <c r="L159" s="543" t="s">
        <v>1936</v>
      </c>
      <c r="M159" s="543" t="s">
        <v>1498</v>
      </c>
      <c r="N159" s="543" t="s">
        <v>1498</v>
      </c>
      <c r="O159" s="543" t="s">
        <v>665</v>
      </c>
      <c r="P159" s="543" t="s">
        <v>1938</v>
      </c>
      <c r="Q159" s="543" t="s">
        <v>1813</v>
      </c>
      <c r="R159" s="543" t="s">
        <v>1814</v>
      </c>
      <c r="S159" s="543" t="s">
        <v>2385</v>
      </c>
      <c r="T159" s="543">
        <v>147.6</v>
      </c>
      <c r="U159" s="543" t="s">
        <v>1843</v>
      </c>
      <c r="V159" s="543" t="s">
        <v>2386</v>
      </c>
      <c r="W159" s="543" t="s">
        <v>2387</v>
      </c>
      <c r="X159" s="543" t="s">
        <v>1974</v>
      </c>
      <c r="Y159" s="543" t="s">
        <v>2386</v>
      </c>
      <c r="Z159" s="543" t="s">
        <v>2387</v>
      </c>
      <c r="AA159" s="543" t="s">
        <v>1974</v>
      </c>
      <c r="AB159" s="543" t="s">
        <v>2388</v>
      </c>
      <c r="AC159" s="543" t="s">
        <v>1816</v>
      </c>
      <c r="AD159" s="543" t="s">
        <v>1817</v>
      </c>
      <c r="AE159" s="543" t="s">
        <v>1455</v>
      </c>
      <c r="AF159" s="543" t="s">
        <v>3040</v>
      </c>
      <c r="AG159" s="543" t="s">
        <v>34</v>
      </c>
      <c r="AH159" s="543" t="s">
        <v>34</v>
      </c>
      <c r="AI159" s="543" t="s">
        <v>34</v>
      </c>
      <c r="AJ159" s="543" t="s">
        <v>34</v>
      </c>
      <c r="AK159" s="543" t="s">
        <v>1818</v>
      </c>
      <c r="AL159" s="543" t="s">
        <v>34</v>
      </c>
      <c r="AM159" s="61" t="s">
        <v>4498</v>
      </c>
      <c r="AN159" s="541">
        <v>0</v>
      </c>
      <c r="AO159" s="541">
        <v>0</v>
      </c>
      <c r="AP159" s="61"/>
      <c r="CG159" t="str">
        <v>BAUMANN SPRINGS USA INC.</v>
      </c>
    </row>
    <row r="160" spans="1:85" x14ac:dyDescent="0.2">
      <c r="A160" s="61">
        <v>159</v>
      </c>
      <c r="B160" s="542" t="s">
        <v>880</v>
      </c>
      <c r="C160" s="543" t="s">
        <v>1596</v>
      </c>
      <c r="D160" s="543" t="s">
        <v>3776</v>
      </c>
      <c r="E160" s="543" t="s">
        <v>1732</v>
      </c>
      <c r="F160" s="543" t="s">
        <v>1733</v>
      </c>
      <c r="G160" s="543" t="s">
        <v>34</v>
      </c>
      <c r="H160" s="543" t="s">
        <v>1821</v>
      </c>
      <c r="I160" s="543" t="s">
        <v>5356</v>
      </c>
      <c r="J160" s="543" t="s">
        <v>2089</v>
      </c>
      <c r="K160" s="543" t="s">
        <v>878</v>
      </c>
      <c r="L160" s="543" t="s">
        <v>2403</v>
      </c>
      <c r="M160" s="543" t="s">
        <v>2404</v>
      </c>
      <c r="N160" s="543" t="s">
        <v>1596</v>
      </c>
      <c r="O160" s="543" t="s">
        <v>5367</v>
      </c>
      <c r="P160" s="543" t="s">
        <v>1904</v>
      </c>
      <c r="Q160" s="543" t="s">
        <v>4555</v>
      </c>
      <c r="R160" s="543" t="s">
        <v>1988</v>
      </c>
      <c r="S160" s="543" t="s">
        <v>2405</v>
      </c>
      <c r="T160" s="543">
        <v>567</v>
      </c>
      <c r="U160" s="543" t="s">
        <v>1841</v>
      </c>
      <c r="V160" s="543" t="s">
        <v>2406</v>
      </c>
      <c r="W160" s="543">
        <v>62523275</v>
      </c>
      <c r="X160" s="543" t="s">
        <v>4556</v>
      </c>
      <c r="Y160" s="543" t="s">
        <v>2407</v>
      </c>
      <c r="Z160" s="543" t="s">
        <v>2408</v>
      </c>
      <c r="AA160" s="543" t="s">
        <v>4556</v>
      </c>
      <c r="AB160" s="543" t="s">
        <v>2409</v>
      </c>
      <c r="AC160" s="543" t="s">
        <v>1816</v>
      </c>
      <c r="AD160" s="543" t="s">
        <v>1817</v>
      </c>
      <c r="AE160" s="543" t="s">
        <v>1455</v>
      </c>
      <c r="AF160" s="543" t="s">
        <v>3040</v>
      </c>
      <c r="AG160" s="543" t="s">
        <v>34</v>
      </c>
      <c r="AH160" s="543" t="s">
        <v>34</v>
      </c>
      <c r="AI160" s="543" t="s">
        <v>34</v>
      </c>
      <c r="AJ160" s="543" t="s">
        <v>34</v>
      </c>
      <c r="AK160" s="543" t="s">
        <v>1818</v>
      </c>
      <c r="AL160" s="543" t="s">
        <v>34</v>
      </c>
      <c r="AM160" s="61" t="s">
        <v>4495</v>
      </c>
      <c r="AN160" s="541">
        <v>0</v>
      </c>
      <c r="AO160" s="541">
        <v>0</v>
      </c>
      <c r="AP160" s="61"/>
      <c r="CG160" t="str">
        <v>BAVIUS TECHNOLOGIE, INC.</v>
      </c>
    </row>
    <row r="161" spans="1:85" x14ac:dyDescent="0.2">
      <c r="A161" s="61">
        <v>160</v>
      </c>
      <c r="B161" s="542" t="s">
        <v>880</v>
      </c>
      <c r="C161" s="543" t="s">
        <v>4215</v>
      </c>
      <c r="D161" s="543" t="s">
        <v>4216</v>
      </c>
      <c r="E161" s="543" t="s">
        <v>1732</v>
      </c>
      <c r="F161" s="543" t="s">
        <v>1733</v>
      </c>
      <c r="G161" s="543" t="s">
        <v>34</v>
      </c>
      <c r="H161" s="543" t="s">
        <v>1821</v>
      </c>
      <c r="I161" s="543" t="s">
        <v>5342</v>
      </c>
      <c r="J161" s="543" t="s">
        <v>1461</v>
      </c>
      <c r="K161" s="543" t="s">
        <v>4217</v>
      </c>
      <c r="L161" s="543" t="s">
        <v>4218</v>
      </c>
      <c r="M161" s="543">
        <v>159874</v>
      </c>
      <c r="N161" s="543" t="s">
        <v>4215</v>
      </c>
      <c r="O161" s="543" t="s">
        <v>665</v>
      </c>
      <c r="P161" s="543" t="s">
        <v>2360</v>
      </c>
      <c r="Q161" s="543" t="s">
        <v>1819</v>
      </c>
      <c r="R161" s="543" t="s">
        <v>1814</v>
      </c>
      <c r="S161" s="543" t="s">
        <v>2355</v>
      </c>
      <c r="T161" s="543" t="s">
        <v>109</v>
      </c>
      <c r="U161" s="543" t="s">
        <v>1844</v>
      </c>
      <c r="V161" s="543" t="s">
        <v>4219</v>
      </c>
      <c r="W161" s="543" t="s">
        <v>4215</v>
      </c>
      <c r="X161" s="543" t="s">
        <v>1894</v>
      </c>
      <c r="Y161" s="543" t="s">
        <v>109</v>
      </c>
      <c r="Z161" s="543" t="s">
        <v>109</v>
      </c>
      <c r="AA161" s="543" t="s">
        <v>109</v>
      </c>
      <c r="AB161" s="543" t="s">
        <v>34</v>
      </c>
      <c r="AC161" s="543" t="s">
        <v>1816</v>
      </c>
      <c r="AD161" s="543" t="s">
        <v>1817</v>
      </c>
      <c r="AE161" s="543" t="s">
        <v>1455</v>
      </c>
      <c r="AF161" s="543" t="s">
        <v>3040</v>
      </c>
      <c r="AG161" s="543" t="s">
        <v>34</v>
      </c>
      <c r="AH161" s="543" t="s">
        <v>34</v>
      </c>
      <c r="AI161" s="543" t="s">
        <v>34</v>
      </c>
      <c r="AJ161" s="543" t="s">
        <v>34</v>
      </c>
      <c r="AK161" s="543" t="s">
        <v>1818</v>
      </c>
      <c r="AL161" s="543" t="s">
        <v>34</v>
      </c>
      <c r="AM161" s="61" t="s">
        <v>4495</v>
      </c>
      <c r="AN161" s="541">
        <v>0</v>
      </c>
      <c r="AO161" s="541">
        <v>0</v>
      </c>
      <c r="AP161" s="61"/>
      <c r="CG161" t="str">
        <v>BBB Industries</v>
      </c>
    </row>
    <row r="162" spans="1:85" x14ac:dyDescent="0.2">
      <c r="A162" s="61">
        <v>161</v>
      </c>
      <c r="B162" s="542" t="s">
        <v>904</v>
      </c>
      <c r="C162" s="543">
        <v>588</v>
      </c>
      <c r="D162" s="543" t="s">
        <v>3777</v>
      </c>
      <c r="E162" s="543" t="s">
        <v>1734</v>
      </c>
      <c r="F162" s="543" t="s">
        <v>1735</v>
      </c>
      <c r="G162" s="543" t="s">
        <v>34</v>
      </c>
      <c r="H162" s="543" t="s">
        <v>1821</v>
      </c>
      <c r="I162" s="543" t="s">
        <v>2415</v>
      </c>
      <c r="J162" s="543" t="s">
        <v>1461</v>
      </c>
      <c r="K162" s="543" t="s">
        <v>1907</v>
      </c>
      <c r="L162" s="543" t="s">
        <v>2422</v>
      </c>
      <c r="M162" s="543">
        <v>588</v>
      </c>
      <c r="N162" s="543">
        <v>588</v>
      </c>
      <c r="O162" s="543" t="s">
        <v>665</v>
      </c>
      <c r="P162" s="543" t="s">
        <v>2423</v>
      </c>
      <c r="Q162" s="543" t="s">
        <v>2424</v>
      </c>
      <c r="R162" s="543" t="s">
        <v>1814</v>
      </c>
      <c r="S162" s="543" t="s">
        <v>2425</v>
      </c>
      <c r="T162" s="543">
        <v>5.04</v>
      </c>
      <c r="U162" s="543" t="s">
        <v>1642</v>
      </c>
      <c r="V162" s="543" t="s">
        <v>2426</v>
      </c>
      <c r="W162" s="543">
        <v>588</v>
      </c>
      <c r="X162" s="543" t="s">
        <v>2427</v>
      </c>
      <c r="Y162" s="543" t="s">
        <v>109</v>
      </c>
      <c r="Z162" s="543" t="s">
        <v>109</v>
      </c>
      <c r="AA162" s="543" t="s">
        <v>109</v>
      </c>
      <c r="AB162" s="543" t="s">
        <v>1885</v>
      </c>
      <c r="AC162" s="543" t="s">
        <v>1816</v>
      </c>
      <c r="AD162" s="543" t="s">
        <v>1817</v>
      </c>
      <c r="AE162" s="543" t="s">
        <v>1455</v>
      </c>
      <c r="AF162" s="543">
        <v>32</v>
      </c>
      <c r="AG162" s="543">
        <v>0</v>
      </c>
      <c r="AH162" s="543" t="s">
        <v>3040</v>
      </c>
      <c r="AI162" s="543" t="s">
        <v>4046</v>
      </c>
      <c r="AJ162" s="543" t="s">
        <v>4047</v>
      </c>
      <c r="AK162" s="543" t="s">
        <v>1818</v>
      </c>
      <c r="AL162" s="543" t="s">
        <v>34</v>
      </c>
      <c r="AM162" s="61" t="s">
        <v>4495</v>
      </c>
      <c r="AN162" s="541">
        <v>0</v>
      </c>
      <c r="AO162" s="541">
        <v>0</v>
      </c>
      <c r="AP162" s="61"/>
      <c r="CG162" t="str">
        <v>BD</v>
      </c>
    </row>
    <row r="163" spans="1:85" x14ac:dyDescent="0.2">
      <c r="A163" s="61">
        <v>162</v>
      </c>
      <c r="B163" s="542" t="s">
        <v>904</v>
      </c>
      <c r="C163" s="543">
        <v>12004</v>
      </c>
      <c r="D163" s="543" t="s">
        <v>3778</v>
      </c>
      <c r="E163" s="543" t="s">
        <v>1734</v>
      </c>
      <c r="F163" s="543" t="s">
        <v>1735</v>
      </c>
      <c r="G163" s="543" t="s">
        <v>34</v>
      </c>
      <c r="H163" s="543" t="s">
        <v>1821</v>
      </c>
      <c r="I163" s="543" t="s">
        <v>5342</v>
      </c>
      <c r="J163" s="543" t="s">
        <v>1461</v>
      </c>
      <c r="K163" s="543" t="s">
        <v>875</v>
      </c>
      <c r="L163" s="543" t="s">
        <v>2428</v>
      </c>
      <c r="M163" s="543" t="s">
        <v>2429</v>
      </c>
      <c r="N163" s="543">
        <v>12004</v>
      </c>
      <c r="O163" s="543" t="s">
        <v>665</v>
      </c>
      <c r="P163" s="543" t="s">
        <v>1882</v>
      </c>
      <c r="Q163" s="543" t="s">
        <v>1819</v>
      </c>
      <c r="R163" s="543" t="s">
        <v>1814</v>
      </c>
      <c r="S163" s="543" t="s">
        <v>2430</v>
      </c>
      <c r="T163" s="543">
        <v>1.3</v>
      </c>
      <c r="U163" s="543" t="s">
        <v>1642</v>
      </c>
      <c r="V163" s="543" t="s">
        <v>1889</v>
      </c>
      <c r="W163" s="543" t="s">
        <v>2429</v>
      </c>
      <c r="X163" s="543" t="s">
        <v>2431</v>
      </c>
      <c r="Y163" s="543" t="s">
        <v>109</v>
      </c>
      <c r="Z163" s="543" t="s">
        <v>109</v>
      </c>
      <c r="AA163" s="543" t="s">
        <v>109</v>
      </c>
      <c r="AB163" s="543" t="s">
        <v>2432</v>
      </c>
      <c r="AC163" s="543" t="s">
        <v>1816</v>
      </c>
      <c r="AD163" s="543" t="s">
        <v>1817</v>
      </c>
      <c r="AE163" s="543" t="s">
        <v>1455</v>
      </c>
      <c r="AF163" s="543" t="s">
        <v>3040</v>
      </c>
      <c r="AG163" s="543" t="s">
        <v>34</v>
      </c>
      <c r="AH163" s="543" t="s">
        <v>34</v>
      </c>
      <c r="AI163" s="543" t="s">
        <v>34</v>
      </c>
      <c r="AJ163" s="543" t="s">
        <v>34</v>
      </c>
      <c r="AK163" s="543" t="s">
        <v>1818</v>
      </c>
      <c r="AL163" s="543" t="s">
        <v>34</v>
      </c>
      <c r="AM163" s="61" t="s">
        <v>4495</v>
      </c>
      <c r="AN163" s="541">
        <v>0</v>
      </c>
      <c r="AO163" s="541">
        <v>0</v>
      </c>
      <c r="AP163" s="61"/>
      <c r="CG163" t="str">
        <v>BE-TECHNOLOGIES, LTD</v>
      </c>
    </row>
    <row r="164" spans="1:85" x14ac:dyDescent="0.2">
      <c r="A164" s="61">
        <v>163</v>
      </c>
      <c r="B164" s="542" t="s">
        <v>904</v>
      </c>
      <c r="C164" s="543" t="s">
        <v>920</v>
      </c>
      <c r="D164" s="543" t="s">
        <v>3779</v>
      </c>
      <c r="E164" s="543" t="s">
        <v>1734</v>
      </c>
      <c r="F164" s="543" t="s">
        <v>1735</v>
      </c>
      <c r="G164" s="543" t="s">
        <v>34</v>
      </c>
      <c r="H164" s="543" t="s">
        <v>1821</v>
      </c>
      <c r="I164" s="543" t="s">
        <v>5342</v>
      </c>
      <c r="J164" s="543" t="s">
        <v>2433</v>
      </c>
      <c r="K164" s="543" t="s">
        <v>1078</v>
      </c>
      <c r="L164" s="543" t="s">
        <v>2434</v>
      </c>
      <c r="M164" s="543" t="s">
        <v>2435</v>
      </c>
      <c r="N164" s="543" t="s">
        <v>920</v>
      </c>
      <c r="O164" s="543" t="s">
        <v>665</v>
      </c>
      <c r="P164" s="543" t="s">
        <v>2436</v>
      </c>
      <c r="Q164" s="543" t="s">
        <v>1819</v>
      </c>
      <c r="R164" s="543" t="s">
        <v>1915</v>
      </c>
      <c r="S164" s="543" t="s">
        <v>2437</v>
      </c>
      <c r="T164" s="543">
        <v>1.04</v>
      </c>
      <c r="U164" s="543" t="s">
        <v>1642</v>
      </c>
      <c r="V164" s="543" t="s">
        <v>2434</v>
      </c>
      <c r="W164" s="543" t="s">
        <v>2435</v>
      </c>
      <c r="X164" s="543" t="s">
        <v>1884</v>
      </c>
      <c r="Y164" s="543" t="s">
        <v>109</v>
      </c>
      <c r="Z164" s="543" t="s">
        <v>109</v>
      </c>
      <c r="AA164" s="543" t="s">
        <v>109</v>
      </c>
      <c r="AB164" s="543" t="s">
        <v>4401</v>
      </c>
      <c r="AC164" s="543" t="s">
        <v>1816</v>
      </c>
      <c r="AD164" s="543" t="s">
        <v>1817</v>
      </c>
      <c r="AE164" s="543" t="s">
        <v>1455</v>
      </c>
      <c r="AF164" s="543" t="s">
        <v>3040</v>
      </c>
      <c r="AG164" s="543" t="s">
        <v>34</v>
      </c>
      <c r="AH164" s="543" t="s">
        <v>34</v>
      </c>
      <c r="AI164" s="543" t="s">
        <v>34</v>
      </c>
      <c r="AJ164" s="543" t="s">
        <v>34</v>
      </c>
      <c r="AK164" s="543" t="s">
        <v>1818</v>
      </c>
      <c r="AL164" s="543" t="s">
        <v>34</v>
      </c>
      <c r="AM164" s="61" t="s">
        <v>4495</v>
      </c>
      <c r="AN164" s="541">
        <v>0</v>
      </c>
      <c r="AO164" s="541">
        <v>0</v>
      </c>
      <c r="AP164" s="61"/>
      <c r="CG164" t="str">
        <v>BEHLEN MFG. CO.</v>
      </c>
    </row>
    <row r="165" spans="1:85" x14ac:dyDescent="0.2">
      <c r="A165" s="61">
        <v>164</v>
      </c>
      <c r="B165" s="542" t="s">
        <v>904</v>
      </c>
      <c r="C165" s="543" t="s">
        <v>5100</v>
      </c>
      <c r="D165" s="543" t="s">
        <v>5101</v>
      </c>
      <c r="E165" s="543" t="s">
        <v>1734</v>
      </c>
      <c r="F165" s="543" t="s">
        <v>1735</v>
      </c>
      <c r="G165" s="543" t="s">
        <v>34</v>
      </c>
      <c r="H165" s="543" t="s">
        <v>1821</v>
      </c>
      <c r="I165" s="543" t="s">
        <v>2415</v>
      </c>
      <c r="J165" s="543" t="s">
        <v>1461</v>
      </c>
      <c r="K165" s="543" t="s">
        <v>1600</v>
      </c>
      <c r="L165" s="543" t="s">
        <v>5102</v>
      </c>
      <c r="M165" s="543" t="s">
        <v>5103</v>
      </c>
      <c r="N165" s="543" t="s">
        <v>5100</v>
      </c>
      <c r="O165" s="543" t="s">
        <v>665</v>
      </c>
      <c r="P165" s="543" t="s">
        <v>5104</v>
      </c>
      <c r="Q165" s="543" t="s">
        <v>1897</v>
      </c>
      <c r="R165" s="543" t="s">
        <v>1814</v>
      </c>
      <c r="S165" s="543" t="s">
        <v>5105</v>
      </c>
      <c r="T165" s="543">
        <v>4.13</v>
      </c>
      <c r="U165" s="543" t="s">
        <v>1642</v>
      </c>
      <c r="V165" s="543" t="s">
        <v>5106</v>
      </c>
      <c r="W165" s="543" t="s">
        <v>5107</v>
      </c>
      <c r="X165" s="543" t="s">
        <v>1815</v>
      </c>
      <c r="Y165" s="543" t="s">
        <v>109</v>
      </c>
      <c r="Z165" s="543" t="s">
        <v>109</v>
      </c>
      <c r="AA165" s="543" t="s">
        <v>109</v>
      </c>
      <c r="AB165" s="543" t="s">
        <v>34</v>
      </c>
      <c r="AC165" s="543" t="s">
        <v>1816</v>
      </c>
      <c r="AD165" s="543" t="s">
        <v>1817</v>
      </c>
      <c r="AE165" s="543" t="s">
        <v>1455</v>
      </c>
      <c r="AF165" s="543" t="s">
        <v>3040</v>
      </c>
      <c r="AG165" s="543" t="s">
        <v>34</v>
      </c>
      <c r="AH165" s="543" t="s">
        <v>34</v>
      </c>
      <c r="AI165" s="543" t="s">
        <v>34</v>
      </c>
      <c r="AJ165" s="543" t="s">
        <v>34</v>
      </c>
      <c r="AK165" s="543" t="s">
        <v>1818</v>
      </c>
      <c r="AL165" s="543" t="s">
        <v>34</v>
      </c>
      <c r="AM165" s="61" t="s">
        <v>4495</v>
      </c>
      <c r="AN165" s="541"/>
      <c r="AO165" s="541"/>
      <c r="AP165" s="61"/>
      <c r="CG165" t="str">
        <v>BELL MIRROR AND GLASS INC</v>
      </c>
    </row>
    <row r="166" spans="1:85" x14ac:dyDescent="0.2">
      <c r="A166" s="61">
        <v>165</v>
      </c>
      <c r="B166" s="542" t="s">
        <v>904</v>
      </c>
      <c r="C166" s="543" t="s">
        <v>4817</v>
      </c>
      <c r="D166" s="543" t="s">
        <v>4818</v>
      </c>
      <c r="E166" s="543" t="s">
        <v>1734</v>
      </c>
      <c r="F166" s="543" t="s">
        <v>1735</v>
      </c>
      <c r="G166" s="543" t="s">
        <v>34</v>
      </c>
      <c r="H166" s="543" t="s">
        <v>1821</v>
      </c>
      <c r="I166" s="543" t="s">
        <v>2415</v>
      </c>
      <c r="J166" s="543" t="s">
        <v>1461</v>
      </c>
      <c r="K166" s="543" t="s">
        <v>4764</v>
      </c>
      <c r="L166" s="543" t="s">
        <v>4819</v>
      </c>
      <c r="M166" s="543">
        <v>15791</v>
      </c>
      <c r="N166" s="543" t="s">
        <v>4817</v>
      </c>
      <c r="O166" s="543" t="s">
        <v>2092</v>
      </c>
      <c r="P166" s="543" t="s">
        <v>4820</v>
      </c>
      <c r="Q166" s="543" t="s">
        <v>1819</v>
      </c>
      <c r="R166" s="543" t="s">
        <v>1814</v>
      </c>
      <c r="S166" s="543" t="s">
        <v>2479</v>
      </c>
      <c r="T166" s="543">
        <v>8</v>
      </c>
      <c r="U166" s="543" t="s">
        <v>1642</v>
      </c>
      <c r="V166" s="543" t="s">
        <v>4821</v>
      </c>
      <c r="W166" s="543" t="s">
        <v>4822</v>
      </c>
      <c r="X166" s="543" t="s">
        <v>1815</v>
      </c>
      <c r="Y166" s="543" t="s">
        <v>109</v>
      </c>
      <c r="Z166" s="543" t="s">
        <v>109</v>
      </c>
      <c r="AA166" s="543" t="s">
        <v>109</v>
      </c>
      <c r="AB166" s="543" t="s">
        <v>34</v>
      </c>
      <c r="AC166" s="543" t="s">
        <v>1816</v>
      </c>
      <c r="AD166" s="543" t="s">
        <v>4823</v>
      </c>
      <c r="AE166" s="543" t="s">
        <v>1455</v>
      </c>
      <c r="AF166" s="543">
        <v>2.06</v>
      </c>
      <c r="AG166" s="543" t="s">
        <v>4824</v>
      </c>
      <c r="AH166" s="543" t="s">
        <v>4825</v>
      </c>
      <c r="AI166" s="543" t="s">
        <v>4826</v>
      </c>
      <c r="AJ166" s="543" t="s">
        <v>34</v>
      </c>
      <c r="AK166" s="543" t="s">
        <v>1818</v>
      </c>
      <c r="AL166" s="543" t="s">
        <v>34</v>
      </c>
      <c r="AM166" s="61" t="s">
        <v>4496</v>
      </c>
      <c r="AN166" s="541"/>
      <c r="AO166" s="541"/>
      <c r="AP166" s="61"/>
      <c r="CG166" t="str">
        <v>BELL WELDING &amp; MACHINE</v>
      </c>
    </row>
    <row r="167" spans="1:85" x14ac:dyDescent="0.2">
      <c r="A167" s="61">
        <v>166</v>
      </c>
      <c r="B167" s="542" t="s">
        <v>904</v>
      </c>
      <c r="C167" s="543" t="s">
        <v>5039</v>
      </c>
      <c r="D167" s="543" t="s">
        <v>5040</v>
      </c>
      <c r="E167" s="543" t="s">
        <v>1734</v>
      </c>
      <c r="F167" s="543" t="s">
        <v>1735</v>
      </c>
      <c r="G167" s="543" t="s">
        <v>34</v>
      </c>
      <c r="H167" s="543" t="s">
        <v>1821</v>
      </c>
      <c r="I167" s="543" t="s">
        <v>2415</v>
      </c>
      <c r="J167" s="543" t="s">
        <v>1461</v>
      </c>
      <c r="K167" s="543" t="s">
        <v>4764</v>
      </c>
      <c r="L167" s="543" t="s">
        <v>5041</v>
      </c>
      <c r="M167" s="543">
        <v>187</v>
      </c>
      <c r="N167" s="543" t="s">
        <v>5039</v>
      </c>
      <c r="O167" s="543" t="s">
        <v>2092</v>
      </c>
      <c r="P167" s="543" t="s">
        <v>5042</v>
      </c>
      <c r="Q167" s="543" t="s">
        <v>1819</v>
      </c>
      <c r="R167" s="543" t="s">
        <v>1878</v>
      </c>
      <c r="S167" s="543" t="s">
        <v>5043</v>
      </c>
      <c r="T167" s="543">
        <v>10.16</v>
      </c>
      <c r="U167" s="543" t="s">
        <v>1642</v>
      </c>
      <c r="V167" s="543" t="s">
        <v>5044</v>
      </c>
      <c r="W167" s="543">
        <v>187</v>
      </c>
      <c r="X167" s="543" t="s">
        <v>1815</v>
      </c>
      <c r="Y167" s="543" t="s">
        <v>109</v>
      </c>
      <c r="Z167" s="543" t="s">
        <v>109</v>
      </c>
      <c r="AA167" s="543" t="s">
        <v>109</v>
      </c>
      <c r="AB167" s="543" t="s">
        <v>34</v>
      </c>
      <c r="AC167" s="543" t="s">
        <v>1816</v>
      </c>
      <c r="AD167" s="543" t="s">
        <v>4832</v>
      </c>
      <c r="AE167" s="543" t="s">
        <v>1455</v>
      </c>
      <c r="AF167" s="543">
        <v>2.5</v>
      </c>
      <c r="AG167" s="543">
        <v>0.28000000000000003</v>
      </c>
      <c r="AH167" s="543">
        <v>0.88</v>
      </c>
      <c r="AI167" s="543" t="s">
        <v>5045</v>
      </c>
      <c r="AJ167" s="543" t="s">
        <v>34</v>
      </c>
      <c r="AK167" s="543" t="s">
        <v>1818</v>
      </c>
      <c r="AL167" s="543" t="s">
        <v>34</v>
      </c>
      <c r="AM167" s="61" t="s">
        <v>4496</v>
      </c>
      <c r="AN167" s="541"/>
      <c r="AO167" s="541"/>
      <c r="AP167" s="61"/>
      <c r="CG167" t="str">
        <v>BEN J. MIRES</v>
      </c>
    </row>
    <row r="168" spans="1:85" x14ac:dyDescent="0.2">
      <c r="A168" s="61">
        <v>167</v>
      </c>
      <c r="B168" s="542" t="s">
        <v>904</v>
      </c>
      <c r="C168" s="543" t="s">
        <v>4827</v>
      </c>
      <c r="D168" s="543" t="s">
        <v>4828</v>
      </c>
      <c r="E168" s="543" t="s">
        <v>1734</v>
      </c>
      <c r="F168" s="543" t="s">
        <v>1735</v>
      </c>
      <c r="G168" s="543" t="s">
        <v>34</v>
      </c>
      <c r="H168" s="543" t="s">
        <v>1821</v>
      </c>
      <c r="I168" s="543" t="s">
        <v>2415</v>
      </c>
      <c r="J168" s="543" t="s">
        <v>1461</v>
      </c>
      <c r="K168" s="543" t="s">
        <v>4764</v>
      </c>
      <c r="L168" s="543" t="s">
        <v>4829</v>
      </c>
      <c r="M168" s="543">
        <v>75143</v>
      </c>
      <c r="N168" s="543" t="s">
        <v>4827</v>
      </c>
      <c r="O168" s="543" t="s">
        <v>2092</v>
      </c>
      <c r="P168" s="543" t="s">
        <v>2156</v>
      </c>
      <c r="Q168" s="543" t="s">
        <v>1819</v>
      </c>
      <c r="R168" s="543" t="s">
        <v>1814</v>
      </c>
      <c r="S168" s="543" t="s">
        <v>4830</v>
      </c>
      <c r="T168" s="543">
        <v>37.4</v>
      </c>
      <c r="U168" s="543" t="s">
        <v>1642</v>
      </c>
      <c r="V168" s="543" t="s">
        <v>4831</v>
      </c>
      <c r="W168" s="543">
        <v>7243169</v>
      </c>
      <c r="X168" s="543" t="s">
        <v>2431</v>
      </c>
      <c r="Y168" s="543" t="s">
        <v>109</v>
      </c>
      <c r="Z168" s="543" t="s">
        <v>109</v>
      </c>
      <c r="AA168" s="543" t="s">
        <v>109</v>
      </c>
      <c r="AB168" s="543" t="s">
        <v>4833</v>
      </c>
      <c r="AC168" s="543" t="s">
        <v>1816</v>
      </c>
      <c r="AD168" s="543" t="s">
        <v>4832</v>
      </c>
      <c r="AE168" s="543" t="s">
        <v>1455</v>
      </c>
      <c r="AF168" s="543" t="s">
        <v>3040</v>
      </c>
      <c r="AG168" s="543" t="s">
        <v>34</v>
      </c>
      <c r="AH168" s="543" t="s">
        <v>34</v>
      </c>
      <c r="AI168" s="543" t="s">
        <v>34</v>
      </c>
      <c r="AJ168" s="543" t="s">
        <v>34</v>
      </c>
      <c r="AK168" s="543" t="s">
        <v>1818</v>
      </c>
      <c r="AL168" s="543" t="s">
        <v>34</v>
      </c>
      <c r="AM168" s="61" t="s">
        <v>4498</v>
      </c>
      <c r="AN168" s="541"/>
      <c r="AO168" s="541"/>
      <c r="AP168" s="61"/>
      <c r="CG168" t="str">
        <v>BENECOR, INC.</v>
      </c>
    </row>
    <row r="169" spans="1:85" x14ac:dyDescent="0.2">
      <c r="A169" s="61">
        <v>168</v>
      </c>
      <c r="B169" s="542" t="s">
        <v>904</v>
      </c>
      <c r="C169" s="543" t="s">
        <v>1654</v>
      </c>
      <c r="D169" s="543" t="s">
        <v>3780</v>
      </c>
      <c r="E169" s="543" t="s">
        <v>1734</v>
      </c>
      <c r="F169" s="543" t="s">
        <v>1735</v>
      </c>
      <c r="G169" s="543" t="s">
        <v>34</v>
      </c>
      <c r="H169" s="543" t="s">
        <v>1821</v>
      </c>
      <c r="I169" s="543" t="s">
        <v>2415</v>
      </c>
      <c r="J169" s="543" t="s">
        <v>1461</v>
      </c>
      <c r="K169" s="543" t="s">
        <v>1907</v>
      </c>
      <c r="L169" s="543" t="s">
        <v>2416</v>
      </c>
      <c r="M169" s="543">
        <v>482</v>
      </c>
      <c r="N169" s="543" t="s">
        <v>1654</v>
      </c>
      <c r="O169" s="543" t="s">
        <v>665</v>
      </c>
      <c r="P169" s="543" t="s">
        <v>2417</v>
      </c>
      <c r="Q169" s="543" t="s">
        <v>1894</v>
      </c>
      <c r="R169" s="543" t="s">
        <v>1814</v>
      </c>
      <c r="S169" s="543" t="s">
        <v>2418</v>
      </c>
      <c r="T169" s="543">
        <v>6.16</v>
      </c>
      <c r="U169" s="543" t="s">
        <v>1642</v>
      </c>
      <c r="V169" s="543" t="s">
        <v>2419</v>
      </c>
      <c r="W169" s="543" t="s">
        <v>2081</v>
      </c>
      <c r="X169" s="543" t="s">
        <v>2420</v>
      </c>
      <c r="Y169" s="543" t="s">
        <v>109</v>
      </c>
      <c r="Z169" s="543" t="s">
        <v>109</v>
      </c>
      <c r="AA169" s="543" t="s">
        <v>109</v>
      </c>
      <c r="AB169" s="543" t="s">
        <v>2421</v>
      </c>
      <c r="AC169" s="543" t="s">
        <v>1816</v>
      </c>
      <c r="AD169" s="543" t="s">
        <v>1817</v>
      </c>
      <c r="AE169" s="543" t="s">
        <v>1455</v>
      </c>
      <c r="AF169" s="543" t="s">
        <v>3040</v>
      </c>
      <c r="AG169" s="543" t="s">
        <v>34</v>
      </c>
      <c r="AH169" s="543" t="s">
        <v>34</v>
      </c>
      <c r="AI169" s="543" t="s">
        <v>34</v>
      </c>
      <c r="AJ169" s="543" t="s">
        <v>34</v>
      </c>
      <c r="AK169" s="543" t="s">
        <v>1818</v>
      </c>
      <c r="AL169" s="543" t="s">
        <v>34</v>
      </c>
      <c r="AM169" s="61" t="s">
        <v>4495</v>
      </c>
      <c r="AN169" s="541">
        <v>0</v>
      </c>
      <c r="AO169" s="541">
        <v>0</v>
      </c>
      <c r="AP169" s="61"/>
      <c r="CG169" t="str">
        <v>BENTON AIRPARK</v>
      </c>
    </row>
    <row r="170" spans="1:85" x14ac:dyDescent="0.2">
      <c r="A170" s="61">
        <v>169</v>
      </c>
      <c r="B170" s="542" t="s">
        <v>904</v>
      </c>
      <c r="C170" s="543" t="s">
        <v>918</v>
      </c>
      <c r="D170" s="543" t="s">
        <v>3781</v>
      </c>
      <c r="E170" s="543" t="s">
        <v>1734</v>
      </c>
      <c r="F170" s="543" t="s">
        <v>1735</v>
      </c>
      <c r="G170" s="543" t="s">
        <v>34</v>
      </c>
      <c r="H170" s="543" t="s">
        <v>1821</v>
      </c>
      <c r="I170" s="543" t="s">
        <v>5342</v>
      </c>
      <c r="J170" s="543" t="s">
        <v>2433</v>
      </c>
      <c r="K170" s="543" t="s">
        <v>2438</v>
      </c>
      <c r="L170" s="543" t="s">
        <v>2162</v>
      </c>
      <c r="M170" s="543" t="s">
        <v>918</v>
      </c>
      <c r="N170" s="543" t="s">
        <v>918</v>
      </c>
      <c r="O170" s="543" t="s">
        <v>665</v>
      </c>
      <c r="P170" s="543" t="s">
        <v>2439</v>
      </c>
      <c r="Q170" s="543" t="s">
        <v>1897</v>
      </c>
      <c r="R170" s="543" t="s">
        <v>1878</v>
      </c>
      <c r="S170" s="543" t="s">
        <v>2440</v>
      </c>
      <c r="T170" s="543">
        <v>18.8</v>
      </c>
      <c r="U170" s="543" t="s">
        <v>1844</v>
      </c>
      <c r="V170" s="543" t="s">
        <v>2441</v>
      </c>
      <c r="W170" s="543" t="s">
        <v>2443</v>
      </c>
      <c r="X170" s="543" t="s">
        <v>2442</v>
      </c>
      <c r="Y170" s="543" t="s">
        <v>2441</v>
      </c>
      <c r="Z170" s="543" t="s">
        <v>2443</v>
      </c>
      <c r="AA170" s="543" t="s">
        <v>1923</v>
      </c>
      <c r="AB170" s="543" t="s">
        <v>2444</v>
      </c>
      <c r="AC170" s="543" t="s">
        <v>1816</v>
      </c>
      <c r="AD170" s="543" t="s">
        <v>1817</v>
      </c>
      <c r="AE170" s="543" t="s">
        <v>1455</v>
      </c>
      <c r="AF170" s="543" t="s">
        <v>3040</v>
      </c>
      <c r="AG170" s="543" t="s">
        <v>34</v>
      </c>
      <c r="AH170" s="543" t="s">
        <v>34</v>
      </c>
      <c r="AI170" s="543" t="s">
        <v>34</v>
      </c>
      <c r="AJ170" s="543" t="s">
        <v>34</v>
      </c>
      <c r="AK170" s="543" t="s">
        <v>1818</v>
      </c>
      <c r="AL170" s="543" t="s">
        <v>34</v>
      </c>
      <c r="AM170" s="61" t="s">
        <v>4495</v>
      </c>
      <c r="AN170" s="541">
        <v>0</v>
      </c>
      <c r="AO170" s="541">
        <v>0</v>
      </c>
      <c r="AP170" s="61"/>
      <c r="CG170" t="str">
        <v>BEV-HUB</v>
      </c>
    </row>
    <row r="171" spans="1:85" x14ac:dyDescent="0.2">
      <c r="A171" s="61">
        <v>170</v>
      </c>
      <c r="B171" s="542" t="s">
        <v>904</v>
      </c>
      <c r="C171" s="543" t="s">
        <v>5019</v>
      </c>
      <c r="D171" s="543" t="s">
        <v>5020</v>
      </c>
      <c r="E171" s="543" t="s">
        <v>1734</v>
      </c>
      <c r="F171" s="543" t="s">
        <v>1735</v>
      </c>
      <c r="G171" s="543" t="s">
        <v>34</v>
      </c>
      <c r="H171" s="543" t="s">
        <v>1821</v>
      </c>
      <c r="I171" s="543" t="s">
        <v>2415</v>
      </c>
      <c r="J171" s="543" t="s">
        <v>1461</v>
      </c>
      <c r="K171" s="543" t="s">
        <v>1600</v>
      </c>
      <c r="L171" s="543" t="s">
        <v>5021</v>
      </c>
      <c r="M171" s="543" t="s">
        <v>5022</v>
      </c>
      <c r="N171" s="543" t="s">
        <v>5019</v>
      </c>
      <c r="O171" s="543" t="s">
        <v>665</v>
      </c>
      <c r="P171" s="543" t="s">
        <v>5023</v>
      </c>
      <c r="Q171" s="543" t="s">
        <v>1819</v>
      </c>
      <c r="R171" s="543" t="s">
        <v>1814</v>
      </c>
      <c r="S171" s="543" t="s">
        <v>5024</v>
      </c>
      <c r="T171" s="543">
        <v>9.76</v>
      </c>
      <c r="U171" s="543" t="s">
        <v>1642</v>
      </c>
      <c r="V171" s="543" t="s">
        <v>5025</v>
      </c>
      <c r="W171" s="543" t="s">
        <v>5026</v>
      </c>
      <c r="X171" s="543" t="s">
        <v>1815</v>
      </c>
      <c r="Y171" s="543" t="s">
        <v>109</v>
      </c>
      <c r="Z171" s="543" t="s">
        <v>109</v>
      </c>
      <c r="AA171" s="543" t="s">
        <v>109</v>
      </c>
      <c r="AB171" s="543" t="s">
        <v>34</v>
      </c>
      <c r="AC171" s="543" t="s">
        <v>1816</v>
      </c>
      <c r="AD171" s="543" t="s">
        <v>1817</v>
      </c>
      <c r="AE171" s="543" t="s">
        <v>1455</v>
      </c>
      <c r="AF171" s="543" t="s">
        <v>3040</v>
      </c>
      <c r="AG171" s="543" t="s">
        <v>34</v>
      </c>
      <c r="AH171" s="543" t="s">
        <v>34</v>
      </c>
      <c r="AI171" s="543" t="s">
        <v>34</v>
      </c>
      <c r="AJ171" s="543" t="s">
        <v>34</v>
      </c>
      <c r="AK171" s="543" t="s">
        <v>1818</v>
      </c>
      <c r="AL171" s="543" t="s">
        <v>34</v>
      </c>
      <c r="AM171" s="61" t="s">
        <v>4495</v>
      </c>
      <c r="AN171" s="541"/>
      <c r="AO171" s="541"/>
      <c r="AP171" s="61"/>
      <c r="CG171" t="str">
        <v>BEV-HUB WICHITA</v>
      </c>
    </row>
    <row r="172" spans="1:85" x14ac:dyDescent="0.2">
      <c r="A172" s="61">
        <v>171</v>
      </c>
      <c r="B172" s="542" t="s">
        <v>904</v>
      </c>
      <c r="C172" s="543" t="s">
        <v>5027</v>
      </c>
      <c r="D172" s="543" t="s">
        <v>5028</v>
      </c>
      <c r="E172" s="543" t="s">
        <v>1734</v>
      </c>
      <c r="F172" s="543" t="s">
        <v>1735</v>
      </c>
      <c r="G172" s="543" t="s">
        <v>34</v>
      </c>
      <c r="H172" s="543" t="s">
        <v>1821</v>
      </c>
      <c r="I172" s="543" t="s">
        <v>2415</v>
      </c>
      <c r="J172" s="543" t="s">
        <v>1461</v>
      </c>
      <c r="K172" s="543" t="s">
        <v>1600</v>
      </c>
      <c r="L172" s="543" t="s">
        <v>5021</v>
      </c>
      <c r="M172" s="543" t="s">
        <v>5029</v>
      </c>
      <c r="N172" s="543" t="s">
        <v>5027</v>
      </c>
      <c r="O172" s="543" t="s">
        <v>665</v>
      </c>
      <c r="P172" s="543" t="s">
        <v>5023</v>
      </c>
      <c r="Q172" s="543" t="s">
        <v>1819</v>
      </c>
      <c r="R172" s="543" t="s">
        <v>1814</v>
      </c>
      <c r="S172" s="543" t="s">
        <v>5024</v>
      </c>
      <c r="T172" s="543">
        <v>9.76</v>
      </c>
      <c r="U172" s="543" t="s">
        <v>1642</v>
      </c>
      <c r="V172" s="543" t="s">
        <v>5025</v>
      </c>
      <c r="W172" s="543" t="s">
        <v>5030</v>
      </c>
      <c r="X172" s="543" t="s">
        <v>1815</v>
      </c>
      <c r="Y172" s="543" t="s">
        <v>109</v>
      </c>
      <c r="Z172" s="543" t="s">
        <v>109</v>
      </c>
      <c r="AA172" s="543" t="s">
        <v>109</v>
      </c>
      <c r="AB172" s="543" t="s">
        <v>34</v>
      </c>
      <c r="AC172" s="543" t="s">
        <v>1816</v>
      </c>
      <c r="AD172" s="543" t="s">
        <v>1817</v>
      </c>
      <c r="AE172" s="543" t="s">
        <v>1455</v>
      </c>
      <c r="AF172" s="543" t="s">
        <v>3040</v>
      </c>
      <c r="AG172" s="543" t="s">
        <v>34</v>
      </c>
      <c r="AH172" s="543" t="s">
        <v>34</v>
      </c>
      <c r="AI172" s="543" t="s">
        <v>34</v>
      </c>
      <c r="AJ172" s="543" t="s">
        <v>34</v>
      </c>
      <c r="AK172" s="543" t="s">
        <v>1818</v>
      </c>
      <c r="AL172" s="543" t="s">
        <v>34</v>
      </c>
      <c r="AM172" s="61" t="s">
        <v>4495</v>
      </c>
      <c r="AN172" s="541"/>
      <c r="AO172" s="541"/>
      <c r="AP172" s="61"/>
      <c r="CG172" t="str">
        <v>BEYOND MACHINING</v>
      </c>
    </row>
    <row r="173" spans="1:85" x14ac:dyDescent="0.2">
      <c r="A173" s="61">
        <v>172</v>
      </c>
      <c r="B173" s="542" t="s">
        <v>904</v>
      </c>
      <c r="C173" s="543" t="s">
        <v>5031</v>
      </c>
      <c r="D173" s="543" t="s">
        <v>5032</v>
      </c>
      <c r="E173" s="543" t="s">
        <v>1734</v>
      </c>
      <c r="F173" s="543" t="s">
        <v>1735</v>
      </c>
      <c r="G173" s="543" t="s">
        <v>34</v>
      </c>
      <c r="H173" s="543" t="s">
        <v>1821</v>
      </c>
      <c r="I173" s="543" t="s">
        <v>2415</v>
      </c>
      <c r="J173" s="543" t="s">
        <v>1461</v>
      </c>
      <c r="K173" s="543" t="s">
        <v>1600</v>
      </c>
      <c r="L173" s="543" t="s">
        <v>5033</v>
      </c>
      <c r="M173" s="543">
        <v>13271</v>
      </c>
      <c r="N173" s="543" t="s">
        <v>5031</v>
      </c>
      <c r="O173" s="543" t="s">
        <v>665</v>
      </c>
      <c r="P173" s="543" t="s">
        <v>5034</v>
      </c>
      <c r="Q173" s="543" t="s">
        <v>1819</v>
      </c>
      <c r="R173" s="543" t="s">
        <v>1814</v>
      </c>
      <c r="S173" s="543" t="s">
        <v>2479</v>
      </c>
      <c r="T173" s="543">
        <v>8</v>
      </c>
      <c r="U173" s="543" t="s">
        <v>1642</v>
      </c>
      <c r="V173" s="543" t="s">
        <v>3281</v>
      </c>
      <c r="W173" s="543" t="s">
        <v>5035</v>
      </c>
      <c r="X173" s="543" t="s">
        <v>1815</v>
      </c>
      <c r="Y173" s="543" t="s">
        <v>109</v>
      </c>
      <c r="Z173" s="543" t="s">
        <v>109</v>
      </c>
      <c r="AA173" s="543" t="s">
        <v>109</v>
      </c>
      <c r="AB173" s="543" t="s">
        <v>34</v>
      </c>
      <c r="AC173" s="543" t="s">
        <v>1816</v>
      </c>
      <c r="AD173" s="543" t="s">
        <v>1817</v>
      </c>
      <c r="AE173" s="543" t="s">
        <v>1455</v>
      </c>
      <c r="AF173" s="543">
        <v>1.7</v>
      </c>
      <c r="AG173" s="543">
        <v>1.1200000000000001</v>
      </c>
      <c r="AH173" s="543">
        <v>0.7</v>
      </c>
      <c r="AI173" s="543" t="s">
        <v>5036</v>
      </c>
      <c r="AJ173" s="543" t="s">
        <v>34</v>
      </c>
      <c r="AK173" s="543" t="s">
        <v>1818</v>
      </c>
      <c r="AL173" s="543" t="s">
        <v>34</v>
      </c>
      <c r="AM173" s="61" t="s">
        <v>4495</v>
      </c>
      <c r="AN173" s="541"/>
      <c r="AO173" s="541"/>
      <c r="AP173" s="61"/>
      <c r="CG173" t="str">
        <v>BG PRODUCTS, INC</v>
      </c>
    </row>
    <row r="174" spans="1:85" x14ac:dyDescent="0.2">
      <c r="A174" s="61">
        <v>173</v>
      </c>
      <c r="B174" s="542" t="s">
        <v>904</v>
      </c>
      <c r="C174" s="543" t="s">
        <v>5108</v>
      </c>
      <c r="D174" s="543" t="s">
        <v>5109</v>
      </c>
      <c r="E174" s="543" t="s">
        <v>1734</v>
      </c>
      <c r="F174" s="543" t="s">
        <v>1735</v>
      </c>
      <c r="G174" s="543" t="s">
        <v>34</v>
      </c>
      <c r="H174" s="543" t="s">
        <v>1821</v>
      </c>
      <c r="I174" s="543" t="s">
        <v>2415</v>
      </c>
      <c r="J174" s="543" t="s">
        <v>1461</v>
      </c>
      <c r="K174" s="543" t="s">
        <v>5110</v>
      </c>
      <c r="L174" s="543" t="s">
        <v>5111</v>
      </c>
      <c r="M174" s="543">
        <v>14835</v>
      </c>
      <c r="N174" s="543" t="s">
        <v>5108</v>
      </c>
      <c r="O174" s="543" t="s">
        <v>665</v>
      </c>
      <c r="P174" s="543" t="s">
        <v>5112</v>
      </c>
      <c r="Q174" s="543" t="s">
        <v>1819</v>
      </c>
      <c r="R174" s="543" t="s">
        <v>1814</v>
      </c>
      <c r="S174" s="543" t="s">
        <v>2479</v>
      </c>
      <c r="T174" s="543">
        <v>8</v>
      </c>
      <c r="U174" s="543" t="s">
        <v>1642</v>
      </c>
      <c r="V174" s="543" t="s">
        <v>3281</v>
      </c>
      <c r="W174" s="543" t="s">
        <v>5113</v>
      </c>
      <c r="X174" s="543" t="s">
        <v>1815</v>
      </c>
      <c r="Y174" s="543" t="s">
        <v>109</v>
      </c>
      <c r="Z174" s="543" t="s">
        <v>109</v>
      </c>
      <c r="AA174" s="543" t="s">
        <v>109</v>
      </c>
      <c r="AB174" s="543" t="s">
        <v>34</v>
      </c>
      <c r="AC174" s="543" t="s">
        <v>1816</v>
      </c>
      <c r="AD174" s="543" t="s">
        <v>1817</v>
      </c>
      <c r="AE174" s="543" t="s">
        <v>1455</v>
      </c>
      <c r="AF174" s="543" t="s">
        <v>3040</v>
      </c>
      <c r="AG174" s="543" t="s">
        <v>34</v>
      </c>
      <c r="AH174" s="543" t="s">
        <v>34</v>
      </c>
      <c r="AI174" s="543" t="s">
        <v>34</v>
      </c>
      <c r="AJ174" s="543" t="s">
        <v>34</v>
      </c>
      <c r="AK174" s="543" t="s">
        <v>1818</v>
      </c>
      <c r="AL174" s="543" t="s">
        <v>34</v>
      </c>
      <c r="AM174" s="61" t="s">
        <v>4495</v>
      </c>
      <c r="AN174" s="541"/>
      <c r="AO174" s="541"/>
      <c r="AP174" s="61"/>
      <c r="CG174" t="str">
        <v>BG PRODUCTS, INC - EL DORADO</v>
      </c>
    </row>
    <row r="175" spans="1:85" x14ac:dyDescent="0.2">
      <c r="A175" s="61">
        <v>174</v>
      </c>
      <c r="B175" s="542" t="s">
        <v>904</v>
      </c>
      <c r="C175" s="543" t="s">
        <v>5114</v>
      </c>
      <c r="D175" s="543" t="s">
        <v>5115</v>
      </c>
      <c r="E175" s="543" t="s">
        <v>1734</v>
      </c>
      <c r="F175" s="543" t="s">
        <v>1735</v>
      </c>
      <c r="G175" s="543" t="s">
        <v>34</v>
      </c>
      <c r="H175" s="543" t="s">
        <v>1821</v>
      </c>
      <c r="I175" s="543" t="s">
        <v>5342</v>
      </c>
      <c r="J175" s="543" t="s">
        <v>2433</v>
      </c>
      <c r="K175" s="543" t="s">
        <v>5116</v>
      </c>
      <c r="L175" s="543" t="s">
        <v>5117</v>
      </c>
      <c r="M175" s="543" t="s">
        <v>5118</v>
      </c>
      <c r="N175" s="543" t="s">
        <v>5114</v>
      </c>
      <c r="O175" s="543" t="s">
        <v>665</v>
      </c>
      <c r="P175" s="543" t="s">
        <v>5119</v>
      </c>
      <c r="Q175" s="543" t="s">
        <v>5120</v>
      </c>
      <c r="R175" s="543" t="s">
        <v>1915</v>
      </c>
      <c r="S175" s="543" t="s">
        <v>2437</v>
      </c>
      <c r="T175" s="543">
        <v>1.04</v>
      </c>
      <c r="U175" s="543" t="s">
        <v>1642</v>
      </c>
      <c r="V175" s="543" t="s">
        <v>5117</v>
      </c>
      <c r="W175" s="543" t="s">
        <v>5118</v>
      </c>
      <c r="X175" s="543" t="s">
        <v>5121</v>
      </c>
      <c r="Y175" s="543" t="s">
        <v>109</v>
      </c>
      <c r="Z175" s="543" t="s">
        <v>109</v>
      </c>
      <c r="AA175" s="543" t="s">
        <v>109</v>
      </c>
      <c r="AB175" s="543" t="s">
        <v>4401</v>
      </c>
      <c r="AC175" s="543" t="s">
        <v>1816</v>
      </c>
      <c r="AD175" s="543" t="s">
        <v>1817</v>
      </c>
      <c r="AE175" s="543" t="s">
        <v>1455</v>
      </c>
      <c r="AF175" s="543" t="s">
        <v>3040</v>
      </c>
      <c r="AG175" s="543" t="s">
        <v>34</v>
      </c>
      <c r="AH175" s="543" t="s">
        <v>34</v>
      </c>
      <c r="AI175" s="543" t="s">
        <v>34</v>
      </c>
      <c r="AJ175" s="543" t="s">
        <v>34</v>
      </c>
      <c r="AK175" s="543" t="s">
        <v>1818</v>
      </c>
      <c r="AL175" s="543" t="s">
        <v>34</v>
      </c>
      <c r="AM175" s="61" t="s">
        <v>4495</v>
      </c>
      <c r="AN175" s="541"/>
      <c r="AO175" s="541"/>
      <c r="AP175" s="61"/>
      <c r="CG175" t="str">
        <v>BG PRODUCTS, INC. - DERBY</v>
      </c>
    </row>
    <row r="176" spans="1:85" x14ac:dyDescent="0.2">
      <c r="A176" s="61">
        <v>175</v>
      </c>
      <c r="B176" s="542" t="s">
        <v>904</v>
      </c>
      <c r="C176" s="543" t="s">
        <v>4760</v>
      </c>
      <c r="D176" s="543" t="s">
        <v>4761</v>
      </c>
      <c r="E176" s="543" t="s">
        <v>4762</v>
      </c>
      <c r="F176" s="543" t="s">
        <v>4763</v>
      </c>
      <c r="G176" s="543" t="s">
        <v>34</v>
      </c>
      <c r="H176" s="543" t="s">
        <v>1821</v>
      </c>
      <c r="I176" s="543" t="s">
        <v>5342</v>
      </c>
      <c r="J176" s="543" t="s">
        <v>1461</v>
      </c>
      <c r="K176" s="543" t="s">
        <v>4764</v>
      </c>
      <c r="L176" s="543" t="s">
        <v>2162</v>
      </c>
      <c r="M176" s="543">
        <v>851899</v>
      </c>
      <c r="N176" s="543" t="s">
        <v>4760</v>
      </c>
      <c r="O176" s="543" t="s">
        <v>4765</v>
      </c>
      <c r="P176" s="543" t="s">
        <v>3194</v>
      </c>
      <c r="Q176" s="543" t="s">
        <v>3195</v>
      </c>
      <c r="R176" s="543" t="s">
        <v>4766</v>
      </c>
      <c r="S176" s="543" t="s">
        <v>4767</v>
      </c>
      <c r="T176" s="543">
        <v>2.75</v>
      </c>
      <c r="U176" s="543" t="s">
        <v>1642</v>
      </c>
      <c r="V176" s="543" t="s">
        <v>4768</v>
      </c>
      <c r="W176" s="543" t="s">
        <v>4769</v>
      </c>
      <c r="X176" s="543" t="s">
        <v>3002</v>
      </c>
      <c r="Y176" s="543" t="s">
        <v>109</v>
      </c>
      <c r="Z176" s="543" t="s">
        <v>109</v>
      </c>
      <c r="AA176" s="543" t="s">
        <v>109</v>
      </c>
      <c r="AB176" s="543" t="s">
        <v>4770</v>
      </c>
      <c r="AC176" s="543" t="s">
        <v>4129</v>
      </c>
      <c r="AD176" s="543" t="s">
        <v>4771</v>
      </c>
      <c r="AE176" s="543" t="s">
        <v>1455</v>
      </c>
      <c r="AF176" s="543" t="s">
        <v>109</v>
      </c>
      <c r="AG176" s="543" t="s">
        <v>109</v>
      </c>
      <c r="AH176" s="543" t="s">
        <v>109</v>
      </c>
      <c r="AI176" s="543" t="s">
        <v>109</v>
      </c>
      <c r="AJ176" s="543" t="s">
        <v>109</v>
      </c>
      <c r="AK176" s="543" t="s">
        <v>1818</v>
      </c>
      <c r="AL176" s="543" t="s">
        <v>109</v>
      </c>
      <c r="AM176" s="61" t="s">
        <v>4498</v>
      </c>
      <c r="AN176" s="541"/>
      <c r="AO176" s="541"/>
      <c r="AP176" s="61"/>
      <c r="CG176" t="str">
        <v>BIG DOG MOTORCYCLES, LLC</v>
      </c>
    </row>
    <row r="177" spans="1:85" x14ac:dyDescent="0.2">
      <c r="A177" s="61">
        <v>176</v>
      </c>
      <c r="B177" s="542" t="s">
        <v>904</v>
      </c>
      <c r="C177" s="543" t="s">
        <v>5233</v>
      </c>
      <c r="D177" s="543" t="s">
        <v>5234</v>
      </c>
      <c r="E177" s="543" t="s">
        <v>1734</v>
      </c>
      <c r="F177" s="543" t="s">
        <v>1735</v>
      </c>
      <c r="G177" s="543" t="s">
        <v>34</v>
      </c>
      <c r="H177" s="543" t="s">
        <v>1821</v>
      </c>
      <c r="I177" s="543" t="s">
        <v>2415</v>
      </c>
      <c r="J177" s="543" t="s">
        <v>1461</v>
      </c>
      <c r="K177" s="543" t="s">
        <v>5233</v>
      </c>
      <c r="L177" s="543" t="s">
        <v>5235</v>
      </c>
      <c r="M177" s="543">
        <v>141000305</v>
      </c>
      <c r="N177" s="543" t="s">
        <v>5236</v>
      </c>
      <c r="O177" s="543" t="s">
        <v>2092</v>
      </c>
      <c r="P177" s="543" t="s">
        <v>5237</v>
      </c>
      <c r="Q177" s="543" t="s">
        <v>2424</v>
      </c>
      <c r="R177" s="543" t="s">
        <v>1814</v>
      </c>
      <c r="S177" s="543" t="s">
        <v>5238</v>
      </c>
      <c r="T177" s="543">
        <v>3.41</v>
      </c>
      <c r="U177" s="543" t="s">
        <v>1642</v>
      </c>
      <c r="V177" s="543" t="s">
        <v>5239</v>
      </c>
      <c r="W177" s="543">
        <v>141000305</v>
      </c>
      <c r="X177" s="543" t="s">
        <v>2427</v>
      </c>
      <c r="Y177" s="543" t="s">
        <v>5239</v>
      </c>
      <c r="Z177" s="543">
        <v>141000305</v>
      </c>
      <c r="AA177" s="543" t="s">
        <v>2427</v>
      </c>
      <c r="AB177" s="543" t="s">
        <v>5240</v>
      </c>
      <c r="AC177" s="543" t="s">
        <v>1816</v>
      </c>
      <c r="AD177" s="543" t="s">
        <v>4823</v>
      </c>
      <c r="AE177" s="543" t="s">
        <v>1455</v>
      </c>
      <c r="AF177" s="543" t="s">
        <v>3040</v>
      </c>
      <c r="AG177" s="543" t="s">
        <v>34</v>
      </c>
      <c r="AH177" s="543" t="s">
        <v>34</v>
      </c>
      <c r="AI177" s="543" t="s">
        <v>34</v>
      </c>
      <c r="AJ177" s="543" t="s">
        <v>34</v>
      </c>
      <c r="AK177" s="543" t="s">
        <v>1818</v>
      </c>
      <c r="AL177" s="543" t="s">
        <v>34</v>
      </c>
      <c r="AM177" s="61" t="s">
        <v>4495</v>
      </c>
      <c r="AN177" s="541">
        <v>0</v>
      </c>
      <c r="AO177" s="541">
        <v>0</v>
      </c>
      <c r="AP177" s="61"/>
      <c r="CG177" t="str">
        <v>BILL MATZEK</v>
      </c>
    </row>
    <row r="178" spans="1:85" x14ac:dyDescent="0.2">
      <c r="A178" s="61">
        <v>177</v>
      </c>
      <c r="B178" s="542" t="s">
        <v>3394</v>
      </c>
      <c r="C178" s="543" t="s">
        <v>1600</v>
      </c>
      <c r="D178" s="543" t="s">
        <v>3782</v>
      </c>
      <c r="E178" s="543" t="s">
        <v>3395</v>
      </c>
      <c r="F178" s="543" t="s">
        <v>3396</v>
      </c>
      <c r="G178" s="543" t="s">
        <v>34</v>
      </c>
      <c r="H178" s="543" t="s">
        <v>1821</v>
      </c>
      <c r="I178" s="543" t="s">
        <v>5342</v>
      </c>
      <c r="J178" s="543" t="s">
        <v>2433</v>
      </c>
      <c r="K178" s="543" t="s">
        <v>1825</v>
      </c>
      <c r="L178" s="543" t="s">
        <v>2184</v>
      </c>
      <c r="M178" s="543" t="s">
        <v>3397</v>
      </c>
      <c r="N178" s="543" t="s">
        <v>1538</v>
      </c>
      <c r="O178" s="543" t="s">
        <v>665</v>
      </c>
      <c r="P178" s="543" t="s">
        <v>1880</v>
      </c>
      <c r="Q178" s="543" t="s">
        <v>1897</v>
      </c>
      <c r="R178" s="543" t="s">
        <v>1878</v>
      </c>
      <c r="S178" s="543" t="s">
        <v>3398</v>
      </c>
      <c r="T178" s="543">
        <v>15.6</v>
      </c>
      <c r="U178" s="543" t="s">
        <v>1642</v>
      </c>
      <c r="V178" s="543" t="s">
        <v>3399</v>
      </c>
      <c r="W178" s="543" t="s">
        <v>3400</v>
      </c>
      <c r="X178" s="543" t="s">
        <v>1815</v>
      </c>
      <c r="Y178" s="543" t="s">
        <v>3401</v>
      </c>
      <c r="Z178" s="543" t="s">
        <v>3402</v>
      </c>
      <c r="AA178" s="543" t="s">
        <v>1815</v>
      </c>
      <c r="AB178" s="543" t="s">
        <v>34</v>
      </c>
      <c r="AC178" s="543" t="s">
        <v>1816</v>
      </c>
      <c r="AD178" s="543" t="s">
        <v>1817</v>
      </c>
      <c r="AE178" s="543" t="s">
        <v>1455</v>
      </c>
      <c r="AF178" s="543" t="s">
        <v>3040</v>
      </c>
      <c r="AG178" s="543" t="s">
        <v>34</v>
      </c>
      <c r="AH178" s="543" t="s">
        <v>34</v>
      </c>
      <c r="AI178" s="543" t="s">
        <v>34</v>
      </c>
      <c r="AJ178" s="543" t="s">
        <v>34</v>
      </c>
      <c r="AK178" s="543" t="s">
        <v>1818</v>
      </c>
      <c r="AL178" s="543" t="s">
        <v>34</v>
      </c>
      <c r="AM178" s="61" t="s">
        <v>4495</v>
      </c>
      <c r="AN178" s="541">
        <v>0</v>
      </c>
      <c r="AO178" s="541">
        <v>0</v>
      </c>
      <c r="AP178" s="61"/>
      <c r="CG178" t="str">
        <v>BISHOP AVIATION, INC.</v>
      </c>
    </row>
    <row r="179" spans="1:85" x14ac:dyDescent="0.2">
      <c r="A179" s="61">
        <v>178</v>
      </c>
      <c r="B179" s="542" t="s">
        <v>923</v>
      </c>
      <c r="C179" s="543" t="s">
        <v>926</v>
      </c>
      <c r="D179" s="543" t="s">
        <v>4644</v>
      </c>
      <c r="E179" s="543" t="s">
        <v>4645</v>
      </c>
      <c r="F179" s="543" t="s">
        <v>4646</v>
      </c>
      <c r="G179" s="543" t="s">
        <v>34</v>
      </c>
      <c r="H179" s="543" t="s">
        <v>1821</v>
      </c>
      <c r="I179" s="543" t="s">
        <v>5342</v>
      </c>
      <c r="J179" s="543" t="s">
        <v>1461</v>
      </c>
      <c r="K179" s="543" t="s">
        <v>4647</v>
      </c>
      <c r="L179" s="543" t="s">
        <v>4648</v>
      </c>
      <c r="M179" s="543" t="s">
        <v>4649</v>
      </c>
      <c r="N179" s="543" t="s">
        <v>4650</v>
      </c>
      <c r="O179" s="543" t="s">
        <v>665</v>
      </c>
      <c r="P179" s="543" t="s">
        <v>4651</v>
      </c>
      <c r="Q179" s="543" t="s">
        <v>1897</v>
      </c>
      <c r="R179" s="543" t="s">
        <v>1814</v>
      </c>
      <c r="S179" s="543" t="s">
        <v>4652</v>
      </c>
      <c r="T179" s="543">
        <v>13.125</v>
      </c>
      <c r="U179" s="543" t="s">
        <v>1844</v>
      </c>
      <c r="V179" s="543" t="s">
        <v>4653</v>
      </c>
      <c r="W179" s="543" t="s">
        <v>4654</v>
      </c>
      <c r="X179" s="543" t="s">
        <v>1815</v>
      </c>
      <c r="Y179" s="543" t="s">
        <v>109</v>
      </c>
      <c r="Z179" s="543" t="s">
        <v>109</v>
      </c>
      <c r="AA179" s="543" t="s">
        <v>109</v>
      </c>
      <c r="AB179" s="543" t="s">
        <v>34</v>
      </c>
      <c r="AC179" s="543" t="s">
        <v>1816</v>
      </c>
      <c r="AD179" s="543" t="s">
        <v>4193</v>
      </c>
      <c r="AE179" s="543" t="s">
        <v>1455</v>
      </c>
      <c r="AF179" s="543" t="s">
        <v>3040</v>
      </c>
      <c r="AG179" s="543" t="s">
        <v>34</v>
      </c>
      <c r="AH179" s="543" t="s">
        <v>34</v>
      </c>
      <c r="AI179" s="543" t="s">
        <v>34</v>
      </c>
      <c r="AJ179" s="543" t="s">
        <v>34</v>
      </c>
      <c r="AK179" s="543" t="s">
        <v>1818</v>
      </c>
      <c r="AL179" s="543" t="s">
        <v>34</v>
      </c>
      <c r="AM179" s="61" t="s">
        <v>4496</v>
      </c>
      <c r="AN179" s="541"/>
      <c r="AO179" s="541"/>
      <c r="AP179" s="61"/>
      <c r="CG179" t="str">
        <v>BLACKHAWK INDUSTRIAL - OMAHA</v>
      </c>
    </row>
    <row r="180" spans="1:85" x14ac:dyDescent="0.2">
      <c r="A180" s="61">
        <v>179</v>
      </c>
      <c r="B180" s="542" t="s">
        <v>5179</v>
      </c>
      <c r="C180" s="543" t="s">
        <v>5196</v>
      </c>
      <c r="D180" s="543" t="s">
        <v>5197</v>
      </c>
      <c r="E180" s="543" t="s">
        <v>5180</v>
      </c>
      <c r="F180" s="543" t="s">
        <v>5181</v>
      </c>
      <c r="G180" s="543"/>
      <c r="H180" s="543" t="s">
        <v>1821</v>
      </c>
      <c r="I180" s="543" t="s">
        <v>5342</v>
      </c>
      <c r="J180" s="543" t="s">
        <v>1809</v>
      </c>
      <c r="K180" s="543" t="s">
        <v>5196</v>
      </c>
      <c r="L180" s="543" t="s">
        <v>5183</v>
      </c>
      <c r="M180" s="543" t="s">
        <v>5184</v>
      </c>
      <c r="N180" s="543" t="s">
        <v>5198</v>
      </c>
      <c r="O180" s="543" t="s">
        <v>5360</v>
      </c>
      <c r="P180" s="543" t="s">
        <v>2412</v>
      </c>
      <c r="Q180" s="543" t="s">
        <v>1819</v>
      </c>
      <c r="R180" s="543" t="s">
        <v>1988</v>
      </c>
      <c r="S180" s="543" t="s">
        <v>5185</v>
      </c>
      <c r="T180" s="543">
        <v>26.8125</v>
      </c>
      <c r="U180" s="543" t="s">
        <v>1843</v>
      </c>
      <c r="V180" s="543" t="s">
        <v>5199</v>
      </c>
      <c r="W180" s="543">
        <v>63613055</v>
      </c>
      <c r="X180" s="543" t="s">
        <v>5187</v>
      </c>
      <c r="Y180" s="543" t="s">
        <v>5188</v>
      </c>
      <c r="Z180" s="543" t="s">
        <v>5189</v>
      </c>
      <c r="AA180" s="543" t="s">
        <v>5187</v>
      </c>
      <c r="AB180" s="543" t="s">
        <v>34</v>
      </c>
      <c r="AC180" s="543" t="s">
        <v>1816</v>
      </c>
      <c r="AD180" s="543" t="s">
        <v>5190</v>
      </c>
      <c r="AE180" s="543" t="s">
        <v>5191</v>
      </c>
      <c r="AF180" s="543">
        <v>6</v>
      </c>
      <c r="AG180" s="543">
        <v>64</v>
      </c>
      <c r="AH180" s="543">
        <v>15</v>
      </c>
      <c r="AI180" s="543" t="s">
        <v>34</v>
      </c>
      <c r="AJ180" s="543" t="s">
        <v>34</v>
      </c>
      <c r="AK180" s="543" t="s">
        <v>1818</v>
      </c>
      <c r="AL180" s="543" t="s">
        <v>5194</v>
      </c>
      <c r="AM180" s="61" t="s">
        <v>4498</v>
      </c>
      <c r="AN180" s="541"/>
      <c r="AO180" s="541"/>
      <c r="AP180" s="61"/>
      <c r="CG180" t="str">
        <v>BLAKE CLOTIA  LLC</v>
      </c>
    </row>
    <row r="181" spans="1:85" x14ac:dyDescent="0.2">
      <c r="A181" s="61">
        <v>180</v>
      </c>
      <c r="B181" s="542" t="s">
        <v>5179</v>
      </c>
      <c r="C181" s="543" t="s">
        <v>1092</v>
      </c>
      <c r="D181" s="543" t="s">
        <v>5200</v>
      </c>
      <c r="E181" s="543" t="s">
        <v>5180</v>
      </c>
      <c r="F181" s="543" t="s">
        <v>5181</v>
      </c>
      <c r="G181" s="543" t="s">
        <v>4431</v>
      </c>
      <c r="H181" s="543" t="s">
        <v>1821</v>
      </c>
      <c r="I181" s="543" t="s">
        <v>5342</v>
      </c>
      <c r="J181" s="543" t="s">
        <v>1809</v>
      </c>
      <c r="K181" s="543" t="s">
        <v>1092</v>
      </c>
      <c r="L181" s="543" t="s">
        <v>5183</v>
      </c>
      <c r="M181" s="544" t="s">
        <v>5201</v>
      </c>
      <c r="N181" s="543" t="s">
        <v>5202</v>
      </c>
      <c r="O181" s="543" t="s">
        <v>5360</v>
      </c>
      <c r="P181" s="543" t="s">
        <v>2412</v>
      </c>
      <c r="Q181" s="543" t="s">
        <v>1819</v>
      </c>
      <c r="R181" s="543" t="s">
        <v>1988</v>
      </c>
      <c r="S181" s="543" t="s">
        <v>5185</v>
      </c>
      <c r="T181" s="543">
        <v>26.8125</v>
      </c>
      <c r="U181" s="543" t="s">
        <v>1843</v>
      </c>
      <c r="V181" s="543" t="s">
        <v>5199</v>
      </c>
      <c r="W181" s="543">
        <v>63613055</v>
      </c>
      <c r="X181" s="543" t="s">
        <v>5187</v>
      </c>
      <c r="Y181" s="543" t="s">
        <v>5188</v>
      </c>
      <c r="Z181" s="543" t="s">
        <v>5189</v>
      </c>
      <c r="AA181" s="543" t="s">
        <v>5187</v>
      </c>
      <c r="AB181" s="543" t="s">
        <v>34</v>
      </c>
      <c r="AC181" s="543" t="s">
        <v>1816</v>
      </c>
      <c r="AD181" s="543" t="s">
        <v>5190</v>
      </c>
      <c r="AE181" s="543" t="s">
        <v>5191</v>
      </c>
      <c r="AF181" s="543">
        <v>17</v>
      </c>
      <c r="AG181" s="543">
        <v>40</v>
      </c>
      <c r="AH181" s="543">
        <v>13</v>
      </c>
      <c r="AI181" s="543" t="s">
        <v>5203</v>
      </c>
      <c r="AJ181" s="543" t="s">
        <v>34</v>
      </c>
      <c r="AK181" s="543" t="s">
        <v>1818</v>
      </c>
      <c r="AL181" s="543" t="s">
        <v>34</v>
      </c>
      <c r="AM181" s="61" t="s">
        <v>4498</v>
      </c>
      <c r="AN181" s="541"/>
      <c r="AO181" s="541"/>
      <c r="AP181" s="61"/>
      <c r="CG181" t="str">
        <v>BLANCHARD METALS PROCESSING CO.</v>
      </c>
    </row>
    <row r="182" spans="1:85" x14ac:dyDescent="0.2">
      <c r="A182" s="61">
        <v>181</v>
      </c>
      <c r="B182" s="542" t="s">
        <v>5179</v>
      </c>
      <c r="C182" s="543" t="s">
        <v>5182</v>
      </c>
      <c r="D182" s="543" t="s">
        <v>5195</v>
      </c>
      <c r="E182" s="543" t="s">
        <v>5180</v>
      </c>
      <c r="F182" s="543" t="s">
        <v>5181</v>
      </c>
      <c r="G182" s="543"/>
      <c r="H182" s="543" t="s">
        <v>1821</v>
      </c>
      <c r="I182" s="543" t="s">
        <v>5342</v>
      </c>
      <c r="J182" s="543" t="s">
        <v>1809</v>
      </c>
      <c r="K182" s="543" t="s">
        <v>5182</v>
      </c>
      <c r="L182" s="543" t="s">
        <v>5183</v>
      </c>
      <c r="M182" s="543" t="s">
        <v>5184</v>
      </c>
      <c r="N182" s="543" t="s">
        <v>5182</v>
      </c>
      <c r="O182" s="543" t="s">
        <v>5360</v>
      </c>
      <c r="P182" s="543" t="s">
        <v>2412</v>
      </c>
      <c r="Q182" s="543" t="s">
        <v>1819</v>
      </c>
      <c r="R182" s="543" t="s">
        <v>1988</v>
      </c>
      <c r="S182" s="543" t="s">
        <v>5185</v>
      </c>
      <c r="T182" s="543">
        <v>26.8125</v>
      </c>
      <c r="U182" s="543" t="s">
        <v>1843</v>
      </c>
      <c r="V182" s="543" t="s">
        <v>5186</v>
      </c>
      <c r="W182" s="543">
        <v>63619041</v>
      </c>
      <c r="X182" s="543" t="s">
        <v>5187</v>
      </c>
      <c r="Y182" s="543" t="s">
        <v>5188</v>
      </c>
      <c r="Z182" s="543" t="s">
        <v>5189</v>
      </c>
      <c r="AA182" s="543" t="s">
        <v>5187</v>
      </c>
      <c r="AB182" s="543" t="s">
        <v>34</v>
      </c>
      <c r="AC182" s="543" t="s">
        <v>1816</v>
      </c>
      <c r="AD182" s="543" t="s">
        <v>5190</v>
      </c>
      <c r="AE182" s="543" t="s">
        <v>5191</v>
      </c>
      <c r="AF182" s="543">
        <v>17</v>
      </c>
      <c r="AG182" s="543">
        <v>40</v>
      </c>
      <c r="AH182" s="543">
        <v>13</v>
      </c>
      <c r="AI182" s="543" t="s">
        <v>5192</v>
      </c>
      <c r="AJ182" s="543" t="s">
        <v>5193</v>
      </c>
      <c r="AK182" s="543" t="s">
        <v>1818</v>
      </c>
      <c r="AL182" s="543" t="s">
        <v>5194</v>
      </c>
      <c r="AM182" s="61" t="s">
        <v>4498</v>
      </c>
      <c r="AN182" s="541"/>
      <c r="AO182" s="541"/>
      <c r="AP182" s="61"/>
      <c r="CG182" t="str">
        <v>BLANCHAT MACHINE</v>
      </c>
    </row>
    <row r="183" spans="1:85" x14ac:dyDescent="0.2">
      <c r="A183" s="61">
        <v>182</v>
      </c>
      <c r="B183" s="542" t="s">
        <v>928</v>
      </c>
      <c r="C183" s="543" t="s">
        <v>932</v>
      </c>
      <c r="D183" s="543" t="s">
        <v>3783</v>
      </c>
      <c r="E183" s="543" t="s">
        <v>1736</v>
      </c>
      <c r="F183" s="543" t="s">
        <v>1701</v>
      </c>
      <c r="G183" s="543" t="s">
        <v>34</v>
      </c>
      <c r="H183" s="543" t="s">
        <v>1821</v>
      </c>
      <c r="I183" s="543" t="s">
        <v>5356</v>
      </c>
      <c r="J183" s="543" t="s">
        <v>2433</v>
      </c>
      <c r="K183" s="543" t="s">
        <v>2468</v>
      </c>
      <c r="L183" s="543" t="s">
        <v>1936</v>
      </c>
      <c r="M183" s="544" t="s">
        <v>2469</v>
      </c>
      <c r="N183" s="543" t="s">
        <v>932</v>
      </c>
      <c r="O183" s="543" t="s">
        <v>4879</v>
      </c>
      <c r="P183" s="543" t="s">
        <v>4586</v>
      </c>
      <c r="Q183" s="543" t="s">
        <v>1884</v>
      </c>
      <c r="R183" s="543" t="s">
        <v>1814</v>
      </c>
      <c r="S183" s="543" t="s">
        <v>4880</v>
      </c>
      <c r="T183" s="543">
        <v>1056</v>
      </c>
      <c r="U183" s="543" t="s">
        <v>1844</v>
      </c>
      <c r="V183" s="543" t="s">
        <v>2453</v>
      </c>
      <c r="W183" s="543">
        <v>1281</v>
      </c>
      <c r="X183" s="543" t="s">
        <v>2456</v>
      </c>
      <c r="Y183" s="543" t="s">
        <v>2457</v>
      </c>
      <c r="Z183" s="543" t="s">
        <v>2458</v>
      </c>
      <c r="AA183" s="543" t="s">
        <v>1815</v>
      </c>
      <c r="AB183" s="543" t="s">
        <v>4881</v>
      </c>
      <c r="AC183" s="543" t="s">
        <v>1816</v>
      </c>
      <c r="AD183" s="543" t="s">
        <v>1817</v>
      </c>
      <c r="AE183" s="543" t="s">
        <v>1455</v>
      </c>
      <c r="AF183" s="543">
        <v>5</v>
      </c>
      <c r="AG183" s="543">
        <v>240</v>
      </c>
      <c r="AH183" s="543">
        <v>60</v>
      </c>
      <c r="AI183" s="543" t="s">
        <v>34</v>
      </c>
      <c r="AJ183" s="543" t="s">
        <v>34</v>
      </c>
      <c r="AK183" s="543" t="s">
        <v>1818</v>
      </c>
      <c r="AL183" s="543" t="s">
        <v>34</v>
      </c>
      <c r="AM183" s="61" t="s">
        <v>4495</v>
      </c>
      <c r="AN183" s="541">
        <v>0</v>
      </c>
      <c r="AO183" s="541">
        <v>0</v>
      </c>
      <c r="AP183" s="61"/>
      <c r="CG183" t="str">
        <v>BLOSSOM MACHINE &amp; MFG., INC.</v>
      </c>
    </row>
    <row r="184" spans="1:85" x14ac:dyDescent="0.2">
      <c r="A184" s="61">
        <v>183</v>
      </c>
      <c r="B184" s="542" t="s">
        <v>928</v>
      </c>
      <c r="C184" s="543" t="s">
        <v>934</v>
      </c>
      <c r="D184" s="543" t="s">
        <v>3784</v>
      </c>
      <c r="E184" s="543" t="s">
        <v>1736</v>
      </c>
      <c r="F184" s="543" t="s">
        <v>1701</v>
      </c>
      <c r="G184" s="543" t="s">
        <v>34</v>
      </c>
      <c r="H184" s="543" t="s">
        <v>1821</v>
      </c>
      <c r="I184" s="543" t="s">
        <v>5356</v>
      </c>
      <c r="J184" s="543" t="s">
        <v>2089</v>
      </c>
      <c r="K184" s="543" t="s">
        <v>2466</v>
      </c>
      <c r="L184" s="543" t="s">
        <v>1936</v>
      </c>
      <c r="M184" s="544" t="s">
        <v>2467</v>
      </c>
      <c r="N184" s="543" t="s">
        <v>934</v>
      </c>
      <c r="O184" s="543" t="s">
        <v>4879</v>
      </c>
      <c r="P184" s="543" t="s">
        <v>4587</v>
      </c>
      <c r="Q184" s="543" t="s">
        <v>1884</v>
      </c>
      <c r="R184" s="543" t="s">
        <v>1814</v>
      </c>
      <c r="S184" s="543" t="s">
        <v>4880</v>
      </c>
      <c r="T184" s="543">
        <v>1056</v>
      </c>
      <c r="U184" s="543" t="s">
        <v>1844</v>
      </c>
      <c r="V184" s="543" t="s">
        <v>2453</v>
      </c>
      <c r="W184" s="543">
        <v>1280</v>
      </c>
      <c r="X184" s="543" t="s">
        <v>2456</v>
      </c>
      <c r="Y184" s="543" t="s">
        <v>2457</v>
      </c>
      <c r="Z184" s="543" t="s">
        <v>2458</v>
      </c>
      <c r="AA184" s="543" t="s">
        <v>1815</v>
      </c>
      <c r="AB184" s="543" t="s">
        <v>4882</v>
      </c>
      <c r="AC184" s="543" t="s">
        <v>1816</v>
      </c>
      <c r="AD184" s="543" t="s">
        <v>1817</v>
      </c>
      <c r="AE184" s="543" t="s">
        <v>1455</v>
      </c>
      <c r="AF184" s="543">
        <v>5</v>
      </c>
      <c r="AG184" s="543">
        <v>240</v>
      </c>
      <c r="AH184" s="543">
        <v>60</v>
      </c>
      <c r="AI184" s="543" t="s">
        <v>34</v>
      </c>
      <c r="AJ184" s="543" t="s">
        <v>34</v>
      </c>
      <c r="AK184" s="543" t="s">
        <v>1818</v>
      </c>
      <c r="AL184" s="543" t="s">
        <v>34</v>
      </c>
      <c r="AM184" s="61" t="s">
        <v>4495</v>
      </c>
      <c r="AN184" s="541">
        <v>0</v>
      </c>
      <c r="AO184" s="541">
        <v>0</v>
      </c>
      <c r="AP184" s="61"/>
      <c r="CG184" t="str">
        <v>BLUE SUN MANUFACTURING</v>
      </c>
    </row>
    <row r="185" spans="1:85" x14ac:dyDescent="0.2">
      <c r="A185" s="61">
        <v>184</v>
      </c>
      <c r="B185" s="542" t="s">
        <v>928</v>
      </c>
      <c r="C185" s="543" t="s">
        <v>930</v>
      </c>
      <c r="D185" s="543" t="s">
        <v>3785</v>
      </c>
      <c r="E185" s="543" t="s">
        <v>1736</v>
      </c>
      <c r="F185" s="543" t="s">
        <v>1701</v>
      </c>
      <c r="G185" s="543" t="s">
        <v>34</v>
      </c>
      <c r="H185" s="543" t="s">
        <v>1821</v>
      </c>
      <c r="I185" s="543" t="s">
        <v>5356</v>
      </c>
      <c r="J185" s="543" t="s">
        <v>2089</v>
      </c>
      <c r="K185" s="543" t="s">
        <v>2471</v>
      </c>
      <c r="L185" s="543" t="s">
        <v>1936</v>
      </c>
      <c r="M185" s="544" t="s">
        <v>2472</v>
      </c>
      <c r="N185" s="543" t="s">
        <v>930</v>
      </c>
      <c r="O185" s="543" t="s">
        <v>4879</v>
      </c>
      <c r="P185" s="543" t="s">
        <v>1972</v>
      </c>
      <c r="Q185" s="543" t="s">
        <v>1884</v>
      </c>
      <c r="R185" s="543" t="s">
        <v>1814</v>
      </c>
      <c r="S185" s="543" t="s">
        <v>4880</v>
      </c>
      <c r="T185" s="543">
        <v>1056</v>
      </c>
      <c r="U185" s="543" t="s">
        <v>1844</v>
      </c>
      <c r="V185" s="543" t="s">
        <v>2453</v>
      </c>
      <c r="W185" s="543">
        <v>15590</v>
      </c>
      <c r="X185" s="543" t="s">
        <v>2456</v>
      </c>
      <c r="Y185" s="543" t="s">
        <v>2457</v>
      </c>
      <c r="Z185" s="543" t="s">
        <v>2458</v>
      </c>
      <c r="AA185" s="543" t="s">
        <v>1815</v>
      </c>
      <c r="AB185" s="543" t="s">
        <v>4883</v>
      </c>
      <c r="AC185" s="543" t="s">
        <v>1816</v>
      </c>
      <c r="AD185" s="543" t="s">
        <v>1817</v>
      </c>
      <c r="AE185" s="543" t="s">
        <v>1455</v>
      </c>
      <c r="AF185" s="543" t="s">
        <v>3040</v>
      </c>
      <c r="AG185" s="543" t="s">
        <v>34</v>
      </c>
      <c r="AH185" s="543" t="s">
        <v>34</v>
      </c>
      <c r="AI185" s="543" t="s">
        <v>34</v>
      </c>
      <c r="AJ185" s="543" t="s">
        <v>34</v>
      </c>
      <c r="AK185" s="543" t="s">
        <v>1818</v>
      </c>
      <c r="AL185" s="543" t="s">
        <v>34</v>
      </c>
      <c r="AM185" s="61" t="s">
        <v>4495</v>
      </c>
      <c r="AN185" s="541">
        <v>0</v>
      </c>
      <c r="AO185" s="541">
        <v>0</v>
      </c>
      <c r="AP185" s="61"/>
      <c r="CG185" t="str">
        <v>BLUESCOPE BUILDINGS NORTH AMERICA, INC.</v>
      </c>
    </row>
    <row r="186" spans="1:85" x14ac:dyDescent="0.2">
      <c r="A186" s="61">
        <v>185</v>
      </c>
      <c r="B186" s="542" t="s">
        <v>928</v>
      </c>
      <c r="C186" s="543" t="s">
        <v>938</v>
      </c>
      <c r="D186" s="543" t="s">
        <v>3786</v>
      </c>
      <c r="E186" s="543" t="s">
        <v>1736</v>
      </c>
      <c r="F186" s="543" t="s">
        <v>1701</v>
      </c>
      <c r="G186" s="543" t="s">
        <v>34</v>
      </c>
      <c r="H186" s="543" t="s">
        <v>1821</v>
      </c>
      <c r="I186" s="543" t="s">
        <v>5356</v>
      </c>
      <c r="J186" s="543" t="s">
        <v>2089</v>
      </c>
      <c r="K186" s="543" t="s">
        <v>2459</v>
      </c>
      <c r="L186" s="543" t="s">
        <v>1936</v>
      </c>
      <c r="M186" s="543" t="s">
        <v>2460</v>
      </c>
      <c r="N186" s="543" t="s">
        <v>938</v>
      </c>
      <c r="O186" s="543" t="s">
        <v>4879</v>
      </c>
      <c r="P186" s="543" t="s">
        <v>2461</v>
      </c>
      <c r="Q186" s="543" t="s">
        <v>1884</v>
      </c>
      <c r="R186" s="543" t="s">
        <v>1814</v>
      </c>
      <c r="S186" s="543" t="s">
        <v>4880</v>
      </c>
      <c r="T186" s="543">
        <v>1056</v>
      </c>
      <c r="U186" s="543" t="s">
        <v>1844</v>
      </c>
      <c r="V186" s="543" t="s">
        <v>2453</v>
      </c>
      <c r="W186" s="543">
        <v>996</v>
      </c>
      <c r="X186" s="543" t="s">
        <v>2456</v>
      </c>
      <c r="Y186" s="543" t="s">
        <v>2457</v>
      </c>
      <c r="Z186" s="543" t="s">
        <v>2458</v>
      </c>
      <c r="AA186" s="543" t="s">
        <v>1815</v>
      </c>
      <c r="AB186" s="543" t="s">
        <v>4884</v>
      </c>
      <c r="AC186" s="543" t="s">
        <v>1816</v>
      </c>
      <c r="AD186" s="543" t="s">
        <v>1817</v>
      </c>
      <c r="AE186" s="543" t="s">
        <v>1455</v>
      </c>
      <c r="AF186" s="543">
        <v>5</v>
      </c>
      <c r="AG186" s="543">
        <v>240</v>
      </c>
      <c r="AH186" s="543">
        <v>60</v>
      </c>
      <c r="AI186" s="543" t="s">
        <v>34</v>
      </c>
      <c r="AJ186" s="543" t="s">
        <v>34</v>
      </c>
      <c r="AK186" s="543" t="s">
        <v>1818</v>
      </c>
      <c r="AL186" s="543" t="s">
        <v>34</v>
      </c>
      <c r="AM186" s="61" t="s">
        <v>4495</v>
      </c>
      <c r="AN186" s="541">
        <v>0</v>
      </c>
      <c r="AO186" s="541">
        <v>0</v>
      </c>
      <c r="AP186" s="61"/>
      <c r="CG186" t="str">
        <v>BNSF RAILWAY</v>
      </c>
    </row>
    <row r="187" spans="1:85" x14ac:dyDescent="0.2">
      <c r="A187" s="61">
        <v>186</v>
      </c>
      <c r="B187" s="542" t="s">
        <v>928</v>
      </c>
      <c r="C187" s="543" t="s">
        <v>936</v>
      </c>
      <c r="D187" s="543" t="s">
        <v>3787</v>
      </c>
      <c r="E187" s="543" t="s">
        <v>1736</v>
      </c>
      <c r="F187" s="543" t="s">
        <v>1701</v>
      </c>
      <c r="G187" s="543" t="s">
        <v>34</v>
      </c>
      <c r="H187" s="543" t="s">
        <v>1821</v>
      </c>
      <c r="I187" s="543" t="s">
        <v>5356</v>
      </c>
      <c r="J187" s="543" t="s">
        <v>2089</v>
      </c>
      <c r="K187" s="543" t="s">
        <v>2462</v>
      </c>
      <c r="L187" s="543" t="s">
        <v>1936</v>
      </c>
      <c r="M187" s="543" t="s">
        <v>2463</v>
      </c>
      <c r="N187" s="543" t="s">
        <v>936</v>
      </c>
      <c r="O187" s="543" t="s">
        <v>4879</v>
      </c>
      <c r="P187" s="543" t="s">
        <v>2856</v>
      </c>
      <c r="Q187" s="543" t="s">
        <v>1884</v>
      </c>
      <c r="R187" s="543" t="s">
        <v>1814</v>
      </c>
      <c r="S187" s="543" t="s">
        <v>4880</v>
      </c>
      <c r="T187" s="543">
        <v>1056</v>
      </c>
      <c r="U187" s="543" t="s">
        <v>1844</v>
      </c>
      <c r="V187" s="543" t="s">
        <v>2453</v>
      </c>
      <c r="W187" s="543" t="s">
        <v>2465</v>
      </c>
      <c r="X187" s="543" t="s">
        <v>2456</v>
      </c>
      <c r="Y187" s="543" t="s">
        <v>2457</v>
      </c>
      <c r="Z187" s="543" t="s">
        <v>2458</v>
      </c>
      <c r="AA187" s="543" t="s">
        <v>1815</v>
      </c>
      <c r="AB187" s="543" t="s">
        <v>4885</v>
      </c>
      <c r="AC187" s="543" t="s">
        <v>1816</v>
      </c>
      <c r="AD187" s="543" t="s">
        <v>1817</v>
      </c>
      <c r="AE187" s="543" t="s">
        <v>1455</v>
      </c>
      <c r="AF187" s="543" t="s">
        <v>3040</v>
      </c>
      <c r="AG187" s="543" t="s">
        <v>34</v>
      </c>
      <c r="AH187" s="543" t="s">
        <v>34</v>
      </c>
      <c r="AI187" s="543" t="s">
        <v>34</v>
      </c>
      <c r="AJ187" s="543" t="s">
        <v>34</v>
      </c>
      <c r="AK187" s="543" t="s">
        <v>1818</v>
      </c>
      <c r="AL187" s="543" t="s">
        <v>34</v>
      </c>
      <c r="AM187" s="61" t="s">
        <v>4495</v>
      </c>
      <c r="AN187" s="541">
        <v>0</v>
      </c>
      <c r="AO187" s="541">
        <v>0</v>
      </c>
      <c r="AP187" s="61"/>
      <c r="CG187" t="str">
        <v>BOARDMAN</v>
      </c>
    </row>
    <row r="188" spans="1:85" x14ac:dyDescent="0.2">
      <c r="A188" s="61">
        <v>187</v>
      </c>
      <c r="B188" s="542" t="s">
        <v>928</v>
      </c>
      <c r="C188" s="543" t="s">
        <v>940</v>
      </c>
      <c r="D188" s="543" t="s">
        <v>3788</v>
      </c>
      <c r="E188" s="543" t="s">
        <v>1736</v>
      </c>
      <c r="F188" s="543" t="s">
        <v>1701</v>
      </c>
      <c r="G188" s="543" t="s">
        <v>34</v>
      </c>
      <c r="H188" s="543" t="s">
        <v>1821</v>
      </c>
      <c r="I188" s="543" t="s">
        <v>5356</v>
      </c>
      <c r="J188" s="543" t="s">
        <v>2089</v>
      </c>
      <c r="K188" s="543" t="s">
        <v>2454</v>
      </c>
      <c r="L188" s="543" t="s">
        <v>1936</v>
      </c>
      <c r="M188" s="543" t="s">
        <v>2455</v>
      </c>
      <c r="N188" s="543" t="s">
        <v>940</v>
      </c>
      <c r="O188" s="543" t="s">
        <v>4879</v>
      </c>
      <c r="P188" s="543" t="s">
        <v>3350</v>
      </c>
      <c r="Q188" s="543" t="s">
        <v>1884</v>
      </c>
      <c r="R188" s="543" t="s">
        <v>1814</v>
      </c>
      <c r="S188" s="543" t="s">
        <v>4880</v>
      </c>
      <c r="T188" s="543">
        <v>1056</v>
      </c>
      <c r="U188" s="543" t="s">
        <v>1844</v>
      </c>
      <c r="V188" s="543" t="s">
        <v>2453</v>
      </c>
      <c r="W188" s="543">
        <v>979</v>
      </c>
      <c r="X188" s="543" t="s">
        <v>2456</v>
      </c>
      <c r="Y188" s="543" t="s">
        <v>2457</v>
      </c>
      <c r="Z188" s="543" t="s">
        <v>2458</v>
      </c>
      <c r="AA188" s="543" t="s">
        <v>1815</v>
      </c>
      <c r="AB188" s="543" t="s">
        <v>4886</v>
      </c>
      <c r="AC188" s="543" t="s">
        <v>1816</v>
      </c>
      <c r="AD188" s="543" t="s">
        <v>1817</v>
      </c>
      <c r="AE188" s="543" t="s">
        <v>1455</v>
      </c>
      <c r="AF188" s="543">
        <v>5</v>
      </c>
      <c r="AG188" s="543">
        <v>240</v>
      </c>
      <c r="AH188" s="543">
        <v>60</v>
      </c>
      <c r="AI188" s="543" t="s">
        <v>34</v>
      </c>
      <c r="AJ188" s="543" t="s">
        <v>34</v>
      </c>
      <c r="AK188" s="543" t="s">
        <v>1818</v>
      </c>
      <c r="AL188" s="543" t="s">
        <v>34</v>
      </c>
      <c r="AM188" s="61" t="s">
        <v>4495</v>
      </c>
      <c r="AN188" s="541">
        <v>0</v>
      </c>
      <c r="AO188" s="541">
        <v>0</v>
      </c>
      <c r="AP188" s="61"/>
      <c r="CG188" t="str">
        <v>BOB MCCORKLE</v>
      </c>
    </row>
    <row r="189" spans="1:85" x14ac:dyDescent="0.2">
      <c r="A189" s="61">
        <v>188</v>
      </c>
      <c r="B189" s="542" t="s">
        <v>928</v>
      </c>
      <c r="C189" s="543" t="s">
        <v>4887</v>
      </c>
      <c r="D189" s="543" t="s">
        <v>4888</v>
      </c>
      <c r="E189" s="543" t="s">
        <v>1736</v>
      </c>
      <c r="F189" s="543" t="s">
        <v>1701</v>
      </c>
      <c r="G189" s="543" t="s">
        <v>34</v>
      </c>
      <c r="H189" s="543" t="s">
        <v>1821</v>
      </c>
      <c r="I189" s="543" t="s">
        <v>5356</v>
      </c>
      <c r="J189" s="543" t="s">
        <v>2089</v>
      </c>
      <c r="K189" s="543" t="s">
        <v>4889</v>
      </c>
      <c r="L189" s="543" t="s">
        <v>1936</v>
      </c>
      <c r="M189" s="543" t="s">
        <v>4890</v>
      </c>
      <c r="N189" s="543" t="s">
        <v>4887</v>
      </c>
      <c r="O189" s="543" t="s">
        <v>4938</v>
      </c>
      <c r="P189" s="543" t="s">
        <v>4891</v>
      </c>
      <c r="Q189" s="543" t="s">
        <v>1884</v>
      </c>
      <c r="R189" s="543" t="s">
        <v>1814</v>
      </c>
      <c r="S189" s="543" t="s">
        <v>4880</v>
      </c>
      <c r="T189" s="543">
        <v>1056</v>
      </c>
      <c r="U189" s="543" t="s">
        <v>1844</v>
      </c>
      <c r="V189" s="543" t="s">
        <v>109</v>
      </c>
      <c r="W189" s="543" t="s">
        <v>109</v>
      </c>
      <c r="X189" s="543" t="s">
        <v>109</v>
      </c>
      <c r="Y189" s="543" t="s">
        <v>2457</v>
      </c>
      <c r="Z189" s="543" t="s">
        <v>2458</v>
      </c>
      <c r="AA189" s="543" t="s">
        <v>1815</v>
      </c>
      <c r="AB189" s="543" t="s">
        <v>4892</v>
      </c>
      <c r="AC189" s="543" t="s">
        <v>1816</v>
      </c>
      <c r="AD189" s="543" t="s">
        <v>1817</v>
      </c>
      <c r="AE189" s="543" t="s">
        <v>1455</v>
      </c>
      <c r="AF189" s="543" t="s">
        <v>4805</v>
      </c>
      <c r="AG189" s="543" t="s">
        <v>34</v>
      </c>
      <c r="AH189" s="543" t="s">
        <v>34</v>
      </c>
      <c r="AI189" s="543" t="s">
        <v>34</v>
      </c>
      <c r="AJ189" s="543" t="s">
        <v>34</v>
      </c>
      <c r="AK189" s="543" t="s">
        <v>1818</v>
      </c>
      <c r="AL189" s="543" t="s">
        <v>34</v>
      </c>
      <c r="AM189" s="61" t="s">
        <v>4495</v>
      </c>
      <c r="AN189" s="541"/>
      <c r="AO189" s="541"/>
      <c r="AP189" s="61"/>
      <c r="CG189" t="str">
        <v>BODYCOTE - FT WORTH AD&amp;E</v>
      </c>
    </row>
    <row r="190" spans="1:85" x14ac:dyDescent="0.2">
      <c r="A190" s="61">
        <v>189</v>
      </c>
      <c r="B190" s="542" t="s">
        <v>928</v>
      </c>
      <c r="C190" s="543" t="s">
        <v>4893</v>
      </c>
      <c r="D190" s="543" t="s">
        <v>4894</v>
      </c>
      <c r="E190" s="543" t="s">
        <v>1736</v>
      </c>
      <c r="F190" s="543" t="s">
        <v>1701</v>
      </c>
      <c r="G190" s="543" t="s">
        <v>34</v>
      </c>
      <c r="H190" s="543" t="s">
        <v>1821</v>
      </c>
      <c r="I190" s="543" t="s">
        <v>5356</v>
      </c>
      <c r="J190" s="543" t="s">
        <v>2089</v>
      </c>
      <c r="K190" s="543" t="s">
        <v>4895</v>
      </c>
      <c r="L190" s="543" t="s">
        <v>1936</v>
      </c>
      <c r="M190" s="543" t="s">
        <v>4896</v>
      </c>
      <c r="N190" s="543" t="s">
        <v>4893</v>
      </c>
      <c r="O190" s="543" t="s">
        <v>4938</v>
      </c>
      <c r="P190" s="543" t="s">
        <v>4897</v>
      </c>
      <c r="Q190" s="543" t="s">
        <v>1884</v>
      </c>
      <c r="R190" s="543" t="s">
        <v>1814</v>
      </c>
      <c r="S190" s="543" t="s">
        <v>4880</v>
      </c>
      <c r="T190" s="543">
        <v>1056</v>
      </c>
      <c r="U190" s="543" t="s">
        <v>1844</v>
      </c>
      <c r="V190" s="543" t="s">
        <v>109</v>
      </c>
      <c r="W190" s="543" t="s">
        <v>109</v>
      </c>
      <c r="X190" s="543" t="s">
        <v>109</v>
      </c>
      <c r="Y190" s="543" t="s">
        <v>2457</v>
      </c>
      <c r="Z190" s="543" t="s">
        <v>2458</v>
      </c>
      <c r="AA190" s="543" t="s">
        <v>1815</v>
      </c>
      <c r="AB190" s="543" t="s">
        <v>4898</v>
      </c>
      <c r="AC190" s="543" t="s">
        <v>1816</v>
      </c>
      <c r="AD190" s="543" t="s">
        <v>1817</v>
      </c>
      <c r="AE190" s="543" t="s">
        <v>1455</v>
      </c>
      <c r="AF190" s="543" t="s">
        <v>4805</v>
      </c>
      <c r="AG190" s="543" t="s">
        <v>34</v>
      </c>
      <c r="AH190" s="543" t="s">
        <v>34</v>
      </c>
      <c r="AI190" s="543" t="s">
        <v>34</v>
      </c>
      <c r="AJ190" s="543" t="s">
        <v>34</v>
      </c>
      <c r="AK190" s="543" t="s">
        <v>1818</v>
      </c>
      <c r="AL190" s="543" t="s">
        <v>34</v>
      </c>
      <c r="AM190" s="61" t="s">
        <v>4495</v>
      </c>
      <c r="AN190" s="541"/>
      <c r="AO190" s="541"/>
      <c r="AP190" s="61"/>
      <c r="CG190" t="str">
        <v>BODYCOTE - OKLAHOMA CITY</v>
      </c>
    </row>
    <row r="191" spans="1:85" x14ac:dyDescent="0.2">
      <c r="A191" s="61">
        <v>190</v>
      </c>
      <c r="B191" s="542" t="s">
        <v>928</v>
      </c>
      <c r="C191" s="543" t="s">
        <v>4899</v>
      </c>
      <c r="D191" s="543" t="s">
        <v>4900</v>
      </c>
      <c r="E191" s="543" t="s">
        <v>1736</v>
      </c>
      <c r="F191" s="543" t="s">
        <v>1701</v>
      </c>
      <c r="G191" s="543" t="s">
        <v>34</v>
      </c>
      <c r="H191" s="543" t="s">
        <v>1821</v>
      </c>
      <c r="I191" s="543" t="s">
        <v>5356</v>
      </c>
      <c r="J191" s="543" t="s">
        <v>2089</v>
      </c>
      <c r="K191" s="543" t="s">
        <v>4901</v>
      </c>
      <c r="L191" s="543" t="s">
        <v>1936</v>
      </c>
      <c r="M191" s="543" t="s">
        <v>4902</v>
      </c>
      <c r="N191" s="543" t="s">
        <v>4899</v>
      </c>
      <c r="O191" s="543" t="s">
        <v>4879</v>
      </c>
      <c r="P191" s="543" t="s">
        <v>4903</v>
      </c>
      <c r="Q191" s="543" t="s">
        <v>1884</v>
      </c>
      <c r="R191" s="543" t="s">
        <v>1814</v>
      </c>
      <c r="S191" s="543" t="s">
        <v>4880</v>
      </c>
      <c r="T191" s="543">
        <v>1056</v>
      </c>
      <c r="U191" s="543" t="s">
        <v>1844</v>
      </c>
      <c r="V191" s="543" t="s">
        <v>2453</v>
      </c>
      <c r="W191" s="543">
        <v>0</v>
      </c>
      <c r="X191" s="543" t="s">
        <v>2456</v>
      </c>
      <c r="Y191" s="543" t="s">
        <v>109</v>
      </c>
      <c r="Z191" s="543" t="s">
        <v>109</v>
      </c>
      <c r="AA191" s="543" t="s">
        <v>109</v>
      </c>
      <c r="AB191" s="543" t="s">
        <v>4904</v>
      </c>
      <c r="AC191" s="543" t="s">
        <v>1816</v>
      </c>
      <c r="AD191" s="543" t="s">
        <v>1817</v>
      </c>
      <c r="AE191" s="543" t="s">
        <v>1455</v>
      </c>
      <c r="AF191" s="543" t="s">
        <v>4805</v>
      </c>
      <c r="AG191" s="543" t="s">
        <v>34</v>
      </c>
      <c r="AH191" s="543" t="s">
        <v>34</v>
      </c>
      <c r="AI191" s="543" t="s">
        <v>34</v>
      </c>
      <c r="AJ191" s="543" t="s">
        <v>34</v>
      </c>
      <c r="AK191" s="543" t="s">
        <v>1818</v>
      </c>
      <c r="AL191" s="543" t="s">
        <v>34</v>
      </c>
      <c r="AM191" s="61" t="s">
        <v>4495</v>
      </c>
      <c r="AN191" s="541"/>
      <c r="AO191" s="541"/>
      <c r="AP191" s="61"/>
      <c r="CG191" t="str">
        <v>BODYCOTE - WESTMINSTER</v>
      </c>
    </row>
    <row r="192" spans="1:85" x14ac:dyDescent="0.2">
      <c r="A192" s="61">
        <v>191</v>
      </c>
      <c r="B192" s="542" t="s">
        <v>928</v>
      </c>
      <c r="C192" s="543" t="s">
        <v>4798</v>
      </c>
      <c r="D192" s="543" t="s">
        <v>4799</v>
      </c>
      <c r="E192" s="543" t="s">
        <v>1736</v>
      </c>
      <c r="F192" s="543" t="s">
        <v>1701</v>
      </c>
      <c r="G192" s="543" t="s">
        <v>34</v>
      </c>
      <c r="H192" s="543" t="s">
        <v>1821</v>
      </c>
      <c r="I192" s="543" t="s">
        <v>5342</v>
      </c>
      <c r="J192" s="543" t="s">
        <v>2433</v>
      </c>
      <c r="K192" s="543" t="s">
        <v>4905</v>
      </c>
      <c r="L192" s="543">
        <v>206</v>
      </c>
      <c r="M192" s="544">
        <v>206</v>
      </c>
      <c r="N192" s="543" t="s">
        <v>4906</v>
      </c>
      <c r="O192" s="543" t="s">
        <v>665</v>
      </c>
      <c r="P192" s="543" t="s">
        <v>2451</v>
      </c>
      <c r="Q192" s="543" t="s">
        <v>1897</v>
      </c>
      <c r="R192" s="543" t="s">
        <v>1878</v>
      </c>
      <c r="S192" s="543" t="s">
        <v>2452</v>
      </c>
      <c r="T192" s="543">
        <v>189</v>
      </c>
      <c r="U192" s="543" t="s">
        <v>1843</v>
      </c>
      <c r="V192" s="543" t="s">
        <v>2453</v>
      </c>
      <c r="W192" s="543">
        <v>15590</v>
      </c>
      <c r="X192" s="543" t="s">
        <v>1815</v>
      </c>
      <c r="Y192" s="543" t="s">
        <v>109</v>
      </c>
      <c r="Z192" s="543" t="s">
        <v>109</v>
      </c>
      <c r="AA192" s="543" t="s">
        <v>109</v>
      </c>
      <c r="AB192" s="543" t="s">
        <v>34</v>
      </c>
      <c r="AC192" s="543" t="s">
        <v>1816</v>
      </c>
      <c r="AD192" s="543" t="s">
        <v>1817</v>
      </c>
      <c r="AE192" s="543" t="s">
        <v>1455</v>
      </c>
      <c r="AF192" s="543" t="s">
        <v>3040</v>
      </c>
      <c r="AG192" s="543" t="s">
        <v>34</v>
      </c>
      <c r="AH192" s="543" t="s">
        <v>34</v>
      </c>
      <c r="AI192" s="543" t="s">
        <v>34</v>
      </c>
      <c r="AJ192" s="543" t="s">
        <v>34</v>
      </c>
      <c r="AK192" s="543" t="s">
        <v>1818</v>
      </c>
      <c r="AL192" s="543" t="s">
        <v>34</v>
      </c>
      <c r="AM192" s="61" t="s">
        <v>4495</v>
      </c>
      <c r="AN192" s="541"/>
      <c r="AO192" s="541"/>
      <c r="AP192" s="61"/>
      <c r="CG192" t="str">
        <v>BODYCOTE THERMAL PROCESSING, INC-PINE ST</v>
      </c>
    </row>
    <row r="193" spans="1:85" x14ac:dyDescent="0.2">
      <c r="A193" s="61">
        <v>192</v>
      </c>
      <c r="B193" s="542" t="s">
        <v>928</v>
      </c>
      <c r="C193" s="543" t="s">
        <v>5053</v>
      </c>
      <c r="D193" s="543" t="s">
        <v>5054</v>
      </c>
      <c r="E193" s="543" t="s">
        <v>1736</v>
      </c>
      <c r="F193" s="543" t="s">
        <v>1701</v>
      </c>
      <c r="G193" s="543" t="s">
        <v>34</v>
      </c>
      <c r="H193" s="543" t="s">
        <v>1821</v>
      </c>
      <c r="I193" s="543" t="s">
        <v>5342</v>
      </c>
      <c r="J193" s="543" t="s">
        <v>2433</v>
      </c>
      <c r="K193" s="543" t="s">
        <v>1078</v>
      </c>
      <c r="L193" s="543" t="s">
        <v>4670</v>
      </c>
      <c r="M193" s="543">
        <v>160720124</v>
      </c>
      <c r="N193" s="543" t="s">
        <v>5055</v>
      </c>
      <c r="O193" s="543" t="s">
        <v>665</v>
      </c>
      <c r="P193" s="543" t="s">
        <v>4671</v>
      </c>
      <c r="Q193" s="543" t="s">
        <v>1897</v>
      </c>
      <c r="R193" s="543" t="s">
        <v>1878</v>
      </c>
      <c r="S193" s="543" t="s">
        <v>4672</v>
      </c>
      <c r="T193" s="543">
        <v>1.17</v>
      </c>
      <c r="U193" s="543" t="s">
        <v>1844</v>
      </c>
      <c r="V193" s="543" t="s">
        <v>2081</v>
      </c>
      <c r="W193" s="543">
        <v>160720124</v>
      </c>
      <c r="X193" s="543" t="s">
        <v>1815</v>
      </c>
      <c r="Y193" s="543" t="s">
        <v>109</v>
      </c>
      <c r="Z193" s="543" t="s">
        <v>109</v>
      </c>
      <c r="AA193" s="543" t="s">
        <v>109</v>
      </c>
      <c r="AB193" s="543" t="s">
        <v>34</v>
      </c>
      <c r="AC193" s="543" t="s">
        <v>1816</v>
      </c>
      <c r="AD193" s="543" t="s">
        <v>4673</v>
      </c>
      <c r="AE193" s="543" t="s">
        <v>1455</v>
      </c>
      <c r="AF193" s="543" t="s">
        <v>3040</v>
      </c>
      <c r="AG193" s="543" t="s">
        <v>34</v>
      </c>
      <c r="AH193" s="543" t="s">
        <v>34</v>
      </c>
      <c r="AI193" s="543" t="s">
        <v>34</v>
      </c>
      <c r="AJ193" s="543" t="s">
        <v>34</v>
      </c>
      <c r="AK193" s="543" t="s">
        <v>1818</v>
      </c>
      <c r="AL193" s="543" t="s">
        <v>34</v>
      </c>
      <c r="AM193" s="61" t="s">
        <v>4496</v>
      </c>
      <c r="AN193" s="541"/>
      <c r="AO193" s="541"/>
      <c r="AP193" s="61"/>
      <c r="CG193" t="str">
        <v>BODYCOTE THERMAL PROCESSING, INC.-IDA</v>
      </c>
    </row>
    <row r="194" spans="1:85" x14ac:dyDescent="0.2">
      <c r="A194" s="61">
        <v>193</v>
      </c>
      <c r="B194" s="542" t="s">
        <v>928</v>
      </c>
      <c r="C194" s="543" t="s">
        <v>943</v>
      </c>
      <c r="D194" s="543" t="s">
        <v>3789</v>
      </c>
      <c r="E194" s="543" t="s">
        <v>1736</v>
      </c>
      <c r="F194" s="543" t="s">
        <v>1701</v>
      </c>
      <c r="G194" s="543" t="s">
        <v>34</v>
      </c>
      <c r="H194" s="543" t="s">
        <v>1821</v>
      </c>
      <c r="I194" s="543" t="s">
        <v>5342</v>
      </c>
      <c r="J194" s="543" t="s">
        <v>2433</v>
      </c>
      <c r="K194" s="543" t="s">
        <v>2445</v>
      </c>
      <c r="L194" s="543" t="s">
        <v>2446</v>
      </c>
      <c r="M194" s="543" t="s">
        <v>2447</v>
      </c>
      <c r="N194" s="543" t="s">
        <v>943</v>
      </c>
      <c r="O194" s="543" t="s">
        <v>665</v>
      </c>
      <c r="P194" s="543" t="s">
        <v>2343</v>
      </c>
      <c r="Q194" s="543" t="s">
        <v>1819</v>
      </c>
      <c r="R194" s="543" t="s">
        <v>1814</v>
      </c>
      <c r="S194" s="543" t="s">
        <v>2448</v>
      </c>
      <c r="T194" s="543">
        <v>2352</v>
      </c>
      <c r="U194" s="543" t="s">
        <v>1844</v>
      </c>
      <c r="V194" s="543" t="s">
        <v>1899</v>
      </c>
      <c r="W194" s="543" t="s">
        <v>2449</v>
      </c>
      <c r="X194" s="543" t="s">
        <v>1815</v>
      </c>
      <c r="Y194" s="543" t="s">
        <v>2450</v>
      </c>
      <c r="Z194" s="543">
        <v>55565489</v>
      </c>
      <c r="AA194" s="543" t="s">
        <v>1815</v>
      </c>
      <c r="AB194" s="543" t="s">
        <v>34</v>
      </c>
      <c r="AC194" s="543" t="s">
        <v>1816</v>
      </c>
      <c r="AD194" s="543" t="s">
        <v>1817</v>
      </c>
      <c r="AE194" s="543" t="s">
        <v>1455</v>
      </c>
      <c r="AF194" s="543" t="s">
        <v>3040</v>
      </c>
      <c r="AG194" s="543" t="s">
        <v>34</v>
      </c>
      <c r="AH194" s="543" t="s">
        <v>34</v>
      </c>
      <c r="AI194" s="543" t="s">
        <v>34</v>
      </c>
      <c r="AJ194" s="543" t="s">
        <v>34</v>
      </c>
      <c r="AK194" s="543" t="s">
        <v>1818</v>
      </c>
      <c r="AL194" s="543" t="s">
        <v>34</v>
      </c>
      <c r="AM194" s="61" t="s">
        <v>4495</v>
      </c>
      <c r="AN194" s="541">
        <v>0</v>
      </c>
      <c r="AO194" s="541">
        <v>0</v>
      </c>
      <c r="AP194" s="61"/>
      <c r="CG194" t="str">
        <v>BODYCOTE THERMAL PROCESSING, INC.-McLEAN</v>
      </c>
    </row>
    <row r="195" spans="1:85" x14ac:dyDescent="0.2">
      <c r="A195" s="61">
        <v>194</v>
      </c>
      <c r="B195" s="542" t="s">
        <v>945</v>
      </c>
      <c r="C195" s="543" t="s">
        <v>597</v>
      </c>
      <c r="D195" s="543" t="s">
        <v>3790</v>
      </c>
      <c r="E195" s="543" t="s">
        <v>1737</v>
      </c>
      <c r="F195" s="543" t="s">
        <v>1738</v>
      </c>
      <c r="G195" s="543" t="s">
        <v>34</v>
      </c>
      <c r="H195" s="543" t="s">
        <v>1821</v>
      </c>
      <c r="I195" s="543" t="s">
        <v>5342</v>
      </c>
      <c r="J195" s="543" t="s">
        <v>2433</v>
      </c>
      <c r="K195" s="543" t="s">
        <v>2473</v>
      </c>
      <c r="L195" s="543" t="s">
        <v>2474</v>
      </c>
      <c r="M195" s="543" t="s">
        <v>2475</v>
      </c>
      <c r="N195" s="543" t="s">
        <v>597</v>
      </c>
      <c r="O195" s="543" t="s">
        <v>665</v>
      </c>
      <c r="P195" s="543" t="s">
        <v>2476</v>
      </c>
      <c r="Q195" s="543" t="s">
        <v>1894</v>
      </c>
      <c r="R195" s="543" t="s">
        <v>1814</v>
      </c>
      <c r="S195" s="543" t="s">
        <v>2477</v>
      </c>
      <c r="T195" s="543">
        <v>19.399999999999999</v>
      </c>
      <c r="U195" s="543" t="s">
        <v>1844</v>
      </c>
      <c r="V195" s="543" t="s">
        <v>2096</v>
      </c>
      <c r="W195" s="543">
        <v>33095</v>
      </c>
      <c r="X195" s="543" t="s">
        <v>1815</v>
      </c>
      <c r="Y195" s="543" t="s">
        <v>2327</v>
      </c>
      <c r="Z195" s="543" t="s">
        <v>4249</v>
      </c>
      <c r="AA195" s="543" t="s">
        <v>1815</v>
      </c>
      <c r="AB195" s="543" t="s">
        <v>34</v>
      </c>
      <c r="AC195" s="543" t="s">
        <v>1816</v>
      </c>
      <c r="AD195" s="543" t="s">
        <v>1817</v>
      </c>
      <c r="AE195" s="543" t="s">
        <v>1455</v>
      </c>
      <c r="AF195" s="543">
        <v>1.5</v>
      </c>
      <c r="AG195" s="543">
        <v>0.2</v>
      </c>
      <c r="AH195" s="543">
        <v>0</v>
      </c>
      <c r="AI195" s="543" t="s">
        <v>34</v>
      </c>
      <c r="AJ195" s="543" t="s">
        <v>34</v>
      </c>
      <c r="AK195" s="543" t="s">
        <v>1818</v>
      </c>
      <c r="AL195" s="543" t="s">
        <v>34</v>
      </c>
      <c r="AM195" s="61" t="s">
        <v>4497</v>
      </c>
      <c r="AN195" s="541">
        <v>0</v>
      </c>
      <c r="AO195" s="541">
        <v>0</v>
      </c>
      <c r="AP195" s="61"/>
      <c r="CG195" t="str">
        <v>BODYCOTE THERMAL PROCESSING, INC.-TULSA</v>
      </c>
    </row>
    <row r="196" spans="1:85" x14ac:dyDescent="0.2">
      <c r="A196" s="61">
        <v>195</v>
      </c>
      <c r="B196" s="542" t="s">
        <v>945</v>
      </c>
      <c r="C196" s="543" t="s">
        <v>1486</v>
      </c>
      <c r="D196" s="543" t="s">
        <v>4318</v>
      </c>
      <c r="E196" s="543" t="s">
        <v>1737</v>
      </c>
      <c r="F196" s="543" t="s">
        <v>1738</v>
      </c>
      <c r="G196" s="543" t="s">
        <v>34</v>
      </c>
      <c r="H196" s="543" t="s">
        <v>1821</v>
      </c>
      <c r="I196" s="543" t="s">
        <v>5342</v>
      </c>
      <c r="J196" s="543" t="s">
        <v>1461</v>
      </c>
      <c r="K196" s="543" t="s">
        <v>1486</v>
      </c>
      <c r="L196" s="543" t="s">
        <v>3126</v>
      </c>
      <c r="M196" s="543" t="s">
        <v>3127</v>
      </c>
      <c r="N196" s="543" t="s">
        <v>1486</v>
      </c>
      <c r="O196" s="543" t="s">
        <v>2092</v>
      </c>
      <c r="P196" s="543" t="s">
        <v>3257</v>
      </c>
      <c r="Q196" s="543" t="s">
        <v>3257</v>
      </c>
      <c r="R196" s="543" t="s">
        <v>1878</v>
      </c>
      <c r="S196" s="543" t="s">
        <v>3258</v>
      </c>
      <c r="T196" s="543">
        <v>653.29999999999995</v>
      </c>
      <c r="U196" s="543" t="s">
        <v>1642</v>
      </c>
      <c r="V196" s="543" t="s">
        <v>1889</v>
      </c>
      <c r="W196" s="543" t="s">
        <v>3127</v>
      </c>
      <c r="X196" s="543" t="s">
        <v>2431</v>
      </c>
      <c r="Y196" s="543" t="s">
        <v>109</v>
      </c>
      <c r="Z196" s="543" t="s">
        <v>109</v>
      </c>
      <c r="AA196" s="543" t="s">
        <v>109</v>
      </c>
      <c r="AB196" s="543" t="s">
        <v>4324</v>
      </c>
      <c r="AC196" s="543" t="s">
        <v>1816</v>
      </c>
      <c r="AD196" s="543" t="s">
        <v>1817</v>
      </c>
      <c r="AE196" s="543" t="s">
        <v>1455</v>
      </c>
      <c r="AF196" s="543" t="s">
        <v>34</v>
      </c>
      <c r="AG196" s="543" t="s">
        <v>34</v>
      </c>
      <c r="AH196" s="543" t="s">
        <v>34</v>
      </c>
      <c r="AI196" s="543" t="s">
        <v>34</v>
      </c>
      <c r="AJ196" s="543" t="s">
        <v>34</v>
      </c>
      <c r="AK196" s="543" t="s">
        <v>1818</v>
      </c>
      <c r="AL196" s="543" t="s">
        <v>34</v>
      </c>
      <c r="AM196" s="61" t="s">
        <v>4499</v>
      </c>
      <c r="AN196" s="541">
        <v>0</v>
      </c>
      <c r="AO196" s="541">
        <v>0</v>
      </c>
      <c r="AP196" s="61"/>
      <c r="CG196" t="str">
        <v>BODYCOTE THERMAL PROCESSING, INC.-WEST</v>
      </c>
    </row>
    <row r="197" spans="1:85" x14ac:dyDescent="0.2">
      <c r="A197" s="61">
        <v>196</v>
      </c>
      <c r="B197" s="542" t="s">
        <v>952</v>
      </c>
      <c r="C197" s="543" t="s">
        <v>954</v>
      </c>
      <c r="D197" s="543" t="s">
        <v>3791</v>
      </c>
      <c r="E197" s="543" t="s">
        <v>1739</v>
      </c>
      <c r="F197" s="543" t="s">
        <v>1740</v>
      </c>
      <c r="G197" s="543" t="s">
        <v>34</v>
      </c>
      <c r="H197" s="543" t="s">
        <v>1821</v>
      </c>
      <c r="I197" s="543" t="s">
        <v>5342</v>
      </c>
      <c r="J197" s="543" t="s">
        <v>2433</v>
      </c>
      <c r="K197" s="543" t="s">
        <v>954</v>
      </c>
      <c r="L197" s="543" t="s">
        <v>2480</v>
      </c>
      <c r="M197" s="544">
        <v>1432</v>
      </c>
      <c r="N197" s="543" t="s">
        <v>954</v>
      </c>
      <c r="O197" s="543" t="s">
        <v>665</v>
      </c>
      <c r="P197" s="543" t="s">
        <v>2481</v>
      </c>
      <c r="Q197" s="543" t="s">
        <v>1894</v>
      </c>
      <c r="R197" s="543" t="s">
        <v>1814</v>
      </c>
      <c r="S197" s="543" t="s">
        <v>2482</v>
      </c>
      <c r="T197" s="543">
        <v>138.5</v>
      </c>
      <c r="U197" s="543" t="s">
        <v>1642</v>
      </c>
      <c r="V197" s="543" t="s">
        <v>2453</v>
      </c>
      <c r="W197" s="543">
        <v>181319</v>
      </c>
      <c r="X197" s="543" t="s">
        <v>1815</v>
      </c>
      <c r="Y197" s="543" t="s">
        <v>109</v>
      </c>
      <c r="Z197" s="543" t="s">
        <v>109</v>
      </c>
      <c r="AA197" s="543" t="s">
        <v>109</v>
      </c>
      <c r="AB197" s="543" t="s">
        <v>34</v>
      </c>
      <c r="AC197" s="543" t="s">
        <v>1816</v>
      </c>
      <c r="AD197" s="543" t="s">
        <v>1817</v>
      </c>
      <c r="AE197" s="543" t="s">
        <v>1455</v>
      </c>
      <c r="AF197" s="543" t="s">
        <v>34</v>
      </c>
      <c r="AG197" s="543" t="s">
        <v>34</v>
      </c>
      <c r="AH197" s="543" t="s">
        <v>34</v>
      </c>
      <c r="AI197" s="543" t="s">
        <v>34</v>
      </c>
      <c r="AJ197" s="543" t="s">
        <v>34</v>
      </c>
      <c r="AK197" s="543" t="s">
        <v>1818</v>
      </c>
      <c r="AL197" s="543" t="s">
        <v>34</v>
      </c>
      <c r="AM197" s="61" t="s">
        <v>4495</v>
      </c>
      <c r="AN197" s="541">
        <v>0</v>
      </c>
      <c r="AO197" s="541">
        <v>0</v>
      </c>
      <c r="AP197" s="61"/>
      <c r="CG197" t="str">
        <v>BOEING COMPANY</v>
      </c>
    </row>
    <row r="198" spans="1:85" x14ac:dyDescent="0.2">
      <c r="A198" s="61">
        <v>197</v>
      </c>
      <c r="B198" s="542" t="s">
        <v>4701</v>
      </c>
      <c r="C198" s="543" t="s">
        <v>4702</v>
      </c>
      <c r="D198" s="543" t="s">
        <v>4703</v>
      </c>
      <c r="E198" s="543" t="s">
        <v>4704</v>
      </c>
      <c r="F198" s="543" t="s">
        <v>4705</v>
      </c>
      <c r="G198" s="543" t="s">
        <v>34</v>
      </c>
      <c r="H198" s="543" t="s">
        <v>1821</v>
      </c>
      <c r="I198" s="543" t="s">
        <v>5342</v>
      </c>
      <c r="J198" s="543" t="s">
        <v>1461</v>
      </c>
      <c r="K198" s="543" t="s">
        <v>4706</v>
      </c>
      <c r="L198" s="543" t="s">
        <v>4707</v>
      </c>
      <c r="M198" s="543" t="s">
        <v>4708</v>
      </c>
      <c r="N198" s="543" t="s">
        <v>4706</v>
      </c>
      <c r="O198" s="543" t="s">
        <v>4709</v>
      </c>
      <c r="P198" s="543" t="s">
        <v>4710</v>
      </c>
      <c r="Q198" s="543" t="s">
        <v>1819</v>
      </c>
      <c r="R198" s="543" t="s">
        <v>1814</v>
      </c>
      <c r="S198" s="543" t="s">
        <v>4711</v>
      </c>
      <c r="T198" s="543">
        <v>25</v>
      </c>
      <c r="U198" s="543" t="s">
        <v>1642</v>
      </c>
      <c r="V198" s="543" t="s">
        <v>4712</v>
      </c>
      <c r="W198" s="543" t="s">
        <v>4713</v>
      </c>
      <c r="X198" s="543" t="s">
        <v>4556</v>
      </c>
      <c r="Y198" s="543" t="s">
        <v>109</v>
      </c>
      <c r="Z198" s="543" t="s">
        <v>109</v>
      </c>
      <c r="AA198" s="543" t="s">
        <v>109</v>
      </c>
      <c r="AB198" s="543" t="s">
        <v>34</v>
      </c>
      <c r="AC198" s="543" t="s">
        <v>1816</v>
      </c>
      <c r="AD198" s="543" t="s">
        <v>1817</v>
      </c>
      <c r="AE198" s="543" t="s">
        <v>1455</v>
      </c>
      <c r="AF198" s="543">
        <v>0</v>
      </c>
      <c r="AG198" s="543">
        <v>0</v>
      </c>
      <c r="AH198" s="543">
        <v>0</v>
      </c>
      <c r="AI198" s="543">
        <v>0</v>
      </c>
      <c r="AJ198" s="543">
        <v>0</v>
      </c>
      <c r="AK198" s="543" t="s">
        <v>1818</v>
      </c>
      <c r="AL198" s="543" t="s">
        <v>34</v>
      </c>
      <c r="AM198" s="61" t="s">
        <v>4495</v>
      </c>
      <c r="AN198" s="541"/>
      <c r="AO198" s="541"/>
      <c r="AP198" s="61"/>
      <c r="CG198" t="str">
        <v>BOEING DISTRIBUTION SERVICES</v>
      </c>
    </row>
    <row r="199" spans="1:85" x14ac:dyDescent="0.2">
      <c r="A199" s="61">
        <v>198</v>
      </c>
      <c r="B199" s="542" t="s">
        <v>1656</v>
      </c>
      <c r="C199" s="543" t="s">
        <v>1658</v>
      </c>
      <c r="D199" s="543" t="s">
        <v>3792</v>
      </c>
      <c r="E199" s="543" t="s">
        <v>1741</v>
      </c>
      <c r="F199" s="543" t="s">
        <v>1742</v>
      </c>
      <c r="G199" s="543" t="s">
        <v>34</v>
      </c>
      <c r="H199" s="543" t="s">
        <v>1821</v>
      </c>
      <c r="I199" s="543" t="s">
        <v>5342</v>
      </c>
      <c r="J199" s="543" t="s">
        <v>2433</v>
      </c>
      <c r="K199" s="543" t="s">
        <v>875</v>
      </c>
      <c r="L199" s="543" t="s">
        <v>2483</v>
      </c>
      <c r="M199" s="544">
        <v>30901</v>
      </c>
      <c r="N199" s="543" t="s">
        <v>1658</v>
      </c>
      <c r="O199" s="543" t="s">
        <v>665</v>
      </c>
      <c r="P199" s="543" t="s">
        <v>2484</v>
      </c>
      <c r="Q199" s="543" t="s">
        <v>1897</v>
      </c>
      <c r="R199" s="543" t="s">
        <v>1988</v>
      </c>
      <c r="S199" s="543" t="s">
        <v>2485</v>
      </c>
      <c r="T199" s="543">
        <v>864</v>
      </c>
      <c r="U199" s="543" t="s">
        <v>1642</v>
      </c>
      <c r="V199" s="543" t="s">
        <v>2486</v>
      </c>
      <c r="W199" s="543">
        <v>3.03</v>
      </c>
      <c r="X199" s="543" t="s">
        <v>1815</v>
      </c>
      <c r="Y199" s="543" t="s">
        <v>2487</v>
      </c>
      <c r="Z199" s="543" t="s">
        <v>2488</v>
      </c>
      <c r="AA199" s="543" t="s">
        <v>1815</v>
      </c>
      <c r="AB199" s="543" t="s">
        <v>34</v>
      </c>
      <c r="AC199" s="543" t="s">
        <v>1816</v>
      </c>
      <c r="AD199" s="543" t="s">
        <v>1817</v>
      </c>
      <c r="AE199" s="543" t="s">
        <v>1455</v>
      </c>
      <c r="AF199" s="543">
        <v>2.7</v>
      </c>
      <c r="AG199" s="543">
        <v>4</v>
      </c>
      <c r="AH199" s="543">
        <v>1</v>
      </c>
      <c r="AI199" s="543" t="s">
        <v>3608</v>
      </c>
      <c r="AJ199" s="543" t="s">
        <v>34</v>
      </c>
      <c r="AK199" s="543" t="s">
        <v>1818</v>
      </c>
      <c r="AL199" s="543" t="s">
        <v>34</v>
      </c>
      <c r="AM199" s="61" t="s">
        <v>4495</v>
      </c>
      <c r="AN199" s="541">
        <v>0</v>
      </c>
      <c r="AO199" s="541">
        <v>0</v>
      </c>
      <c r="AP199" s="61"/>
      <c r="CG199" t="str">
        <v>BOEING, WINNIPEG DIVISION</v>
      </c>
    </row>
    <row r="200" spans="1:85" x14ac:dyDescent="0.2">
      <c r="A200" s="61">
        <v>199</v>
      </c>
      <c r="B200" s="542" t="s">
        <v>1656</v>
      </c>
      <c r="C200" s="543" t="s">
        <v>1660</v>
      </c>
      <c r="D200" s="543" t="s">
        <v>3793</v>
      </c>
      <c r="E200" s="543" t="s">
        <v>1741</v>
      </c>
      <c r="F200" s="543" t="s">
        <v>1742</v>
      </c>
      <c r="G200" s="543" t="s">
        <v>34</v>
      </c>
      <c r="H200" s="543" t="s">
        <v>1821</v>
      </c>
      <c r="I200" s="543" t="s">
        <v>5342</v>
      </c>
      <c r="J200" s="543" t="s">
        <v>2433</v>
      </c>
      <c r="K200" s="543" t="s">
        <v>875</v>
      </c>
      <c r="L200" s="543" t="s">
        <v>2489</v>
      </c>
      <c r="M200" s="543" t="s">
        <v>2490</v>
      </c>
      <c r="N200" s="543" t="s">
        <v>1660</v>
      </c>
      <c r="O200" s="543" t="s">
        <v>665</v>
      </c>
      <c r="P200" s="543" t="s">
        <v>2484</v>
      </c>
      <c r="Q200" s="543" t="s">
        <v>1897</v>
      </c>
      <c r="R200" s="543" t="s">
        <v>1988</v>
      </c>
      <c r="S200" s="543" t="s">
        <v>2491</v>
      </c>
      <c r="T200" s="543">
        <v>630</v>
      </c>
      <c r="U200" s="543" t="s">
        <v>1642</v>
      </c>
      <c r="V200" s="543" t="s">
        <v>2492</v>
      </c>
      <c r="W200" s="543" t="s">
        <v>2493</v>
      </c>
      <c r="X200" s="543" t="s">
        <v>1815</v>
      </c>
      <c r="Y200" s="543" t="s">
        <v>2494</v>
      </c>
      <c r="Z200" s="543" t="s">
        <v>2495</v>
      </c>
      <c r="AA200" s="543" t="s">
        <v>1815</v>
      </c>
      <c r="AB200" s="543" t="s">
        <v>34</v>
      </c>
      <c r="AC200" s="543" t="s">
        <v>1816</v>
      </c>
      <c r="AD200" s="543" t="s">
        <v>1817</v>
      </c>
      <c r="AE200" s="543" t="s">
        <v>1455</v>
      </c>
      <c r="AF200" s="543">
        <v>5</v>
      </c>
      <c r="AG200" s="543">
        <v>20</v>
      </c>
      <c r="AH200" s="543">
        <v>2</v>
      </c>
      <c r="AI200" s="543" t="s">
        <v>3612</v>
      </c>
      <c r="AJ200" s="543" t="s">
        <v>34</v>
      </c>
      <c r="AK200" s="543" t="s">
        <v>1818</v>
      </c>
      <c r="AL200" s="543" t="s">
        <v>34</v>
      </c>
      <c r="AM200" s="61" t="s">
        <v>4495</v>
      </c>
      <c r="AN200" s="541">
        <v>0</v>
      </c>
      <c r="AO200" s="541">
        <v>0</v>
      </c>
      <c r="AP200" s="61"/>
      <c r="CG200" t="str">
        <v>BOMBARDIER AEROSPACE - LEARJET DIVISION</v>
      </c>
    </row>
    <row r="201" spans="1:85" x14ac:dyDescent="0.2">
      <c r="A201" s="61">
        <v>200</v>
      </c>
      <c r="B201" s="542" t="s">
        <v>958</v>
      </c>
      <c r="C201" s="543" t="s">
        <v>4279</v>
      </c>
      <c r="D201" s="543" t="s">
        <v>4283</v>
      </c>
      <c r="E201" s="543" t="s">
        <v>1743</v>
      </c>
      <c r="F201" s="543" t="s">
        <v>1744</v>
      </c>
      <c r="G201" s="543" t="s">
        <v>34</v>
      </c>
      <c r="H201" s="543" t="s">
        <v>1821</v>
      </c>
      <c r="I201" s="543" t="s">
        <v>5342</v>
      </c>
      <c r="J201" s="543" t="s">
        <v>2089</v>
      </c>
      <c r="K201" s="543" t="s">
        <v>819</v>
      </c>
      <c r="L201" s="543" t="s">
        <v>2510</v>
      </c>
      <c r="M201" s="543">
        <v>14572</v>
      </c>
      <c r="N201" s="543" t="s">
        <v>4279</v>
      </c>
      <c r="O201" s="543" t="s">
        <v>5345</v>
      </c>
      <c r="P201" s="543" t="s">
        <v>2016</v>
      </c>
      <c r="Q201" s="543" t="s">
        <v>4557</v>
      </c>
      <c r="R201" s="543" t="s">
        <v>1814</v>
      </c>
      <c r="S201" s="543" t="s">
        <v>2511</v>
      </c>
      <c r="T201" s="543">
        <v>277.39999999999998</v>
      </c>
      <c r="U201" s="543" t="s">
        <v>1841</v>
      </c>
      <c r="V201" s="543" t="s">
        <v>1899</v>
      </c>
      <c r="W201" s="543" t="s">
        <v>2512</v>
      </c>
      <c r="X201" s="543" t="s">
        <v>4556</v>
      </c>
      <c r="Y201" s="543" t="s">
        <v>2500</v>
      </c>
      <c r="Z201" s="543" t="s">
        <v>2501</v>
      </c>
      <c r="AA201" s="543" t="s">
        <v>4556</v>
      </c>
      <c r="AB201" s="543" t="s">
        <v>34</v>
      </c>
      <c r="AC201" s="543" t="s">
        <v>1816</v>
      </c>
      <c r="AD201" s="543" t="s">
        <v>1817</v>
      </c>
      <c r="AE201" s="543" t="s">
        <v>1455</v>
      </c>
      <c r="AF201" s="543">
        <v>14.5</v>
      </c>
      <c r="AG201" s="543">
        <v>267</v>
      </c>
      <c r="AH201" s="543">
        <v>43</v>
      </c>
      <c r="AI201" s="543" t="s">
        <v>34</v>
      </c>
      <c r="AJ201" s="543" t="s">
        <v>34</v>
      </c>
      <c r="AK201" s="543" t="s">
        <v>1818</v>
      </c>
      <c r="AL201" s="543" t="s">
        <v>34</v>
      </c>
      <c r="AM201" s="61" t="s">
        <v>4495</v>
      </c>
      <c r="AN201" s="541">
        <v>1.4583333333333332E-2</v>
      </c>
      <c r="AO201" s="541">
        <v>0</v>
      </c>
      <c r="AP201" s="61"/>
      <c r="CG201" t="str">
        <v>BOMBARDIER AEROSPACE MEXICO S.A. DE C.V.</v>
      </c>
    </row>
    <row r="202" spans="1:85" x14ac:dyDescent="0.2">
      <c r="A202" s="61">
        <v>201</v>
      </c>
      <c r="B202" s="542" t="s">
        <v>958</v>
      </c>
      <c r="C202" s="543" t="s">
        <v>4280</v>
      </c>
      <c r="D202" s="543" t="s">
        <v>4284</v>
      </c>
      <c r="E202" s="543" t="s">
        <v>1743</v>
      </c>
      <c r="F202" s="543" t="s">
        <v>1744</v>
      </c>
      <c r="G202" s="543" t="s">
        <v>34</v>
      </c>
      <c r="H202" s="543" t="s">
        <v>1821</v>
      </c>
      <c r="I202" s="543" t="s">
        <v>5342</v>
      </c>
      <c r="J202" s="543" t="s">
        <v>2089</v>
      </c>
      <c r="K202" s="543" t="s">
        <v>819</v>
      </c>
      <c r="L202" s="543" t="s">
        <v>2496</v>
      </c>
      <c r="M202" s="543" t="s">
        <v>2497</v>
      </c>
      <c r="N202" s="543" t="s">
        <v>4280</v>
      </c>
      <c r="O202" s="543" t="s">
        <v>5345</v>
      </c>
      <c r="P202" s="543" t="s">
        <v>2016</v>
      </c>
      <c r="Q202" s="543" t="s">
        <v>4557</v>
      </c>
      <c r="R202" s="543" t="s">
        <v>1814</v>
      </c>
      <c r="S202" s="543" t="s">
        <v>2498</v>
      </c>
      <c r="T202" s="543">
        <v>20</v>
      </c>
      <c r="U202" s="543" t="s">
        <v>1841</v>
      </c>
      <c r="V202" s="543" t="s">
        <v>2096</v>
      </c>
      <c r="W202" s="543" t="s">
        <v>2499</v>
      </c>
      <c r="X202" s="543" t="s">
        <v>4556</v>
      </c>
      <c r="Y202" s="543" t="s">
        <v>2500</v>
      </c>
      <c r="Z202" s="543" t="s">
        <v>2501</v>
      </c>
      <c r="AA202" s="543" t="s">
        <v>4556</v>
      </c>
      <c r="AB202" s="543" t="s">
        <v>34</v>
      </c>
      <c r="AC202" s="543" t="s">
        <v>1816</v>
      </c>
      <c r="AD202" s="543" t="s">
        <v>1817</v>
      </c>
      <c r="AE202" s="543" t="s">
        <v>1455</v>
      </c>
      <c r="AF202" s="543">
        <v>1</v>
      </c>
      <c r="AG202" s="543">
        <v>0.04</v>
      </c>
      <c r="AH202" s="543">
        <v>0.21</v>
      </c>
      <c r="AI202" s="543" t="s">
        <v>34</v>
      </c>
      <c r="AJ202" s="543" t="s">
        <v>34</v>
      </c>
      <c r="AK202" s="543" t="s">
        <v>1818</v>
      </c>
      <c r="AL202" s="543" t="s">
        <v>34</v>
      </c>
      <c r="AM202" s="61" t="s">
        <v>4496</v>
      </c>
      <c r="AN202" s="541">
        <v>1.4583333333333332E-2</v>
      </c>
      <c r="AO202" s="541">
        <v>0</v>
      </c>
      <c r="AP202" s="61"/>
      <c r="CG202" t="str">
        <v>BOSCH SECURITY SYSTEMS</v>
      </c>
    </row>
    <row r="203" spans="1:85" x14ac:dyDescent="0.2">
      <c r="A203" s="61">
        <v>202</v>
      </c>
      <c r="B203" s="542" t="s">
        <v>958</v>
      </c>
      <c r="C203" s="543" t="s">
        <v>960</v>
      </c>
      <c r="D203" s="543" t="s">
        <v>3794</v>
      </c>
      <c r="E203" s="543" t="s">
        <v>1743</v>
      </c>
      <c r="F203" s="543" t="s">
        <v>1744</v>
      </c>
      <c r="G203" s="543" t="s">
        <v>34</v>
      </c>
      <c r="H203" s="543" t="s">
        <v>1821</v>
      </c>
      <c r="I203" s="543" t="s">
        <v>5342</v>
      </c>
      <c r="J203" s="543" t="s">
        <v>2089</v>
      </c>
      <c r="K203" s="543" t="s">
        <v>2550</v>
      </c>
      <c r="L203" s="543" t="s">
        <v>2237</v>
      </c>
      <c r="M203" s="543">
        <v>116668</v>
      </c>
      <c r="N203" s="543" t="s">
        <v>960</v>
      </c>
      <c r="O203" s="543" t="s">
        <v>5343</v>
      </c>
      <c r="P203" s="543" t="s">
        <v>2551</v>
      </c>
      <c r="Q203" s="543" t="s">
        <v>4555</v>
      </c>
      <c r="R203" s="543" t="s">
        <v>1814</v>
      </c>
      <c r="S203" s="543" t="s">
        <v>2552</v>
      </c>
      <c r="T203" s="543">
        <v>258.5</v>
      </c>
      <c r="U203" s="543" t="s">
        <v>1841</v>
      </c>
      <c r="V203" s="543" t="s">
        <v>2529</v>
      </c>
      <c r="W203" s="543" t="s">
        <v>2553</v>
      </c>
      <c r="X203" s="543" t="s">
        <v>4565</v>
      </c>
      <c r="Y203" s="543" t="s">
        <v>2529</v>
      </c>
      <c r="Z203" s="543" t="s">
        <v>2553</v>
      </c>
      <c r="AA203" s="543" t="s">
        <v>4565</v>
      </c>
      <c r="AB203" s="543" t="s">
        <v>34</v>
      </c>
      <c r="AC203" s="543" t="s">
        <v>1816</v>
      </c>
      <c r="AD203" s="543" t="s">
        <v>1817</v>
      </c>
      <c r="AE203" s="543" t="s">
        <v>1455</v>
      </c>
      <c r="AF203" s="543" t="s">
        <v>4118</v>
      </c>
      <c r="AG203" s="543" t="s">
        <v>3564</v>
      </c>
      <c r="AH203" s="543" t="s">
        <v>3614</v>
      </c>
      <c r="AI203" s="543" t="s">
        <v>3615</v>
      </c>
      <c r="AJ203" s="543" t="s">
        <v>34</v>
      </c>
      <c r="AK203" s="543" t="s">
        <v>1818</v>
      </c>
      <c r="AL203" s="543" t="s">
        <v>34</v>
      </c>
      <c r="AM203" s="61" t="s">
        <v>4498</v>
      </c>
      <c r="AN203" s="541">
        <v>1.4583333333333332E-2</v>
      </c>
      <c r="AO203" s="541">
        <v>2.1527777777777781E-2</v>
      </c>
      <c r="AP203" s="61"/>
      <c r="CG203" t="str">
        <v>BRAD DAVIS</v>
      </c>
    </row>
    <row r="204" spans="1:85" x14ac:dyDescent="0.2">
      <c r="A204" s="61">
        <v>203</v>
      </c>
      <c r="B204" s="542" t="s">
        <v>958</v>
      </c>
      <c r="C204" s="543" t="s">
        <v>969</v>
      </c>
      <c r="D204" s="543" t="s">
        <v>3795</v>
      </c>
      <c r="E204" s="543" t="s">
        <v>1743</v>
      </c>
      <c r="F204" s="543" t="s">
        <v>1744</v>
      </c>
      <c r="G204" s="543" t="s">
        <v>34</v>
      </c>
      <c r="H204" s="543" t="s">
        <v>1821</v>
      </c>
      <c r="I204" s="543" t="s">
        <v>5342</v>
      </c>
      <c r="J204" s="543" t="s">
        <v>2089</v>
      </c>
      <c r="K204" s="543" t="s">
        <v>2544</v>
      </c>
      <c r="L204" s="543" t="s">
        <v>2545</v>
      </c>
      <c r="M204" s="543">
        <v>173757</v>
      </c>
      <c r="N204" s="543" t="s">
        <v>969</v>
      </c>
      <c r="O204" s="543" t="s">
        <v>5343</v>
      </c>
      <c r="P204" s="543" t="s">
        <v>2546</v>
      </c>
      <c r="Q204" s="543" t="s">
        <v>4555</v>
      </c>
      <c r="R204" s="543" t="s">
        <v>1814</v>
      </c>
      <c r="S204" s="543" t="s">
        <v>2547</v>
      </c>
      <c r="T204" s="543">
        <v>115</v>
      </c>
      <c r="U204" s="543" t="s">
        <v>1841</v>
      </c>
      <c r="V204" s="543" t="s">
        <v>2548</v>
      </c>
      <c r="W204" s="543" t="s">
        <v>2549</v>
      </c>
      <c r="X204" s="543" t="s">
        <v>4565</v>
      </c>
      <c r="Y204" s="543" t="s">
        <v>2548</v>
      </c>
      <c r="Z204" s="543" t="s">
        <v>2549</v>
      </c>
      <c r="AA204" s="543" t="s">
        <v>4565</v>
      </c>
      <c r="AB204" s="543" t="s">
        <v>34</v>
      </c>
      <c r="AC204" s="543" t="s">
        <v>1816</v>
      </c>
      <c r="AD204" s="543" t="s">
        <v>1817</v>
      </c>
      <c r="AE204" s="543" t="s">
        <v>1455</v>
      </c>
      <c r="AF204" s="543" t="s">
        <v>4119</v>
      </c>
      <c r="AG204" s="543" t="s">
        <v>3564</v>
      </c>
      <c r="AH204" s="543" t="s">
        <v>3614</v>
      </c>
      <c r="AI204" s="543" t="s">
        <v>3615</v>
      </c>
      <c r="AJ204" s="543" t="s">
        <v>34</v>
      </c>
      <c r="AK204" s="543" t="s">
        <v>1818</v>
      </c>
      <c r="AL204" s="543" t="s">
        <v>34</v>
      </c>
      <c r="AM204" s="61" t="s">
        <v>4498</v>
      </c>
      <c r="AN204" s="541">
        <v>1.4583333333333332E-2</v>
      </c>
      <c r="AO204" s="541">
        <v>2.1527777777777781E-2</v>
      </c>
      <c r="AP204" s="61"/>
      <c r="CG204" t="str">
        <v>BRADDOCK METALLURGICAL - JACKSONVILLE</v>
      </c>
    </row>
    <row r="205" spans="1:85" x14ac:dyDescent="0.2">
      <c r="A205" s="61">
        <v>204</v>
      </c>
      <c r="B205" s="542" t="s">
        <v>958</v>
      </c>
      <c r="C205" s="543" t="s">
        <v>973</v>
      </c>
      <c r="D205" s="543" t="s">
        <v>3796</v>
      </c>
      <c r="E205" s="543" t="s">
        <v>1743</v>
      </c>
      <c r="F205" s="543" t="s">
        <v>1744</v>
      </c>
      <c r="G205" s="543" t="s">
        <v>34</v>
      </c>
      <c r="H205" s="543" t="s">
        <v>1821</v>
      </c>
      <c r="I205" s="543" t="s">
        <v>5342</v>
      </c>
      <c r="J205" s="543" t="s">
        <v>2089</v>
      </c>
      <c r="K205" s="543" t="s">
        <v>819</v>
      </c>
      <c r="L205" s="543" t="s">
        <v>2513</v>
      </c>
      <c r="M205" s="543" t="s">
        <v>2514</v>
      </c>
      <c r="N205" s="543" t="s">
        <v>973</v>
      </c>
      <c r="O205" s="543" t="s">
        <v>5368</v>
      </c>
      <c r="P205" s="543" t="s">
        <v>2515</v>
      </c>
      <c r="Q205" s="543" t="s">
        <v>4566</v>
      </c>
      <c r="R205" s="543" t="s">
        <v>1988</v>
      </c>
      <c r="S205" s="543" t="s">
        <v>2516</v>
      </c>
      <c r="T205" s="543">
        <v>545.79999999999995</v>
      </c>
      <c r="U205" s="543" t="s">
        <v>1841</v>
      </c>
      <c r="V205" s="543" t="s">
        <v>2096</v>
      </c>
      <c r="W205" s="543" t="s">
        <v>4114</v>
      </c>
      <c r="X205" s="543" t="s">
        <v>4556</v>
      </c>
      <c r="Y205" s="543" t="s">
        <v>2500</v>
      </c>
      <c r="Z205" s="543" t="s">
        <v>2501</v>
      </c>
      <c r="AA205" s="543" t="s">
        <v>4556</v>
      </c>
      <c r="AB205" s="543" t="s">
        <v>4911</v>
      </c>
      <c r="AC205" s="543" t="s">
        <v>1816</v>
      </c>
      <c r="AD205" s="543" t="s">
        <v>1817</v>
      </c>
      <c r="AE205" s="543" t="s">
        <v>1455</v>
      </c>
      <c r="AF205" s="543">
        <v>10</v>
      </c>
      <c r="AG205" s="543">
        <v>0.2</v>
      </c>
      <c r="AH205" s="543">
        <v>0.2</v>
      </c>
      <c r="AI205" s="543" t="s">
        <v>34</v>
      </c>
      <c r="AJ205" s="543" t="s">
        <v>34</v>
      </c>
      <c r="AK205" s="543" t="s">
        <v>1818</v>
      </c>
      <c r="AL205" s="543" t="s">
        <v>34</v>
      </c>
      <c r="AM205" s="61" t="s">
        <v>4495</v>
      </c>
      <c r="AN205" s="541">
        <v>1.4583333333333332E-2</v>
      </c>
      <c r="AO205" s="541">
        <v>0</v>
      </c>
      <c r="AP205" s="61"/>
      <c r="CG205" t="str">
        <v>BRADDOCK METALLURGICAL, INC. - BOYNTON</v>
      </c>
    </row>
    <row r="206" spans="1:85" x14ac:dyDescent="0.2">
      <c r="A206" s="61">
        <v>205</v>
      </c>
      <c r="B206" s="542" t="s">
        <v>958</v>
      </c>
      <c r="C206" s="543" t="s">
        <v>981</v>
      </c>
      <c r="D206" s="543" t="s">
        <v>3797</v>
      </c>
      <c r="E206" s="543" t="s">
        <v>1743</v>
      </c>
      <c r="F206" s="543" t="s">
        <v>1744</v>
      </c>
      <c r="G206" s="543" t="s">
        <v>34</v>
      </c>
      <c r="H206" s="543" t="s">
        <v>1821</v>
      </c>
      <c r="I206" s="543" t="s">
        <v>5342</v>
      </c>
      <c r="J206" s="543" t="s">
        <v>2089</v>
      </c>
      <c r="K206" s="543" t="s">
        <v>2536</v>
      </c>
      <c r="L206" s="543" t="s">
        <v>1823</v>
      </c>
      <c r="M206" s="543" t="s">
        <v>2537</v>
      </c>
      <c r="N206" s="543" t="s">
        <v>981</v>
      </c>
      <c r="O206" s="543" t="s">
        <v>5369</v>
      </c>
      <c r="P206" s="543" t="s">
        <v>2538</v>
      </c>
      <c r="Q206" s="543" t="s">
        <v>4567</v>
      </c>
      <c r="R206" s="543" t="s">
        <v>1814</v>
      </c>
      <c r="S206" s="543" t="s">
        <v>2539</v>
      </c>
      <c r="T206" s="543">
        <v>26.7</v>
      </c>
      <c r="U206" s="543" t="s">
        <v>1841</v>
      </c>
      <c r="V206" s="543" t="s">
        <v>2096</v>
      </c>
      <c r="W206" s="543" t="s">
        <v>2540</v>
      </c>
      <c r="X206" s="543" t="s">
        <v>4556</v>
      </c>
      <c r="Y206" s="543" t="s">
        <v>2500</v>
      </c>
      <c r="Z206" s="543" t="s">
        <v>2501</v>
      </c>
      <c r="AA206" s="543" t="s">
        <v>4556</v>
      </c>
      <c r="AB206" s="543" t="s">
        <v>34</v>
      </c>
      <c r="AC206" s="543" t="s">
        <v>1816</v>
      </c>
      <c r="AD206" s="543" t="s">
        <v>1817</v>
      </c>
      <c r="AE206" s="543" t="s">
        <v>1455</v>
      </c>
      <c r="AF206" s="543">
        <v>5</v>
      </c>
      <c r="AG206" s="543">
        <v>0.75</v>
      </c>
      <c r="AH206" s="543">
        <v>1</v>
      </c>
      <c r="AI206" s="543" t="s">
        <v>34</v>
      </c>
      <c r="AJ206" s="543" t="s">
        <v>34</v>
      </c>
      <c r="AK206" s="543" t="s">
        <v>1818</v>
      </c>
      <c r="AL206" s="543" t="s">
        <v>34</v>
      </c>
      <c r="AM206" s="61" t="s">
        <v>4496</v>
      </c>
      <c r="AN206" s="541">
        <v>1.4583333333333332E-2</v>
      </c>
      <c r="AO206" s="541">
        <v>0</v>
      </c>
      <c r="AP206" s="61"/>
      <c r="CG206" t="str">
        <v>BRADDOCK METALLURGICAL-DAYTONA</v>
      </c>
    </row>
    <row r="207" spans="1:85" x14ac:dyDescent="0.2">
      <c r="A207" s="61">
        <v>206</v>
      </c>
      <c r="B207" s="542" t="s">
        <v>958</v>
      </c>
      <c r="C207" s="543" t="s">
        <v>976</v>
      </c>
      <c r="D207" s="543" t="s">
        <v>3798</v>
      </c>
      <c r="E207" s="543" t="s">
        <v>1743</v>
      </c>
      <c r="F207" s="543" t="s">
        <v>1744</v>
      </c>
      <c r="G207" s="543" t="s">
        <v>34</v>
      </c>
      <c r="H207" s="543" t="s">
        <v>1821</v>
      </c>
      <c r="I207" s="543" t="s">
        <v>5342</v>
      </c>
      <c r="J207" s="543" t="s">
        <v>2089</v>
      </c>
      <c r="K207" s="543" t="s">
        <v>819</v>
      </c>
      <c r="L207" s="543" t="s">
        <v>2506</v>
      </c>
      <c r="M207" s="543" t="s">
        <v>2507</v>
      </c>
      <c r="N207" s="543" t="s">
        <v>976</v>
      </c>
      <c r="O207" s="543" t="s">
        <v>5345</v>
      </c>
      <c r="P207" s="543" t="s">
        <v>2114</v>
      </c>
      <c r="Q207" s="543" t="s">
        <v>4557</v>
      </c>
      <c r="R207" s="543" t="s">
        <v>1814</v>
      </c>
      <c r="S207" s="543" t="s">
        <v>2508</v>
      </c>
      <c r="T207" s="543">
        <v>20</v>
      </c>
      <c r="U207" s="543" t="s">
        <v>1841</v>
      </c>
      <c r="V207" s="543" t="s">
        <v>2096</v>
      </c>
      <c r="W207" s="543" t="s">
        <v>5229</v>
      </c>
      <c r="X207" s="543" t="s">
        <v>4556</v>
      </c>
      <c r="Y207" s="543" t="s">
        <v>2500</v>
      </c>
      <c r="Z207" s="543" t="s">
        <v>2501</v>
      </c>
      <c r="AA207" s="543" t="s">
        <v>4556</v>
      </c>
      <c r="AB207" s="543" t="s">
        <v>34</v>
      </c>
      <c r="AC207" s="543" t="s">
        <v>1816</v>
      </c>
      <c r="AD207" s="543" t="s">
        <v>1817</v>
      </c>
      <c r="AE207" s="543" t="s">
        <v>1455</v>
      </c>
      <c r="AF207" s="543">
        <v>4</v>
      </c>
      <c r="AG207" s="543">
        <v>53</v>
      </c>
      <c r="AH207" s="543">
        <v>9</v>
      </c>
      <c r="AI207" s="543" t="s">
        <v>34</v>
      </c>
      <c r="AJ207" s="543" t="s">
        <v>34</v>
      </c>
      <c r="AK207" s="543" t="s">
        <v>1818</v>
      </c>
      <c r="AL207" s="543" t="s">
        <v>34</v>
      </c>
      <c r="AM207" s="61" t="s">
        <v>4496</v>
      </c>
      <c r="AN207" s="541">
        <v>1.4583333333333332E-2</v>
      </c>
      <c r="AO207" s="541">
        <v>0</v>
      </c>
      <c r="AP207" s="61"/>
      <c r="CG207" t="str">
        <v>BRADLEY MACHINE, INC.</v>
      </c>
    </row>
    <row r="208" spans="1:85" x14ac:dyDescent="0.2">
      <c r="A208" s="61">
        <v>207</v>
      </c>
      <c r="B208" s="542" t="s">
        <v>958</v>
      </c>
      <c r="C208" s="543" t="s">
        <v>971</v>
      </c>
      <c r="D208" s="543" t="s">
        <v>3799</v>
      </c>
      <c r="E208" s="543" t="s">
        <v>1743</v>
      </c>
      <c r="F208" s="543" t="s">
        <v>1744</v>
      </c>
      <c r="G208" s="543" t="s">
        <v>34</v>
      </c>
      <c r="H208" s="543" t="s">
        <v>1821</v>
      </c>
      <c r="I208" s="543" t="s">
        <v>5342</v>
      </c>
      <c r="J208" s="543" t="s">
        <v>2089</v>
      </c>
      <c r="K208" s="543" t="s">
        <v>2536</v>
      </c>
      <c r="L208" s="543" t="s">
        <v>2541</v>
      </c>
      <c r="M208" s="543" t="s">
        <v>2542</v>
      </c>
      <c r="N208" s="543" t="s">
        <v>971</v>
      </c>
      <c r="O208" s="543" t="s">
        <v>5370</v>
      </c>
      <c r="P208" s="543" t="s">
        <v>2515</v>
      </c>
      <c r="Q208" s="543" t="s">
        <v>4567</v>
      </c>
      <c r="R208" s="543" t="s">
        <v>1814</v>
      </c>
      <c r="S208" s="543" t="s">
        <v>2543</v>
      </c>
      <c r="T208" s="543">
        <v>445.5</v>
      </c>
      <c r="U208" s="543" t="s">
        <v>1841</v>
      </c>
      <c r="V208" s="543" t="s">
        <v>2096</v>
      </c>
      <c r="W208" s="543" t="s">
        <v>4115</v>
      </c>
      <c r="X208" s="543" t="s">
        <v>4556</v>
      </c>
      <c r="Y208" s="543" t="s">
        <v>2500</v>
      </c>
      <c r="Z208" s="543" t="s">
        <v>2501</v>
      </c>
      <c r="AA208" s="543" t="s">
        <v>4556</v>
      </c>
      <c r="AB208" s="543" t="s">
        <v>34</v>
      </c>
      <c r="AC208" s="543" t="s">
        <v>1816</v>
      </c>
      <c r="AD208" s="543" t="s">
        <v>1817</v>
      </c>
      <c r="AE208" s="543" t="s">
        <v>1455</v>
      </c>
      <c r="AF208" s="543">
        <v>15</v>
      </c>
      <c r="AG208" s="543">
        <v>0.43</v>
      </c>
      <c r="AH208" s="543">
        <v>0.1</v>
      </c>
      <c r="AI208" s="543" t="s">
        <v>34</v>
      </c>
      <c r="AJ208" s="543" t="s">
        <v>34</v>
      </c>
      <c r="AK208" s="543" t="s">
        <v>1818</v>
      </c>
      <c r="AL208" s="543" t="s">
        <v>34</v>
      </c>
      <c r="AM208" s="61" t="s">
        <v>4495</v>
      </c>
      <c r="AN208" s="541">
        <v>1.4583333333333332E-2</v>
      </c>
      <c r="AO208" s="541">
        <v>0</v>
      </c>
      <c r="AP208" s="61"/>
      <c r="CG208" t="str">
        <v>BRALCO METALS</v>
      </c>
    </row>
    <row r="209" spans="1:85" x14ac:dyDescent="0.2">
      <c r="A209" s="61">
        <v>208</v>
      </c>
      <c r="B209" s="542" t="s">
        <v>958</v>
      </c>
      <c r="C209" s="543" t="s">
        <v>978</v>
      </c>
      <c r="D209" s="543" t="s">
        <v>3800</v>
      </c>
      <c r="E209" s="543" t="s">
        <v>1743</v>
      </c>
      <c r="F209" s="543" t="s">
        <v>1744</v>
      </c>
      <c r="G209" s="543" t="s">
        <v>34</v>
      </c>
      <c r="H209" s="543" t="s">
        <v>1821</v>
      </c>
      <c r="I209" s="543" t="s">
        <v>5342</v>
      </c>
      <c r="J209" s="543" t="s">
        <v>2089</v>
      </c>
      <c r="K209" s="543" t="s">
        <v>819</v>
      </c>
      <c r="L209" s="543" t="s">
        <v>2502</v>
      </c>
      <c r="M209" s="543" t="s">
        <v>2503</v>
      </c>
      <c r="N209" s="543" t="s">
        <v>978</v>
      </c>
      <c r="O209" s="543" t="s">
        <v>5343</v>
      </c>
      <c r="P209" s="543" t="s">
        <v>2504</v>
      </c>
      <c r="Q209" s="543" t="s">
        <v>4555</v>
      </c>
      <c r="R209" s="543" t="s">
        <v>1814</v>
      </c>
      <c r="S209" s="543" t="s">
        <v>2505</v>
      </c>
      <c r="T209" s="543">
        <v>18.7</v>
      </c>
      <c r="U209" s="543" t="s">
        <v>1841</v>
      </c>
      <c r="V209" s="543" t="s">
        <v>2096</v>
      </c>
      <c r="W209" s="543" t="s">
        <v>4116</v>
      </c>
      <c r="X209" s="543" t="s">
        <v>4556</v>
      </c>
      <c r="Y209" s="543" t="s">
        <v>2500</v>
      </c>
      <c r="Z209" s="543" t="s">
        <v>2501</v>
      </c>
      <c r="AA209" s="543" t="s">
        <v>4556</v>
      </c>
      <c r="AB209" s="543" t="s">
        <v>34</v>
      </c>
      <c r="AC209" s="543" t="s">
        <v>1816</v>
      </c>
      <c r="AD209" s="543" t="s">
        <v>1817</v>
      </c>
      <c r="AE209" s="543" t="s">
        <v>1455</v>
      </c>
      <c r="AF209" s="543">
        <v>4</v>
      </c>
      <c r="AG209" s="543">
        <v>1</v>
      </c>
      <c r="AH209" s="543">
        <v>0.8</v>
      </c>
      <c r="AI209" s="543" t="s">
        <v>34</v>
      </c>
      <c r="AJ209" s="543" t="s">
        <v>34</v>
      </c>
      <c r="AK209" s="543" t="s">
        <v>1818</v>
      </c>
      <c r="AL209" s="543" t="s">
        <v>34</v>
      </c>
      <c r="AM209" s="61" t="s">
        <v>4496</v>
      </c>
      <c r="AN209" s="541">
        <v>1.4583333333333332E-2</v>
      </c>
      <c r="AO209" s="541">
        <v>0</v>
      </c>
      <c r="AP209" s="61"/>
      <c r="CG209" t="str">
        <v>BREK MANUFACTURING CO.</v>
      </c>
    </row>
    <row r="210" spans="1:85" x14ac:dyDescent="0.2">
      <c r="A210" s="61">
        <v>209</v>
      </c>
      <c r="B210" s="542" t="s">
        <v>958</v>
      </c>
      <c r="C210" s="543" t="s">
        <v>967</v>
      </c>
      <c r="D210" s="543" t="s">
        <v>3801</v>
      </c>
      <c r="E210" s="543" t="s">
        <v>1743</v>
      </c>
      <c r="F210" s="543" t="s">
        <v>1744</v>
      </c>
      <c r="G210" s="543" t="s">
        <v>34</v>
      </c>
      <c r="H210" s="543" t="s">
        <v>1821</v>
      </c>
      <c r="I210" s="543" t="s">
        <v>5371</v>
      </c>
      <c r="J210" s="543" t="s">
        <v>2089</v>
      </c>
      <c r="K210" s="543" t="s">
        <v>993</v>
      </c>
      <c r="L210" s="543" t="s">
        <v>1936</v>
      </c>
      <c r="M210" s="543" t="s">
        <v>967</v>
      </c>
      <c r="N210" s="543" t="s">
        <v>967</v>
      </c>
      <c r="O210" s="543" t="s">
        <v>4606</v>
      </c>
      <c r="P210" s="543" t="s">
        <v>2532</v>
      </c>
      <c r="Q210" s="543" t="s">
        <v>4568</v>
      </c>
      <c r="R210" s="543" t="s">
        <v>1814</v>
      </c>
      <c r="S210" s="543" t="s">
        <v>2533</v>
      </c>
      <c r="T210" s="543">
        <v>120</v>
      </c>
      <c r="U210" s="543" t="s">
        <v>1843</v>
      </c>
      <c r="V210" s="543" t="s">
        <v>2534</v>
      </c>
      <c r="W210" s="543" t="s">
        <v>2535</v>
      </c>
      <c r="X210" s="543" t="s">
        <v>4772</v>
      </c>
      <c r="Y210" s="543" t="s">
        <v>109</v>
      </c>
      <c r="Z210" s="543" t="s">
        <v>109</v>
      </c>
      <c r="AA210" s="543" t="s">
        <v>109</v>
      </c>
      <c r="AB210" s="543" t="s">
        <v>4773</v>
      </c>
      <c r="AC210" s="543" t="s">
        <v>1816</v>
      </c>
      <c r="AD210" s="543" t="s">
        <v>1817</v>
      </c>
      <c r="AE210" s="543" t="s">
        <v>1455</v>
      </c>
      <c r="AF210" s="543">
        <v>0</v>
      </c>
      <c r="AG210" s="543">
        <v>0</v>
      </c>
      <c r="AH210" s="543">
        <v>0.15</v>
      </c>
      <c r="AI210" s="543" t="s">
        <v>3613</v>
      </c>
      <c r="AJ210" s="543" t="s">
        <v>34</v>
      </c>
      <c r="AK210" s="543" t="s">
        <v>1818</v>
      </c>
      <c r="AL210" s="543" t="s">
        <v>34</v>
      </c>
      <c r="AM210" s="61" t="s">
        <v>4498</v>
      </c>
      <c r="AN210" s="541">
        <v>0</v>
      </c>
      <c r="AO210" s="541">
        <v>0</v>
      </c>
      <c r="AP210" s="61"/>
      <c r="CG210" t="str">
        <v>BRENNER AEROSTRUCTURES</v>
      </c>
    </row>
    <row r="211" spans="1:85" x14ac:dyDescent="0.2">
      <c r="A211" s="61">
        <v>210</v>
      </c>
      <c r="B211" s="542" t="s">
        <v>958</v>
      </c>
      <c r="C211" s="543" t="s">
        <v>4420</v>
      </c>
      <c r="D211" s="543" t="s">
        <v>4421</v>
      </c>
      <c r="E211" s="543" t="s">
        <v>1743</v>
      </c>
      <c r="F211" s="543" t="s">
        <v>1744</v>
      </c>
      <c r="G211" s="543" t="s">
        <v>34</v>
      </c>
      <c r="H211" s="543" t="s">
        <v>1821</v>
      </c>
      <c r="I211" s="543" t="s">
        <v>5342</v>
      </c>
      <c r="J211" s="543" t="s">
        <v>2089</v>
      </c>
      <c r="K211" s="543" t="s">
        <v>2509</v>
      </c>
      <c r="L211" s="543" t="s">
        <v>2524</v>
      </c>
      <c r="M211" s="543" t="s">
        <v>2525</v>
      </c>
      <c r="N211" s="543" t="s">
        <v>962</v>
      </c>
      <c r="O211" s="543" t="s">
        <v>5368</v>
      </c>
      <c r="P211" s="543" t="s">
        <v>2526</v>
      </c>
      <c r="Q211" s="543" t="s">
        <v>4566</v>
      </c>
      <c r="R211" s="543" t="s">
        <v>1814</v>
      </c>
      <c r="S211" s="543" t="s">
        <v>2527</v>
      </c>
      <c r="T211" s="543">
        <v>29.8</v>
      </c>
      <c r="U211" s="543" t="s">
        <v>1841</v>
      </c>
      <c r="V211" s="543" t="s">
        <v>2158</v>
      </c>
      <c r="W211" s="543" t="s">
        <v>2528</v>
      </c>
      <c r="X211" s="543" t="s">
        <v>4565</v>
      </c>
      <c r="Y211" s="543" t="s">
        <v>2529</v>
      </c>
      <c r="Z211" s="543" t="s">
        <v>2530</v>
      </c>
      <c r="AA211" s="543" t="s">
        <v>4565</v>
      </c>
      <c r="AB211" s="543" t="s">
        <v>2531</v>
      </c>
      <c r="AC211" s="543" t="s">
        <v>1816</v>
      </c>
      <c r="AD211" s="543" t="s">
        <v>1817</v>
      </c>
      <c r="AE211" s="543" t="s">
        <v>1455</v>
      </c>
      <c r="AF211" s="543" t="s">
        <v>3040</v>
      </c>
      <c r="AG211" s="543" t="s">
        <v>34</v>
      </c>
      <c r="AH211" s="543" t="s">
        <v>34</v>
      </c>
      <c r="AI211" s="543" t="s">
        <v>34</v>
      </c>
      <c r="AJ211" s="543" t="s">
        <v>34</v>
      </c>
      <c r="AK211" s="543" t="s">
        <v>1818</v>
      </c>
      <c r="AL211" s="543" t="s">
        <v>34</v>
      </c>
      <c r="AM211" s="61" t="s">
        <v>4502</v>
      </c>
      <c r="AN211" s="541">
        <v>0</v>
      </c>
      <c r="AO211" s="541">
        <v>0</v>
      </c>
      <c r="AP211" s="61"/>
      <c r="CG211" t="str">
        <v>BRIERTON ENGINEERING INC.</v>
      </c>
    </row>
    <row r="212" spans="1:85" x14ac:dyDescent="0.2">
      <c r="A212" s="61">
        <v>211</v>
      </c>
      <c r="B212" s="542" t="s">
        <v>958</v>
      </c>
      <c r="C212" s="543" t="s">
        <v>4422</v>
      </c>
      <c r="D212" s="543" t="s">
        <v>4423</v>
      </c>
      <c r="E212" s="543" t="s">
        <v>1743</v>
      </c>
      <c r="F212" s="543" t="s">
        <v>1744</v>
      </c>
      <c r="G212" s="543" t="s">
        <v>34</v>
      </c>
      <c r="H212" s="543" t="s">
        <v>1821</v>
      </c>
      <c r="I212" s="543" t="s">
        <v>5342</v>
      </c>
      <c r="J212" s="543" t="s">
        <v>2089</v>
      </c>
      <c r="K212" s="543" t="s">
        <v>2509</v>
      </c>
      <c r="L212" s="543" t="s">
        <v>2524</v>
      </c>
      <c r="M212" s="543" t="s">
        <v>2525</v>
      </c>
      <c r="N212" s="543" t="s">
        <v>962</v>
      </c>
      <c r="O212" s="543" t="s">
        <v>5368</v>
      </c>
      <c r="P212" s="543" t="s">
        <v>2526</v>
      </c>
      <c r="Q212" s="543" t="s">
        <v>4566</v>
      </c>
      <c r="R212" s="543" t="s">
        <v>1814</v>
      </c>
      <c r="S212" s="543" t="s">
        <v>2527</v>
      </c>
      <c r="T212" s="543">
        <v>29.8</v>
      </c>
      <c r="U212" s="543" t="s">
        <v>1843</v>
      </c>
      <c r="V212" s="543" t="s">
        <v>2158</v>
      </c>
      <c r="W212" s="543" t="s">
        <v>2528</v>
      </c>
      <c r="X212" s="543" t="s">
        <v>4565</v>
      </c>
      <c r="Y212" s="543" t="s">
        <v>2529</v>
      </c>
      <c r="Z212" s="543" t="s">
        <v>2530</v>
      </c>
      <c r="AA212" s="543" t="s">
        <v>4565</v>
      </c>
      <c r="AB212" s="543" t="s">
        <v>2531</v>
      </c>
      <c r="AC212" s="543" t="s">
        <v>1816</v>
      </c>
      <c r="AD212" s="543" t="s">
        <v>1817</v>
      </c>
      <c r="AE212" s="543" t="s">
        <v>1455</v>
      </c>
      <c r="AF212" s="543" t="s">
        <v>3040</v>
      </c>
      <c r="AG212" s="543" t="s">
        <v>34</v>
      </c>
      <c r="AH212" s="543" t="s">
        <v>34</v>
      </c>
      <c r="AI212" s="543" t="s">
        <v>34</v>
      </c>
      <c r="AJ212" s="543" t="s">
        <v>34</v>
      </c>
      <c r="AK212" s="543" t="s">
        <v>1818</v>
      </c>
      <c r="AL212" s="543" t="s">
        <v>34</v>
      </c>
      <c r="AM212" s="61" t="s">
        <v>4502</v>
      </c>
      <c r="AN212" s="541">
        <v>0</v>
      </c>
      <c r="AO212" s="541">
        <v>0</v>
      </c>
      <c r="AP212" s="61"/>
      <c r="CG212" t="str">
        <v>BRIJ SYSTEMS, LLC</v>
      </c>
    </row>
    <row r="213" spans="1:85" x14ac:dyDescent="0.2">
      <c r="A213" s="61">
        <v>212</v>
      </c>
      <c r="B213" s="542" t="s">
        <v>958</v>
      </c>
      <c r="C213" s="543" t="s">
        <v>964</v>
      </c>
      <c r="D213" s="543" t="s">
        <v>3802</v>
      </c>
      <c r="E213" s="543" t="s">
        <v>1743</v>
      </c>
      <c r="F213" s="543" t="s">
        <v>1744</v>
      </c>
      <c r="G213" s="543" t="s">
        <v>34</v>
      </c>
      <c r="H213" s="543" t="s">
        <v>1821</v>
      </c>
      <c r="I213" s="543" t="s">
        <v>5342</v>
      </c>
      <c r="J213" s="543" t="s">
        <v>2089</v>
      </c>
      <c r="K213" s="543" t="s">
        <v>2509</v>
      </c>
      <c r="L213" s="543" t="s">
        <v>2517</v>
      </c>
      <c r="M213" s="543" t="s">
        <v>2518</v>
      </c>
      <c r="N213" s="543" t="s">
        <v>964</v>
      </c>
      <c r="O213" s="543" t="s">
        <v>5372</v>
      </c>
      <c r="P213" s="543" t="s">
        <v>2519</v>
      </c>
      <c r="Q213" s="543" t="s">
        <v>4568</v>
      </c>
      <c r="R213" s="543" t="s">
        <v>1814</v>
      </c>
      <c r="S213" s="543" t="s">
        <v>4621</v>
      </c>
      <c r="T213" s="543">
        <v>91.8</v>
      </c>
      <c r="U213" s="543" t="s">
        <v>1843</v>
      </c>
      <c r="V213" s="543" t="s">
        <v>2158</v>
      </c>
      <c r="W213" s="543" t="s">
        <v>2520</v>
      </c>
      <c r="X213" s="543" t="s">
        <v>4565</v>
      </c>
      <c r="Y213" s="543" t="s">
        <v>2521</v>
      </c>
      <c r="Z213" s="543" t="s">
        <v>2522</v>
      </c>
      <c r="AA213" s="543" t="s">
        <v>4565</v>
      </c>
      <c r="AB213" s="543" t="s">
        <v>2523</v>
      </c>
      <c r="AC213" s="543" t="s">
        <v>1816</v>
      </c>
      <c r="AD213" s="543" t="s">
        <v>1817</v>
      </c>
      <c r="AE213" s="543" t="s">
        <v>1455</v>
      </c>
      <c r="AF213" s="543">
        <v>13.25</v>
      </c>
      <c r="AG213" s="543">
        <v>2.75</v>
      </c>
      <c r="AH213" s="543">
        <v>0.8</v>
      </c>
      <c r="AI213" s="543" t="s">
        <v>34</v>
      </c>
      <c r="AJ213" s="543" t="s">
        <v>34</v>
      </c>
      <c r="AK213" s="543" t="s">
        <v>1818</v>
      </c>
      <c r="AL213" s="543" t="s">
        <v>34</v>
      </c>
      <c r="AM213" s="61" t="s">
        <v>4502</v>
      </c>
      <c r="AN213" s="541">
        <v>0</v>
      </c>
      <c r="AO213" s="541">
        <v>0</v>
      </c>
      <c r="AP213" s="61"/>
      <c r="CG213" t="str">
        <v>BROADWAY HOME MEDICAL</v>
      </c>
    </row>
    <row r="214" spans="1:85" x14ac:dyDescent="0.2">
      <c r="A214" s="61">
        <v>213</v>
      </c>
      <c r="B214" s="542" t="s">
        <v>983</v>
      </c>
      <c r="C214" s="543" t="s">
        <v>987</v>
      </c>
      <c r="D214" s="543" t="s">
        <v>3803</v>
      </c>
      <c r="E214" s="543" t="s">
        <v>1745</v>
      </c>
      <c r="F214" s="543" t="s">
        <v>1746</v>
      </c>
      <c r="G214" s="543" t="s">
        <v>34</v>
      </c>
      <c r="H214" s="543" t="s">
        <v>1821</v>
      </c>
      <c r="I214" s="543" t="s">
        <v>5342</v>
      </c>
      <c r="J214" s="543" t="s">
        <v>2433</v>
      </c>
      <c r="K214" s="543" t="s">
        <v>1943</v>
      </c>
      <c r="L214" s="543" t="s">
        <v>2554</v>
      </c>
      <c r="M214" s="543">
        <v>966014</v>
      </c>
      <c r="N214" s="543" t="s">
        <v>987</v>
      </c>
      <c r="O214" s="543" t="s">
        <v>665</v>
      </c>
      <c r="P214" s="543" t="s">
        <v>2555</v>
      </c>
      <c r="Q214" s="543" t="s">
        <v>1897</v>
      </c>
      <c r="R214" s="543" t="s">
        <v>1878</v>
      </c>
      <c r="S214" s="543" t="s">
        <v>2556</v>
      </c>
      <c r="T214" s="543">
        <v>6.25</v>
      </c>
      <c r="U214" s="543" t="s">
        <v>1642</v>
      </c>
      <c r="V214" s="543" t="s">
        <v>2557</v>
      </c>
      <c r="W214" s="543">
        <v>306253</v>
      </c>
      <c r="X214" s="543" t="s">
        <v>1963</v>
      </c>
      <c r="Y214" s="543" t="s">
        <v>109</v>
      </c>
      <c r="Z214" s="543" t="s">
        <v>109</v>
      </c>
      <c r="AA214" s="543" t="s">
        <v>109</v>
      </c>
      <c r="AB214" s="543" t="s">
        <v>5122</v>
      </c>
      <c r="AC214" s="543" t="s">
        <v>1816</v>
      </c>
      <c r="AD214" s="543" t="s">
        <v>1817</v>
      </c>
      <c r="AE214" s="543" t="s">
        <v>1455</v>
      </c>
      <c r="AF214" s="543">
        <v>2.1</v>
      </c>
      <c r="AG214" s="543">
        <v>1.2</v>
      </c>
      <c r="AH214" s="543">
        <v>0.2</v>
      </c>
      <c r="AI214" s="543" t="s">
        <v>3616</v>
      </c>
      <c r="AJ214" s="543" t="s">
        <v>3617</v>
      </c>
      <c r="AK214" s="543" t="s">
        <v>1818</v>
      </c>
      <c r="AL214" s="543" t="s">
        <v>3418</v>
      </c>
      <c r="AM214" s="61" t="s">
        <v>4495</v>
      </c>
      <c r="AN214" s="541">
        <v>0</v>
      </c>
      <c r="AO214" s="541">
        <v>0</v>
      </c>
      <c r="AP214" s="61"/>
      <c r="CG214" t="str">
        <v>BROGDON MACHINE</v>
      </c>
    </row>
    <row r="215" spans="1:85" x14ac:dyDescent="0.2">
      <c r="A215" s="61">
        <v>214</v>
      </c>
      <c r="B215" s="542" t="s">
        <v>983</v>
      </c>
      <c r="C215" s="543" t="s">
        <v>985</v>
      </c>
      <c r="D215" s="543" t="s">
        <v>3804</v>
      </c>
      <c r="E215" s="543" t="s">
        <v>1745</v>
      </c>
      <c r="F215" s="543" t="s">
        <v>1746</v>
      </c>
      <c r="G215" s="543" t="s">
        <v>34</v>
      </c>
      <c r="H215" s="543" t="s">
        <v>1821</v>
      </c>
      <c r="I215" s="543" t="s">
        <v>5342</v>
      </c>
      <c r="J215" s="543" t="s">
        <v>2433</v>
      </c>
      <c r="K215" s="543" t="s">
        <v>1600</v>
      </c>
      <c r="L215" s="543" t="s">
        <v>2558</v>
      </c>
      <c r="M215" s="543" t="s">
        <v>2559</v>
      </c>
      <c r="N215" s="543" t="s">
        <v>985</v>
      </c>
      <c r="O215" s="543" t="s">
        <v>665</v>
      </c>
      <c r="P215" s="543" t="s">
        <v>2215</v>
      </c>
      <c r="Q215" s="543" t="s">
        <v>1897</v>
      </c>
      <c r="R215" s="543" t="s">
        <v>1814</v>
      </c>
      <c r="S215" s="543" t="s">
        <v>2560</v>
      </c>
      <c r="T215" s="543">
        <v>10.1</v>
      </c>
      <c r="U215" s="543" t="s">
        <v>1642</v>
      </c>
      <c r="V215" s="543" t="s">
        <v>2096</v>
      </c>
      <c r="W215" s="543" t="s">
        <v>5056</v>
      </c>
      <c r="X215" s="543" t="s">
        <v>1815</v>
      </c>
      <c r="Y215" s="543" t="s">
        <v>109</v>
      </c>
      <c r="Z215" s="543" t="s">
        <v>109</v>
      </c>
      <c r="AA215" s="543" t="s">
        <v>109</v>
      </c>
      <c r="AB215" s="543" t="s">
        <v>34</v>
      </c>
      <c r="AC215" s="543" t="s">
        <v>1816</v>
      </c>
      <c r="AD215" s="543" t="s">
        <v>1817</v>
      </c>
      <c r="AE215" s="543" t="s">
        <v>1455</v>
      </c>
      <c r="AF215" s="543">
        <v>5</v>
      </c>
      <c r="AG215" s="543">
        <v>0.4</v>
      </c>
      <c r="AH215" s="543">
        <v>0.05</v>
      </c>
      <c r="AI215" s="543" t="s">
        <v>34</v>
      </c>
      <c r="AJ215" s="543" t="s">
        <v>34</v>
      </c>
      <c r="AK215" s="543" t="s">
        <v>1818</v>
      </c>
      <c r="AL215" s="543" t="s">
        <v>3418</v>
      </c>
      <c r="AM215" s="61" t="s">
        <v>4496</v>
      </c>
      <c r="AN215" s="541">
        <v>0</v>
      </c>
      <c r="AO215" s="541">
        <v>0</v>
      </c>
      <c r="AP215" s="61"/>
      <c r="CG215" t="str">
        <v>BROTHERS SPRINKLER</v>
      </c>
    </row>
    <row r="216" spans="1:85" x14ac:dyDescent="0.2">
      <c r="A216" s="61">
        <v>215</v>
      </c>
      <c r="B216" s="542" t="s">
        <v>983</v>
      </c>
      <c r="C216" s="543" t="s">
        <v>1662</v>
      </c>
      <c r="D216" s="543" t="s">
        <v>3805</v>
      </c>
      <c r="E216" s="543" t="s">
        <v>1745</v>
      </c>
      <c r="F216" s="543" t="s">
        <v>1746</v>
      </c>
      <c r="G216" s="543" t="s">
        <v>34</v>
      </c>
      <c r="H216" s="543" t="s">
        <v>1821</v>
      </c>
      <c r="I216" s="543" t="s">
        <v>5342</v>
      </c>
      <c r="J216" s="543" t="s">
        <v>2433</v>
      </c>
      <c r="K216" s="543" t="s">
        <v>2561</v>
      </c>
      <c r="L216" s="543" t="s">
        <v>1936</v>
      </c>
      <c r="M216" s="543">
        <v>156014</v>
      </c>
      <c r="N216" s="543" t="s">
        <v>1662</v>
      </c>
      <c r="O216" s="543" t="s">
        <v>665</v>
      </c>
      <c r="P216" s="543" t="s">
        <v>1938</v>
      </c>
      <c r="Q216" s="543" t="s">
        <v>1897</v>
      </c>
      <c r="R216" s="543" t="s">
        <v>1814</v>
      </c>
      <c r="S216" s="543" t="s">
        <v>2562</v>
      </c>
      <c r="T216" s="543">
        <v>10.4</v>
      </c>
      <c r="U216" s="543" t="s">
        <v>1642</v>
      </c>
      <c r="V216" s="543" t="s">
        <v>2563</v>
      </c>
      <c r="W216" s="543" t="s">
        <v>2564</v>
      </c>
      <c r="X216" s="543" t="s">
        <v>1963</v>
      </c>
      <c r="Y216" s="543" t="s">
        <v>109</v>
      </c>
      <c r="Z216" s="543" t="s">
        <v>109</v>
      </c>
      <c r="AA216" s="543" t="s">
        <v>109</v>
      </c>
      <c r="AB216" s="543" t="s">
        <v>2824</v>
      </c>
      <c r="AC216" s="543" t="s">
        <v>1816</v>
      </c>
      <c r="AD216" s="543" t="s">
        <v>1817</v>
      </c>
      <c r="AE216" s="543" t="s">
        <v>1455</v>
      </c>
      <c r="AF216" s="543" t="s">
        <v>3040</v>
      </c>
      <c r="AG216" s="543" t="s">
        <v>34</v>
      </c>
      <c r="AH216" s="543" t="s">
        <v>34</v>
      </c>
      <c r="AI216" s="543" t="s">
        <v>34</v>
      </c>
      <c r="AJ216" s="543" t="s">
        <v>34</v>
      </c>
      <c r="AK216" s="543" t="s">
        <v>1818</v>
      </c>
      <c r="AL216" s="543" t="s">
        <v>3418</v>
      </c>
      <c r="AM216" s="61" t="s">
        <v>4495</v>
      </c>
      <c r="AN216" s="541">
        <v>0</v>
      </c>
      <c r="AO216" s="541">
        <v>0</v>
      </c>
      <c r="AP216" s="61"/>
      <c r="CG216" t="str">
        <v>BROWN &amp; JAMES LAW FIRM</v>
      </c>
    </row>
    <row r="217" spans="1:85" x14ac:dyDescent="0.2">
      <c r="A217" s="61">
        <v>216</v>
      </c>
      <c r="B217" s="542" t="s">
        <v>4426</v>
      </c>
      <c r="C217" s="543" t="s">
        <v>4427</v>
      </c>
      <c r="D217" s="543" t="s">
        <v>4428</v>
      </c>
      <c r="E217" s="543" t="s">
        <v>4429</v>
      </c>
      <c r="F217" s="543" t="s">
        <v>4430</v>
      </c>
      <c r="G217" s="543" t="s">
        <v>4431</v>
      </c>
      <c r="H217" s="543" t="s">
        <v>1821</v>
      </c>
      <c r="I217" s="543" t="s">
        <v>5342</v>
      </c>
      <c r="J217" s="543" t="s">
        <v>1461</v>
      </c>
      <c r="K217" s="543" t="s">
        <v>1907</v>
      </c>
      <c r="L217" s="543" t="s">
        <v>4432</v>
      </c>
      <c r="M217" s="543">
        <v>24005</v>
      </c>
      <c r="N217" s="543" t="s">
        <v>4433</v>
      </c>
      <c r="O217" s="543" t="s">
        <v>109</v>
      </c>
      <c r="P217" s="543" t="s">
        <v>4434</v>
      </c>
      <c r="Q217" s="543" t="s">
        <v>4435</v>
      </c>
      <c r="R217" s="543" t="s">
        <v>4436</v>
      </c>
      <c r="S217" s="543" t="s">
        <v>4437</v>
      </c>
      <c r="T217" s="543">
        <v>488.2</v>
      </c>
      <c r="U217" s="543" t="s">
        <v>4198</v>
      </c>
      <c r="V217" s="543" t="s">
        <v>4438</v>
      </c>
      <c r="W217" s="543">
        <v>224109</v>
      </c>
      <c r="X217" s="543" t="s">
        <v>1923</v>
      </c>
      <c r="Y217" s="543" t="s">
        <v>4439</v>
      </c>
      <c r="Z217" s="543">
        <v>8134133</v>
      </c>
      <c r="AA217" s="543" t="s">
        <v>1923</v>
      </c>
      <c r="AB217" s="543" t="s">
        <v>4440</v>
      </c>
      <c r="AC217" s="543" t="s">
        <v>1816</v>
      </c>
      <c r="AD217" s="543" t="s">
        <v>4193</v>
      </c>
      <c r="AE217" s="543" t="s">
        <v>1455</v>
      </c>
      <c r="AF217" s="543" t="s">
        <v>34</v>
      </c>
      <c r="AG217" s="543" t="s">
        <v>34</v>
      </c>
      <c r="AH217" s="543" t="s">
        <v>34</v>
      </c>
      <c r="AI217" s="543" t="s">
        <v>34</v>
      </c>
      <c r="AJ217" s="543" t="s">
        <v>34</v>
      </c>
      <c r="AK217" s="543" t="s">
        <v>1818</v>
      </c>
      <c r="AL217" s="543" t="s">
        <v>34</v>
      </c>
      <c r="AM217" s="61" t="s">
        <v>4495</v>
      </c>
      <c r="AN217" s="541">
        <v>0</v>
      </c>
      <c r="AO217" s="541">
        <v>0</v>
      </c>
      <c r="AP217" s="61"/>
      <c r="CG217" t="str">
        <v>BROWN INDUSTRIES</v>
      </c>
    </row>
    <row r="218" spans="1:85" x14ac:dyDescent="0.2">
      <c r="A218" s="61">
        <v>217</v>
      </c>
      <c r="B218" s="542" t="s">
        <v>1470</v>
      </c>
      <c r="C218" s="543" t="s">
        <v>1472</v>
      </c>
      <c r="D218" s="543" t="s">
        <v>3806</v>
      </c>
      <c r="E218" s="543" t="s">
        <v>2565</v>
      </c>
      <c r="F218" s="543" t="s">
        <v>1747</v>
      </c>
      <c r="G218" s="543" t="s">
        <v>34</v>
      </c>
      <c r="H218" s="543" t="s">
        <v>1821</v>
      </c>
      <c r="I218" s="543" t="s">
        <v>5342</v>
      </c>
      <c r="J218" s="543" t="s">
        <v>2433</v>
      </c>
      <c r="K218" s="543" t="s">
        <v>1600</v>
      </c>
      <c r="L218" s="543" t="s">
        <v>2566</v>
      </c>
      <c r="M218" s="544" t="s">
        <v>1472</v>
      </c>
      <c r="N218" s="543" t="s">
        <v>1472</v>
      </c>
      <c r="O218" s="543" t="s">
        <v>665</v>
      </c>
      <c r="P218" s="543" t="s">
        <v>2567</v>
      </c>
      <c r="Q218" s="543" t="s">
        <v>1897</v>
      </c>
      <c r="R218" s="543" t="s">
        <v>1878</v>
      </c>
      <c r="S218" s="543" t="s">
        <v>2568</v>
      </c>
      <c r="T218" s="543">
        <v>192.5</v>
      </c>
      <c r="U218" s="543" t="s">
        <v>1642</v>
      </c>
      <c r="V218" s="543" t="s">
        <v>2569</v>
      </c>
      <c r="W218" s="543">
        <v>11110683</v>
      </c>
      <c r="X218" s="543" t="s">
        <v>1815</v>
      </c>
      <c r="Y218" s="543" t="s">
        <v>2570</v>
      </c>
      <c r="Z218" s="543">
        <v>16282890</v>
      </c>
      <c r="AA218" s="543" t="s">
        <v>1815</v>
      </c>
      <c r="AB218" s="543" t="s">
        <v>34</v>
      </c>
      <c r="AC218" s="543" t="s">
        <v>1816</v>
      </c>
      <c r="AD218" s="543" t="s">
        <v>1817</v>
      </c>
      <c r="AE218" s="543" t="s">
        <v>1455</v>
      </c>
      <c r="AF218" s="543" t="s">
        <v>34</v>
      </c>
      <c r="AG218" s="543" t="s">
        <v>34</v>
      </c>
      <c r="AH218" s="543" t="s">
        <v>34</v>
      </c>
      <c r="AI218" s="543" t="s">
        <v>34</v>
      </c>
      <c r="AJ218" s="543" t="s">
        <v>34</v>
      </c>
      <c r="AK218" s="543" t="s">
        <v>1818</v>
      </c>
      <c r="AL218" s="543" t="s">
        <v>34</v>
      </c>
      <c r="AM218" s="61" t="s">
        <v>4498</v>
      </c>
      <c r="AN218" s="541">
        <v>0</v>
      </c>
      <c r="AO218" s="541">
        <v>0</v>
      </c>
      <c r="AP218" s="61"/>
      <c r="CG218" t="str">
        <v>BRUNSON INSTRUMENT CO.</v>
      </c>
    </row>
    <row r="219" spans="1:85" x14ac:dyDescent="0.2">
      <c r="A219" s="61">
        <v>218</v>
      </c>
      <c r="B219" s="542" t="s">
        <v>991</v>
      </c>
      <c r="C219" s="543" t="s">
        <v>4349</v>
      </c>
      <c r="D219" s="543" t="s">
        <v>4350</v>
      </c>
      <c r="E219" s="543" t="s">
        <v>2571</v>
      </c>
      <c r="F219" s="543" t="s">
        <v>2572</v>
      </c>
      <c r="G219" s="543" t="s">
        <v>34</v>
      </c>
      <c r="H219" s="543" t="s">
        <v>1821</v>
      </c>
      <c r="I219" s="543" t="s">
        <v>4351</v>
      </c>
      <c r="J219" s="543" t="s">
        <v>2089</v>
      </c>
      <c r="K219" s="543" t="s">
        <v>4349</v>
      </c>
      <c r="L219" s="543" t="s">
        <v>4352</v>
      </c>
      <c r="M219" s="544">
        <v>13849</v>
      </c>
      <c r="N219" s="543" t="s">
        <v>4349</v>
      </c>
      <c r="O219" s="543" t="s">
        <v>665</v>
      </c>
      <c r="P219" s="543" t="s">
        <v>4353</v>
      </c>
      <c r="Q219" s="543" t="s">
        <v>1897</v>
      </c>
      <c r="R219" s="543" t="s">
        <v>1878</v>
      </c>
      <c r="S219" s="543" t="s">
        <v>3269</v>
      </c>
      <c r="T219" s="543">
        <v>6</v>
      </c>
      <c r="U219" s="543" t="s">
        <v>1844</v>
      </c>
      <c r="V219" s="543" t="s">
        <v>2913</v>
      </c>
      <c r="W219" s="543" t="s">
        <v>4354</v>
      </c>
      <c r="X219" s="543" t="s">
        <v>1815</v>
      </c>
      <c r="Y219" s="543" t="s">
        <v>2327</v>
      </c>
      <c r="Z219" s="543" t="s">
        <v>4355</v>
      </c>
      <c r="AA219" s="543" t="s">
        <v>1815</v>
      </c>
      <c r="AB219" s="543" t="s">
        <v>34</v>
      </c>
      <c r="AC219" s="543" t="s">
        <v>1816</v>
      </c>
      <c r="AD219" s="543" t="s">
        <v>1817</v>
      </c>
      <c r="AE219" s="543" t="s">
        <v>1455</v>
      </c>
      <c r="AF219" s="543" t="s">
        <v>4356</v>
      </c>
      <c r="AG219" s="543" t="s">
        <v>4357</v>
      </c>
      <c r="AH219" s="543" t="s">
        <v>4358</v>
      </c>
      <c r="AI219" s="543" t="s">
        <v>34</v>
      </c>
      <c r="AJ219" s="543" t="s">
        <v>34</v>
      </c>
      <c r="AK219" s="543" t="s">
        <v>1818</v>
      </c>
      <c r="AL219" s="543" t="s">
        <v>34</v>
      </c>
      <c r="AM219" s="61" t="s">
        <v>4509</v>
      </c>
      <c r="AN219" s="541">
        <v>0</v>
      </c>
      <c r="AO219" s="541">
        <v>0</v>
      </c>
      <c r="AP219" s="61"/>
      <c r="CG219" t="str">
        <v>BRYTAM MANUFACTURING</v>
      </c>
    </row>
    <row r="220" spans="1:85" x14ac:dyDescent="0.2">
      <c r="A220" s="61">
        <v>219</v>
      </c>
      <c r="B220" s="542" t="s">
        <v>991</v>
      </c>
      <c r="C220" s="543" t="s">
        <v>4402</v>
      </c>
      <c r="D220" s="543" t="s">
        <v>4403</v>
      </c>
      <c r="E220" s="543" t="s">
        <v>2571</v>
      </c>
      <c r="F220" s="543" t="s">
        <v>2572</v>
      </c>
      <c r="G220" s="543" t="s">
        <v>34</v>
      </c>
      <c r="H220" s="543" t="s">
        <v>1821</v>
      </c>
      <c r="I220" s="543" t="s">
        <v>4351</v>
      </c>
      <c r="J220" s="543" t="s">
        <v>2089</v>
      </c>
      <c r="K220" s="543" t="s">
        <v>4402</v>
      </c>
      <c r="L220" s="543" t="s">
        <v>4417</v>
      </c>
      <c r="M220" s="544">
        <v>1184</v>
      </c>
      <c r="N220" s="543" t="s">
        <v>4402</v>
      </c>
      <c r="O220" s="543" t="s">
        <v>665</v>
      </c>
      <c r="P220" s="543" t="s">
        <v>2064</v>
      </c>
      <c r="Q220" s="543" t="s">
        <v>2064</v>
      </c>
      <c r="R220" s="543" t="s">
        <v>1878</v>
      </c>
      <c r="S220" s="543" t="s">
        <v>4404</v>
      </c>
      <c r="T220" s="543">
        <v>16.25</v>
      </c>
      <c r="U220" s="543" t="s">
        <v>109</v>
      </c>
      <c r="V220" s="543" t="s">
        <v>2081</v>
      </c>
      <c r="W220" s="543" t="s">
        <v>4354</v>
      </c>
      <c r="X220" s="543" t="s">
        <v>2431</v>
      </c>
      <c r="Y220" s="543" t="s">
        <v>4405</v>
      </c>
      <c r="Z220" s="543" t="s">
        <v>4406</v>
      </c>
      <c r="AA220" s="543" t="s">
        <v>1815</v>
      </c>
      <c r="AB220" s="543" t="s">
        <v>4407</v>
      </c>
      <c r="AC220" s="543" t="s">
        <v>1816</v>
      </c>
      <c r="AD220" s="543" t="s">
        <v>1817</v>
      </c>
      <c r="AE220" s="543" t="s">
        <v>1455</v>
      </c>
      <c r="AF220" s="543" t="s">
        <v>109</v>
      </c>
      <c r="AG220" s="543" t="s">
        <v>109</v>
      </c>
      <c r="AH220" s="543" t="s">
        <v>109</v>
      </c>
      <c r="AI220" s="543" t="s">
        <v>34</v>
      </c>
      <c r="AJ220" s="543" t="s">
        <v>34</v>
      </c>
      <c r="AK220" s="543" t="s">
        <v>1818</v>
      </c>
      <c r="AL220" s="543" t="s">
        <v>34</v>
      </c>
      <c r="AM220" s="61" t="s">
        <v>4499</v>
      </c>
      <c r="AN220" s="541">
        <v>0</v>
      </c>
      <c r="AO220" s="541">
        <v>0</v>
      </c>
      <c r="AP220" s="61"/>
      <c r="CG220" t="str">
        <v>BT MACHINE, INC.</v>
      </c>
    </row>
    <row r="221" spans="1:85" x14ac:dyDescent="0.2">
      <c r="A221" s="61">
        <v>220</v>
      </c>
      <c r="B221" s="542" t="s">
        <v>991</v>
      </c>
      <c r="C221" s="543" t="s">
        <v>995</v>
      </c>
      <c r="D221" s="543" t="s">
        <v>3807</v>
      </c>
      <c r="E221" s="543" t="s">
        <v>2571</v>
      </c>
      <c r="F221" s="543" t="s">
        <v>2572</v>
      </c>
      <c r="G221" s="543" t="s">
        <v>34</v>
      </c>
      <c r="H221" s="543" t="s">
        <v>1821</v>
      </c>
      <c r="I221" s="543" t="s">
        <v>5342</v>
      </c>
      <c r="J221" s="543" t="s">
        <v>2433</v>
      </c>
      <c r="K221" s="543" t="s">
        <v>878</v>
      </c>
      <c r="L221" s="543" t="s">
        <v>2573</v>
      </c>
      <c r="M221" s="544">
        <v>51811</v>
      </c>
      <c r="N221" s="543" t="s">
        <v>995</v>
      </c>
      <c r="O221" s="543" t="s">
        <v>665</v>
      </c>
      <c r="P221" s="543" t="s">
        <v>2574</v>
      </c>
      <c r="Q221" s="543" t="s">
        <v>1819</v>
      </c>
      <c r="R221" s="543" t="s">
        <v>1979</v>
      </c>
      <c r="S221" s="543" t="s">
        <v>2575</v>
      </c>
      <c r="T221" s="543">
        <v>132.5</v>
      </c>
      <c r="U221" s="543" t="s">
        <v>1843</v>
      </c>
      <c r="V221" s="543" t="s">
        <v>2576</v>
      </c>
      <c r="W221" s="543">
        <v>11019002</v>
      </c>
      <c r="X221" s="543" t="s">
        <v>1815</v>
      </c>
      <c r="Y221" s="543" t="s">
        <v>2327</v>
      </c>
      <c r="Z221" s="543" t="s">
        <v>2577</v>
      </c>
      <c r="AA221" s="543" t="s">
        <v>1815</v>
      </c>
      <c r="AB221" s="543" t="s">
        <v>34</v>
      </c>
      <c r="AC221" s="543" t="s">
        <v>1816</v>
      </c>
      <c r="AD221" s="543" t="s">
        <v>1817</v>
      </c>
      <c r="AE221" s="543" t="s">
        <v>1455</v>
      </c>
      <c r="AF221" s="543" t="s">
        <v>3040</v>
      </c>
      <c r="AG221" s="543" t="s">
        <v>34</v>
      </c>
      <c r="AH221" s="543" t="s">
        <v>34</v>
      </c>
      <c r="AI221" s="543" t="s">
        <v>34</v>
      </c>
      <c r="AJ221" s="543" t="s">
        <v>34</v>
      </c>
      <c r="AK221" s="543" t="s">
        <v>1818</v>
      </c>
      <c r="AL221" s="543" t="s">
        <v>34</v>
      </c>
      <c r="AM221" s="61" t="s">
        <v>4495</v>
      </c>
      <c r="AN221" s="541">
        <v>0</v>
      </c>
      <c r="AO221" s="541">
        <v>0</v>
      </c>
      <c r="AP221" s="61"/>
      <c r="CG221" t="str">
        <v>BTCO INC.</v>
      </c>
    </row>
    <row r="222" spans="1:85" x14ac:dyDescent="0.2">
      <c r="A222" s="61">
        <v>221</v>
      </c>
      <c r="B222" s="542" t="s">
        <v>991</v>
      </c>
      <c r="C222" s="543" t="s">
        <v>993</v>
      </c>
      <c r="D222" s="543" t="s">
        <v>3808</v>
      </c>
      <c r="E222" s="543" t="s">
        <v>2571</v>
      </c>
      <c r="F222" s="543" t="s">
        <v>2572</v>
      </c>
      <c r="G222" s="543" t="s">
        <v>34</v>
      </c>
      <c r="H222" s="543" t="s">
        <v>1821</v>
      </c>
      <c r="I222" s="543" t="s">
        <v>5342</v>
      </c>
      <c r="J222" s="543" t="s">
        <v>2433</v>
      </c>
      <c r="K222" s="543" t="s">
        <v>1943</v>
      </c>
      <c r="L222" s="543" t="s">
        <v>1812</v>
      </c>
      <c r="M222" s="544">
        <v>111297</v>
      </c>
      <c r="N222" s="543" t="s">
        <v>993</v>
      </c>
      <c r="O222" s="543" t="s">
        <v>665</v>
      </c>
      <c r="P222" s="543" t="s">
        <v>2451</v>
      </c>
      <c r="Q222" s="543" t="s">
        <v>1897</v>
      </c>
      <c r="R222" s="543" t="s">
        <v>1878</v>
      </c>
      <c r="S222" s="543" t="s">
        <v>2578</v>
      </c>
      <c r="T222" s="543">
        <v>28</v>
      </c>
      <c r="U222" s="543" t="s">
        <v>1844</v>
      </c>
      <c r="V222" s="543" t="s">
        <v>2579</v>
      </c>
      <c r="W222" s="543">
        <v>431103000</v>
      </c>
      <c r="X222" s="543" t="s">
        <v>1815</v>
      </c>
      <c r="Y222" s="543" t="s">
        <v>2580</v>
      </c>
      <c r="Z222" s="543">
        <v>994010</v>
      </c>
      <c r="AA222" s="543" t="s">
        <v>1923</v>
      </c>
      <c r="AB222" s="543" t="s">
        <v>2581</v>
      </c>
      <c r="AC222" s="543" t="s">
        <v>1816</v>
      </c>
      <c r="AD222" s="543" t="s">
        <v>1817</v>
      </c>
      <c r="AE222" s="543" t="s">
        <v>1455</v>
      </c>
      <c r="AF222" s="543">
        <v>1</v>
      </c>
      <c r="AG222" s="543">
        <v>8</v>
      </c>
      <c r="AH222" s="543">
        <v>4.25</v>
      </c>
      <c r="AI222" s="543" t="s">
        <v>3587</v>
      </c>
      <c r="AJ222" s="543" t="s">
        <v>3618</v>
      </c>
      <c r="AK222" s="543" t="s">
        <v>1818</v>
      </c>
      <c r="AL222" s="543" t="s">
        <v>34</v>
      </c>
      <c r="AM222" s="61" t="s">
        <v>4495</v>
      </c>
      <c r="AN222" s="541">
        <v>0</v>
      </c>
      <c r="AO222" s="541">
        <v>0</v>
      </c>
      <c r="AP222" s="61"/>
      <c r="CG222" t="str">
        <v>BUCKLEY INDUSTRIES, INC.</v>
      </c>
    </row>
    <row r="223" spans="1:85" x14ac:dyDescent="0.2">
      <c r="A223" s="61">
        <v>222</v>
      </c>
      <c r="B223" s="542" t="s">
        <v>997</v>
      </c>
      <c r="C223" s="543" t="s">
        <v>999</v>
      </c>
      <c r="D223" s="543" t="s">
        <v>3809</v>
      </c>
      <c r="E223" s="543" t="s">
        <v>1748</v>
      </c>
      <c r="F223" s="543" t="s">
        <v>1749</v>
      </c>
      <c r="G223" s="543" t="s">
        <v>34</v>
      </c>
      <c r="H223" s="543" t="s">
        <v>1821</v>
      </c>
      <c r="I223" s="543" t="s">
        <v>5342</v>
      </c>
      <c r="J223" s="543" t="s">
        <v>2089</v>
      </c>
      <c r="K223" s="543" t="s">
        <v>2509</v>
      </c>
      <c r="L223" s="543" t="s">
        <v>2582</v>
      </c>
      <c r="M223" s="544">
        <v>332372</v>
      </c>
      <c r="N223" s="543" t="s">
        <v>999</v>
      </c>
      <c r="O223" s="543" t="s">
        <v>5373</v>
      </c>
      <c r="P223" s="543" t="s">
        <v>2583</v>
      </c>
      <c r="Q223" s="543" t="s">
        <v>4555</v>
      </c>
      <c r="R223" s="543" t="s">
        <v>1814</v>
      </c>
      <c r="S223" s="543" t="s">
        <v>2584</v>
      </c>
      <c r="T223" s="543">
        <v>13</v>
      </c>
      <c r="U223" s="543" t="s">
        <v>1843</v>
      </c>
      <c r="V223" s="543" t="s">
        <v>2585</v>
      </c>
      <c r="W223" s="543" t="s">
        <v>2586</v>
      </c>
      <c r="X223" s="543" t="s">
        <v>4565</v>
      </c>
      <c r="Y223" s="543" t="s">
        <v>2585</v>
      </c>
      <c r="Z223" s="543" t="s">
        <v>2586</v>
      </c>
      <c r="AA223" s="543" t="s">
        <v>4565</v>
      </c>
      <c r="AB223" s="543" t="s">
        <v>34</v>
      </c>
      <c r="AC223" s="543" t="s">
        <v>1816</v>
      </c>
      <c r="AD223" s="543" t="s">
        <v>1817</v>
      </c>
      <c r="AE223" s="543" t="s">
        <v>1455</v>
      </c>
      <c r="AF223" s="543">
        <v>1</v>
      </c>
      <c r="AG223" s="543">
        <v>360</v>
      </c>
      <c r="AH223" s="543">
        <v>45</v>
      </c>
      <c r="AI223" s="543" t="s">
        <v>3619</v>
      </c>
      <c r="AJ223" s="543" t="s">
        <v>3620</v>
      </c>
      <c r="AK223" s="543" t="s">
        <v>1818</v>
      </c>
      <c r="AL223" s="543" t="s">
        <v>34</v>
      </c>
      <c r="AM223" s="61" t="s">
        <v>4510</v>
      </c>
      <c r="AN223" s="541">
        <v>0</v>
      </c>
      <c r="AO223" s="541">
        <v>0</v>
      </c>
      <c r="AP223" s="61"/>
      <c r="CG223" t="str">
        <v>BUDDE ENTERPRISES INC.</v>
      </c>
    </row>
    <row r="224" spans="1:85" x14ac:dyDescent="0.2">
      <c r="A224" s="61">
        <v>223</v>
      </c>
      <c r="B224" s="542" t="s">
        <v>1001</v>
      </c>
      <c r="C224" s="543" t="s">
        <v>579</v>
      </c>
      <c r="D224" s="543" t="s">
        <v>3810</v>
      </c>
      <c r="E224" s="543" t="s">
        <v>1750</v>
      </c>
      <c r="F224" s="543" t="s">
        <v>1751</v>
      </c>
      <c r="G224" s="543" t="s">
        <v>34</v>
      </c>
      <c r="H224" s="543" t="s">
        <v>1821</v>
      </c>
      <c r="I224" s="543" t="s">
        <v>5342</v>
      </c>
      <c r="J224" s="543" t="s">
        <v>2089</v>
      </c>
      <c r="K224" s="543" t="s">
        <v>579</v>
      </c>
      <c r="L224" s="543" t="s">
        <v>2587</v>
      </c>
      <c r="M224" s="544" t="s">
        <v>2588</v>
      </c>
      <c r="N224" s="543" t="s">
        <v>579</v>
      </c>
      <c r="O224" s="543">
        <v>0</v>
      </c>
      <c r="P224" s="543">
        <v>0</v>
      </c>
      <c r="Q224" s="543">
        <v>0</v>
      </c>
      <c r="R224" s="543">
        <v>0</v>
      </c>
      <c r="S224" s="543">
        <v>0</v>
      </c>
      <c r="T224" s="543">
        <v>0</v>
      </c>
      <c r="U224" s="543">
        <v>0</v>
      </c>
      <c r="V224" s="543">
        <v>0</v>
      </c>
      <c r="W224" s="543">
        <v>0</v>
      </c>
      <c r="X224" s="543">
        <v>0</v>
      </c>
      <c r="Y224" s="543">
        <v>0</v>
      </c>
      <c r="Z224" s="543">
        <v>0</v>
      </c>
      <c r="AA224" s="543">
        <v>0</v>
      </c>
      <c r="AB224" s="543" t="s">
        <v>34</v>
      </c>
      <c r="AC224" s="543" t="s">
        <v>1816</v>
      </c>
      <c r="AD224" s="543" t="s">
        <v>1817</v>
      </c>
      <c r="AE224" s="543" t="s">
        <v>1455</v>
      </c>
      <c r="AF224" s="543" t="s">
        <v>34</v>
      </c>
      <c r="AG224" s="543" t="s">
        <v>34</v>
      </c>
      <c r="AH224" s="543" t="s">
        <v>34</v>
      </c>
      <c r="AI224" s="543" t="s">
        <v>34</v>
      </c>
      <c r="AJ224" s="543" t="s">
        <v>34</v>
      </c>
      <c r="AK224" s="543" t="s">
        <v>1818</v>
      </c>
      <c r="AL224" s="543" t="s">
        <v>34</v>
      </c>
      <c r="AM224" s="61" t="s">
        <v>4495</v>
      </c>
      <c r="AN224" s="541">
        <v>0</v>
      </c>
      <c r="AO224" s="541">
        <v>0</v>
      </c>
      <c r="AP224" s="61"/>
      <c r="CG224" t="str">
        <v>BUFFCO ENGINEERING</v>
      </c>
    </row>
    <row r="225" spans="1:85" x14ac:dyDescent="0.2">
      <c r="A225" s="61">
        <v>224</v>
      </c>
      <c r="B225" s="542" t="s">
        <v>1004</v>
      </c>
      <c r="C225" s="543" t="s">
        <v>1006</v>
      </c>
      <c r="D225" s="543" t="s">
        <v>3811</v>
      </c>
      <c r="E225" s="543" t="s">
        <v>2589</v>
      </c>
      <c r="F225" s="543" t="s">
        <v>1752</v>
      </c>
      <c r="G225" s="543" t="s">
        <v>34</v>
      </c>
      <c r="H225" s="543" t="s">
        <v>1821</v>
      </c>
      <c r="I225" s="543" t="s">
        <v>5342</v>
      </c>
      <c r="J225" s="543" t="s">
        <v>2433</v>
      </c>
      <c r="K225" s="543" t="s">
        <v>2438</v>
      </c>
      <c r="L225" s="543" t="s">
        <v>1936</v>
      </c>
      <c r="M225" s="544" t="s">
        <v>1006</v>
      </c>
      <c r="N225" s="543" t="s">
        <v>1006</v>
      </c>
      <c r="O225" s="543" t="s">
        <v>665</v>
      </c>
      <c r="P225" s="543" t="s">
        <v>2590</v>
      </c>
      <c r="Q225" s="543" t="s">
        <v>4863</v>
      </c>
      <c r="R225" s="543" t="s">
        <v>1814</v>
      </c>
      <c r="S225" s="543" t="s">
        <v>4864</v>
      </c>
      <c r="T225" s="543">
        <v>1.59</v>
      </c>
      <c r="U225" s="543" t="s">
        <v>1642</v>
      </c>
      <c r="V225" s="543" t="s">
        <v>2239</v>
      </c>
      <c r="W225" s="543" t="s">
        <v>2591</v>
      </c>
      <c r="X225" s="543" t="s">
        <v>1815</v>
      </c>
      <c r="Y225" s="543" t="s">
        <v>109</v>
      </c>
      <c r="Z225" s="543" t="s">
        <v>109</v>
      </c>
      <c r="AA225" s="543" t="s">
        <v>109</v>
      </c>
      <c r="AB225" s="543" t="s">
        <v>4865</v>
      </c>
      <c r="AC225" s="543" t="s">
        <v>1816</v>
      </c>
      <c r="AD225" s="543" t="s">
        <v>1817</v>
      </c>
      <c r="AE225" s="543" t="s">
        <v>1455</v>
      </c>
      <c r="AF225" s="543">
        <v>2</v>
      </c>
      <c r="AG225" s="543">
        <v>100</v>
      </c>
      <c r="AH225" s="543">
        <v>10</v>
      </c>
      <c r="AI225" s="543" t="s">
        <v>3621</v>
      </c>
      <c r="AJ225" s="543" t="s">
        <v>34</v>
      </c>
      <c r="AK225" s="543" t="s">
        <v>1818</v>
      </c>
      <c r="AL225" s="543" t="s">
        <v>34</v>
      </c>
      <c r="AM225" s="61" t="s">
        <v>4495</v>
      </c>
      <c r="AN225" s="541">
        <v>0</v>
      </c>
      <c r="AO225" s="541">
        <v>0</v>
      </c>
      <c r="AP225" s="61"/>
      <c r="CG225" t="str">
        <v>BUHLER LOGISTICS</v>
      </c>
    </row>
    <row r="226" spans="1:85" x14ac:dyDescent="0.2">
      <c r="A226" s="61">
        <v>225</v>
      </c>
      <c r="B226" s="542" t="s">
        <v>1552</v>
      </c>
      <c r="C226" s="543" t="s">
        <v>1554</v>
      </c>
      <c r="D226" s="543" t="s">
        <v>3812</v>
      </c>
      <c r="E226" s="543" t="s">
        <v>1753</v>
      </c>
      <c r="F226" s="543" t="s">
        <v>1697</v>
      </c>
      <c r="G226" s="543" t="s">
        <v>34</v>
      </c>
      <c r="H226" s="543" t="s">
        <v>1821</v>
      </c>
      <c r="I226" s="543" t="s">
        <v>5342</v>
      </c>
      <c r="J226" s="543" t="s">
        <v>2433</v>
      </c>
      <c r="K226" s="543" t="s">
        <v>2592</v>
      </c>
      <c r="L226" s="543" t="s">
        <v>2593</v>
      </c>
      <c r="M226" s="544">
        <v>9493308</v>
      </c>
      <c r="N226" s="543" t="s">
        <v>4454</v>
      </c>
      <c r="O226" s="543" t="s">
        <v>665</v>
      </c>
      <c r="P226" s="543" t="s">
        <v>2594</v>
      </c>
      <c r="Q226" s="543" t="s">
        <v>1819</v>
      </c>
      <c r="R226" s="543" t="s">
        <v>1814</v>
      </c>
      <c r="S226" s="543" t="s">
        <v>2595</v>
      </c>
      <c r="T226" s="543">
        <v>0.1</v>
      </c>
      <c r="U226" s="543" t="s">
        <v>1642</v>
      </c>
      <c r="V226" s="543" t="s">
        <v>4455</v>
      </c>
      <c r="W226" s="543">
        <v>9493308</v>
      </c>
      <c r="X226" s="543" t="s">
        <v>1894</v>
      </c>
      <c r="Y226" s="543" t="s">
        <v>109</v>
      </c>
      <c r="Z226" s="543" t="s">
        <v>109</v>
      </c>
      <c r="AA226" s="543" t="s">
        <v>109</v>
      </c>
      <c r="AB226" s="543" t="s">
        <v>4456</v>
      </c>
      <c r="AC226" s="543" t="s">
        <v>1816</v>
      </c>
      <c r="AD226" s="543" t="s">
        <v>1817</v>
      </c>
      <c r="AE226" s="543" t="s">
        <v>1455</v>
      </c>
      <c r="AF226" s="543" t="s">
        <v>3040</v>
      </c>
      <c r="AG226" s="543" t="s">
        <v>34</v>
      </c>
      <c r="AH226" s="543" t="s">
        <v>34</v>
      </c>
      <c r="AI226" s="543" t="s">
        <v>34</v>
      </c>
      <c r="AJ226" s="543" t="s">
        <v>34</v>
      </c>
      <c r="AK226" s="543" t="s">
        <v>1818</v>
      </c>
      <c r="AL226" s="543" t="s">
        <v>34</v>
      </c>
      <c r="AM226" s="61" t="s">
        <v>4495</v>
      </c>
      <c r="AN226" s="541">
        <v>0</v>
      </c>
      <c r="AO226" s="541">
        <v>0</v>
      </c>
      <c r="AP226" s="61"/>
      <c r="CG226" t="str">
        <v>BUNTING-NEWTON</v>
      </c>
    </row>
    <row r="227" spans="1:85" x14ac:dyDescent="0.2">
      <c r="A227" s="61">
        <v>226</v>
      </c>
      <c r="B227" s="542" t="s">
        <v>1009</v>
      </c>
      <c r="C227" s="543">
        <v>1209</v>
      </c>
      <c r="D227" s="543" t="s">
        <v>3813</v>
      </c>
      <c r="E227" s="543" t="s">
        <v>2596</v>
      </c>
      <c r="F227" s="543" t="s">
        <v>1697</v>
      </c>
      <c r="G227" s="543" t="s">
        <v>34</v>
      </c>
      <c r="H227" s="543" t="s">
        <v>1821</v>
      </c>
      <c r="I227" s="543" t="s">
        <v>5342</v>
      </c>
      <c r="J227" s="543" t="s">
        <v>2433</v>
      </c>
      <c r="K227" s="543" t="s">
        <v>2607</v>
      </c>
      <c r="L227" s="543" t="s">
        <v>2608</v>
      </c>
      <c r="M227" s="544">
        <v>107350701</v>
      </c>
      <c r="N227" s="543">
        <v>1209</v>
      </c>
      <c r="O227" s="543" t="s">
        <v>665</v>
      </c>
      <c r="P227" s="543" t="s">
        <v>1879</v>
      </c>
      <c r="Q227" s="543" t="s">
        <v>1894</v>
      </c>
      <c r="R227" s="543" t="s">
        <v>1814</v>
      </c>
      <c r="S227" s="543" t="s">
        <v>2609</v>
      </c>
      <c r="T227" s="543">
        <v>1196</v>
      </c>
      <c r="U227" s="543" t="s">
        <v>1642</v>
      </c>
      <c r="V227" s="543" t="s">
        <v>2601</v>
      </c>
      <c r="W227" s="543" t="s">
        <v>2610</v>
      </c>
      <c r="X227" s="543" t="s">
        <v>1815</v>
      </c>
      <c r="Y227" s="543" t="s">
        <v>2611</v>
      </c>
      <c r="Z227" s="543" t="s">
        <v>2612</v>
      </c>
      <c r="AA227" s="543" t="s">
        <v>1815</v>
      </c>
      <c r="AB227" s="543" t="s">
        <v>34</v>
      </c>
      <c r="AC227" s="543" t="s">
        <v>1816</v>
      </c>
      <c r="AD227" s="543" t="s">
        <v>1817</v>
      </c>
      <c r="AE227" s="543" t="s">
        <v>1455</v>
      </c>
      <c r="AF227" s="543">
        <v>6</v>
      </c>
      <c r="AG227" s="543">
        <v>0.49</v>
      </c>
      <c r="AH227" s="543">
        <v>0.05</v>
      </c>
      <c r="AI227" s="543" t="s">
        <v>34</v>
      </c>
      <c r="AJ227" s="543" t="s">
        <v>34</v>
      </c>
      <c r="AK227" s="543" t="s">
        <v>1818</v>
      </c>
      <c r="AL227" s="543" t="s">
        <v>34</v>
      </c>
      <c r="AM227" s="61" t="s">
        <v>4495</v>
      </c>
      <c r="AN227" s="541">
        <v>0</v>
      </c>
      <c r="AO227" s="541">
        <v>0</v>
      </c>
      <c r="AP227" s="61"/>
      <c r="CG227" t="str">
        <v>BURGER &amp; BROWN ENGINEERING, INC.</v>
      </c>
    </row>
    <row r="228" spans="1:85" x14ac:dyDescent="0.2">
      <c r="A228" s="61">
        <v>227</v>
      </c>
      <c r="B228" s="542" t="s">
        <v>1009</v>
      </c>
      <c r="C228" s="543" t="s">
        <v>1017</v>
      </c>
      <c r="D228" s="543" t="s">
        <v>3814</v>
      </c>
      <c r="E228" s="543" t="s">
        <v>2596</v>
      </c>
      <c r="F228" s="543" t="s">
        <v>1697</v>
      </c>
      <c r="G228" s="543" t="s">
        <v>34</v>
      </c>
      <c r="H228" s="543" t="s">
        <v>1821</v>
      </c>
      <c r="I228" s="543" t="s">
        <v>5351</v>
      </c>
      <c r="J228" s="543" t="s">
        <v>2089</v>
      </c>
      <c r="K228" s="543" t="s">
        <v>1825</v>
      </c>
      <c r="L228" s="543" t="s">
        <v>2613</v>
      </c>
      <c r="M228" s="544" t="s">
        <v>2614</v>
      </c>
      <c r="N228" s="543" t="s">
        <v>1017</v>
      </c>
      <c r="O228" s="543" t="s">
        <v>665</v>
      </c>
      <c r="P228" s="543" t="s">
        <v>2599</v>
      </c>
      <c r="Q228" s="543" t="s">
        <v>1897</v>
      </c>
      <c r="R228" s="543" t="s">
        <v>1814</v>
      </c>
      <c r="S228" s="543" t="s">
        <v>2615</v>
      </c>
      <c r="T228" s="543">
        <v>1050</v>
      </c>
      <c r="U228" s="543" t="s">
        <v>1642</v>
      </c>
      <c r="V228" s="543" t="s">
        <v>2601</v>
      </c>
      <c r="W228" s="543">
        <v>20327</v>
      </c>
      <c r="X228" s="543" t="s">
        <v>1815</v>
      </c>
      <c r="Y228" s="543" t="s">
        <v>109</v>
      </c>
      <c r="Z228" s="543" t="s">
        <v>109</v>
      </c>
      <c r="AA228" s="543" t="s">
        <v>1974</v>
      </c>
      <c r="AB228" s="543" t="s">
        <v>2642</v>
      </c>
      <c r="AC228" s="543" t="s">
        <v>1816</v>
      </c>
      <c r="AD228" s="543" t="s">
        <v>1817</v>
      </c>
      <c r="AE228" s="543" t="s">
        <v>1455</v>
      </c>
      <c r="AF228" s="543" t="s">
        <v>3040</v>
      </c>
      <c r="AG228" s="543" t="s">
        <v>34</v>
      </c>
      <c r="AH228" s="543" t="s">
        <v>34</v>
      </c>
      <c r="AI228" s="543" t="s">
        <v>34</v>
      </c>
      <c r="AJ228" s="543" t="s">
        <v>34</v>
      </c>
      <c r="AK228" s="543" t="s">
        <v>1818</v>
      </c>
      <c r="AL228" s="543" t="s">
        <v>34</v>
      </c>
      <c r="AM228" s="61" t="s">
        <v>4495</v>
      </c>
      <c r="AN228" s="541">
        <v>0</v>
      </c>
      <c r="AO228" s="541">
        <v>0</v>
      </c>
      <c r="AP228" s="61"/>
      <c r="CG228" t="str">
        <v>BURKHOLDER MACHINE</v>
      </c>
    </row>
    <row r="229" spans="1:85" x14ac:dyDescent="0.2">
      <c r="A229" s="61">
        <v>228</v>
      </c>
      <c r="B229" s="542" t="s">
        <v>1009</v>
      </c>
      <c r="C229" s="543" t="s">
        <v>639</v>
      </c>
      <c r="D229" s="543" t="s">
        <v>3815</v>
      </c>
      <c r="E229" s="543" t="s">
        <v>2596</v>
      </c>
      <c r="F229" s="543" t="s">
        <v>1697</v>
      </c>
      <c r="G229" s="543" t="s">
        <v>34</v>
      </c>
      <c r="H229" s="543" t="s">
        <v>1821</v>
      </c>
      <c r="I229" s="543" t="s">
        <v>5351</v>
      </c>
      <c r="J229" s="543" t="s">
        <v>2089</v>
      </c>
      <c r="K229" s="543" t="s">
        <v>1997</v>
      </c>
      <c r="L229" s="543" t="s">
        <v>2162</v>
      </c>
      <c r="M229" s="544" t="s">
        <v>2653</v>
      </c>
      <c r="N229" s="543" t="s">
        <v>639</v>
      </c>
      <c r="O229" s="543" t="s">
        <v>665</v>
      </c>
      <c r="P229" s="543" t="s">
        <v>2599</v>
      </c>
      <c r="Q229" s="543" t="s">
        <v>1897</v>
      </c>
      <c r="R229" s="543" t="s">
        <v>1814</v>
      </c>
      <c r="S229" s="543" t="s">
        <v>2654</v>
      </c>
      <c r="T229" s="543">
        <v>1011.5</v>
      </c>
      <c r="U229" s="543" t="s">
        <v>1642</v>
      </c>
      <c r="V229" s="543" t="s">
        <v>2096</v>
      </c>
      <c r="W229" s="543" t="s">
        <v>2655</v>
      </c>
      <c r="X229" s="543" t="s">
        <v>1815</v>
      </c>
      <c r="Y229" s="543" t="s">
        <v>109</v>
      </c>
      <c r="Z229" s="543" t="s">
        <v>109</v>
      </c>
      <c r="AA229" s="543" t="s">
        <v>1974</v>
      </c>
      <c r="AB229" s="543" t="s">
        <v>2642</v>
      </c>
      <c r="AC229" s="543" t="s">
        <v>1816</v>
      </c>
      <c r="AD229" s="543" t="s">
        <v>1817</v>
      </c>
      <c r="AE229" s="543" t="s">
        <v>1455</v>
      </c>
      <c r="AF229" s="543">
        <v>10</v>
      </c>
      <c r="AG229" s="543">
        <v>1</v>
      </c>
      <c r="AH229" s="543">
        <v>0</v>
      </c>
      <c r="AI229" s="543" t="s">
        <v>34</v>
      </c>
      <c r="AJ229" s="543" t="s">
        <v>34</v>
      </c>
      <c r="AK229" s="543" t="s">
        <v>1818</v>
      </c>
      <c r="AL229" s="543" t="s">
        <v>34</v>
      </c>
      <c r="AM229" s="61" t="s">
        <v>4495</v>
      </c>
      <c r="AN229" s="541">
        <v>0</v>
      </c>
      <c r="AO229" s="541">
        <v>0</v>
      </c>
      <c r="AP229" s="61"/>
      <c r="CG229" t="str">
        <v>BURNHAM COMPOSITE STRUCTURES, INC.</v>
      </c>
    </row>
    <row r="230" spans="1:85" x14ac:dyDescent="0.2">
      <c r="A230" s="61">
        <v>229</v>
      </c>
      <c r="B230" s="542" t="s">
        <v>1009</v>
      </c>
      <c r="C230" s="543" t="s">
        <v>1442</v>
      </c>
      <c r="D230" s="543" t="s">
        <v>3816</v>
      </c>
      <c r="E230" s="543" t="s">
        <v>2596</v>
      </c>
      <c r="F230" s="543" t="s">
        <v>1697</v>
      </c>
      <c r="G230" s="543" t="s">
        <v>34</v>
      </c>
      <c r="H230" s="543" t="s">
        <v>1821</v>
      </c>
      <c r="I230" s="543" t="s">
        <v>5374</v>
      </c>
      <c r="J230" s="543" t="s">
        <v>2089</v>
      </c>
      <c r="K230" s="543" t="s">
        <v>1997</v>
      </c>
      <c r="L230" s="543" t="s">
        <v>2162</v>
      </c>
      <c r="M230" s="544" t="s">
        <v>2621</v>
      </c>
      <c r="N230" s="543" t="s">
        <v>2649</v>
      </c>
      <c r="O230" s="543" t="s">
        <v>665</v>
      </c>
      <c r="P230" s="543" t="s">
        <v>2599</v>
      </c>
      <c r="Q230" s="543" t="s">
        <v>1897</v>
      </c>
      <c r="R230" s="543" t="s">
        <v>1814</v>
      </c>
      <c r="S230" s="543" t="s">
        <v>2650</v>
      </c>
      <c r="T230" s="543">
        <v>531</v>
      </c>
      <c r="U230" s="543" t="s">
        <v>1642</v>
      </c>
      <c r="V230" s="543" t="s">
        <v>2651</v>
      </c>
      <c r="W230" s="543" t="s">
        <v>2652</v>
      </c>
      <c r="X230" s="543" t="s">
        <v>1815</v>
      </c>
      <c r="Y230" s="543" t="s">
        <v>109</v>
      </c>
      <c r="Z230" s="543" t="s">
        <v>109</v>
      </c>
      <c r="AA230" s="543" t="s">
        <v>1974</v>
      </c>
      <c r="AB230" s="543" t="s">
        <v>2642</v>
      </c>
      <c r="AC230" s="543" t="s">
        <v>1816</v>
      </c>
      <c r="AD230" s="543" t="s">
        <v>1817</v>
      </c>
      <c r="AE230" s="543" t="s">
        <v>1455</v>
      </c>
      <c r="AF230" s="543" t="s">
        <v>3040</v>
      </c>
      <c r="AG230" s="543" t="s">
        <v>34</v>
      </c>
      <c r="AH230" s="543" t="s">
        <v>34</v>
      </c>
      <c r="AI230" s="543" t="s">
        <v>34</v>
      </c>
      <c r="AJ230" s="543" t="s">
        <v>34</v>
      </c>
      <c r="AK230" s="543" t="s">
        <v>1818</v>
      </c>
      <c r="AL230" s="543" t="s">
        <v>34</v>
      </c>
      <c r="AM230" s="61" t="s">
        <v>4495</v>
      </c>
      <c r="AN230" s="541">
        <v>0</v>
      </c>
      <c r="AO230" s="541">
        <v>0</v>
      </c>
      <c r="AP230" s="61"/>
      <c r="CG230" t="str">
        <v>BURTON BOILERS</v>
      </c>
    </row>
    <row r="231" spans="1:85" x14ac:dyDescent="0.2">
      <c r="A231" s="61">
        <v>230</v>
      </c>
      <c r="B231" s="542" t="s">
        <v>1009</v>
      </c>
      <c r="C231" s="543" t="s">
        <v>5433</v>
      </c>
      <c r="D231" s="543" t="s">
        <v>5434</v>
      </c>
      <c r="E231" s="543" t="s">
        <v>2596</v>
      </c>
      <c r="F231" s="543" t="s">
        <v>1697</v>
      </c>
      <c r="G231" s="543" t="s">
        <v>34</v>
      </c>
      <c r="H231" s="543" t="s">
        <v>1821</v>
      </c>
      <c r="I231" s="543" t="s">
        <v>5351</v>
      </c>
      <c r="J231" s="543" t="s">
        <v>2089</v>
      </c>
      <c r="K231" s="543" t="s">
        <v>1997</v>
      </c>
      <c r="L231" s="543" t="s">
        <v>2639</v>
      </c>
      <c r="M231" s="544" t="s">
        <v>2640</v>
      </c>
      <c r="N231" s="543" t="s">
        <v>5433</v>
      </c>
      <c r="O231" s="543" t="s">
        <v>665</v>
      </c>
      <c r="P231" s="543" t="s">
        <v>2599</v>
      </c>
      <c r="Q231" s="543" t="s">
        <v>1897</v>
      </c>
      <c r="R231" s="543" t="s">
        <v>1814</v>
      </c>
      <c r="S231" s="543" t="s">
        <v>2641</v>
      </c>
      <c r="T231" s="543">
        <v>1590.4</v>
      </c>
      <c r="U231" s="543" t="s">
        <v>1642</v>
      </c>
      <c r="V231" s="543" t="s">
        <v>2096</v>
      </c>
      <c r="W231" s="543" t="s">
        <v>2162</v>
      </c>
      <c r="X231" s="543" t="s">
        <v>1815</v>
      </c>
      <c r="Y231" s="543" t="s">
        <v>109</v>
      </c>
      <c r="Z231" s="543" t="s">
        <v>109</v>
      </c>
      <c r="AA231" s="543" t="s">
        <v>1974</v>
      </c>
      <c r="AB231" s="543" t="s">
        <v>2642</v>
      </c>
      <c r="AC231" s="543" t="s">
        <v>1816</v>
      </c>
      <c r="AD231" s="543" t="s">
        <v>1817</v>
      </c>
      <c r="AE231" s="543" t="s">
        <v>1455</v>
      </c>
      <c r="AF231" s="543" t="s">
        <v>3040</v>
      </c>
      <c r="AG231" s="543" t="s">
        <v>34</v>
      </c>
      <c r="AH231" s="543" t="s">
        <v>34</v>
      </c>
      <c r="AI231" s="543" t="s">
        <v>34</v>
      </c>
      <c r="AJ231" s="543" t="s">
        <v>34</v>
      </c>
      <c r="AK231" s="543" t="s">
        <v>1818</v>
      </c>
      <c r="AL231" s="543" t="s">
        <v>34</v>
      </c>
      <c r="AM231" s="61" t="s">
        <v>4495</v>
      </c>
      <c r="AN231" s="541">
        <v>0</v>
      </c>
      <c r="AO231" s="541">
        <v>0</v>
      </c>
      <c r="AP231" s="61"/>
      <c r="CG231" t="str">
        <v>BURTON MEDICAL LLC</v>
      </c>
    </row>
    <row r="232" spans="1:85" x14ac:dyDescent="0.2">
      <c r="A232" s="61">
        <v>231</v>
      </c>
      <c r="B232" s="542" t="s">
        <v>1009</v>
      </c>
      <c r="C232" s="543" t="s">
        <v>5404</v>
      </c>
      <c r="D232" s="543" t="s">
        <v>5405</v>
      </c>
      <c r="E232" s="543" t="s">
        <v>2596</v>
      </c>
      <c r="F232" s="543" t="s">
        <v>1697</v>
      </c>
      <c r="G232" s="543" t="s">
        <v>34</v>
      </c>
      <c r="H232" s="543" t="s">
        <v>1821</v>
      </c>
      <c r="I232" s="543" t="s">
        <v>5374</v>
      </c>
      <c r="J232" s="543" t="s">
        <v>2089</v>
      </c>
      <c r="K232" s="543" t="s">
        <v>1997</v>
      </c>
      <c r="L232" s="543" t="s">
        <v>2619</v>
      </c>
      <c r="M232" s="544" t="s">
        <v>2620</v>
      </c>
      <c r="N232" s="543" t="s">
        <v>5404</v>
      </c>
      <c r="O232" s="543" t="s">
        <v>665</v>
      </c>
      <c r="P232" s="543" t="s">
        <v>2599</v>
      </c>
      <c r="Q232" s="543" t="s">
        <v>2622</v>
      </c>
      <c r="R232" s="543" t="s">
        <v>1814</v>
      </c>
      <c r="S232" s="543" t="s">
        <v>2623</v>
      </c>
      <c r="T232" s="543">
        <v>346.4</v>
      </c>
      <c r="U232" s="543" t="s">
        <v>1642</v>
      </c>
      <c r="V232" s="543" t="s">
        <v>4519</v>
      </c>
      <c r="W232" s="543">
        <v>5244</v>
      </c>
      <c r="X232" s="543" t="s">
        <v>1815</v>
      </c>
      <c r="Y232" s="543" t="s">
        <v>4912</v>
      </c>
      <c r="Z232" s="543" t="s">
        <v>1948</v>
      </c>
      <c r="AA232" s="543" t="s">
        <v>1815</v>
      </c>
      <c r="AB232" s="543" t="s">
        <v>4913</v>
      </c>
      <c r="AC232" s="543" t="s">
        <v>1816</v>
      </c>
      <c r="AD232" s="543" t="s">
        <v>1817</v>
      </c>
      <c r="AE232" s="543" t="s">
        <v>1455</v>
      </c>
      <c r="AF232" s="543" t="s">
        <v>3040</v>
      </c>
      <c r="AG232" s="543" t="s">
        <v>34</v>
      </c>
      <c r="AH232" s="543" t="s">
        <v>34</v>
      </c>
      <c r="AI232" s="543" t="s">
        <v>34</v>
      </c>
      <c r="AJ232" s="543" t="s">
        <v>34</v>
      </c>
      <c r="AK232" s="543" t="s">
        <v>1818</v>
      </c>
      <c r="AL232" s="543" t="s">
        <v>34</v>
      </c>
      <c r="AM232" s="61" t="s">
        <v>4495</v>
      </c>
      <c r="AN232" s="541">
        <v>0</v>
      </c>
      <c r="AO232" s="541">
        <v>0</v>
      </c>
      <c r="AP232" s="61"/>
      <c r="CG232" t="str">
        <v>BUTLER AVIONICS, INC.</v>
      </c>
    </row>
    <row r="233" spans="1:85" x14ac:dyDescent="0.2">
      <c r="A233" s="61">
        <v>232</v>
      </c>
      <c r="B233" s="542" t="s">
        <v>1009</v>
      </c>
      <c r="C233" s="543" t="s">
        <v>5406</v>
      </c>
      <c r="D233" s="543" t="s">
        <v>5407</v>
      </c>
      <c r="E233" s="543" t="s">
        <v>2596</v>
      </c>
      <c r="F233" s="543" t="s">
        <v>1697</v>
      </c>
      <c r="G233" s="543" t="s">
        <v>34</v>
      </c>
      <c r="H233" s="543" t="s">
        <v>1821</v>
      </c>
      <c r="I233" s="543" t="s">
        <v>5351</v>
      </c>
      <c r="J233" s="543" t="s">
        <v>2089</v>
      </c>
      <c r="K233" s="543" t="s">
        <v>1997</v>
      </c>
      <c r="L233" s="543" t="s">
        <v>2616</v>
      </c>
      <c r="M233" s="544" t="s">
        <v>2617</v>
      </c>
      <c r="N233" s="543" t="s">
        <v>5408</v>
      </c>
      <c r="O233" s="543" t="s">
        <v>665</v>
      </c>
      <c r="P233" s="543" t="s">
        <v>2599</v>
      </c>
      <c r="Q233" s="543" t="s">
        <v>1897</v>
      </c>
      <c r="R233" s="543" t="s">
        <v>1814</v>
      </c>
      <c r="S233" s="543" t="s">
        <v>2231</v>
      </c>
      <c r="T233" s="543">
        <v>990</v>
      </c>
      <c r="U233" s="543" t="s">
        <v>1642</v>
      </c>
      <c r="V233" s="543" t="s">
        <v>2618</v>
      </c>
      <c r="W233" s="543" t="s">
        <v>5409</v>
      </c>
      <c r="X233" s="543" t="s">
        <v>1815</v>
      </c>
      <c r="Y233" s="543" t="s">
        <v>109</v>
      </c>
      <c r="Z233" s="543" t="s">
        <v>109</v>
      </c>
      <c r="AA233" s="543" t="s">
        <v>1974</v>
      </c>
      <c r="AB233" s="543" t="s">
        <v>4376</v>
      </c>
      <c r="AC233" s="543" t="s">
        <v>1816</v>
      </c>
      <c r="AD233" s="543" t="s">
        <v>1817</v>
      </c>
      <c r="AE233" s="543" t="s">
        <v>1455</v>
      </c>
      <c r="AF233" s="543" t="s">
        <v>3040</v>
      </c>
      <c r="AG233" s="543" t="s">
        <v>34</v>
      </c>
      <c r="AH233" s="543" t="s">
        <v>34</v>
      </c>
      <c r="AI233" s="543" t="s">
        <v>34</v>
      </c>
      <c r="AJ233" s="543" t="s">
        <v>34</v>
      </c>
      <c r="AK233" s="543" t="s">
        <v>1818</v>
      </c>
      <c r="AL233" s="543" t="s">
        <v>34</v>
      </c>
      <c r="AM233" s="61" t="s">
        <v>4495</v>
      </c>
      <c r="AN233" s="541">
        <v>0</v>
      </c>
      <c r="AO233" s="541">
        <v>0</v>
      </c>
      <c r="AP233" s="61"/>
      <c r="CG233" t="str">
        <v>BUTLER COUNTY HEALTH DEPARTMENT</v>
      </c>
    </row>
    <row r="234" spans="1:85" x14ac:dyDescent="0.2">
      <c r="A234" s="61">
        <v>233</v>
      </c>
      <c r="B234" s="542" t="s">
        <v>1009</v>
      </c>
      <c r="C234" s="543" t="s">
        <v>1023</v>
      </c>
      <c r="D234" s="543" t="s">
        <v>3817</v>
      </c>
      <c r="E234" s="543" t="s">
        <v>2596</v>
      </c>
      <c r="F234" s="543" t="s">
        <v>1697</v>
      </c>
      <c r="G234" s="543" t="s">
        <v>34</v>
      </c>
      <c r="H234" s="543" t="s">
        <v>1821</v>
      </c>
      <c r="I234" s="543" t="s">
        <v>5342</v>
      </c>
      <c r="J234" s="543" t="s">
        <v>2433</v>
      </c>
      <c r="K234" s="543" t="s">
        <v>2438</v>
      </c>
      <c r="L234" s="543" t="s">
        <v>2624</v>
      </c>
      <c r="M234" s="544" t="s">
        <v>2631</v>
      </c>
      <c r="N234" s="543" t="s">
        <v>1023</v>
      </c>
      <c r="O234" s="543" t="s">
        <v>665</v>
      </c>
      <c r="P234" s="543" t="s">
        <v>4091</v>
      </c>
      <c r="Q234" s="543" t="s">
        <v>2627</v>
      </c>
      <c r="R234" s="543" t="s">
        <v>1878</v>
      </c>
      <c r="S234" s="543" t="s">
        <v>2628</v>
      </c>
      <c r="T234" s="543">
        <v>14</v>
      </c>
      <c r="U234" s="543" t="s">
        <v>1642</v>
      </c>
      <c r="V234" s="543" t="s">
        <v>2629</v>
      </c>
      <c r="W234" s="543" t="s">
        <v>2632</v>
      </c>
      <c r="X234" s="543" t="s">
        <v>1951</v>
      </c>
      <c r="Y234" s="543" t="s">
        <v>109</v>
      </c>
      <c r="Z234" s="543" t="s">
        <v>109</v>
      </c>
      <c r="AA234" s="543" t="s">
        <v>1974</v>
      </c>
      <c r="AB234" s="543" t="s">
        <v>4092</v>
      </c>
      <c r="AC234" s="543" t="s">
        <v>1816</v>
      </c>
      <c r="AD234" s="543" t="s">
        <v>1817</v>
      </c>
      <c r="AE234" s="543" t="s">
        <v>1455</v>
      </c>
      <c r="AF234" s="543" t="s">
        <v>3040</v>
      </c>
      <c r="AG234" s="543" t="s">
        <v>34</v>
      </c>
      <c r="AH234" s="543" t="s">
        <v>34</v>
      </c>
      <c r="AI234" s="543" t="s">
        <v>34</v>
      </c>
      <c r="AJ234" s="543" t="s">
        <v>34</v>
      </c>
      <c r="AK234" s="543" t="s">
        <v>1818</v>
      </c>
      <c r="AL234" s="543" t="s">
        <v>34</v>
      </c>
      <c r="AM234" s="61" t="s">
        <v>4496</v>
      </c>
      <c r="AN234" s="541">
        <v>0</v>
      </c>
      <c r="AO234" s="541">
        <v>0</v>
      </c>
      <c r="AP234" s="61"/>
      <c r="CG234" t="str">
        <v>BYIS MFG LLC</v>
      </c>
    </row>
    <row r="235" spans="1:85" x14ac:dyDescent="0.2">
      <c r="A235" s="61">
        <v>234</v>
      </c>
      <c r="B235" s="542" t="s">
        <v>1009</v>
      </c>
      <c r="C235" s="543" t="s">
        <v>1025</v>
      </c>
      <c r="D235" s="543" t="s">
        <v>3818</v>
      </c>
      <c r="E235" s="543" t="s">
        <v>2596</v>
      </c>
      <c r="F235" s="543" t="s">
        <v>1697</v>
      </c>
      <c r="G235" s="543" t="s">
        <v>34</v>
      </c>
      <c r="H235" s="543" t="s">
        <v>1821</v>
      </c>
      <c r="I235" s="543" t="s">
        <v>5342</v>
      </c>
      <c r="J235" s="543" t="s">
        <v>2433</v>
      </c>
      <c r="K235" s="543" t="s">
        <v>2438</v>
      </c>
      <c r="L235" s="543" t="s">
        <v>2624</v>
      </c>
      <c r="M235" s="544" t="s">
        <v>2625</v>
      </c>
      <c r="N235" s="543" t="s">
        <v>1025</v>
      </c>
      <c r="O235" s="543" t="s">
        <v>665</v>
      </c>
      <c r="P235" s="543" t="s">
        <v>2626</v>
      </c>
      <c r="Q235" s="543" t="s">
        <v>2627</v>
      </c>
      <c r="R235" s="543" t="s">
        <v>1878</v>
      </c>
      <c r="S235" s="543" t="s">
        <v>2628</v>
      </c>
      <c r="T235" s="543">
        <v>14</v>
      </c>
      <c r="U235" s="543" t="s">
        <v>1642</v>
      </c>
      <c r="V235" s="543" t="s">
        <v>2629</v>
      </c>
      <c r="W235" s="543" t="s">
        <v>2630</v>
      </c>
      <c r="X235" s="543" t="s">
        <v>1951</v>
      </c>
      <c r="Y235" s="543" t="s">
        <v>109</v>
      </c>
      <c r="Z235" s="543" t="s">
        <v>109</v>
      </c>
      <c r="AA235" s="543" t="s">
        <v>1974</v>
      </c>
      <c r="AB235" s="543" t="s">
        <v>4092</v>
      </c>
      <c r="AC235" s="543" t="s">
        <v>1816</v>
      </c>
      <c r="AD235" s="543" t="s">
        <v>1817</v>
      </c>
      <c r="AE235" s="543" t="s">
        <v>1455</v>
      </c>
      <c r="AF235" s="543" t="s">
        <v>3040</v>
      </c>
      <c r="AG235" s="543" t="s">
        <v>34</v>
      </c>
      <c r="AH235" s="543" t="s">
        <v>34</v>
      </c>
      <c r="AI235" s="543" t="s">
        <v>34</v>
      </c>
      <c r="AJ235" s="543" t="s">
        <v>34</v>
      </c>
      <c r="AK235" s="543" t="s">
        <v>1818</v>
      </c>
      <c r="AL235" s="543" t="s">
        <v>34</v>
      </c>
      <c r="AM235" s="61" t="s">
        <v>4496</v>
      </c>
      <c r="AN235" s="541">
        <v>0</v>
      </c>
      <c r="AO235" s="541">
        <v>0</v>
      </c>
      <c r="AP235" s="61"/>
      <c r="CG235" t="str">
        <v>Barton Solvents, Inc</v>
      </c>
    </row>
    <row r="236" spans="1:85" x14ac:dyDescent="0.2">
      <c r="A236" s="61">
        <v>235</v>
      </c>
      <c r="B236" s="542" t="s">
        <v>1009</v>
      </c>
      <c r="C236" s="543" t="s">
        <v>4359</v>
      </c>
      <c r="D236" s="543" t="s">
        <v>4588</v>
      </c>
      <c r="E236" s="543" t="s">
        <v>2596</v>
      </c>
      <c r="F236" s="543" t="s">
        <v>1697</v>
      </c>
      <c r="G236" s="543" t="s">
        <v>34</v>
      </c>
      <c r="H236" s="543" t="s">
        <v>1821</v>
      </c>
      <c r="I236" s="543" t="s">
        <v>5342</v>
      </c>
      <c r="J236" s="543" t="s">
        <v>2089</v>
      </c>
      <c r="K236" s="543" t="s">
        <v>2643</v>
      </c>
      <c r="L236" s="543" t="s">
        <v>2644</v>
      </c>
      <c r="M236" s="544" t="s">
        <v>2645</v>
      </c>
      <c r="N236" s="543" t="s">
        <v>2646</v>
      </c>
      <c r="O236" s="543" t="s">
        <v>665</v>
      </c>
      <c r="P236" s="543" t="s">
        <v>2138</v>
      </c>
      <c r="Q236" s="543" t="s">
        <v>1897</v>
      </c>
      <c r="R236" s="543" t="s">
        <v>1814</v>
      </c>
      <c r="S236" s="543" t="s">
        <v>2647</v>
      </c>
      <c r="T236" s="543">
        <v>1150</v>
      </c>
      <c r="U236" s="543" t="s">
        <v>1843</v>
      </c>
      <c r="V236" s="543" t="s">
        <v>2234</v>
      </c>
      <c r="W236" s="543" t="s">
        <v>2648</v>
      </c>
      <c r="X236" s="543" t="s">
        <v>1815</v>
      </c>
      <c r="Y236" s="543" t="s">
        <v>109</v>
      </c>
      <c r="Z236" s="543" t="s">
        <v>109</v>
      </c>
      <c r="AA236" s="543" t="s">
        <v>109</v>
      </c>
      <c r="AB236" s="543" t="s">
        <v>34</v>
      </c>
      <c r="AC236" s="543" t="s">
        <v>1816</v>
      </c>
      <c r="AD236" s="543" t="s">
        <v>1817</v>
      </c>
      <c r="AE236" s="543" t="s">
        <v>1455</v>
      </c>
      <c r="AF236" s="543">
        <v>5</v>
      </c>
      <c r="AG236" s="543">
        <v>85</v>
      </c>
      <c r="AH236" s="543">
        <v>12</v>
      </c>
      <c r="AI236" s="543" t="s">
        <v>34</v>
      </c>
      <c r="AJ236" s="543" t="s">
        <v>34</v>
      </c>
      <c r="AK236" s="543" t="s">
        <v>1818</v>
      </c>
      <c r="AL236" s="543" t="s">
        <v>1818</v>
      </c>
      <c r="AM236" s="61" t="s">
        <v>4495</v>
      </c>
      <c r="AN236" s="541">
        <v>0</v>
      </c>
      <c r="AO236" s="541">
        <v>0</v>
      </c>
      <c r="AP236" s="61"/>
      <c r="CG236" t="str">
        <v>Beavers Plumbing LLC</v>
      </c>
    </row>
    <row r="237" spans="1:85" x14ac:dyDescent="0.2">
      <c r="A237" s="61">
        <v>236</v>
      </c>
      <c r="B237" s="542" t="s">
        <v>1009</v>
      </c>
      <c r="C237" s="543" t="s">
        <v>1033</v>
      </c>
      <c r="D237" s="543" t="s">
        <v>3819</v>
      </c>
      <c r="E237" s="543" t="s">
        <v>2596</v>
      </c>
      <c r="F237" s="543" t="s">
        <v>1697</v>
      </c>
      <c r="G237" s="543" t="s">
        <v>34</v>
      </c>
      <c r="H237" s="543" t="s">
        <v>1821</v>
      </c>
      <c r="I237" s="543" t="s">
        <v>5342</v>
      </c>
      <c r="J237" s="543" t="s">
        <v>2089</v>
      </c>
      <c r="K237" s="543" t="s">
        <v>2602</v>
      </c>
      <c r="L237" s="543" t="s">
        <v>2602</v>
      </c>
      <c r="M237" s="544" t="s">
        <v>2603</v>
      </c>
      <c r="N237" s="543" t="s">
        <v>1033</v>
      </c>
      <c r="O237" s="543" t="s">
        <v>665</v>
      </c>
      <c r="P237" s="543" t="s">
        <v>2604</v>
      </c>
      <c r="Q237" s="543" t="s">
        <v>1897</v>
      </c>
      <c r="R237" s="543" t="s">
        <v>1814</v>
      </c>
      <c r="S237" s="543" t="s">
        <v>2605</v>
      </c>
      <c r="T237" s="543">
        <v>378</v>
      </c>
      <c r="U237" s="543" t="s">
        <v>1642</v>
      </c>
      <c r="V237" s="543" t="s">
        <v>2601</v>
      </c>
      <c r="W237" s="543" t="s">
        <v>2606</v>
      </c>
      <c r="X237" s="543" t="s">
        <v>1815</v>
      </c>
      <c r="Y237" s="543" t="s">
        <v>109</v>
      </c>
      <c r="Z237" s="543" t="s">
        <v>109</v>
      </c>
      <c r="AA237" s="543" t="s">
        <v>1974</v>
      </c>
      <c r="AB237" s="543" t="s">
        <v>2642</v>
      </c>
      <c r="AC237" s="543" t="s">
        <v>1816</v>
      </c>
      <c r="AD237" s="543" t="s">
        <v>1817</v>
      </c>
      <c r="AE237" s="543" t="s">
        <v>1455</v>
      </c>
      <c r="AF237" s="543" t="s">
        <v>3040</v>
      </c>
      <c r="AG237" s="543" t="s">
        <v>34</v>
      </c>
      <c r="AH237" s="543" t="s">
        <v>34</v>
      </c>
      <c r="AI237" s="543" t="s">
        <v>34</v>
      </c>
      <c r="AJ237" s="543" t="s">
        <v>34</v>
      </c>
      <c r="AK237" s="543" t="s">
        <v>1818</v>
      </c>
      <c r="AL237" s="543" t="s">
        <v>34</v>
      </c>
      <c r="AM237" s="61" t="s">
        <v>4495</v>
      </c>
      <c r="AN237" s="541">
        <v>0</v>
      </c>
      <c r="AO237" s="541">
        <v>0</v>
      </c>
      <c r="AP237" s="61"/>
      <c r="CG237" t="str">
        <v>Bison Rail Systems</v>
      </c>
    </row>
    <row r="238" spans="1:85" x14ac:dyDescent="0.2">
      <c r="A238" s="61">
        <v>237</v>
      </c>
      <c r="B238" s="542" t="s">
        <v>1009</v>
      </c>
      <c r="C238" s="543" t="s">
        <v>1019</v>
      </c>
      <c r="D238" s="543" t="s">
        <v>3820</v>
      </c>
      <c r="E238" s="543" t="s">
        <v>2596</v>
      </c>
      <c r="F238" s="543" t="s">
        <v>1697</v>
      </c>
      <c r="G238" s="543" t="s">
        <v>34</v>
      </c>
      <c r="H238" s="543" t="s">
        <v>1821</v>
      </c>
      <c r="I238" s="543" t="s">
        <v>5342</v>
      </c>
      <c r="J238" s="543" t="s">
        <v>2433</v>
      </c>
      <c r="K238" s="543" t="s">
        <v>1825</v>
      </c>
      <c r="L238" s="543" t="s">
        <v>2633</v>
      </c>
      <c r="M238" s="544">
        <v>115130901</v>
      </c>
      <c r="N238" s="543" t="s">
        <v>1019</v>
      </c>
      <c r="O238" s="543" t="s">
        <v>665</v>
      </c>
      <c r="P238" s="543" t="s">
        <v>2634</v>
      </c>
      <c r="Q238" s="543" t="s">
        <v>1897</v>
      </c>
      <c r="R238" s="543" t="s">
        <v>1814</v>
      </c>
      <c r="S238" s="543" t="s">
        <v>2635</v>
      </c>
      <c r="T238" s="543">
        <v>61.3</v>
      </c>
      <c r="U238" s="543" t="s">
        <v>1642</v>
      </c>
      <c r="V238" s="543" t="s">
        <v>2096</v>
      </c>
      <c r="W238" s="543" t="s">
        <v>2636</v>
      </c>
      <c r="X238" s="543" t="s">
        <v>1815</v>
      </c>
      <c r="Y238" s="543" t="s">
        <v>2637</v>
      </c>
      <c r="Z238" s="543" t="s">
        <v>2638</v>
      </c>
      <c r="AA238" s="543" t="s">
        <v>1815</v>
      </c>
      <c r="AB238" s="543" t="s">
        <v>34</v>
      </c>
      <c r="AC238" s="543" t="s">
        <v>1816</v>
      </c>
      <c r="AD238" s="543" t="s">
        <v>1817</v>
      </c>
      <c r="AE238" s="543" t="s">
        <v>1455</v>
      </c>
      <c r="AF238" s="543">
        <v>7</v>
      </c>
      <c r="AG238" s="543">
        <v>0.09</v>
      </c>
      <c r="AH238" s="543">
        <v>0.28999999999999998</v>
      </c>
      <c r="AI238" s="543" t="s">
        <v>34</v>
      </c>
      <c r="AJ238" s="543" t="s">
        <v>34</v>
      </c>
      <c r="AK238" s="543" t="s">
        <v>1818</v>
      </c>
      <c r="AL238" s="543" t="s">
        <v>34</v>
      </c>
      <c r="AM238" s="61" t="s">
        <v>4498</v>
      </c>
      <c r="AN238" s="541">
        <v>0</v>
      </c>
      <c r="AO238" s="541">
        <v>0</v>
      </c>
      <c r="AP238" s="61"/>
      <c r="CG238" t="str">
        <v>Brek Manufacturing-CA</v>
      </c>
    </row>
    <row r="239" spans="1:85" x14ac:dyDescent="0.2">
      <c r="A239" s="61">
        <v>238</v>
      </c>
      <c r="B239" s="542" t="s">
        <v>1009</v>
      </c>
      <c r="C239" s="543" t="s">
        <v>1508</v>
      </c>
      <c r="D239" s="543" t="s">
        <v>3821</v>
      </c>
      <c r="E239" s="543" t="s">
        <v>2596</v>
      </c>
      <c r="F239" s="543" t="s">
        <v>1697</v>
      </c>
      <c r="G239" s="543" t="s">
        <v>34</v>
      </c>
      <c r="H239" s="543" t="s">
        <v>1821</v>
      </c>
      <c r="I239" s="543" t="s">
        <v>5351</v>
      </c>
      <c r="J239" s="543" t="s">
        <v>2089</v>
      </c>
      <c r="K239" s="543" t="s">
        <v>1825</v>
      </c>
      <c r="L239" s="543" t="s">
        <v>2597</v>
      </c>
      <c r="M239" s="544" t="s">
        <v>2598</v>
      </c>
      <c r="N239" s="543" t="s">
        <v>1508</v>
      </c>
      <c r="O239" s="543" t="s">
        <v>665</v>
      </c>
      <c r="P239" s="543" t="s">
        <v>2599</v>
      </c>
      <c r="Q239" s="543" t="s">
        <v>1897</v>
      </c>
      <c r="R239" s="543" t="s">
        <v>1814</v>
      </c>
      <c r="S239" s="543" t="s">
        <v>2600</v>
      </c>
      <c r="T239" s="543">
        <v>588</v>
      </c>
      <c r="U239" s="543" t="s">
        <v>1642</v>
      </c>
      <c r="V239" s="543" t="s">
        <v>109</v>
      </c>
      <c r="W239" s="543" t="s">
        <v>109</v>
      </c>
      <c r="X239" s="543" t="s">
        <v>1974</v>
      </c>
      <c r="Y239" s="543" t="s">
        <v>109</v>
      </c>
      <c r="Z239" s="543" t="s">
        <v>109</v>
      </c>
      <c r="AA239" s="543" t="s">
        <v>1974</v>
      </c>
      <c r="AB239" s="543" t="s">
        <v>5460</v>
      </c>
      <c r="AC239" s="543" t="s">
        <v>1816</v>
      </c>
      <c r="AD239" s="543" t="s">
        <v>1817</v>
      </c>
      <c r="AE239" s="543" t="s">
        <v>1455</v>
      </c>
      <c r="AF239" s="543" t="s">
        <v>3040</v>
      </c>
      <c r="AG239" s="543" t="s">
        <v>34</v>
      </c>
      <c r="AH239" s="543" t="s">
        <v>34</v>
      </c>
      <c r="AI239" s="543" t="s">
        <v>34</v>
      </c>
      <c r="AJ239" s="543" t="s">
        <v>34</v>
      </c>
      <c r="AK239" s="543" t="s">
        <v>1818</v>
      </c>
      <c r="AL239" s="543" t="s">
        <v>34</v>
      </c>
      <c r="AM239" s="61" t="s">
        <v>4511</v>
      </c>
      <c r="AN239" s="541">
        <v>0</v>
      </c>
      <c r="AO239" s="541">
        <v>0</v>
      </c>
      <c r="AP239" s="61"/>
      <c r="CG239" t="str">
        <v>Buchanans Tube Bending Co</v>
      </c>
    </row>
    <row r="240" spans="1:85" x14ac:dyDescent="0.2">
      <c r="A240" s="61">
        <v>239</v>
      </c>
      <c r="B240" s="542" t="s">
        <v>1009</v>
      </c>
      <c r="C240" s="543" t="s">
        <v>4377</v>
      </c>
      <c r="D240" s="543" t="s">
        <v>4378</v>
      </c>
      <c r="E240" s="543" t="s">
        <v>2596</v>
      </c>
      <c r="F240" s="543" t="s">
        <v>1697</v>
      </c>
      <c r="G240" s="543" t="s">
        <v>34</v>
      </c>
      <c r="H240" s="543" t="s">
        <v>1821</v>
      </c>
      <c r="I240" s="543" t="s">
        <v>5351</v>
      </c>
      <c r="J240" s="543" t="s">
        <v>1461</v>
      </c>
      <c r="K240" s="543" t="s">
        <v>4379</v>
      </c>
      <c r="L240" s="543" t="s">
        <v>2092</v>
      </c>
      <c r="M240" s="544" t="s">
        <v>4380</v>
      </c>
      <c r="N240" s="543" t="s">
        <v>4377</v>
      </c>
      <c r="O240" s="543" t="s">
        <v>109</v>
      </c>
      <c r="P240" s="543" t="s">
        <v>4381</v>
      </c>
      <c r="Q240" s="543" t="s">
        <v>1894</v>
      </c>
      <c r="R240" s="543" t="s">
        <v>1814</v>
      </c>
      <c r="S240" s="543" t="s">
        <v>4382</v>
      </c>
      <c r="T240" s="543">
        <v>896</v>
      </c>
      <c r="U240" s="543" t="s">
        <v>4383</v>
      </c>
      <c r="V240" s="543" t="s">
        <v>109</v>
      </c>
      <c r="W240" s="543" t="s">
        <v>109</v>
      </c>
      <c r="X240" s="543" t="s">
        <v>109</v>
      </c>
      <c r="Y240" s="543" t="s">
        <v>4384</v>
      </c>
      <c r="Z240" s="543" t="s">
        <v>4384</v>
      </c>
      <c r="AA240" s="543" t="s">
        <v>109</v>
      </c>
      <c r="AB240" s="543" t="s">
        <v>4385</v>
      </c>
      <c r="AC240" s="543" t="s">
        <v>1816</v>
      </c>
      <c r="AD240" s="543" t="s">
        <v>1817</v>
      </c>
      <c r="AE240" s="543" t="s">
        <v>1455</v>
      </c>
      <c r="AF240" s="543" t="s">
        <v>3040</v>
      </c>
      <c r="AG240" s="543" t="s">
        <v>34</v>
      </c>
      <c r="AH240" s="543" t="s">
        <v>34</v>
      </c>
      <c r="AI240" s="543" t="s">
        <v>34</v>
      </c>
      <c r="AJ240" s="543" t="s">
        <v>34</v>
      </c>
      <c r="AK240" s="543" t="s">
        <v>1818</v>
      </c>
      <c r="AL240" s="543" t="s">
        <v>34</v>
      </c>
      <c r="AM240" s="61" t="s">
        <v>4512</v>
      </c>
      <c r="AN240" s="541">
        <v>0</v>
      </c>
      <c r="AO240" s="541">
        <v>0</v>
      </c>
      <c r="AP240" s="61"/>
      <c r="CG240" t="str">
        <v>C &amp; B EQUIPMENT, INC.</v>
      </c>
    </row>
    <row r="241" spans="1:85" x14ac:dyDescent="0.2">
      <c r="A241" s="61">
        <v>240</v>
      </c>
      <c r="B241" s="542" t="s">
        <v>1009</v>
      </c>
      <c r="C241" s="543" t="s">
        <v>4386</v>
      </c>
      <c r="D241" s="543" t="s">
        <v>4387</v>
      </c>
      <c r="E241" s="543" t="s">
        <v>2596</v>
      </c>
      <c r="F241" s="543" t="s">
        <v>1697</v>
      </c>
      <c r="G241" s="543" t="s">
        <v>34</v>
      </c>
      <c r="H241" s="543" t="s">
        <v>1821</v>
      </c>
      <c r="I241" s="543" t="s">
        <v>5351</v>
      </c>
      <c r="J241" s="543" t="s">
        <v>1461</v>
      </c>
      <c r="K241" s="543" t="s">
        <v>4379</v>
      </c>
      <c r="L241" s="543" t="s">
        <v>4388</v>
      </c>
      <c r="M241" s="544" t="s">
        <v>4389</v>
      </c>
      <c r="N241" s="543" t="s">
        <v>4386</v>
      </c>
      <c r="O241" s="543" t="s">
        <v>109</v>
      </c>
      <c r="P241" s="543" t="s">
        <v>4381</v>
      </c>
      <c r="Q241" s="543" t="s">
        <v>1894</v>
      </c>
      <c r="R241" s="543" t="s">
        <v>1814</v>
      </c>
      <c r="S241" s="543" t="s">
        <v>4390</v>
      </c>
      <c r="T241" s="543">
        <v>245</v>
      </c>
      <c r="U241" s="543" t="s">
        <v>4383</v>
      </c>
      <c r="V241" s="543" t="s">
        <v>109</v>
      </c>
      <c r="W241" s="543" t="s">
        <v>109</v>
      </c>
      <c r="X241" s="543" t="s">
        <v>109</v>
      </c>
      <c r="Y241" s="543" t="s">
        <v>4384</v>
      </c>
      <c r="Z241" s="543" t="s">
        <v>4384</v>
      </c>
      <c r="AA241" s="543" t="s">
        <v>109</v>
      </c>
      <c r="AB241" s="543" t="s">
        <v>4385</v>
      </c>
      <c r="AC241" s="543" t="s">
        <v>1816</v>
      </c>
      <c r="AD241" s="543" t="s">
        <v>1817</v>
      </c>
      <c r="AE241" s="543" t="s">
        <v>1455</v>
      </c>
      <c r="AF241" s="543" t="s">
        <v>3040</v>
      </c>
      <c r="AG241" s="543" t="s">
        <v>34</v>
      </c>
      <c r="AH241" s="543" t="s">
        <v>34</v>
      </c>
      <c r="AI241" s="543" t="s">
        <v>34</v>
      </c>
      <c r="AJ241" s="543" t="s">
        <v>34</v>
      </c>
      <c r="AK241" s="543" t="s">
        <v>1818</v>
      </c>
      <c r="AL241" s="543" t="s">
        <v>34</v>
      </c>
      <c r="AM241" s="61" t="s">
        <v>4512</v>
      </c>
      <c r="AN241" s="541">
        <v>0</v>
      </c>
      <c r="AO241" s="541">
        <v>0</v>
      </c>
      <c r="AP241" s="61"/>
      <c r="CG241" t="str">
        <v>C &amp; C GROUP</v>
      </c>
    </row>
    <row r="242" spans="1:85" x14ac:dyDescent="0.2">
      <c r="A242" s="61">
        <v>241</v>
      </c>
      <c r="B242" s="542" t="s">
        <v>1009</v>
      </c>
      <c r="C242" s="543" t="s">
        <v>4391</v>
      </c>
      <c r="D242" s="543" t="s">
        <v>4392</v>
      </c>
      <c r="E242" s="543" t="s">
        <v>2596</v>
      </c>
      <c r="F242" s="543" t="s">
        <v>1697</v>
      </c>
      <c r="G242" s="543" t="s">
        <v>34</v>
      </c>
      <c r="H242" s="543" t="s">
        <v>1821</v>
      </c>
      <c r="I242" s="543" t="s">
        <v>5351</v>
      </c>
      <c r="J242" s="543" t="s">
        <v>1461</v>
      </c>
      <c r="K242" s="543" t="s">
        <v>4379</v>
      </c>
      <c r="L242" s="543" t="s">
        <v>4393</v>
      </c>
      <c r="M242" s="544" t="s">
        <v>4394</v>
      </c>
      <c r="N242" s="543" t="s">
        <v>4391</v>
      </c>
      <c r="O242" s="543" t="s">
        <v>109</v>
      </c>
      <c r="P242" s="543" t="s">
        <v>4381</v>
      </c>
      <c r="Q242" s="543" t="s">
        <v>1894</v>
      </c>
      <c r="R242" s="543" t="s">
        <v>1814</v>
      </c>
      <c r="S242" s="543" t="s">
        <v>2231</v>
      </c>
      <c r="T242" s="543">
        <v>4544.1000000000004</v>
      </c>
      <c r="U242" s="543" t="s">
        <v>4383</v>
      </c>
      <c r="V242" s="543" t="s">
        <v>109</v>
      </c>
      <c r="W242" s="543" t="s">
        <v>109</v>
      </c>
      <c r="X242" s="543" t="s">
        <v>109</v>
      </c>
      <c r="Y242" s="543" t="s">
        <v>4384</v>
      </c>
      <c r="Z242" s="543" t="s">
        <v>4384</v>
      </c>
      <c r="AA242" s="543" t="s">
        <v>109</v>
      </c>
      <c r="AB242" s="543" t="s">
        <v>4385</v>
      </c>
      <c r="AC242" s="543" t="s">
        <v>1816</v>
      </c>
      <c r="AD242" s="543" t="s">
        <v>1817</v>
      </c>
      <c r="AE242" s="543" t="s">
        <v>1455</v>
      </c>
      <c r="AF242" s="543" t="s">
        <v>3040</v>
      </c>
      <c r="AG242" s="543" t="s">
        <v>34</v>
      </c>
      <c r="AH242" s="543" t="s">
        <v>34</v>
      </c>
      <c r="AI242" s="543" t="s">
        <v>34</v>
      </c>
      <c r="AJ242" s="543" t="s">
        <v>34</v>
      </c>
      <c r="AK242" s="543" t="s">
        <v>1818</v>
      </c>
      <c r="AL242" s="543" t="s">
        <v>34</v>
      </c>
      <c r="AM242" s="61" t="s">
        <v>4512</v>
      </c>
      <c r="AN242" s="541">
        <v>0</v>
      </c>
      <c r="AO242" s="541">
        <v>0</v>
      </c>
      <c r="AP242" s="61"/>
      <c r="CG242" t="str">
        <v>C &amp; M MACHINING, LLC</v>
      </c>
    </row>
    <row r="243" spans="1:85" x14ac:dyDescent="0.2">
      <c r="A243" s="61">
        <v>242</v>
      </c>
      <c r="B243" s="542" t="s">
        <v>1035</v>
      </c>
      <c r="C243" s="543" t="s">
        <v>1037</v>
      </c>
      <c r="D243" s="543" t="s">
        <v>3822</v>
      </c>
      <c r="E243" s="543" t="s">
        <v>2656</v>
      </c>
      <c r="F243" s="543" t="s">
        <v>1701</v>
      </c>
      <c r="G243" s="543" t="s">
        <v>34</v>
      </c>
      <c r="H243" s="543" t="s">
        <v>1821</v>
      </c>
      <c r="I243" s="543" t="s">
        <v>5342</v>
      </c>
      <c r="J243" s="543" t="s">
        <v>2433</v>
      </c>
      <c r="K243" s="543" t="s">
        <v>2657</v>
      </c>
      <c r="L243" s="543" t="s">
        <v>2658</v>
      </c>
      <c r="M243" s="544" t="s">
        <v>2659</v>
      </c>
      <c r="N243" s="543" t="s">
        <v>1037</v>
      </c>
      <c r="O243" s="543" t="s">
        <v>665</v>
      </c>
      <c r="P243" s="543" t="s">
        <v>2660</v>
      </c>
      <c r="Q243" s="543" t="s">
        <v>1894</v>
      </c>
      <c r="R243" s="543" t="s">
        <v>1814</v>
      </c>
      <c r="S243" s="543" t="s">
        <v>2661</v>
      </c>
      <c r="T243" s="543">
        <v>0</v>
      </c>
      <c r="U243" s="543" t="s">
        <v>1844</v>
      </c>
      <c r="V243" s="543" t="s">
        <v>2662</v>
      </c>
      <c r="W243" s="543" t="s">
        <v>2663</v>
      </c>
      <c r="X243" s="543" t="s">
        <v>1815</v>
      </c>
      <c r="Y243" s="543" t="s">
        <v>109</v>
      </c>
      <c r="Z243" s="543" t="s">
        <v>109</v>
      </c>
      <c r="AA243" s="543" t="s">
        <v>109</v>
      </c>
      <c r="AB243" s="543" t="s">
        <v>2664</v>
      </c>
      <c r="AC243" s="543" t="s">
        <v>1816</v>
      </c>
      <c r="AD243" s="543" t="s">
        <v>1817</v>
      </c>
      <c r="AE243" s="543" t="s">
        <v>1455</v>
      </c>
      <c r="AF243" s="543" t="s">
        <v>3040</v>
      </c>
      <c r="AG243" s="543" t="s">
        <v>34</v>
      </c>
      <c r="AH243" s="543" t="s">
        <v>34</v>
      </c>
      <c r="AI243" s="543" t="s">
        <v>34</v>
      </c>
      <c r="AJ243" s="543" t="s">
        <v>34</v>
      </c>
      <c r="AK243" s="543" t="s">
        <v>1818</v>
      </c>
      <c r="AL243" s="543" t="s">
        <v>34</v>
      </c>
      <c r="AM243" s="61" t="s">
        <v>4495</v>
      </c>
      <c r="AN243" s="541">
        <v>0</v>
      </c>
      <c r="AO243" s="541">
        <v>0</v>
      </c>
      <c r="AP243" s="61"/>
      <c r="CG243" t="str">
        <v>C&amp;M MACHINE HOLDING INC</v>
      </c>
    </row>
    <row r="244" spans="1:85" x14ac:dyDescent="0.2">
      <c r="A244" s="61">
        <v>243</v>
      </c>
      <c r="B244" s="542" t="s">
        <v>1598</v>
      </c>
      <c r="C244" s="543" t="s">
        <v>1600</v>
      </c>
      <c r="D244" s="543" t="s">
        <v>3823</v>
      </c>
      <c r="E244" s="543" t="s">
        <v>1754</v>
      </c>
      <c r="F244" s="543" t="s">
        <v>1697</v>
      </c>
      <c r="G244" s="543" t="s">
        <v>34</v>
      </c>
      <c r="H244" s="543" t="s">
        <v>1821</v>
      </c>
      <c r="I244" s="543" t="s">
        <v>5342</v>
      </c>
      <c r="J244" s="543" t="s">
        <v>2433</v>
      </c>
      <c r="K244" s="543" t="s">
        <v>1825</v>
      </c>
      <c r="L244" s="543" t="s">
        <v>2665</v>
      </c>
      <c r="M244" s="544" t="s">
        <v>1600</v>
      </c>
      <c r="N244" s="543" t="s">
        <v>1600</v>
      </c>
      <c r="O244" s="543" t="s">
        <v>665</v>
      </c>
      <c r="P244" s="543" t="s">
        <v>2532</v>
      </c>
      <c r="Q244" s="543" t="s">
        <v>1897</v>
      </c>
      <c r="R244" s="543" t="s">
        <v>1878</v>
      </c>
      <c r="S244" s="543" t="s">
        <v>2666</v>
      </c>
      <c r="T244" s="543">
        <v>432</v>
      </c>
      <c r="U244" s="543" t="s">
        <v>1642</v>
      </c>
      <c r="V244" s="543" t="s">
        <v>2667</v>
      </c>
      <c r="W244" s="543" t="s">
        <v>2668</v>
      </c>
      <c r="X244" s="543" t="s">
        <v>1815</v>
      </c>
      <c r="Y244" s="543" t="s">
        <v>109</v>
      </c>
      <c r="Z244" s="543" t="s">
        <v>109</v>
      </c>
      <c r="AA244" s="543" t="s">
        <v>109</v>
      </c>
      <c r="AB244" s="543" t="s">
        <v>5395</v>
      </c>
      <c r="AC244" s="543" t="s">
        <v>1816</v>
      </c>
      <c r="AD244" s="543" t="s">
        <v>1817</v>
      </c>
      <c r="AE244" s="543" t="s">
        <v>1455</v>
      </c>
      <c r="AF244" s="543" t="s">
        <v>3040</v>
      </c>
      <c r="AG244" s="543" t="s">
        <v>34</v>
      </c>
      <c r="AH244" s="543" t="s">
        <v>34</v>
      </c>
      <c r="AI244" s="543" t="s">
        <v>34</v>
      </c>
      <c r="AJ244" s="543" t="s">
        <v>34</v>
      </c>
      <c r="AK244" s="543" t="s">
        <v>1818</v>
      </c>
      <c r="AL244" s="543" t="s">
        <v>34</v>
      </c>
      <c r="AM244" s="61" t="s">
        <v>4498</v>
      </c>
      <c r="AN244" s="541">
        <v>0</v>
      </c>
      <c r="AO244" s="541">
        <v>0</v>
      </c>
      <c r="AP244" s="61"/>
      <c r="CG244" t="str">
        <v>C.A. PICARD INT.</v>
      </c>
    </row>
    <row r="245" spans="1:85" x14ac:dyDescent="0.2">
      <c r="A245" s="61">
        <v>244</v>
      </c>
      <c r="B245" s="542" t="s">
        <v>1598</v>
      </c>
      <c r="C245" s="543" t="s">
        <v>1049</v>
      </c>
      <c r="D245" s="543" t="s">
        <v>4016</v>
      </c>
      <c r="E245" s="543" t="s">
        <v>1754</v>
      </c>
      <c r="F245" s="543" t="s">
        <v>1697</v>
      </c>
      <c r="G245" s="543" t="s">
        <v>34</v>
      </c>
      <c r="H245" s="543" t="s">
        <v>1821</v>
      </c>
      <c r="I245" s="543" t="s">
        <v>5342</v>
      </c>
      <c r="J245" s="543" t="s">
        <v>2433</v>
      </c>
      <c r="K245" s="543" t="s">
        <v>1202</v>
      </c>
      <c r="L245" s="543" t="s">
        <v>4017</v>
      </c>
      <c r="M245" s="544" t="s">
        <v>1049</v>
      </c>
      <c r="N245" s="543" t="s">
        <v>1049</v>
      </c>
      <c r="O245" s="543" t="s">
        <v>665</v>
      </c>
      <c r="P245" s="543" t="s">
        <v>4018</v>
      </c>
      <c r="Q245" s="543" t="s">
        <v>3114</v>
      </c>
      <c r="R245" s="543" t="s">
        <v>1878</v>
      </c>
      <c r="S245" s="543" t="s">
        <v>4019</v>
      </c>
      <c r="T245" s="543">
        <v>2.7</v>
      </c>
      <c r="U245" s="543" t="s">
        <v>1843</v>
      </c>
      <c r="V245" s="543" t="s">
        <v>4020</v>
      </c>
      <c r="W245" s="543" t="s">
        <v>4021</v>
      </c>
      <c r="X245" s="543" t="s">
        <v>4022</v>
      </c>
      <c r="Y245" s="543" t="s">
        <v>109</v>
      </c>
      <c r="Z245" s="543" t="s">
        <v>109</v>
      </c>
      <c r="AA245" s="543" t="s">
        <v>109</v>
      </c>
      <c r="AB245" s="543" t="s">
        <v>5396</v>
      </c>
      <c r="AC245" s="543" t="s">
        <v>1816</v>
      </c>
      <c r="AD245" s="543" t="s">
        <v>1817</v>
      </c>
      <c r="AE245" s="543" t="s">
        <v>1455</v>
      </c>
      <c r="AF245" s="543">
        <v>5</v>
      </c>
      <c r="AG245" s="543">
        <v>1</v>
      </c>
      <c r="AH245" s="543">
        <v>75</v>
      </c>
      <c r="AI245" s="543" t="s">
        <v>3603</v>
      </c>
      <c r="AJ245" s="543" t="s">
        <v>34</v>
      </c>
      <c r="AK245" s="543" t="s">
        <v>1818</v>
      </c>
      <c r="AL245" s="543" t="s">
        <v>34</v>
      </c>
      <c r="AM245" s="61" t="s">
        <v>4495</v>
      </c>
      <c r="AN245" s="541">
        <v>0</v>
      </c>
      <c r="AO245" s="541">
        <v>0</v>
      </c>
      <c r="AP245" s="61"/>
      <c r="CG245" t="str">
        <v>CAE USA</v>
      </c>
    </row>
    <row r="246" spans="1:85" x14ac:dyDescent="0.2">
      <c r="A246" s="61">
        <v>245</v>
      </c>
      <c r="B246" s="542" t="s">
        <v>3465</v>
      </c>
      <c r="C246" s="543" t="s">
        <v>3467</v>
      </c>
      <c r="D246" s="543" t="s">
        <v>4120</v>
      </c>
      <c r="E246" s="543" t="s">
        <v>4121</v>
      </c>
      <c r="F246" s="543" t="s">
        <v>4122</v>
      </c>
      <c r="G246" s="543" t="s">
        <v>34</v>
      </c>
      <c r="H246" s="543" t="s">
        <v>1821</v>
      </c>
      <c r="I246" s="543" t="s">
        <v>5342</v>
      </c>
      <c r="J246" s="543" t="s">
        <v>1461</v>
      </c>
      <c r="K246" s="543" t="s">
        <v>4123</v>
      </c>
      <c r="L246" s="543" t="s">
        <v>4124</v>
      </c>
      <c r="M246" s="544">
        <v>17091325</v>
      </c>
      <c r="N246" s="543" t="s">
        <v>3467</v>
      </c>
      <c r="O246" s="543" t="s">
        <v>665</v>
      </c>
      <c r="P246" s="543" t="s">
        <v>4125</v>
      </c>
      <c r="Q246" s="543" t="s">
        <v>4125</v>
      </c>
      <c r="R246" s="543" t="s">
        <v>1915</v>
      </c>
      <c r="S246" s="543" t="s">
        <v>4126</v>
      </c>
      <c r="T246" s="543">
        <v>12.3</v>
      </c>
      <c r="U246" s="543" t="s">
        <v>1843</v>
      </c>
      <c r="V246" s="543" t="s">
        <v>1889</v>
      </c>
      <c r="W246" s="543">
        <v>17091325</v>
      </c>
      <c r="X246" s="543" t="s">
        <v>4127</v>
      </c>
      <c r="Y246" s="543" t="s">
        <v>109</v>
      </c>
      <c r="Z246" s="543" t="s">
        <v>109</v>
      </c>
      <c r="AA246" s="543" t="s">
        <v>109</v>
      </c>
      <c r="AB246" s="543" t="s">
        <v>4128</v>
      </c>
      <c r="AC246" s="543" t="s">
        <v>4129</v>
      </c>
      <c r="AD246" s="543" t="s">
        <v>1817</v>
      </c>
      <c r="AE246" s="543" t="s">
        <v>1455</v>
      </c>
      <c r="AF246" s="543" t="s">
        <v>109</v>
      </c>
      <c r="AG246" s="543" t="s">
        <v>34</v>
      </c>
      <c r="AH246" s="543" t="s">
        <v>34</v>
      </c>
      <c r="AI246" s="543" t="s">
        <v>34</v>
      </c>
      <c r="AJ246" s="543" t="s">
        <v>34</v>
      </c>
      <c r="AK246" s="543" t="s">
        <v>1818</v>
      </c>
      <c r="AL246" s="543" t="s">
        <v>34</v>
      </c>
      <c r="AM246" s="61" t="s">
        <v>4495</v>
      </c>
      <c r="AN246" s="541">
        <v>0</v>
      </c>
      <c r="AO246" s="541">
        <v>0</v>
      </c>
      <c r="AP246" s="61"/>
      <c r="CG246" t="str">
        <v>CAE-USA</v>
      </c>
    </row>
    <row r="247" spans="1:85" x14ac:dyDescent="0.2">
      <c r="A247" s="61">
        <v>246</v>
      </c>
      <c r="B247" s="542" t="s">
        <v>5206</v>
      </c>
      <c r="C247" s="543" t="s">
        <v>5207</v>
      </c>
      <c r="D247" s="543" t="s">
        <v>5208</v>
      </c>
      <c r="E247" s="543" t="s">
        <v>5209</v>
      </c>
      <c r="F247" s="543" t="s">
        <v>5210</v>
      </c>
      <c r="G247" s="543" t="s">
        <v>34</v>
      </c>
      <c r="H247" s="543" t="s">
        <v>1821</v>
      </c>
      <c r="I247" s="543" t="s">
        <v>5342</v>
      </c>
      <c r="J247" s="543" t="s">
        <v>2089</v>
      </c>
      <c r="K247" s="543" t="s">
        <v>2993</v>
      </c>
      <c r="L247" s="543" t="s">
        <v>5211</v>
      </c>
      <c r="M247" s="544" t="s">
        <v>5212</v>
      </c>
      <c r="N247" s="543" t="s">
        <v>5213</v>
      </c>
      <c r="O247" s="543" t="s">
        <v>2092</v>
      </c>
      <c r="P247" s="543" t="s">
        <v>5214</v>
      </c>
      <c r="Q247" s="543" t="s">
        <v>5215</v>
      </c>
      <c r="R247" s="543" t="s">
        <v>4152</v>
      </c>
      <c r="S247" s="543" t="s">
        <v>5216</v>
      </c>
      <c r="T247" s="543">
        <v>483.9</v>
      </c>
      <c r="U247" s="543" t="s">
        <v>1843</v>
      </c>
      <c r="V247" s="543" t="s">
        <v>5217</v>
      </c>
      <c r="W247" s="543" t="s">
        <v>5230</v>
      </c>
      <c r="X247" s="543" t="s">
        <v>2431</v>
      </c>
      <c r="Y247" s="543" t="s">
        <v>5231</v>
      </c>
      <c r="Z247" s="543" t="s">
        <v>5218</v>
      </c>
      <c r="AA247" s="543" t="s">
        <v>4556</v>
      </c>
      <c r="AB247" s="543" t="s">
        <v>5232</v>
      </c>
      <c r="AC247" s="543" t="s">
        <v>1816</v>
      </c>
      <c r="AD247" s="543" t="s">
        <v>1817</v>
      </c>
      <c r="AE247" s="543" t="s">
        <v>1455</v>
      </c>
      <c r="AF247" s="543" t="s">
        <v>109</v>
      </c>
      <c r="AG247" s="543" t="s">
        <v>109</v>
      </c>
      <c r="AH247" s="543" t="s">
        <v>109</v>
      </c>
      <c r="AI247" s="543" t="s">
        <v>109</v>
      </c>
      <c r="AJ247" s="543" t="s">
        <v>109</v>
      </c>
      <c r="AK247" s="543" t="s">
        <v>1818</v>
      </c>
      <c r="AL247" s="543" t="s">
        <v>34</v>
      </c>
      <c r="AM247" s="61" t="s">
        <v>4498</v>
      </c>
      <c r="AN247" s="541">
        <v>0</v>
      </c>
      <c r="AO247" s="541">
        <v>0</v>
      </c>
      <c r="AP247" s="61"/>
      <c r="CG247" t="str">
        <v>CALIBRATION LABORATORY, LLC</v>
      </c>
    </row>
    <row r="248" spans="1:85" x14ac:dyDescent="0.2">
      <c r="A248" s="61">
        <v>247</v>
      </c>
      <c r="B248" s="542" t="s">
        <v>1051</v>
      </c>
      <c r="C248" s="543" t="s">
        <v>1062</v>
      </c>
      <c r="D248" s="543" t="s">
        <v>3824</v>
      </c>
      <c r="E248" s="543" t="s">
        <v>2669</v>
      </c>
      <c r="F248" s="543" t="s">
        <v>1755</v>
      </c>
      <c r="G248" s="543" t="s">
        <v>34</v>
      </c>
      <c r="H248" s="543" t="s">
        <v>1821</v>
      </c>
      <c r="I248" s="543" t="s">
        <v>5342</v>
      </c>
      <c r="J248" s="543" t="s">
        <v>2089</v>
      </c>
      <c r="K248" s="543" t="s">
        <v>1943</v>
      </c>
      <c r="L248" s="543" t="s">
        <v>2682</v>
      </c>
      <c r="M248" s="544">
        <v>10282008</v>
      </c>
      <c r="N248" s="543" t="s">
        <v>1062</v>
      </c>
      <c r="O248" s="543" t="s">
        <v>665</v>
      </c>
      <c r="P248" s="543" t="s">
        <v>2555</v>
      </c>
      <c r="Q248" s="543" t="s">
        <v>1897</v>
      </c>
      <c r="R248" s="543" t="s">
        <v>1979</v>
      </c>
      <c r="S248" s="543" t="s">
        <v>2683</v>
      </c>
      <c r="T248" s="543">
        <v>2002</v>
      </c>
      <c r="U248" s="543" t="s">
        <v>1844</v>
      </c>
      <c r="V248" s="543" t="s">
        <v>2684</v>
      </c>
      <c r="W248" s="543" t="s">
        <v>2685</v>
      </c>
      <c r="X248" s="543" t="s">
        <v>1963</v>
      </c>
      <c r="Y248" s="543" t="s">
        <v>2160</v>
      </c>
      <c r="Z248" s="543" t="s">
        <v>2686</v>
      </c>
      <c r="AA248" s="543" t="s">
        <v>1815</v>
      </c>
      <c r="AB248" s="543" t="s">
        <v>2687</v>
      </c>
      <c r="AC248" s="543" t="s">
        <v>1816</v>
      </c>
      <c r="AD248" s="543" t="s">
        <v>1817</v>
      </c>
      <c r="AE248" s="543" t="s">
        <v>1455</v>
      </c>
      <c r="AF248" s="543" t="s">
        <v>3040</v>
      </c>
      <c r="AG248" s="543" t="s">
        <v>34</v>
      </c>
      <c r="AH248" s="543" t="s">
        <v>34</v>
      </c>
      <c r="AI248" s="543" t="s">
        <v>34</v>
      </c>
      <c r="AJ248" s="543" t="s">
        <v>34</v>
      </c>
      <c r="AK248" s="543" t="s">
        <v>1818</v>
      </c>
      <c r="AL248" s="543" t="s">
        <v>34</v>
      </c>
      <c r="AM248" s="61" t="s">
        <v>4497</v>
      </c>
      <c r="AN248" s="541">
        <v>0</v>
      </c>
      <c r="AO248" s="541">
        <v>0</v>
      </c>
      <c r="AP248" s="61"/>
      <c r="CG248" t="str">
        <v>CALMAR, INC.</v>
      </c>
    </row>
    <row r="249" spans="1:85" x14ac:dyDescent="0.2">
      <c r="A249" s="61">
        <v>248</v>
      </c>
      <c r="B249" s="542" t="s">
        <v>1051</v>
      </c>
      <c r="C249" s="543" t="s">
        <v>4070</v>
      </c>
      <c r="D249" s="543" t="s">
        <v>4130</v>
      </c>
      <c r="E249" s="543" t="s">
        <v>2669</v>
      </c>
      <c r="F249" s="543" t="s">
        <v>1755</v>
      </c>
      <c r="G249" s="543" t="s">
        <v>34</v>
      </c>
      <c r="H249" s="543" t="s">
        <v>1821</v>
      </c>
      <c r="I249" s="543" t="s">
        <v>3565</v>
      </c>
      <c r="J249" s="543" t="s">
        <v>1461</v>
      </c>
      <c r="K249" s="543" t="s">
        <v>4070</v>
      </c>
      <c r="L249" s="543" t="s">
        <v>2143</v>
      </c>
      <c r="M249" s="544" t="s">
        <v>4077</v>
      </c>
      <c r="N249" s="543" t="s">
        <v>4131</v>
      </c>
      <c r="O249" s="543" t="s">
        <v>665</v>
      </c>
      <c r="P249" s="543" t="s">
        <v>4072</v>
      </c>
      <c r="Q249" s="543" t="s">
        <v>4072</v>
      </c>
      <c r="R249" s="543" t="s">
        <v>1814</v>
      </c>
      <c r="S249" s="543" t="s">
        <v>4078</v>
      </c>
      <c r="T249" s="543">
        <v>2253.3000000000002</v>
      </c>
      <c r="U249" s="543" t="s">
        <v>1844</v>
      </c>
      <c r="V249" s="543" t="s">
        <v>2146</v>
      </c>
      <c r="W249" s="543">
        <v>43144</v>
      </c>
      <c r="X249" s="543" t="s">
        <v>2431</v>
      </c>
      <c r="Y249" s="543" t="s">
        <v>4079</v>
      </c>
      <c r="Z249" s="543" t="s">
        <v>4080</v>
      </c>
      <c r="AA249" s="543" t="s">
        <v>4081</v>
      </c>
      <c r="AB249" s="543" t="s">
        <v>4082</v>
      </c>
      <c r="AC249" s="543" t="s">
        <v>1816</v>
      </c>
      <c r="AD249" s="543" t="s">
        <v>1817</v>
      </c>
      <c r="AE249" s="543" t="s">
        <v>1455</v>
      </c>
      <c r="AF249" s="543" t="s">
        <v>3040</v>
      </c>
      <c r="AG249" s="543" t="s">
        <v>34</v>
      </c>
      <c r="AH249" s="543" t="s">
        <v>34</v>
      </c>
      <c r="AI249" s="543" t="s">
        <v>34</v>
      </c>
      <c r="AJ249" s="543" t="s">
        <v>34</v>
      </c>
      <c r="AK249" s="543" t="s">
        <v>1818</v>
      </c>
      <c r="AL249" s="543" t="s">
        <v>34</v>
      </c>
      <c r="AM249" s="61" t="s">
        <v>4497</v>
      </c>
      <c r="AN249" s="541">
        <v>0</v>
      </c>
      <c r="AO249" s="541">
        <v>0</v>
      </c>
      <c r="AP249" s="61"/>
      <c r="CG249" t="str">
        <v>CAM-TECH INDUSTRIES, INC.</v>
      </c>
    </row>
    <row r="250" spans="1:85" x14ac:dyDescent="0.2">
      <c r="A250" s="61">
        <v>249</v>
      </c>
      <c r="B250" s="542" t="s">
        <v>1051</v>
      </c>
      <c r="C250" s="543" t="s">
        <v>4132</v>
      </c>
      <c r="D250" s="543" t="s">
        <v>4133</v>
      </c>
      <c r="E250" s="543" t="s">
        <v>2669</v>
      </c>
      <c r="F250" s="543" t="s">
        <v>1755</v>
      </c>
      <c r="G250" s="543" t="s">
        <v>34</v>
      </c>
      <c r="H250" s="543" t="s">
        <v>1821</v>
      </c>
      <c r="I250" s="543" t="s">
        <v>5342</v>
      </c>
      <c r="J250" s="543" t="s">
        <v>1461</v>
      </c>
      <c r="K250" s="543" t="s">
        <v>4076</v>
      </c>
      <c r="L250" s="543" t="s">
        <v>2143</v>
      </c>
      <c r="M250" s="544" t="s">
        <v>4071</v>
      </c>
      <c r="N250" s="543" t="s">
        <v>4134</v>
      </c>
      <c r="O250" s="543" t="s">
        <v>665</v>
      </c>
      <c r="P250" s="543" t="s">
        <v>4072</v>
      </c>
      <c r="Q250" s="543" t="s">
        <v>4072</v>
      </c>
      <c r="R250" s="543" t="s">
        <v>1814</v>
      </c>
      <c r="S250" s="543" t="s">
        <v>4073</v>
      </c>
      <c r="T250" s="543">
        <v>2380</v>
      </c>
      <c r="U250" s="543" t="s">
        <v>1844</v>
      </c>
      <c r="V250" s="543" t="s">
        <v>2146</v>
      </c>
      <c r="W250" s="543">
        <v>23131</v>
      </c>
      <c r="X250" s="543" t="s">
        <v>2431</v>
      </c>
      <c r="Y250" s="543" t="s">
        <v>109</v>
      </c>
      <c r="Z250" s="543" t="s">
        <v>4074</v>
      </c>
      <c r="AA250" s="543" t="s">
        <v>109</v>
      </c>
      <c r="AB250" s="543" t="s">
        <v>4075</v>
      </c>
      <c r="AC250" s="543" t="s">
        <v>1816</v>
      </c>
      <c r="AD250" s="543" t="s">
        <v>1817</v>
      </c>
      <c r="AE250" s="543" t="s">
        <v>1455</v>
      </c>
      <c r="AF250" s="543" t="s">
        <v>3040</v>
      </c>
      <c r="AG250" s="543" t="s">
        <v>34</v>
      </c>
      <c r="AH250" s="543" t="s">
        <v>34</v>
      </c>
      <c r="AI250" s="543" t="s">
        <v>34</v>
      </c>
      <c r="AJ250" s="543" t="s">
        <v>34</v>
      </c>
      <c r="AK250" s="543" t="s">
        <v>1818</v>
      </c>
      <c r="AL250" s="543" t="s">
        <v>34</v>
      </c>
      <c r="AM250" s="61" t="s">
        <v>4497</v>
      </c>
      <c r="AN250" s="541">
        <v>0</v>
      </c>
      <c r="AO250" s="541">
        <v>0</v>
      </c>
      <c r="AP250" s="61"/>
      <c r="CG250" t="str">
        <v>CAMERON SURFACE SYSTEMS - IOLA PLANT</v>
      </c>
    </row>
    <row r="251" spans="1:85" x14ac:dyDescent="0.2">
      <c r="A251" s="61">
        <v>250</v>
      </c>
      <c r="B251" s="542" t="s">
        <v>1051</v>
      </c>
      <c r="C251" s="543" t="s">
        <v>1060</v>
      </c>
      <c r="D251" s="543" t="s">
        <v>3987</v>
      </c>
      <c r="E251" s="543" t="s">
        <v>2669</v>
      </c>
      <c r="F251" s="543" t="s">
        <v>1755</v>
      </c>
      <c r="G251" s="543" t="s">
        <v>34</v>
      </c>
      <c r="H251" s="543" t="s">
        <v>1821</v>
      </c>
      <c r="I251" s="543" t="s">
        <v>5342</v>
      </c>
      <c r="J251" s="543" t="s">
        <v>2433</v>
      </c>
      <c r="K251" s="543" t="s">
        <v>3988</v>
      </c>
      <c r="L251" s="543" t="s">
        <v>2688</v>
      </c>
      <c r="M251" s="544" t="s">
        <v>3988</v>
      </c>
      <c r="N251" s="543" t="s">
        <v>1060</v>
      </c>
      <c r="O251" s="543" t="s">
        <v>2092</v>
      </c>
      <c r="P251" s="543" t="s">
        <v>3989</v>
      </c>
      <c r="Q251" s="543" t="s">
        <v>1813</v>
      </c>
      <c r="R251" s="543" t="s">
        <v>1988</v>
      </c>
      <c r="S251" s="543" t="s">
        <v>3990</v>
      </c>
      <c r="T251" s="543">
        <v>1296</v>
      </c>
      <c r="U251" s="543" t="s">
        <v>1844</v>
      </c>
      <c r="V251" s="543" t="s">
        <v>3991</v>
      </c>
      <c r="W251" s="543" t="s">
        <v>3992</v>
      </c>
      <c r="X251" s="543" t="s">
        <v>1815</v>
      </c>
      <c r="Y251" s="543" t="s">
        <v>2160</v>
      </c>
      <c r="Z251" s="543" t="s">
        <v>3993</v>
      </c>
      <c r="AA251" s="543" t="s">
        <v>1815</v>
      </c>
      <c r="AB251" s="543" t="s">
        <v>34</v>
      </c>
      <c r="AC251" s="543" t="s">
        <v>1816</v>
      </c>
      <c r="AD251" s="543" t="s">
        <v>1817</v>
      </c>
      <c r="AE251" s="543" t="s">
        <v>1455</v>
      </c>
      <c r="AF251" s="543">
        <v>4</v>
      </c>
      <c r="AG251" s="543">
        <v>0.5</v>
      </c>
      <c r="AH251" s="543">
        <v>1</v>
      </c>
      <c r="AI251" s="543" t="s">
        <v>3994</v>
      </c>
      <c r="AJ251" s="543" t="s">
        <v>3995</v>
      </c>
      <c r="AK251" s="543" t="s">
        <v>1818</v>
      </c>
      <c r="AL251" s="543" t="s">
        <v>34</v>
      </c>
      <c r="AM251" s="61" t="s">
        <v>4495</v>
      </c>
      <c r="AN251" s="541">
        <v>0</v>
      </c>
      <c r="AO251" s="541">
        <v>0</v>
      </c>
      <c r="AP251" s="61"/>
      <c r="CG251" t="str">
        <v>CAMSO MANUFACTURING</v>
      </c>
    </row>
    <row r="252" spans="1:85" x14ac:dyDescent="0.2">
      <c r="A252" s="61">
        <v>251</v>
      </c>
      <c r="B252" s="542" t="s">
        <v>1051</v>
      </c>
      <c r="C252" s="543" t="s">
        <v>1056</v>
      </c>
      <c r="D252" s="543" t="s">
        <v>3825</v>
      </c>
      <c r="E252" s="543" t="s">
        <v>2669</v>
      </c>
      <c r="F252" s="543" t="s">
        <v>1755</v>
      </c>
      <c r="G252" s="543" t="s">
        <v>34</v>
      </c>
      <c r="H252" s="543" t="s">
        <v>1821</v>
      </c>
      <c r="I252" s="543" t="s">
        <v>5342</v>
      </c>
      <c r="J252" s="543" t="s">
        <v>2433</v>
      </c>
      <c r="K252" s="543" t="s">
        <v>2700</v>
      </c>
      <c r="L252" s="543" t="s">
        <v>109</v>
      </c>
      <c r="M252" s="544">
        <v>260</v>
      </c>
      <c r="N252" s="543" t="s">
        <v>1056</v>
      </c>
      <c r="O252" s="543" t="s">
        <v>4270</v>
      </c>
      <c r="P252" s="543" t="s">
        <v>2701</v>
      </c>
      <c r="Q252" s="543" t="s">
        <v>1813</v>
      </c>
      <c r="R252" s="543" t="s">
        <v>1878</v>
      </c>
      <c r="S252" s="543" t="s">
        <v>2702</v>
      </c>
      <c r="T252" s="543">
        <v>675</v>
      </c>
      <c r="U252" s="543" t="s">
        <v>1843</v>
      </c>
      <c r="V252" s="543" t="s">
        <v>2703</v>
      </c>
      <c r="W252" s="543">
        <v>261</v>
      </c>
      <c r="X252" s="543" t="s">
        <v>2704</v>
      </c>
      <c r="Y252" s="543" t="s">
        <v>2705</v>
      </c>
      <c r="Z252" s="543">
        <v>259</v>
      </c>
      <c r="AA252" s="543" t="s">
        <v>1815</v>
      </c>
      <c r="AB252" s="543" t="s">
        <v>4083</v>
      </c>
      <c r="AC252" s="543" t="s">
        <v>1816</v>
      </c>
      <c r="AD252" s="543" t="s">
        <v>1817</v>
      </c>
      <c r="AE252" s="543" t="s">
        <v>1455</v>
      </c>
      <c r="AF252" s="543" t="s">
        <v>3040</v>
      </c>
      <c r="AG252" s="543" t="s">
        <v>34</v>
      </c>
      <c r="AH252" s="543" t="s">
        <v>34</v>
      </c>
      <c r="AI252" s="543" t="s">
        <v>34</v>
      </c>
      <c r="AJ252" s="543" t="s">
        <v>34</v>
      </c>
      <c r="AK252" s="543" t="s">
        <v>1818</v>
      </c>
      <c r="AL252" s="543" t="s">
        <v>34</v>
      </c>
      <c r="AM252" s="61" t="s">
        <v>4498</v>
      </c>
      <c r="AN252" s="541">
        <v>0</v>
      </c>
      <c r="AO252" s="541">
        <v>0</v>
      </c>
      <c r="AP252" s="61"/>
      <c r="CG252" t="str">
        <v>CAMSO MANUFACTURING USA</v>
      </c>
    </row>
    <row r="253" spans="1:85" x14ac:dyDescent="0.2">
      <c r="A253" s="61">
        <v>252</v>
      </c>
      <c r="B253" s="542" t="s">
        <v>1051</v>
      </c>
      <c r="C253" s="543" t="s">
        <v>1058</v>
      </c>
      <c r="D253" s="543" t="s">
        <v>3826</v>
      </c>
      <c r="E253" s="543" t="s">
        <v>2669</v>
      </c>
      <c r="F253" s="543" t="s">
        <v>1755</v>
      </c>
      <c r="G253" s="543" t="s">
        <v>34</v>
      </c>
      <c r="H253" s="543" t="s">
        <v>1821</v>
      </c>
      <c r="I253" s="543" t="s">
        <v>3565</v>
      </c>
      <c r="J253" s="543" t="s">
        <v>2089</v>
      </c>
      <c r="K253" s="543" t="s">
        <v>878</v>
      </c>
      <c r="L253" s="543" t="s">
        <v>2689</v>
      </c>
      <c r="M253" s="544">
        <v>98</v>
      </c>
      <c r="N253" s="543" t="s">
        <v>1058</v>
      </c>
      <c r="O253" s="543" t="s">
        <v>665</v>
      </c>
      <c r="P253" s="543" t="s">
        <v>2555</v>
      </c>
      <c r="Q253" s="543" t="s">
        <v>1813</v>
      </c>
      <c r="R253" s="543" t="s">
        <v>1814</v>
      </c>
      <c r="S253" s="543" t="s">
        <v>2690</v>
      </c>
      <c r="T253" s="543">
        <v>4752</v>
      </c>
      <c r="U253" s="543" t="s">
        <v>1844</v>
      </c>
      <c r="V253" s="543" t="s">
        <v>4206</v>
      </c>
      <c r="W253" s="543" t="s">
        <v>2691</v>
      </c>
      <c r="X253" s="543" t="s">
        <v>1815</v>
      </c>
      <c r="Y253" s="543" t="s">
        <v>2637</v>
      </c>
      <c r="Z253" s="543" t="s">
        <v>2692</v>
      </c>
      <c r="AA253" s="543" t="s">
        <v>4220</v>
      </c>
      <c r="AB253" s="543" t="s">
        <v>4207</v>
      </c>
      <c r="AC253" s="543" t="s">
        <v>1816</v>
      </c>
      <c r="AD253" s="543" t="s">
        <v>1817</v>
      </c>
      <c r="AE253" s="543" t="s">
        <v>1455</v>
      </c>
      <c r="AF253" s="543" t="s">
        <v>3040</v>
      </c>
      <c r="AG253" s="543" t="s">
        <v>34</v>
      </c>
      <c r="AH253" s="543" t="s">
        <v>34</v>
      </c>
      <c r="AI253" s="543" t="s">
        <v>34</v>
      </c>
      <c r="AJ253" s="543" t="s">
        <v>34</v>
      </c>
      <c r="AK253" s="543" t="s">
        <v>1818</v>
      </c>
      <c r="AL253" s="543" t="s">
        <v>34</v>
      </c>
      <c r="AM253" s="61" t="s">
        <v>4497</v>
      </c>
      <c r="AN253" s="541">
        <v>0</v>
      </c>
      <c r="AO253" s="541">
        <v>0</v>
      </c>
      <c r="AP253" s="61"/>
      <c r="CG253" t="str">
        <v>CANCER CENTER OF KANSAS</v>
      </c>
    </row>
    <row r="254" spans="1:85" x14ac:dyDescent="0.2">
      <c r="A254" s="61">
        <v>253</v>
      </c>
      <c r="B254" s="542" t="s">
        <v>1051</v>
      </c>
      <c r="C254" s="543" t="s">
        <v>1053</v>
      </c>
      <c r="D254" s="543" t="s">
        <v>3827</v>
      </c>
      <c r="E254" s="543" t="s">
        <v>2669</v>
      </c>
      <c r="F254" s="543" t="s">
        <v>1755</v>
      </c>
      <c r="G254" s="543" t="s">
        <v>34</v>
      </c>
      <c r="H254" s="543" t="s">
        <v>1821</v>
      </c>
      <c r="I254" s="543" t="s">
        <v>5342</v>
      </c>
      <c r="J254" s="543" t="s">
        <v>2433</v>
      </c>
      <c r="K254" s="543" t="s">
        <v>878</v>
      </c>
      <c r="L254" s="543" t="s">
        <v>2143</v>
      </c>
      <c r="M254" s="544" t="s">
        <v>2693</v>
      </c>
      <c r="N254" s="543" t="s">
        <v>1053</v>
      </c>
      <c r="O254" s="543" t="s">
        <v>665</v>
      </c>
      <c r="P254" s="543" t="s">
        <v>2138</v>
      </c>
      <c r="Q254" s="543" t="s">
        <v>1813</v>
      </c>
      <c r="R254" s="543" t="s">
        <v>1814</v>
      </c>
      <c r="S254" s="543" t="s">
        <v>2694</v>
      </c>
      <c r="T254" s="543">
        <v>2928</v>
      </c>
      <c r="U254" s="543" t="s">
        <v>1844</v>
      </c>
      <c r="V254" s="543" t="s">
        <v>2146</v>
      </c>
      <c r="W254" s="543">
        <v>43144</v>
      </c>
      <c r="X254" s="543" t="s">
        <v>2431</v>
      </c>
      <c r="Y254" s="543" t="s">
        <v>2637</v>
      </c>
      <c r="Z254" s="543" t="s">
        <v>2692</v>
      </c>
      <c r="AA254" s="543" t="s">
        <v>1951</v>
      </c>
      <c r="AB254" s="543" t="s">
        <v>4441</v>
      </c>
      <c r="AC254" s="543" t="s">
        <v>1816</v>
      </c>
      <c r="AD254" s="543" t="s">
        <v>1817</v>
      </c>
      <c r="AE254" s="543" t="s">
        <v>1455</v>
      </c>
      <c r="AF254" s="543" t="s">
        <v>3040</v>
      </c>
      <c r="AG254" s="543" t="s">
        <v>34</v>
      </c>
      <c r="AH254" s="543" t="s">
        <v>34</v>
      </c>
      <c r="AI254" s="543" t="s">
        <v>34</v>
      </c>
      <c r="AJ254" s="543" t="s">
        <v>34</v>
      </c>
      <c r="AK254" s="543" t="s">
        <v>1818</v>
      </c>
      <c r="AL254" s="543" t="s">
        <v>34</v>
      </c>
      <c r="AM254" s="61" t="s">
        <v>4497</v>
      </c>
      <c r="AN254" s="541">
        <v>0</v>
      </c>
      <c r="AO254" s="541">
        <v>0</v>
      </c>
      <c r="AP254" s="61"/>
      <c r="CG254" t="str">
        <v>CAPPS MANUFACTURING INC.</v>
      </c>
    </row>
    <row r="255" spans="1:85" x14ac:dyDescent="0.2">
      <c r="A255" s="61">
        <v>254</v>
      </c>
      <c r="B255" s="542" t="s">
        <v>1051</v>
      </c>
      <c r="C255" s="543" t="s">
        <v>4285</v>
      </c>
      <c r="D255" s="543" t="s">
        <v>4286</v>
      </c>
      <c r="E255" s="543" t="s">
        <v>2669</v>
      </c>
      <c r="F255" s="543" t="s">
        <v>1755</v>
      </c>
      <c r="G255" s="543" t="s">
        <v>34</v>
      </c>
      <c r="H255" s="543" t="s">
        <v>1821</v>
      </c>
      <c r="I255" s="543" t="s">
        <v>5342</v>
      </c>
      <c r="J255" s="543" t="s">
        <v>2433</v>
      </c>
      <c r="K255" s="543" t="s">
        <v>4287</v>
      </c>
      <c r="L255" s="543" t="s">
        <v>2688</v>
      </c>
      <c r="M255" s="544">
        <v>1605</v>
      </c>
      <c r="N255" s="543" t="s">
        <v>4285</v>
      </c>
      <c r="O255" s="543" t="s">
        <v>2092</v>
      </c>
      <c r="P255" s="543" t="s">
        <v>2695</v>
      </c>
      <c r="Q255" s="543" t="s">
        <v>1813</v>
      </c>
      <c r="R255" s="543" t="s">
        <v>1988</v>
      </c>
      <c r="S255" s="543" t="s">
        <v>2696</v>
      </c>
      <c r="T255" s="543">
        <v>2320</v>
      </c>
      <c r="U255" s="543" t="s">
        <v>1844</v>
      </c>
      <c r="V255" s="543" t="s">
        <v>2697</v>
      </c>
      <c r="W255" s="543" t="s">
        <v>2698</v>
      </c>
      <c r="X255" s="543" t="s">
        <v>1815</v>
      </c>
      <c r="Y255" s="543" t="s">
        <v>1996</v>
      </c>
      <c r="Z255" s="543" t="s">
        <v>2699</v>
      </c>
      <c r="AA255" s="543" t="s">
        <v>1815</v>
      </c>
      <c r="AB255" s="543" t="s">
        <v>34</v>
      </c>
      <c r="AC255" s="543" t="s">
        <v>1816</v>
      </c>
      <c r="AD255" s="543" t="s">
        <v>1817</v>
      </c>
      <c r="AE255" s="543" t="s">
        <v>1455</v>
      </c>
      <c r="AF255" s="543">
        <v>4</v>
      </c>
      <c r="AG255" s="543">
        <v>0.5</v>
      </c>
      <c r="AH255" s="543">
        <v>1</v>
      </c>
      <c r="AI255" s="543" t="s">
        <v>3622</v>
      </c>
      <c r="AJ255" s="543" t="s">
        <v>3585</v>
      </c>
      <c r="AK255" s="543" t="s">
        <v>1818</v>
      </c>
      <c r="AL255" s="543" t="s">
        <v>34</v>
      </c>
      <c r="AM255" s="61" t="s">
        <v>4497</v>
      </c>
      <c r="AN255" s="541">
        <v>0</v>
      </c>
      <c r="AO255" s="541">
        <v>0</v>
      </c>
      <c r="AP255" s="61"/>
      <c r="CG255" t="str">
        <v>CAPPS MANUFACTURING INC. - CUSTER</v>
      </c>
    </row>
    <row r="256" spans="1:85" x14ac:dyDescent="0.2">
      <c r="A256" s="61">
        <v>255</v>
      </c>
      <c r="B256" s="542" t="s">
        <v>1051</v>
      </c>
      <c r="C256" s="543" t="s">
        <v>4800</v>
      </c>
      <c r="D256" s="543" t="s">
        <v>4801</v>
      </c>
      <c r="E256" s="543" t="s">
        <v>2669</v>
      </c>
      <c r="F256" s="543" t="s">
        <v>1755</v>
      </c>
      <c r="G256" s="543" t="s">
        <v>34</v>
      </c>
      <c r="H256" s="543" t="s">
        <v>1821</v>
      </c>
      <c r="I256" s="543" t="s">
        <v>5342</v>
      </c>
      <c r="J256" s="543" t="s">
        <v>2433</v>
      </c>
      <c r="K256" s="543" t="s">
        <v>4800</v>
      </c>
      <c r="L256" s="543" t="s">
        <v>2688</v>
      </c>
      <c r="M256" s="544">
        <v>1605</v>
      </c>
      <c r="N256" s="543" t="s">
        <v>4802</v>
      </c>
      <c r="O256" s="543" t="s">
        <v>4270</v>
      </c>
      <c r="P256" s="543" t="s">
        <v>2701</v>
      </c>
      <c r="Q256" s="543" t="s">
        <v>1813</v>
      </c>
      <c r="R256" s="543" t="s">
        <v>1988</v>
      </c>
      <c r="S256" s="543" t="s">
        <v>2696</v>
      </c>
      <c r="T256" s="543">
        <v>2320</v>
      </c>
      <c r="U256" s="543" t="s">
        <v>1843</v>
      </c>
      <c r="V256" s="543" t="s">
        <v>2697</v>
      </c>
      <c r="W256" s="543" t="s">
        <v>2698</v>
      </c>
      <c r="X256" s="543" t="s">
        <v>1815</v>
      </c>
      <c r="Y256" s="543" t="s">
        <v>1996</v>
      </c>
      <c r="Z256" s="543" t="s">
        <v>2699</v>
      </c>
      <c r="AA256" s="543" t="s">
        <v>1815</v>
      </c>
      <c r="AB256" s="543" t="s">
        <v>34</v>
      </c>
      <c r="AC256" s="543" t="s">
        <v>1816</v>
      </c>
      <c r="AD256" s="543" t="s">
        <v>1817</v>
      </c>
      <c r="AE256" s="543" t="s">
        <v>1455</v>
      </c>
      <c r="AF256" s="543">
        <v>4</v>
      </c>
      <c r="AG256" s="543">
        <v>0.5</v>
      </c>
      <c r="AH256" s="543">
        <v>1</v>
      </c>
      <c r="AI256" s="543" t="s">
        <v>3622</v>
      </c>
      <c r="AJ256" s="543" t="s">
        <v>3585</v>
      </c>
      <c r="AK256" s="543" t="s">
        <v>1818</v>
      </c>
      <c r="AL256" s="543" t="s">
        <v>34</v>
      </c>
      <c r="AM256" s="61" t="s">
        <v>4497</v>
      </c>
      <c r="AN256" s="541"/>
      <c r="AO256" s="541"/>
      <c r="AP256" s="61"/>
      <c r="CG256" t="str">
        <v>CAPSTONE CALIBRATION</v>
      </c>
    </row>
    <row r="257" spans="1:85" x14ac:dyDescent="0.2">
      <c r="A257" s="61">
        <v>256</v>
      </c>
      <c r="B257" s="542" t="s">
        <v>1051</v>
      </c>
      <c r="C257" s="543" t="s">
        <v>1065</v>
      </c>
      <c r="D257" s="543" t="s">
        <v>3828</v>
      </c>
      <c r="E257" s="543" t="s">
        <v>2669</v>
      </c>
      <c r="F257" s="543" t="s">
        <v>1755</v>
      </c>
      <c r="G257" s="543" t="s">
        <v>34</v>
      </c>
      <c r="H257" s="543" t="s">
        <v>1821</v>
      </c>
      <c r="I257" s="543" t="s">
        <v>5342</v>
      </c>
      <c r="J257" s="543" t="s">
        <v>2433</v>
      </c>
      <c r="K257" s="543" t="s">
        <v>2676</v>
      </c>
      <c r="L257" s="543" t="s">
        <v>2162</v>
      </c>
      <c r="M257" s="544">
        <v>156</v>
      </c>
      <c r="N257" s="543" t="s">
        <v>1065</v>
      </c>
      <c r="O257" s="543" t="s">
        <v>665</v>
      </c>
      <c r="P257" s="543" t="s">
        <v>2677</v>
      </c>
      <c r="Q257" s="543" t="s">
        <v>1894</v>
      </c>
      <c r="R257" s="543" t="s">
        <v>1878</v>
      </c>
      <c r="S257" s="543" t="s">
        <v>2672</v>
      </c>
      <c r="T257" s="543">
        <v>750</v>
      </c>
      <c r="U257" s="543" t="s">
        <v>1642</v>
      </c>
      <c r="V257" s="543" t="s">
        <v>2678</v>
      </c>
      <c r="W257" s="543" t="s">
        <v>2679</v>
      </c>
      <c r="X257" s="543" t="s">
        <v>1815</v>
      </c>
      <c r="Y257" s="543" t="s">
        <v>2160</v>
      </c>
      <c r="Z257" s="543" t="s">
        <v>2680</v>
      </c>
      <c r="AA257" s="543" t="s">
        <v>1954</v>
      </c>
      <c r="AB257" s="543" t="s">
        <v>2681</v>
      </c>
      <c r="AC257" s="543" t="s">
        <v>1816</v>
      </c>
      <c r="AD257" s="543" t="s">
        <v>1817</v>
      </c>
      <c r="AE257" s="543" t="s">
        <v>1455</v>
      </c>
      <c r="AF257" s="543" t="s">
        <v>3040</v>
      </c>
      <c r="AG257" s="543" t="s">
        <v>34</v>
      </c>
      <c r="AH257" s="543" t="s">
        <v>34</v>
      </c>
      <c r="AI257" s="543" t="s">
        <v>34</v>
      </c>
      <c r="AJ257" s="543" t="s">
        <v>34</v>
      </c>
      <c r="AK257" s="543" t="s">
        <v>1818</v>
      </c>
      <c r="AL257" s="543" t="s">
        <v>34</v>
      </c>
      <c r="AM257" s="61" t="s">
        <v>4495</v>
      </c>
      <c r="AN257" s="541">
        <v>0</v>
      </c>
      <c r="AO257" s="541">
        <v>0</v>
      </c>
      <c r="AP257" s="61"/>
      <c r="CG257" t="str">
        <v>CARDEN MACHINE SHOP</v>
      </c>
    </row>
    <row r="258" spans="1:85" x14ac:dyDescent="0.2">
      <c r="A258" s="61">
        <v>257</v>
      </c>
      <c r="B258" s="542" t="s">
        <v>1051</v>
      </c>
      <c r="C258" s="543" t="s">
        <v>1067</v>
      </c>
      <c r="D258" s="543" t="s">
        <v>3829</v>
      </c>
      <c r="E258" s="543" t="s">
        <v>2669</v>
      </c>
      <c r="F258" s="543" t="s">
        <v>1755</v>
      </c>
      <c r="G258" s="543" t="s">
        <v>34</v>
      </c>
      <c r="H258" s="543" t="s">
        <v>1821</v>
      </c>
      <c r="I258" s="543" t="s">
        <v>5342</v>
      </c>
      <c r="J258" s="543" t="s">
        <v>2433</v>
      </c>
      <c r="K258" s="543" t="s">
        <v>2670</v>
      </c>
      <c r="L258" s="543" t="s">
        <v>2162</v>
      </c>
      <c r="M258" s="544">
        <v>208</v>
      </c>
      <c r="N258" s="543" t="s">
        <v>1067</v>
      </c>
      <c r="O258" s="543" t="s">
        <v>665</v>
      </c>
      <c r="P258" s="543" t="s">
        <v>2671</v>
      </c>
      <c r="Q258" s="543" t="s">
        <v>1894</v>
      </c>
      <c r="R258" s="543" t="s">
        <v>1878</v>
      </c>
      <c r="S258" s="543" t="s">
        <v>2672</v>
      </c>
      <c r="T258" s="543">
        <v>750</v>
      </c>
      <c r="U258" s="543" t="s">
        <v>1642</v>
      </c>
      <c r="V258" s="543" t="s">
        <v>2673</v>
      </c>
      <c r="W258" s="543">
        <v>16416124</v>
      </c>
      <c r="X258" s="543" t="s">
        <v>1815</v>
      </c>
      <c r="Y258" s="543" t="s">
        <v>2674</v>
      </c>
      <c r="Z258" s="543" t="s">
        <v>2675</v>
      </c>
      <c r="AA258" s="543" t="s">
        <v>1815</v>
      </c>
      <c r="AB258" s="543" t="s">
        <v>34</v>
      </c>
      <c r="AC258" s="543" t="s">
        <v>1816</v>
      </c>
      <c r="AD258" s="543" t="s">
        <v>1817</v>
      </c>
      <c r="AE258" s="543" t="s">
        <v>1455</v>
      </c>
      <c r="AF258" s="543" t="s">
        <v>3040</v>
      </c>
      <c r="AG258" s="543" t="s">
        <v>34</v>
      </c>
      <c r="AH258" s="543" t="s">
        <v>34</v>
      </c>
      <c r="AI258" s="543" t="s">
        <v>34</v>
      </c>
      <c r="AJ258" s="543" t="s">
        <v>34</v>
      </c>
      <c r="AK258" s="543" t="s">
        <v>1818</v>
      </c>
      <c r="AL258" s="543" t="s">
        <v>34</v>
      </c>
      <c r="AM258" s="61" t="s">
        <v>4495</v>
      </c>
      <c r="AN258" s="541">
        <v>0</v>
      </c>
      <c r="AO258" s="541">
        <v>0</v>
      </c>
      <c r="AP258" s="61"/>
      <c r="CG258" t="str">
        <v>CARGILL DRESSING SAUCES AND OILS</v>
      </c>
    </row>
    <row r="259" spans="1:85" x14ac:dyDescent="0.2">
      <c r="A259" s="61">
        <v>258</v>
      </c>
      <c r="B259" s="542" t="s">
        <v>1051</v>
      </c>
      <c r="C259" s="543" t="s">
        <v>4680</v>
      </c>
      <c r="D259" s="543" t="s">
        <v>4681</v>
      </c>
      <c r="E259" s="543" t="s">
        <v>2669</v>
      </c>
      <c r="F259" s="543" t="s">
        <v>1755</v>
      </c>
      <c r="G259" s="543" t="s">
        <v>34</v>
      </c>
      <c r="H259" s="543" t="s">
        <v>1821</v>
      </c>
      <c r="I259" s="543" t="s">
        <v>5342</v>
      </c>
      <c r="J259" s="543" t="s">
        <v>2433</v>
      </c>
      <c r="K259" s="543" t="s">
        <v>4680</v>
      </c>
      <c r="L259" s="543" t="s">
        <v>1948</v>
      </c>
      <c r="M259" s="544" t="s">
        <v>4682</v>
      </c>
      <c r="N259" s="543" t="s">
        <v>4683</v>
      </c>
      <c r="O259" s="543" t="s">
        <v>665</v>
      </c>
      <c r="P259" s="543" t="s">
        <v>2671</v>
      </c>
      <c r="Q259" s="543" t="s">
        <v>1894</v>
      </c>
      <c r="R259" s="543" t="s">
        <v>1814</v>
      </c>
      <c r="S259" s="543" t="s">
        <v>2231</v>
      </c>
      <c r="T259" s="543">
        <v>1473.8</v>
      </c>
      <c r="U259" s="543" t="s">
        <v>1642</v>
      </c>
      <c r="V259" s="543" t="s">
        <v>4684</v>
      </c>
      <c r="W259" s="543" t="s">
        <v>4685</v>
      </c>
      <c r="X259" s="543" t="s">
        <v>1815</v>
      </c>
      <c r="Y259" s="543" t="s">
        <v>109</v>
      </c>
      <c r="Z259" s="543" t="s">
        <v>109</v>
      </c>
      <c r="AA259" s="543" t="s">
        <v>109</v>
      </c>
      <c r="AB259" s="543" t="s">
        <v>34</v>
      </c>
      <c r="AC259" s="543" t="s">
        <v>1816</v>
      </c>
      <c r="AD259" s="543" t="s">
        <v>4314</v>
      </c>
      <c r="AE259" s="543" t="s">
        <v>1455</v>
      </c>
      <c r="AF259" s="543" t="s">
        <v>3040</v>
      </c>
      <c r="AG259" s="543" t="s">
        <v>34</v>
      </c>
      <c r="AH259" s="543" t="s">
        <v>34</v>
      </c>
      <c r="AI259" s="543" t="s">
        <v>34</v>
      </c>
      <c r="AJ259" s="543" t="s">
        <v>34</v>
      </c>
      <c r="AK259" s="543" t="s">
        <v>1818</v>
      </c>
      <c r="AL259" s="543" t="s">
        <v>34</v>
      </c>
      <c r="AM259" s="61" t="s">
        <v>4495</v>
      </c>
      <c r="AN259" s="541"/>
      <c r="AO259" s="541"/>
      <c r="AP259" s="61"/>
      <c r="CG259" t="str">
        <v>CARGILL GRAIN AND OILSEED NA (CRUSH)</v>
      </c>
    </row>
    <row r="260" spans="1:85" x14ac:dyDescent="0.2">
      <c r="A260" s="61">
        <v>259</v>
      </c>
      <c r="B260" s="542" t="s">
        <v>1051</v>
      </c>
      <c r="C260" s="543" t="s">
        <v>4308</v>
      </c>
      <c r="D260" s="543" t="s">
        <v>4309</v>
      </c>
      <c r="E260" s="543" t="s">
        <v>2669</v>
      </c>
      <c r="F260" s="543" t="s">
        <v>1755</v>
      </c>
      <c r="G260" s="543" t="s">
        <v>34</v>
      </c>
      <c r="H260" s="543" t="s">
        <v>1821</v>
      </c>
      <c r="I260" s="543" t="s">
        <v>5342</v>
      </c>
      <c r="J260" s="543" t="s">
        <v>2433</v>
      </c>
      <c r="K260" s="543" t="s">
        <v>4308</v>
      </c>
      <c r="L260" s="543" t="s">
        <v>1948</v>
      </c>
      <c r="M260" s="544" t="s">
        <v>4310</v>
      </c>
      <c r="N260" s="543">
        <v>326</v>
      </c>
      <c r="O260" s="543" t="s">
        <v>665</v>
      </c>
      <c r="P260" s="543" t="s">
        <v>2671</v>
      </c>
      <c r="Q260" s="543" t="s">
        <v>1894</v>
      </c>
      <c r="R260" s="543" t="s">
        <v>1814</v>
      </c>
      <c r="S260" s="543" t="s">
        <v>4311</v>
      </c>
      <c r="T260" s="543">
        <v>1474</v>
      </c>
      <c r="U260" s="543" t="s">
        <v>1642</v>
      </c>
      <c r="V260" s="543" t="s">
        <v>4312</v>
      </c>
      <c r="W260" s="543" t="s">
        <v>4313</v>
      </c>
      <c r="X260" s="543" t="s">
        <v>1815</v>
      </c>
      <c r="Y260" s="543" t="s">
        <v>109</v>
      </c>
      <c r="Z260" s="543" t="s">
        <v>109</v>
      </c>
      <c r="AA260" s="543" t="s">
        <v>109</v>
      </c>
      <c r="AB260" s="543" t="s">
        <v>34</v>
      </c>
      <c r="AC260" s="543" t="s">
        <v>1816</v>
      </c>
      <c r="AD260" s="543" t="s">
        <v>4314</v>
      </c>
      <c r="AE260" s="543" t="s">
        <v>1455</v>
      </c>
      <c r="AF260" s="543" t="s">
        <v>3040</v>
      </c>
      <c r="AG260" s="543" t="s">
        <v>34</v>
      </c>
      <c r="AH260" s="543" t="s">
        <v>34</v>
      </c>
      <c r="AI260" s="543" t="s">
        <v>34</v>
      </c>
      <c r="AJ260" s="543" t="s">
        <v>34</v>
      </c>
      <c r="AK260" s="543" t="s">
        <v>1818</v>
      </c>
      <c r="AL260" s="543" t="s">
        <v>34</v>
      </c>
      <c r="AM260" s="61" t="s">
        <v>4495</v>
      </c>
      <c r="AN260" s="541">
        <v>0</v>
      </c>
      <c r="AO260" s="541">
        <v>0</v>
      </c>
      <c r="AP260" s="61"/>
      <c r="CG260" t="str">
        <v>CARGILL INCORPORATED</v>
      </c>
    </row>
    <row r="261" spans="1:85" x14ac:dyDescent="0.2">
      <c r="A261" s="61">
        <v>260</v>
      </c>
      <c r="B261" s="542" t="s">
        <v>4104</v>
      </c>
      <c r="C261" s="543" t="s">
        <v>4105</v>
      </c>
      <c r="D261" s="543" t="s">
        <v>4106</v>
      </c>
      <c r="E261" s="543" t="s">
        <v>4107</v>
      </c>
      <c r="F261" s="543" t="s">
        <v>4108</v>
      </c>
      <c r="G261" s="543" t="s">
        <v>34</v>
      </c>
      <c r="H261" s="543" t="s">
        <v>1821</v>
      </c>
      <c r="I261" s="543" t="s">
        <v>5342</v>
      </c>
      <c r="J261" s="543" t="s">
        <v>1461</v>
      </c>
      <c r="K261" s="543" t="s">
        <v>4109</v>
      </c>
      <c r="L261" s="543" t="s">
        <v>1936</v>
      </c>
      <c r="M261" s="544" t="s">
        <v>4105</v>
      </c>
      <c r="N261" s="543" t="s">
        <v>4105</v>
      </c>
      <c r="O261" s="543" t="s">
        <v>4110</v>
      </c>
      <c r="P261" s="543" t="s">
        <v>2152</v>
      </c>
      <c r="Q261" s="543" t="s">
        <v>4111</v>
      </c>
      <c r="R261" s="543" t="s">
        <v>4112</v>
      </c>
      <c r="S261" s="543" t="s">
        <v>4113</v>
      </c>
      <c r="T261" s="543">
        <v>52</v>
      </c>
      <c r="U261" s="543" t="s">
        <v>1642</v>
      </c>
      <c r="V261" s="543" t="s">
        <v>4219</v>
      </c>
      <c r="W261" s="543" t="s">
        <v>4622</v>
      </c>
      <c r="X261" s="543" t="s">
        <v>1815</v>
      </c>
      <c r="Y261" s="543" t="s">
        <v>109</v>
      </c>
      <c r="Z261" s="543" t="s">
        <v>109</v>
      </c>
      <c r="AA261" s="543" t="s">
        <v>109</v>
      </c>
      <c r="AB261" s="543" t="s">
        <v>34</v>
      </c>
      <c r="AC261" s="543" t="s">
        <v>1816</v>
      </c>
      <c r="AD261" s="543" t="s">
        <v>4065</v>
      </c>
      <c r="AE261" s="543" t="s">
        <v>1455</v>
      </c>
      <c r="AF261" s="543" t="s">
        <v>3040</v>
      </c>
      <c r="AG261" s="543"/>
      <c r="AH261" s="543"/>
      <c r="AI261" s="543" t="s">
        <v>34</v>
      </c>
      <c r="AJ261" s="543" t="s">
        <v>34</v>
      </c>
      <c r="AK261" s="543" t="s">
        <v>1818</v>
      </c>
      <c r="AL261" s="543" t="s">
        <v>34</v>
      </c>
      <c r="AM261" s="61" t="s">
        <v>4498</v>
      </c>
      <c r="AN261" s="541">
        <v>0</v>
      </c>
      <c r="AO261" s="541">
        <v>0</v>
      </c>
      <c r="AP261" s="61"/>
      <c r="CG261" t="str">
        <v>CARGOTEC SOLUTIONS, LLC</v>
      </c>
    </row>
    <row r="262" spans="1:85" x14ac:dyDescent="0.2">
      <c r="A262" s="61">
        <v>261</v>
      </c>
      <c r="B262" s="542" t="s">
        <v>2706</v>
      </c>
      <c r="C262" s="543" t="s">
        <v>1527</v>
      </c>
      <c r="D262" s="543" t="s">
        <v>4714</v>
      </c>
      <c r="E262" s="543" t="s">
        <v>1756</v>
      </c>
      <c r="F262" s="543" t="s">
        <v>1725</v>
      </c>
      <c r="G262" s="543" t="s">
        <v>34</v>
      </c>
      <c r="H262" s="543" t="s">
        <v>1821</v>
      </c>
      <c r="I262" s="543" t="s">
        <v>5342</v>
      </c>
      <c r="J262" s="543" t="s">
        <v>2089</v>
      </c>
      <c r="K262" s="543" t="s">
        <v>2602</v>
      </c>
      <c r="L262" s="543" t="s">
        <v>4715</v>
      </c>
      <c r="M262" s="544" t="s">
        <v>4716</v>
      </c>
      <c r="N262" s="543" t="s">
        <v>1527</v>
      </c>
      <c r="O262" s="543" t="s">
        <v>5373</v>
      </c>
      <c r="P262" s="543" t="s">
        <v>2736</v>
      </c>
      <c r="Q262" s="543" t="s">
        <v>4555</v>
      </c>
      <c r="R262" s="543" t="s">
        <v>1814</v>
      </c>
      <c r="S262" s="543" t="s">
        <v>4717</v>
      </c>
      <c r="T262" s="543">
        <v>438.1</v>
      </c>
      <c r="U262" s="543" t="s">
        <v>1841</v>
      </c>
      <c r="V262" s="543" t="s">
        <v>4718</v>
      </c>
      <c r="W262" s="543" t="s">
        <v>4719</v>
      </c>
      <c r="X262" s="543" t="s">
        <v>4556</v>
      </c>
      <c r="Y262" s="543" t="s">
        <v>4156</v>
      </c>
      <c r="Z262" s="543" t="s">
        <v>4720</v>
      </c>
      <c r="AA262" s="543" t="s">
        <v>4556</v>
      </c>
      <c r="AB262" s="543" t="s">
        <v>4721</v>
      </c>
      <c r="AC262" s="543" t="s">
        <v>1816</v>
      </c>
      <c r="AD262" s="543" t="s">
        <v>1817</v>
      </c>
      <c r="AE262" s="543" t="s">
        <v>1455</v>
      </c>
      <c r="AF262" s="543" t="s">
        <v>4463</v>
      </c>
      <c r="AG262" s="543" t="s">
        <v>34</v>
      </c>
      <c r="AH262" s="543" t="s">
        <v>34</v>
      </c>
      <c r="AI262" s="543" t="s">
        <v>34</v>
      </c>
      <c r="AJ262" s="543" t="s">
        <v>34</v>
      </c>
      <c r="AK262" s="543" t="s">
        <v>1818</v>
      </c>
      <c r="AL262" s="543" t="s">
        <v>3418</v>
      </c>
      <c r="AM262" s="61" t="s">
        <v>4495</v>
      </c>
      <c r="AN262" s="541"/>
      <c r="AO262" s="541"/>
      <c r="AP262" s="61"/>
      <c r="CG262" t="str">
        <v>CARLSON COMPANY, INC.</v>
      </c>
    </row>
    <row r="263" spans="1:85" x14ac:dyDescent="0.2">
      <c r="A263" s="61">
        <v>262</v>
      </c>
      <c r="B263" s="542" t="s">
        <v>2706</v>
      </c>
      <c r="C263" s="543" t="s">
        <v>4722</v>
      </c>
      <c r="D263" s="543" t="s">
        <v>4723</v>
      </c>
      <c r="E263" s="543" t="s">
        <v>1756</v>
      </c>
      <c r="F263" s="543" t="s">
        <v>1725</v>
      </c>
      <c r="G263" s="543" t="s">
        <v>34</v>
      </c>
      <c r="H263" s="543" t="s">
        <v>1821</v>
      </c>
      <c r="I263" s="543" t="s">
        <v>2777</v>
      </c>
      <c r="J263" s="543" t="s">
        <v>2089</v>
      </c>
      <c r="K263" s="543" t="s">
        <v>2602</v>
      </c>
      <c r="L263" s="543" t="s">
        <v>4715</v>
      </c>
      <c r="M263" s="544" t="s">
        <v>4716</v>
      </c>
      <c r="N263" s="543" t="s">
        <v>1527</v>
      </c>
      <c r="O263" s="543" t="s">
        <v>2744</v>
      </c>
      <c r="P263" s="543" t="s">
        <v>2736</v>
      </c>
      <c r="Q263" s="543" t="s">
        <v>4555</v>
      </c>
      <c r="R263" s="543" t="s">
        <v>1814</v>
      </c>
      <c r="S263" s="543" t="s">
        <v>4717</v>
      </c>
      <c r="T263" s="543">
        <v>438.1</v>
      </c>
      <c r="U263" s="543" t="s">
        <v>1642</v>
      </c>
      <c r="V263" s="543" t="s">
        <v>4718</v>
      </c>
      <c r="W263" s="543" t="s">
        <v>4719</v>
      </c>
      <c r="X263" s="543" t="s">
        <v>4556</v>
      </c>
      <c r="Y263" s="543" t="s">
        <v>4156</v>
      </c>
      <c r="Z263" s="543" t="s">
        <v>4720</v>
      </c>
      <c r="AA263" s="543" t="s">
        <v>4556</v>
      </c>
      <c r="AB263" s="543" t="s">
        <v>4721</v>
      </c>
      <c r="AC263" s="543" t="s">
        <v>1816</v>
      </c>
      <c r="AD263" s="543" t="s">
        <v>1817</v>
      </c>
      <c r="AE263" s="543" t="s">
        <v>1455</v>
      </c>
      <c r="AF263" s="543" t="s">
        <v>4463</v>
      </c>
      <c r="AG263" s="543" t="s">
        <v>34</v>
      </c>
      <c r="AH263" s="543" t="s">
        <v>34</v>
      </c>
      <c r="AI263" s="543" t="s">
        <v>34</v>
      </c>
      <c r="AJ263" s="543" t="s">
        <v>34</v>
      </c>
      <c r="AK263" s="543" t="s">
        <v>1818</v>
      </c>
      <c r="AL263" s="543" t="s">
        <v>3418</v>
      </c>
      <c r="AM263" s="61" t="s">
        <v>4495</v>
      </c>
      <c r="AN263" s="541"/>
      <c r="AO263" s="541"/>
      <c r="AP263" s="61"/>
      <c r="CG263" t="str">
        <v>CASCADE ENGINEERING SERVICES, INC.</v>
      </c>
    </row>
    <row r="264" spans="1:85" x14ac:dyDescent="0.2">
      <c r="A264" s="61">
        <v>263</v>
      </c>
      <c r="B264" s="542" t="s">
        <v>2706</v>
      </c>
      <c r="C264" s="543" t="s">
        <v>1602</v>
      </c>
      <c r="D264" s="543" t="s">
        <v>3830</v>
      </c>
      <c r="E264" s="543" t="s">
        <v>1756</v>
      </c>
      <c r="F264" s="543" t="s">
        <v>1725</v>
      </c>
      <c r="G264" s="543" t="s">
        <v>34</v>
      </c>
      <c r="H264" s="543" t="s">
        <v>1821</v>
      </c>
      <c r="I264" s="543" t="s">
        <v>5351</v>
      </c>
      <c r="J264" s="543" t="s">
        <v>2089</v>
      </c>
      <c r="K264" s="543" t="s">
        <v>1602</v>
      </c>
      <c r="L264" s="543" t="s">
        <v>2745</v>
      </c>
      <c r="M264" s="544" t="s">
        <v>2746</v>
      </c>
      <c r="N264" s="543" t="s">
        <v>1602</v>
      </c>
      <c r="O264" s="543" t="s">
        <v>2744</v>
      </c>
      <c r="P264" s="543" t="s">
        <v>2599</v>
      </c>
      <c r="Q264" s="543" t="s">
        <v>1897</v>
      </c>
      <c r="R264" s="543" t="s">
        <v>1814</v>
      </c>
      <c r="S264" s="543" t="s">
        <v>2747</v>
      </c>
      <c r="T264" s="543">
        <v>235.6</v>
      </c>
      <c r="U264" s="543" t="s">
        <v>1642</v>
      </c>
      <c r="V264" s="543" t="s">
        <v>1899</v>
      </c>
      <c r="W264" s="543" t="s">
        <v>2742</v>
      </c>
      <c r="X264" s="543" t="s">
        <v>1815</v>
      </c>
      <c r="Y264" s="543" t="s">
        <v>2012</v>
      </c>
      <c r="Z264" s="543" t="s">
        <v>2748</v>
      </c>
      <c r="AA264" s="543" t="s">
        <v>1815</v>
      </c>
      <c r="AB264" s="543" t="s">
        <v>34</v>
      </c>
      <c r="AC264" s="543" t="s">
        <v>1816</v>
      </c>
      <c r="AD264" s="543" t="s">
        <v>1817</v>
      </c>
      <c r="AE264" s="543" t="s">
        <v>1455</v>
      </c>
      <c r="AF264" s="543">
        <v>12</v>
      </c>
      <c r="AG264" s="543" t="s">
        <v>3555</v>
      </c>
      <c r="AH264" s="543" t="s">
        <v>3555</v>
      </c>
      <c r="AI264" s="543" t="s">
        <v>34</v>
      </c>
      <c r="AJ264" s="543" t="s">
        <v>34</v>
      </c>
      <c r="AK264" s="543" t="s">
        <v>1818</v>
      </c>
      <c r="AL264" s="543" t="s">
        <v>3418</v>
      </c>
      <c r="AM264" s="61" t="s">
        <v>4513</v>
      </c>
      <c r="AN264" s="541">
        <v>0</v>
      </c>
      <c r="AO264" s="541">
        <v>0</v>
      </c>
      <c r="AP264" s="61"/>
      <c r="CG264" t="str">
        <v>CASCO PACKAWAY</v>
      </c>
    </row>
    <row r="265" spans="1:85" x14ac:dyDescent="0.2">
      <c r="A265" s="61">
        <v>264</v>
      </c>
      <c r="B265" s="542" t="s">
        <v>2706</v>
      </c>
      <c r="C265" s="543" t="s">
        <v>639</v>
      </c>
      <c r="D265" s="543" t="s">
        <v>3831</v>
      </c>
      <c r="E265" s="543" t="s">
        <v>1756</v>
      </c>
      <c r="F265" s="543" t="s">
        <v>1725</v>
      </c>
      <c r="G265" s="543" t="s">
        <v>34</v>
      </c>
      <c r="H265" s="543" t="s">
        <v>1821</v>
      </c>
      <c r="I265" s="543" t="s">
        <v>5342</v>
      </c>
      <c r="J265" s="543" t="s">
        <v>2089</v>
      </c>
      <c r="K265" s="543" t="s">
        <v>2733</v>
      </c>
      <c r="L265" s="543" t="s">
        <v>2762</v>
      </c>
      <c r="M265" s="544" t="s">
        <v>2746</v>
      </c>
      <c r="N265" s="543" t="s">
        <v>639</v>
      </c>
      <c r="O265" s="543" t="s">
        <v>5373</v>
      </c>
      <c r="P265" s="543" t="s">
        <v>2763</v>
      </c>
      <c r="Q265" s="543" t="s">
        <v>4589</v>
      </c>
      <c r="R265" s="543" t="s">
        <v>1814</v>
      </c>
      <c r="S265" s="543" t="s">
        <v>4806</v>
      </c>
      <c r="T265" s="543">
        <v>118</v>
      </c>
      <c r="U265" s="543" t="s">
        <v>1843</v>
      </c>
      <c r="V265" s="543" t="s">
        <v>1899</v>
      </c>
      <c r="W265" s="543" t="s">
        <v>2742</v>
      </c>
      <c r="X265" s="543" t="s">
        <v>4556</v>
      </c>
      <c r="Y265" s="543" t="s">
        <v>2012</v>
      </c>
      <c r="Z265" s="543" t="s">
        <v>2748</v>
      </c>
      <c r="AA265" s="543" t="s">
        <v>4556</v>
      </c>
      <c r="AB265" s="543" t="s">
        <v>2764</v>
      </c>
      <c r="AC265" s="543" t="s">
        <v>1816</v>
      </c>
      <c r="AD265" s="543" t="s">
        <v>1817</v>
      </c>
      <c r="AE265" s="543" t="s">
        <v>1455</v>
      </c>
      <c r="AF265" s="543">
        <v>12</v>
      </c>
      <c r="AG265" s="543" t="s">
        <v>3555</v>
      </c>
      <c r="AH265" s="543" t="s">
        <v>3555</v>
      </c>
      <c r="AI265" s="543" t="s">
        <v>34</v>
      </c>
      <c r="AJ265" s="543" t="s">
        <v>34</v>
      </c>
      <c r="AK265" s="543" t="s">
        <v>1818</v>
      </c>
      <c r="AL265" s="543" t="s">
        <v>3418</v>
      </c>
      <c r="AM265" s="61" t="s">
        <v>4495</v>
      </c>
      <c r="AN265" s="541">
        <v>0</v>
      </c>
      <c r="AO265" s="541">
        <v>0</v>
      </c>
      <c r="AP265" s="61"/>
      <c r="CG265" t="str">
        <v>CASEY INDUSTRIAL, INC.</v>
      </c>
    </row>
    <row r="266" spans="1:85" x14ac:dyDescent="0.2">
      <c r="A266" s="61">
        <v>265</v>
      </c>
      <c r="B266" s="542" t="s">
        <v>2706</v>
      </c>
      <c r="C266" s="543" t="s">
        <v>1614</v>
      </c>
      <c r="D266" s="543" t="s">
        <v>3832</v>
      </c>
      <c r="E266" s="543" t="s">
        <v>1756</v>
      </c>
      <c r="F266" s="543" t="s">
        <v>1725</v>
      </c>
      <c r="G266" s="543" t="s">
        <v>34</v>
      </c>
      <c r="H266" s="543" t="s">
        <v>1821</v>
      </c>
      <c r="I266" s="543" t="s">
        <v>5351</v>
      </c>
      <c r="J266" s="543" t="s">
        <v>2089</v>
      </c>
      <c r="K266" s="543" t="s">
        <v>2733</v>
      </c>
      <c r="L266" s="543" t="s">
        <v>2734</v>
      </c>
      <c r="M266" s="544" t="s">
        <v>2735</v>
      </c>
      <c r="N266" s="543" t="s">
        <v>2741</v>
      </c>
      <c r="O266" s="543" t="s">
        <v>2744</v>
      </c>
      <c r="P266" s="543" t="s">
        <v>2599</v>
      </c>
      <c r="Q266" s="543" t="s">
        <v>1897</v>
      </c>
      <c r="R266" s="543" t="s">
        <v>1988</v>
      </c>
      <c r="S266" s="543" t="s">
        <v>2737</v>
      </c>
      <c r="T266" s="543">
        <v>500</v>
      </c>
      <c r="U266" s="543" t="s">
        <v>1642</v>
      </c>
      <c r="V266" s="543" t="s">
        <v>1899</v>
      </c>
      <c r="W266" s="543" t="s">
        <v>2738</v>
      </c>
      <c r="X266" s="543" t="s">
        <v>1815</v>
      </c>
      <c r="Y266" s="543" t="s">
        <v>2012</v>
      </c>
      <c r="Z266" s="543" t="s">
        <v>2739</v>
      </c>
      <c r="AA266" s="543" t="s">
        <v>1815</v>
      </c>
      <c r="AB266" s="543" t="s">
        <v>2743</v>
      </c>
      <c r="AC266" s="543" t="s">
        <v>1816</v>
      </c>
      <c r="AD266" s="543" t="s">
        <v>1817</v>
      </c>
      <c r="AE266" s="543" t="s">
        <v>1455</v>
      </c>
      <c r="AF266" s="543">
        <v>5</v>
      </c>
      <c r="AG266" s="543" t="s">
        <v>3555</v>
      </c>
      <c r="AH266" s="543">
        <v>35</v>
      </c>
      <c r="AI266" s="543" t="s">
        <v>34</v>
      </c>
      <c r="AJ266" s="543" t="s">
        <v>34</v>
      </c>
      <c r="AK266" s="543" t="s">
        <v>1818</v>
      </c>
      <c r="AL266" s="543" t="s">
        <v>3418</v>
      </c>
      <c r="AM266" s="61" t="s">
        <v>4513</v>
      </c>
      <c r="AN266" s="541">
        <v>0</v>
      </c>
      <c r="AO266" s="541">
        <v>0</v>
      </c>
      <c r="AP266" s="61"/>
      <c r="CG266" t="str">
        <v>CASTLE METALS</v>
      </c>
    </row>
    <row r="267" spans="1:85" x14ac:dyDescent="0.2">
      <c r="A267" s="61">
        <v>266</v>
      </c>
      <c r="B267" s="542" t="s">
        <v>2706</v>
      </c>
      <c r="C267" s="543" t="s">
        <v>758</v>
      </c>
      <c r="D267" s="543" t="s">
        <v>3833</v>
      </c>
      <c r="E267" s="543" t="s">
        <v>1756</v>
      </c>
      <c r="F267" s="543" t="s">
        <v>1725</v>
      </c>
      <c r="G267" s="543" t="s">
        <v>34</v>
      </c>
      <c r="H267" s="543" t="s">
        <v>1821</v>
      </c>
      <c r="I267" s="543" t="s">
        <v>5342</v>
      </c>
      <c r="J267" s="543" t="s">
        <v>2433</v>
      </c>
      <c r="K267" s="543" t="s">
        <v>2733</v>
      </c>
      <c r="L267" s="543" t="s">
        <v>2734</v>
      </c>
      <c r="M267" s="544" t="s">
        <v>2735</v>
      </c>
      <c r="N267" s="543" t="s">
        <v>758</v>
      </c>
      <c r="O267" s="543" t="s">
        <v>5373</v>
      </c>
      <c r="P267" s="543" t="s">
        <v>2736</v>
      </c>
      <c r="Q267" s="543" t="s">
        <v>4589</v>
      </c>
      <c r="R267" s="543" t="s">
        <v>1988</v>
      </c>
      <c r="S267" s="543" t="s">
        <v>2737</v>
      </c>
      <c r="T267" s="543">
        <v>500</v>
      </c>
      <c r="U267" s="543" t="s">
        <v>1843</v>
      </c>
      <c r="V267" s="543" t="s">
        <v>1899</v>
      </c>
      <c r="W267" s="543" t="s">
        <v>2738</v>
      </c>
      <c r="X267" s="543" t="s">
        <v>4556</v>
      </c>
      <c r="Y267" s="543" t="s">
        <v>2012</v>
      </c>
      <c r="Z267" s="543" t="s">
        <v>2739</v>
      </c>
      <c r="AA267" s="543" t="s">
        <v>4556</v>
      </c>
      <c r="AB267" s="543" t="s">
        <v>2740</v>
      </c>
      <c r="AC267" s="543" t="s">
        <v>1816</v>
      </c>
      <c r="AD267" s="543" t="s">
        <v>1817</v>
      </c>
      <c r="AE267" s="543" t="s">
        <v>1455</v>
      </c>
      <c r="AF267" s="543">
        <v>5</v>
      </c>
      <c r="AG267" s="543" t="s">
        <v>3555</v>
      </c>
      <c r="AH267" s="543">
        <v>35</v>
      </c>
      <c r="AI267" s="543" t="s">
        <v>34</v>
      </c>
      <c r="AJ267" s="543" t="s">
        <v>34</v>
      </c>
      <c r="AK267" s="543" t="s">
        <v>1818</v>
      </c>
      <c r="AL267" s="543" t="s">
        <v>3418</v>
      </c>
      <c r="AM267" s="61" t="s">
        <v>4495</v>
      </c>
      <c r="AN267" s="541">
        <v>0</v>
      </c>
      <c r="AO267" s="541">
        <v>0</v>
      </c>
      <c r="AP267" s="61"/>
      <c r="CG267" t="str">
        <v>CASTLE METALS AERO. - 31ST ST DIV.</v>
      </c>
    </row>
    <row r="268" spans="1:85" x14ac:dyDescent="0.2">
      <c r="A268" s="61">
        <v>267</v>
      </c>
      <c r="B268" s="542" t="s">
        <v>2706</v>
      </c>
      <c r="C268" s="543" t="s">
        <v>637</v>
      </c>
      <c r="D268" s="543" t="s">
        <v>4590</v>
      </c>
      <c r="E268" s="543" t="s">
        <v>1756</v>
      </c>
      <c r="F268" s="543" t="s">
        <v>1725</v>
      </c>
      <c r="G268" s="543" t="s">
        <v>34</v>
      </c>
      <c r="H268" s="543" t="s">
        <v>1821</v>
      </c>
      <c r="I268" s="543" t="s">
        <v>5342</v>
      </c>
      <c r="J268" s="543" t="s">
        <v>2089</v>
      </c>
      <c r="K268" s="543" t="s">
        <v>1997</v>
      </c>
      <c r="L268" s="543" t="s">
        <v>4591</v>
      </c>
      <c r="M268" s="544" t="s">
        <v>4592</v>
      </c>
      <c r="N268" s="543" t="s">
        <v>637</v>
      </c>
      <c r="O268" s="543" t="s">
        <v>5373</v>
      </c>
      <c r="P268" s="543" t="s">
        <v>4593</v>
      </c>
      <c r="Q268" s="543" t="s">
        <v>4555</v>
      </c>
      <c r="R268" s="543" t="s">
        <v>1878</v>
      </c>
      <c r="S268" s="543" t="s">
        <v>4807</v>
      </c>
      <c r="T268" s="543">
        <v>683.5</v>
      </c>
      <c r="U268" s="543" t="s">
        <v>1843</v>
      </c>
      <c r="V268" s="543" t="s">
        <v>4154</v>
      </c>
      <c r="W268" s="543">
        <v>13730</v>
      </c>
      <c r="X268" s="543" t="s">
        <v>4556</v>
      </c>
      <c r="Y268" s="543" t="s">
        <v>4156</v>
      </c>
      <c r="Z268" s="543" t="s">
        <v>3055</v>
      </c>
      <c r="AA268" s="543" t="s">
        <v>4556</v>
      </c>
      <c r="AB268" s="543" t="s">
        <v>34</v>
      </c>
      <c r="AC268" s="543" t="s">
        <v>1816</v>
      </c>
      <c r="AD268" s="543" t="s">
        <v>1817</v>
      </c>
      <c r="AE268" s="543" t="s">
        <v>1455</v>
      </c>
      <c r="AF268" s="543" t="s">
        <v>4595</v>
      </c>
      <c r="AG268" s="543" t="s">
        <v>4595</v>
      </c>
      <c r="AH268" s="543" t="s">
        <v>4595</v>
      </c>
      <c r="AI268" s="543" t="s">
        <v>34</v>
      </c>
      <c r="AJ268" s="543" t="s">
        <v>34</v>
      </c>
      <c r="AK268" s="543" t="s">
        <v>1818</v>
      </c>
      <c r="AL268" s="543" t="s">
        <v>3418</v>
      </c>
      <c r="AM268" s="61" t="s">
        <v>4495</v>
      </c>
      <c r="AN268" s="541">
        <v>0</v>
      </c>
      <c r="AO268" s="541">
        <v>0</v>
      </c>
      <c r="AP268" s="61"/>
      <c r="CG268" t="str">
        <v>CASTLE METALS AERO. - ALL HALLOWS CLOSED</v>
      </c>
    </row>
    <row r="269" spans="1:85" x14ac:dyDescent="0.2">
      <c r="A269" s="61">
        <v>268</v>
      </c>
      <c r="B269" s="542" t="s">
        <v>2706</v>
      </c>
      <c r="C269" s="543" t="s">
        <v>4596</v>
      </c>
      <c r="D269" s="543" t="s">
        <v>4597</v>
      </c>
      <c r="E269" s="543" t="s">
        <v>1756</v>
      </c>
      <c r="F269" s="543" t="s">
        <v>1725</v>
      </c>
      <c r="G269" s="543" t="s">
        <v>34</v>
      </c>
      <c r="H269" s="543" t="s">
        <v>1821</v>
      </c>
      <c r="I269" s="543" t="s">
        <v>2777</v>
      </c>
      <c r="J269" s="543" t="s">
        <v>2089</v>
      </c>
      <c r="K269" s="543" t="s">
        <v>1997</v>
      </c>
      <c r="L269" s="543" t="s">
        <v>4591</v>
      </c>
      <c r="M269" s="544" t="s">
        <v>4592</v>
      </c>
      <c r="N269" s="543" t="s">
        <v>637</v>
      </c>
      <c r="O269" s="543" t="s">
        <v>5373</v>
      </c>
      <c r="P269" s="543" t="s">
        <v>4593</v>
      </c>
      <c r="Q269" s="543" t="s">
        <v>1897</v>
      </c>
      <c r="R269" s="543" t="s">
        <v>1878</v>
      </c>
      <c r="S269" s="543" t="s">
        <v>4594</v>
      </c>
      <c r="T269" s="543">
        <v>686.55</v>
      </c>
      <c r="U269" s="543" t="s">
        <v>1642</v>
      </c>
      <c r="V269" s="543" t="s">
        <v>4154</v>
      </c>
      <c r="W269" s="543">
        <v>13730</v>
      </c>
      <c r="X269" s="543" t="s">
        <v>1815</v>
      </c>
      <c r="Y269" s="543" t="s">
        <v>4156</v>
      </c>
      <c r="Z269" s="543" t="s">
        <v>3055</v>
      </c>
      <c r="AA269" s="543" t="s">
        <v>1815</v>
      </c>
      <c r="AB269" s="543" t="s">
        <v>34</v>
      </c>
      <c r="AC269" s="543" t="s">
        <v>1816</v>
      </c>
      <c r="AD269" s="543" t="s">
        <v>1817</v>
      </c>
      <c r="AE269" s="543" t="s">
        <v>1455</v>
      </c>
      <c r="AF269" s="543" t="s">
        <v>4595</v>
      </c>
      <c r="AG269" s="543" t="s">
        <v>4595</v>
      </c>
      <c r="AH269" s="543" t="s">
        <v>4595</v>
      </c>
      <c r="AI269" s="543" t="s">
        <v>34</v>
      </c>
      <c r="AJ269" s="543" t="s">
        <v>34</v>
      </c>
      <c r="AK269" s="543" t="s">
        <v>1818</v>
      </c>
      <c r="AL269" s="543" t="s">
        <v>3418</v>
      </c>
      <c r="AM269" s="61" t="s">
        <v>4495</v>
      </c>
      <c r="AN269" s="541">
        <v>0</v>
      </c>
      <c r="AO269" s="541">
        <v>0</v>
      </c>
      <c r="AP269" s="61"/>
      <c r="CG269" t="str">
        <v>CASTLE METALS AEROSPACE</v>
      </c>
    </row>
    <row r="270" spans="1:85" x14ac:dyDescent="0.2">
      <c r="A270" s="61">
        <v>269</v>
      </c>
      <c r="B270" s="542" t="s">
        <v>2706</v>
      </c>
      <c r="C270" s="543" t="s">
        <v>3477</v>
      </c>
      <c r="D270" s="543" t="s">
        <v>4032</v>
      </c>
      <c r="E270" s="543" t="s">
        <v>1756</v>
      </c>
      <c r="F270" s="543" t="s">
        <v>1725</v>
      </c>
      <c r="G270" s="543" t="s">
        <v>34</v>
      </c>
      <c r="H270" s="543" t="s">
        <v>1821</v>
      </c>
      <c r="I270" s="543" t="s">
        <v>5342</v>
      </c>
      <c r="J270" s="543" t="s">
        <v>2089</v>
      </c>
      <c r="K270" s="543" t="s">
        <v>1997</v>
      </c>
      <c r="L270" s="543" t="s">
        <v>2162</v>
      </c>
      <c r="M270" s="544" t="s">
        <v>2620</v>
      </c>
      <c r="N270" s="543" t="s">
        <v>3477</v>
      </c>
      <c r="O270" s="543" t="s">
        <v>5373</v>
      </c>
      <c r="P270" s="543" t="s">
        <v>2736</v>
      </c>
      <c r="Q270" s="543" t="s">
        <v>4555</v>
      </c>
      <c r="R270" s="543" t="s">
        <v>1878</v>
      </c>
      <c r="S270" s="543" t="s">
        <v>4033</v>
      </c>
      <c r="T270" s="543">
        <v>260.39999999999998</v>
      </c>
      <c r="U270" s="543" t="s">
        <v>1843</v>
      </c>
      <c r="V270" s="543" t="s">
        <v>4034</v>
      </c>
      <c r="W270" s="543" t="s">
        <v>2652</v>
      </c>
      <c r="X270" s="543" t="s">
        <v>4556</v>
      </c>
      <c r="Y270" s="543" t="s">
        <v>4035</v>
      </c>
      <c r="Z270" s="543" t="s">
        <v>2620</v>
      </c>
      <c r="AA270" s="543" t="s">
        <v>4556</v>
      </c>
      <c r="AB270" s="543" t="s">
        <v>34</v>
      </c>
      <c r="AC270" s="543" t="s">
        <v>1816</v>
      </c>
      <c r="AD270" s="543" t="s">
        <v>1817</v>
      </c>
      <c r="AE270" s="543" t="s">
        <v>1455</v>
      </c>
      <c r="AF270" s="543" t="s">
        <v>4036</v>
      </c>
      <c r="AG270" s="543" t="s">
        <v>4037</v>
      </c>
      <c r="AH270" s="543" t="s">
        <v>4038</v>
      </c>
      <c r="AI270" s="543" t="s">
        <v>34</v>
      </c>
      <c r="AJ270" s="543" t="s">
        <v>34</v>
      </c>
      <c r="AK270" s="543" t="s">
        <v>1818</v>
      </c>
      <c r="AL270" s="543" t="s">
        <v>3418</v>
      </c>
      <c r="AM270" s="61" t="s">
        <v>4495</v>
      </c>
      <c r="AN270" s="541">
        <v>0</v>
      </c>
      <c r="AO270" s="541">
        <v>0</v>
      </c>
      <c r="AP270" s="61"/>
      <c r="CG270" t="str">
        <v>CASTLE METALS AEROSPACE - SHANGHAI</v>
      </c>
    </row>
    <row r="271" spans="1:85" x14ac:dyDescent="0.2">
      <c r="A271" s="61">
        <v>270</v>
      </c>
      <c r="B271" s="542" t="s">
        <v>2706</v>
      </c>
      <c r="C271" s="543" t="s">
        <v>4039</v>
      </c>
      <c r="D271" s="543" t="s">
        <v>4040</v>
      </c>
      <c r="E271" s="543" t="s">
        <v>1756</v>
      </c>
      <c r="F271" s="543" t="s">
        <v>1725</v>
      </c>
      <c r="G271" s="543" t="s">
        <v>34</v>
      </c>
      <c r="H271" s="543" t="s">
        <v>1821</v>
      </c>
      <c r="I271" s="543" t="s">
        <v>2777</v>
      </c>
      <c r="J271" s="543" t="s">
        <v>2089</v>
      </c>
      <c r="K271" s="543" t="s">
        <v>1997</v>
      </c>
      <c r="L271" s="543" t="s">
        <v>2162</v>
      </c>
      <c r="M271" s="544" t="s">
        <v>2620</v>
      </c>
      <c r="N271" s="543" t="s">
        <v>3477</v>
      </c>
      <c r="O271" s="543" t="s">
        <v>2744</v>
      </c>
      <c r="P271" s="543" t="s">
        <v>2736</v>
      </c>
      <c r="Q271" s="543" t="s">
        <v>1897</v>
      </c>
      <c r="R271" s="543" t="s">
        <v>1878</v>
      </c>
      <c r="S271" s="543" t="s">
        <v>4033</v>
      </c>
      <c r="T271" s="543">
        <v>260.39999999999998</v>
      </c>
      <c r="U271" s="543" t="s">
        <v>4041</v>
      </c>
      <c r="V271" s="543" t="s">
        <v>4034</v>
      </c>
      <c r="W271" s="543" t="s">
        <v>2652</v>
      </c>
      <c r="X271" s="543" t="s">
        <v>1815</v>
      </c>
      <c r="Y271" s="543" t="s">
        <v>4035</v>
      </c>
      <c r="Z271" s="543" t="s">
        <v>2620</v>
      </c>
      <c r="AA271" s="543" t="s">
        <v>1815</v>
      </c>
      <c r="AB271" s="543" t="s">
        <v>34</v>
      </c>
      <c r="AC271" s="543" t="s">
        <v>1816</v>
      </c>
      <c r="AD271" s="543" t="s">
        <v>1817</v>
      </c>
      <c r="AE271" s="543" t="s">
        <v>1455</v>
      </c>
      <c r="AF271" s="543" t="s">
        <v>4036</v>
      </c>
      <c r="AG271" s="543" t="s">
        <v>4037</v>
      </c>
      <c r="AH271" s="543" t="s">
        <v>4038</v>
      </c>
      <c r="AI271" s="543" t="s">
        <v>34</v>
      </c>
      <c r="AJ271" s="543" t="s">
        <v>34</v>
      </c>
      <c r="AK271" s="543" t="s">
        <v>1818</v>
      </c>
      <c r="AL271" s="543" t="s">
        <v>3418</v>
      </c>
      <c r="AM271" s="61" t="s">
        <v>4513</v>
      </c>
      <c r="AN271" s="541">
        <v>0</v>
      </c>
      <c r="AO271" s="541">
        <v>0</v>
      </c>
      <c r="AP271" s="61"/>
      <c r="CG271" t="str">
        <v>CATALYTIC INDUSTRIAL GROUP</v>
      </c>
    </row>
    <row r="272" spans="1:85" x14ac:dyDescent="0.2">
      <c r="A272" s="61">
        <v>271</v>
      </c>
      <c r="B272" s="542" t="s">
        <v>2706</v>
      </c>
      <c r="C272" s="543" t="s">
        <v>5435</v>
      </c>
      <c r="D272" s="543" t="s">
        <v>5436</v>
      </c>
      <c r="E272" s="543" t="s">
        <v>1756</v>
      </c>
      <c r="F272" s="543" t="s">
        <v>1725</v>
      </c>
      <c r="G272" s="543"/>
      <c r="H272" s="543" t="s">
        <v>1821</v>
      </c>
      <c r="I272" s="543" t="s">
        <v>5342</v>
      </c>
      <c r="J272" s="543" t="s">
        <v>1461</v>
      </c>
      <c r="K272" s="543" t="s">
        <v>1997</v>
      </c>
      <c r="L272" s="543" t="s">
        <v>3040</v>
      </c>
      <c r="M272" s="544" t="s">
        <v>5437</v>
      </c>
      <c r="N272" s="543" t="s">
        <v>5435</v>
      </c>
      <c r="O272" s="543" t="s">
        <v>2092</v>
      </c>
      <c r="P272" s="543" t="s">
        <v>2215</v>
      </c>
      <c r="Q272" s="543" t="s">
        <v>1897</v>
      </c>
      <c r="R272" s="543" t="s">
        <v>1878</v>
      </c>
      <c r="S272" s="543" t="s">
        <v>5438</v>
      </c>
      <c r="T272" s="543">
        <v>654.88</v>
      </c>
      <c r="U272" s="543" t="s">
        <v>1642</v>
      </c>
      <c r="V272" s="543" t="s">
        <v>2096</v>
      </c>
      <c r="W272" s="543" t="s">
        <v>5439</v>
      </c>
      <c r="X272" s="543" t="s">
        <v>1815</v>
      </c>
      <c r="Y272" s="543" t="s">
        <v>4156</v>
      </c>
      <c r="Z272" s="543" t="s">
        <v>1948</v>
      </c>
      <c r="AA272" s="543" t="s">
        <v>1815</v>
      </c>
      <c r="AB272" s="543" t="s">
        <v>5440</v>
      </c>
      <c r="AC272" s="543" t="s">
        <v>1816</v>
      </c>
      <c r="AD272" s="543" t="s">
        <v>1817</v>
      </c>
      <c r="AE272" s="543" t="s">
        <v>1455</v>
      </c>
      <c r="AF272" s="543" t="s">
        <v>3040</v>
      </c>
      <c r="AG272" s="543"/>
      <c r="AH272" s="543"/>
      <c r="AI272" s="543"/>
      <c r="AJ272" s="543"/>
      <c r="AK272" s="543" t="s">
        <v>1818</v>
      </c>
      <c r="AL272" s="543" t="s">
        <v>3418</v>
      </c>
      <c r="AM272" s="61" t="s">
        <v>4495</v>
      </c>
      <c r="AN272" s="541"/>
      <c r="AO272" s="541"/>
      <c r="AP272" s="61"/>
      <c r="CG272" t="str">
        <v>CAV AEROSPACE</v>
      </c>
    </row>
    <row r="273" spans="1:85" x14ac:dyDescent="0.2">
      <c r="A273" s="61">
        <v>272</v>
      </c>
      <c r="B273" s="542" t="s">
        <v>2706</v>
      </c>
      <c r="C273" s="543" t="s">
        <v>3476</v>
      </c>
      <c r="D273" s="543" t="s">
        <v>4054</v>
      </c>
      <c r="E273" s="543" t="s">
        <v>1756</v>
      </c>
      <c r="F273" s="543" t="s">
        <v>1725</v>
      </c>
      <c r="G273" s="543" t="s">
        <v>34</v>
      </c>
      <c r="H273" s="543" t="s">
        <v>1821</v>
      </c>
      <c r="I273" s="543" t="s">
        <v>5342</v>
      </c>
      <c r="J273" s="543" t="s">
        <v>2433</v>
      </c>
      <c r="K273" s="543" t="s">
        <v>3476</v>
      </c>
      <c r="L273" s="543" t="s">
        <v>2801</v>
      </c>
      <c r="M273" s="544" t="s">
        <v>2802</v>
      </c>
      <c r="N273" s="543" t="s">
        <v>3476</v>
      </c>
      <c r="O273" s="543" t="s">
        <v>665</v>
      </c>
      <c r="P273" s="543" t="s">
        <v>2436</v>
      </c>
      <c r="Q273" s="543" t="s">
        <v>4555</v>
      </c>
      <c r="R273" s="543" t="s">
        <v>1915</v>
      </c>
      <c r="S273" s="543" t="s">
        <v>2803</v>
      </c>
      <c r="T273" s="543">
        <v>2.2999999999999998</v>
      </c>
      <c r="U273" s="543" t="s">
        <v>1844</v>
      </c>
      <c r="V273" s="543" t="s">
        <v>2804</v>
      </c>
      <c r="W273" s="543" t="s">
        <v>2805</v>
      </c>
      <c r="X273" s="543" t="s">
        <v>2806</v>
      </c>
      <c r="Y273" s="543" t="s">
        <v>109</v>
      </c>
      <c r="Z273" s="543" t="s">
        <v>109</v>
      </c>
      <c r="AA273" s="543" t="s">
        <v>109</v>
      </c>
      <c r="AB273" s="543" t="s">
        <v>2807</v>
      </c>
      <c r="AC273" s="543" t="s">
        <v>1816</v>
      </c>
      <c r="AD273" s="543" t="s">
        <v>1817</v>
      </c>
      <c r="AE273" s="543" t="s">
        <v>1455</v>
      </c>
      <c r="AF273" s="543" t="s">
        <v>3040</v>
      </c>
      <c r="AG273" s="543" t="s">
        <v>34</v>
      </c>
      <c r="AH273" s="543" t="s">
        <v>34</v>
      </c>
      <c r="AI273" s="543" t="s">
        <v>34</v>
      </c>
      <c r="AJ273" s="543" t="s">
        <v>34</v>
      </c>
      <c r="AK273" s="543" t="s">
        <v>1818</v>
      </c>
      <c r="AL273" s="543" t="s">
        <v>3418</v>
      </c>
      <c r="AM273" s="61" t="s">
        <v>4495</v>
      </c>
      <c r="AN273" s="541">
        <v>0</v>
      </c>
      <c r="AO273" s="541">
        <v>0</v>
      </c>
      <c r="AP273" s="61"/>
      <c r="CG273" t="str">
        <v>CD CUSTOM ENTERPRISES LLC</v>
      </c>
    </row>
    <row r="274" spans="1:85" x14ac:dyDescent="0.2">
      <c r="A274" s="61">
        <v>273</v>
      </c>
      <c r="B274" s="542" t="s">
        <v>2706</v>
      </c>
      <c r="C274" s="543" t="s">
        <v>4251</v>
      </c>
      <c r="D274" s="543" t="s">
        <v>4252</v>
      </c>
      <c r="E274" s="543" t="s">
        <v>1756</v>
      </c>
      <c r="F274" s="543" t="s">
        <v>1725</v>
      </c>
      <c r="G274" s="543" t="s">
        <v>34</v>
      </c>
      <c r="H274" s="543" t="s">
        <v>1821</v>
      </c>
      <c r="I274" s="543" t="s">
        <v>5342</v>
      </c>
      <c r="J274" s="543" t="s">
        <v>2433</v>
      </c>
      <c r="K274" s="543" t="s">
        <v>2438</v>
      </c>
      <c r="L274" s="543" t="s">
        <v>4253</v>
      </c>
      <c r="M274" s="544" t="s">
        <v>4254</v>
      </c>
      <c r="N274" s="543" t="s">
        <v>4255</v>
      </c>
      <c r="O274" s="543" t="s">
        <v>665</v>
      </c>
      <c r="P274" s="543" t="s">
        <v>5057</v>
      </c>
      <c r="Q274" s="543" t="s">
        <v>1894</v>
      </c>
      <c r="R274" s="543" t="s">
        <v>1878</v>
      </c>
      <c r="S274" s="543" t="s">
        <v>2479</v>
      </c>
      <c r="T274" s="543">
        <v>8</v>
      </c>
      <c r="U274" s="543" t="s">
        <v>1844</v>
      </c>
      <c r="V274" s="543" t="s">
        <v>2629</v>
      </c>
      <c r="W274" s="543" t="s">
        <v>4256</v>
      </c>
      <c r="X274" s="543" t="s">
        <v>1954</v>
      </c>
      <c r="Y274" s="543" t="s">
        <v>109</v>
      </c>
      <c r="Z274" s="543" t="s">
        <v>109</v>
      </c>
      <c r="AA274" s="543" t="s">
        <v>109</v>
      </c>
      <c r="AB274" s="543" t="s">
        <v>4471</v>
      </c>
      <c r="AC274" s="543" t="s">
        <v>1816</v>
      </c>
      <c r="AD274" s="543" t="s">
        <v>1817</v>
      </c>
      <c r="AE274" s="543" t="s">
        <v>1455</v>
      </c>
      <c r="AF274" s="543" t="s">
        <v>3040</v>
      </c>
      <c r="AG274" s="543" t="s">
        <v>34</v>
      </c>
      <c r="AH274" s="543" t="s">
        <v>34</v>
      </c>
      <c r="AI274" s="543" t="s">
        <v>34</v>
      </c>
      <c r="AJ274" s="543" t="s">
        <v>34</v>
      </c>
      <c r="AK274" s="543" t="s">
        <v>1818</v>
      </c>
      <c r="AL274" s="543" t="s">
        <v>34</v>
      </c>
      <c r="AM274" s="61" t="s">
        <v>4496</v>
      </c>
      <c r="AN274" s="541">
        <v>0</v>
      </c>
      <c r="AO274" s="541">
        <v>0</v>
      </c>
      <c r="AP274" s="61"/>
      <c r="CG274" t="str">
        <v>CDH INCORPORATED</v>
      </c>
    </row>
    <row r="275" spans="1:85" x14ac:dyDescent="0.2">
      <c r="A275" s="61">
        <v>274</v>
      </c>
      <c r="B275" s="542" t="s">
        <v>2706</v>
      </c>
      <c r="C275" s="543" t="s">
        <v>4177</v>
      </c>
      <c r="D275" s="543" t="s">
        <v>4178</v>
      </c>
      <c r="E275" s="543" t="s">
        <v>1756</v>
      </c>
      <c r="F275" s="543" t="s">
        <v>1725</v>
      </c>
      <c r="G275" s="543" t="s">
        <v>34</v>
      </c>
      <c r="H275" s="543" t="s">
        <v>1821</v>
      </c>
      <c r="I275" s="543" t="s">
        <v>5351</v>
      </c>
      <c r="J275" s="543" t="s">
        <v>2089</v>
      </c>
      <c r="K275" s="543" t="s">
        <v>2768</v>
      </c>
      <c r="L275" s="543" t="s">
        <v>2769</v>
      </c>
      <c r="M275" s="544" t="s">
        <v>4177</v>
      </c>
      <c r="N275" s="543" t="s">
        <v>4177</v>
      </c>
      <c r="O275" s="543" t="s">
        <v>665</v>
      </c>
      <c r="P275" s="543" t="s">
        <v>2064</v>
      </c>
      <c r="Q275" s="543" t="s">
        <v>2064</v>
      </c>
      <c r="R275" s="543" t="s">
        <v>1878</v>
      </c>
      <c r="S275" s="543" t="s">
        <v>4179</v>
      </c>
      <c r="T275" s="543">
        <v>7837</v>
      </c>
      <c r="U275" s="543" t="s">
        <v>1642</v>
      </c>
      <c r="V275" s="543" t="s">
        <v>4180</v>
      </c>
      <c r="W275" s="543" t="s">
        <v>4177</v>
      </c>
      <c r="X275" s="543" t="s">
        <v>109</v>
      </c>
      <c r="Y275" s="543" t="s">
        <v>4181</v>
      </c>
      <c r="Z275" s="543" t="s">
        <v>4182</v>
      </c>
      <c r="AA275" s="543" t="s">
        <v>1815</v>
      </c>
      <c r="AB275" s="543" t="s">
        <v>5123</v>
      </c>
      <c r="AC275" s="543" t="s">
        <v>1816</v>
      </c>
      <c r="AD275" s="543" t="s">
        <v>1817</v>
      </c>
      <c r="AE275" s="543" t="s">
        <v>1455</v>
      </c>
      <c r="AF275" s="543" t="s">
        <v>3040</v>
      </c>
      <c r="AG275" s="543" t="s">
        <v>34</v>
      </c>
      <c r="AH275" s="543" t="s">
        <v>34</v>
      </c>
      <c r="AI275" s="543" t="s">
        <v>34</v>
      </c>
      <c r="AJ275" s="543" t="s">
        <v>34</v>
      </c>
      <c r="AK275" s="543" t="s">
        <v>1818</v>
      </c>
      <c r="AL275" s="543" t="s">
        <v>3418</v>
      </c>
      <c r="AM275" s="61" t="s">
        <v>4512</v>
      </c>
      <c r="AN275" s="541">
        <v>0</v>
      </c>
      <c r="AO275" s="541">
        <v>0</v>
      </c>
      <c r="AP275" s="61"/>
      <c r="CG275" t="str">
        <v>CDS ENGINEERING</v>
      </c>
    </row>
    <row r="276" spans="1:85" x14ac:dyDescent="0.2">
      <c r="A276" s="61">
        <v>275</v>
      </c>
      <c r="B276" s="542" t="s">
        <v>2706</v>
      </c>
      <c r="C276" s="543" t="s">
        <v>673</v>
      </c>
      <c r="D276" s="543" t="s">
        <v>3834</v>
      </c>
      <c r="E276" s="543" t="s">
        <v>1756</v>
      </c>
      <c r="F276" s="543" t="s">
        <v>1725</v>
      </c>
      <c r="G276" s="543" t="s">
        <v>34</v>
      </c>
      <c r="H276" s="543" t="s">
        <v>1821</v>
      </c>
      <c r="I276" s="543" t="s">
        <v>5342</v>
      </c>
      <c r="J276" s="543" t="s">
        <v>2089</v>
      </c>
      <c r="K276" s="543" t="s">
        <v>1998</v>
      </c>
      <c r="L276" s="543" t="s">
        <v>2783</v>
      </c>
      <c r="M276" s="544">
        <v>51644</v>
      </c>
      <c r="N276" s="543" t="s">
        <v>673</v>
      </c>
      <c r="O276" s="543" t="s">
        <v>665</v>
      </c>
      <c r="P276" s="543" t="s">
        <v>2064</v>
      </c>
      <c r="Q276" s="543" t="s">
        <v>2064</v>
      </c>
      <c r="R276" s="543" t="s">
        <v>1915</v>
      </c>
      <c r="S276" s="543" t="s">
        <v>2784</v>
      </c>
      <c r="T276" s="543">
        <v>1585</v>
      </c>
      <c r="U276" s="543" t="s">
        <v>1844</v>
      </c>
      <c r="V276" s="543" t="s">
        <v>2785</v>
      </c>
      <c r="W276" s="543" t="s">
        <v>2786</v>
      </c>
      <c r="X276" s="543" t="s">
        <v>2420</v>
      </c>
      <c r="Y276" s="543" t="s">
        <v>2787</v>
      </c>
      <c r="Z276" s="543" t="s">
        <v>2788</v>
      </c>
      <c r="AA276" s="543" t="s">
        <v>1815</v>
      </c>
      <c r="AB276" s="543" t="s">
        <v>2789</v>
      </c>
      <c r="AC276" s="543" t="s">
        <v>1816</v>
      </c>
      <c r="AD276" s="543" t="s">
        <v>1817</v>
      </c>
      <c r="AE276" s="543" t="s">
        <v>1455</v>
      </c>
      <c r="AF276" s="543" t="s">
        <v>3040</v>
      </c>
      <c r="AG276" s="543" t="s">
        <v>34</v>
      </c>
      <c r="AH276" s="543" t="s">
        <v>34</v>
      </c>
      <c r="AI276" s="543" t="s">
        <v>34</v>
      </c>
      <c r="AJ276" s="543" t="s">
        <v>34</v>
      </c>
      <c r="AK276" s="543" t="s">
        <v>1818</v>
      </c>
      <c r="AL276" s="543" t="s">
        <v>3418</v>
      </c>
      <c r="AM276" s="61" t="s">
        <v>4512</v>
      </c>
      <c r="AN276" s="541">
        <v>0</v>
      </c>
      <c r="AO276" s="541">
        <v>0</v>
      </c>
      <c r="AP276" s="61"/>
      <c r="CG276" t="str">
        <v>CE MACHINE CO.</v>
      </c>
    </row>
    <row r="277" spans="1:85" x14ac:dyDescent="0.2">
      <c r="A277" s="61">
        <v>276</v>
      </c>
      <c r="B277" s="542" t="s">
        <v>2706</v>
      </c>
      <c r="C277" s="543" t="s">
        <v>1031</v>
      </c>
      <c r="D277" s="543" t="s">
        <v>3835</v>
      </c>
      <c r="E277" s="543" t="s">
        <v>1756</v>
      </c>
      <c r="F277" s="543" t="s">
        <v>1725</v>
      </c>
      <c r="G277" s="543" t="s">
        <v>34</v>
      </c>
      <c r="H277" s="543" t="s">
        <v>1821</v>
      </c>
      <c r="I277" s="543" t="s">
        <v>5342</v>
      </c>
      <c r="J277" s="543" t="s">
        <v>2433</v>
      </c>
      <c r="K277" s="543" t="s">
        <v>1998</v>
      </c>
      <c r="L277" s="543" t="s">
        <v>2790</v>
      </c>
      <c r="M277" s="544" t="s">
        <v>2791</v>
      </c>
      <c r="N277" s="543" t="s">
        <v>1031</v>
      </c>
      <c r="O277" s="543" t="s">
        <v>665</v>
      </c>
      <c r="P277" s="543" t="s">
        <v>2064</v>
      </c>
      <c r="Q277" s="543" t="s">
        <v>2064</v>
      </c>
      <c r="R277" s="543" t="s">
        <v>1915</v>
      </c>
      <c r="S277" s="543" t="s">
        <v>2792</v>
      </c>
      <c r="T277" s="543">
        <v>1526.5</v>
      </c>
      <c r="U277" s="543" t="s">
        <v>1844</v>
      </c>
      <c r="V277" s="543" t="s">
        <v>109</v>
      </c>
      <c r="W277" s="543" t="s">
        <v>109</v>
      </c>
      <c r="X277" s="543" t="s">
        <v>1974</v>
      </c>
      <c r="Y277" s="543" t="s">
        <v>2793</v>
      </c>
      <c r="Z277" s="543" t="s">
        <v>2794</v>
      </c>
      <c r="AA277" s="543" t="s">
        <v>2795</v>
      </c>
      <c r="AB277" s="543" t="s">
        <v>4242</v>
      </c>
      <c r="AC277" s="543" t="s">
        <v>1816</v>
      </c>
      <c r="AD277" s="543" t="s">
        <v>1817</v>
      </c>
      <c r="AE277" s="543" t="s">
        <v>1455</v>
      </c>
      <c r="AF277" s="543" t="s">
        <v>3040</v>
      </c>
      <c r="AG277" s="543" t="s">
        <v>34</v>
      </c>
      <c r="AH277" s="543" t="s">
        <v>34</v>
      </c>
      <c r="AI277" s="543" t="s">
        <v>34</v>
      </c>
      <c r="AJ277" s="543" t="s">
        <v>34</v>
      </c>
      <c r="AK277" s="543" t="s">
        <v>1818</v>
      </c>
      <c r="AL277" s="543" t="s">
        <v>3418</v>
      </c>
      <c r="AM277" s="61" t="s">
        <v>4512</v>
      </c>
      <c r="AN277" s="541">
        <v>0</v>
      </c>
      <c r="AO277" s="541">
        <v>0</v>
      </c>
      <c r="AP277" s="61"/>
      <c r="CG277" t="str">
        <v>CECO PIPELINE SERVICES</v>
      </c>
    </row>
    <row r="278" spans="1:85" x14ac:dyDescent="0.2">
      <c r="A278" s="61">
        <v>277</v>
      </c>
      <c r="B278" s="542" t="s">
        <v>2706</v>
      </c>
      <c r="C278" s="543" t="s">
        <v>589</v>
      </c>
      <c r="D278" s="543" t="s">
        <v>3836</v>
      </c>
      <c r="E278" s="543" t="s">
        <v>1756</v>
      </c>
      <c r="F278" s="543" t="s">
        <v>1725</v>
      </c>
      <c r="G278" s="543" t="s">
        <v>34</v>
      </c>
      <c r="H278" s="543" t="s">
        <v>1821</v>
      </c>
      <c r="I278" s="543" t="s">
        <v>5342</v>
      </c>
      <c r="J278" s="543" t="s">
        <v>2433</v>
      </c>
      <c r="K278" s="543" t="s">
        <v>589</v>
      </c>
      <c r="L278" s="543" t="s">
        <v>2796</v>
      </c>
      <c r="M278" s="544" t="s">
        <v>2797</v>
      </c>
      <c r="N278" s="543" t="s">
        <v>589</v>
      </c>
      <c r="O278" s="543" t="s">
        <v>665</v>
      </c>
      <c r="P278" s="543" t="s">
        <v>2798</v>
      </c>
      <c r="Q278" s="543" t="s">
        <v>1897</v>
      </c>
      <c r="R278" s="543" t="s">
        <v>1878</v>
      </c>
      <c r="S278" s="543" t="s">
        <v>2799</v>
      </c>
      <c r="T278" s="543">
        <v>1.33</v>
      </c>
      <c r="U278" s="543" t="s">
        <v>1844</v>
      </c>
      <c r="V278" s="543" t="s">
        <v>2800</v>
      </c>
      <c r="W278" s="543">
        <v>176483</v>
      </c>
      <c r="X278" s="543" t="s">
        <v>1815</v>
      </c>
      <c r="Y278" s="543" t="s">
        <v>109</v>
      </c>
      <c r="Z278" s="543" t="s">
        <v>109</v>
      </c>
      <c r="AA278" s="543" t="s">
        <v>109</v>
      </c>
      <c r="AB278" s="543" t="s">
        <v>34</v>
      </c>
      <c r="AC278" s="543" t="s">
        <v>1816</v>
      </c>
      <c r="AD278" s="543" t="s">
        <v>1817</v>
      </c>
      <c r="AE278" s="543" t="s">
        <v>1455</v>
      </c>
      <c r="AF278" s="543">
        <v>13</v>
      </c>
      <c r="AG278" s="543">
        <v>0.17</v>
      </c>
      <c r="AH278" s="543">
        <v>0.2</v>
      </c>
      <c r="AI278" s="543" t="s">
        <v>3603</v>
      </c>
      <c r="AJ278" s="543" t="s">
        <v>34</v>
      </c>
      <c r="AK278" s="543" t="s">
        <v>1818</v>
      </c>
      <c r="AL278" s="543" t="s">
        <v>3418</v>
      </c>
      <c r="AM278" s="61" t="s">
        <v>4495</v>
      </c>
      <c r="AN278" s="541">
        <v>0</v>
      </c>
      <c r="AO278" s="541">
        <v>0</v>
      </c>
      <c r="AP278" s="61"/>
      <c r="CG278" t="str">
        <v>CECO, INC.</v>
      </c>
    </row>
    <row r="279" spans="1:85" x14ac:dyDescent="0.2">
      <c r="A279" s="61">
        <v>278</v>
      </c>
      <c r="B279" s="542" t="s">
        <v>2706</v>
      </c>
      <c r="C279" s="543" t="s">
        <v>1078</v>
      </c>
      <c r="D279" s="543" t="s">
        <v>3837</v>
      </c>
      <c r="E279" s="543" t="s">
        <v>1756</v>
      </c>
      <c r="F279" s="543" t="s">
        <v>1725</v>
      </c>
      <c r="G279" s="543" t="s">
        <v>34</v>
      </c>
      <c r="H279" s="543" t="s">
        <v>1821</v>
      </c>
      <c r="I279" s="543" t="s">
        <v>5342</v>
      </c>
      <c r="J279" s="543" t="s">
        <v>2433</v>
      </c>
      <c r="K279" s="543" t="s">
        <v>1078</v>
      </c>
      <c r="L279" s="543" t="s">
        <v>2801</v>
      </c>
      <c r="M279" s="544" t="s">
        <v>2802</v>
      </c>
      <c r="N279" s="543" t="s">
        <v>1078</v>
      </c>
      <c r="O279" s="543" t="s">
        <v>665</v>
      </c>
      <c r="P279" s="543" t="s">
        <v>2436</v>
      </c>
      <c r="Q279" s="543" t="s">
        <v>1897</v>
      </c>
      <c r="R279" s="543" t="s">
        <v>1915</v>
      </c>
      <c r="S279" s="543" t="s">
        <v>2803</v>
      </c>
      <c r="T279" s="543">
        <v>2.2999999999999998</v>
      </c>
      <c r="U279" s="543" t="s">
        <v>1844</v>
      </c>
      <c r="V279" s="543" t="s">
        <v>2804</v>
      </c>
      <c r="W279" s="543" t="s">
        <v>2805</v>
      </c>
      <c r="X279" s="543" t="s">
        <v>2806</v>
      </c>
      <c r="Y279" s="543" t="s">
        <v>109</v>
      </c>
      <c r="Z279" s="543" t="s">
        <v>109</v>
      </c>
      <c r="AA279" s="543" t="s">
        <v>109</v>
      </c>
      <c r="AB279" s="543" t="s">
        <v>2807</v>
      </c>
      <c r="AC279" s="543" t="s">
        <v>1816</v>
      </c>
      <c r="AD279" s="543" t="s">
        <v>1817</v>
      </c>
      <c r="AE279" s="543" t="s">
        <v>1455</v>
      </c>
      <c r="AF279" s="543" t="s">
        <v>3040</v>
      </c>
      <c r="AG279" s="543" t="s">
        <v>34</v>
      </c>
      <c r="AH279" s="543" t="s">
        <v>34</v>
      </c>
      <c r="AI279" s="543" t="s">
        <v>34</v>
      </c>
      <c r="AJ279" s="543" t="s">
        <v>34</v>
      </c>
      <c r="AK279" s="543" t="s">
        <v>1818</v>
      </c>
      <c r="AL279" s="543" t="s">
        <v>3418</v>
      </c>
      <c r="AM279" s="61" t="s">
        <v>4495</v>
      </c>
      <c r="AN279" s="541">
        <v>0</v>
      </c>
      <c r="AO279" s="541">
        <v>0</v>
      </c>
      <c r="AP279" s="61"/>
      <c r="CG279" t="str">
        <v>CELCO</v>
      </c>
    </row>
    <row r="280" spans="1:85" x14ac:dyDescent="0.2">
      <c r="A280" s="61">
        <v>279</v>
      </c>
      <c r="B280" s="542" t="s">
        <v>2706</v>
      </c>
      <c r="C280" s="543" t="s">
        <v>4738</v>
      </c>
      <c r="D280" s="543" t="s">
        <v>4739</v>
      </c>
      <c r="E280" s="543" t="s">
        <v>1756</v>
      </c>
      <c r="F280" s="543" t="s">
        <v>1725</v>
      </c>
      <c r="G280" s="543" t="s">
        <v>34</v>
      </c>
      <c r="H280" s="543" t="s">
        <v>1821</v>
      </c>
      <c r="I280" s="543" t="s">
        <v>5351</v>
      </c>
      <c r="J280" s="543" t="s">
        <v>2089</v>
      </c>
      <c r="K280" s="543" t="s">
        <v>2768</v>
      </c>
      <c r="L280" s="543" t="s">
        <v>2769</v>
      </c>
      <c r="M280" s="544" t="s">
        <v>2770</v>
      </c>
      <c r="N280" s="543" t="s">
        <v>4738</v>
      </c>
      <c r="O280" s="543" t="s">
        <v>665</v>
      </c>
      <c r="P280" s="543" t="s">
        <v>2064</v>
      </c>
      <c r="Q280" s="543" t="s">
        <v>2064</v>
      </c>
      <c r="R280" s="543" t="s">
        <v>1878</v>
      </c>
      <c r="S280" s="543" t="s">
        <v>2771</v>
      </c>
      <c r="T280" s="543">
        <v>7875</v>
      </c>
      <c r="U280" s="543" t="s">
        <v>1642</v>
      </c>
      <c r="V280" s="543" t="s">
        <v>2772</v>
      </c>
      <c r="W280" s="543" t="s">
        <v>2773</v>
      </c>
      <c r="X280" s="543" t="s">
        <v>1894</v>
      </c>
      <c r="Y280" s="543" t="s">
        <v>2774</v>
      </c>
      <c r="Z280" s="543" t="s">
        <v>2775</v>
      </c>
      <c r="AA280" s="543" t="s">
        <v>1894</v>
      </c>
      <c r="AB280" s="543" t="s">
        <v>2776</v>
      </c>
      <c r="AC280" s="543" t="s">
        <v>1816</v>
      </c>
      <c r="AD280" s="543" t="s">
        <v>1817</v>
      </c>
      <c r="AE280" s="543" t="s">
        <v>1455</v>
      </c>
      <c r="AF280" s="543" t="s">
        <v>34</v>
      </c>
      <c r="AG280" s="543" t="s">
        <v>34</v>
      </c>
      <c r="AH280" s="543" t="s">
        <v>34</v>
      </c>
      <c r="AI280" s="543" t="s">
        <v>34</v>
      </c>
      <c r="AJ280" s="543" t="s">
        <v>34</v>
      </c>
      <c r="AK280" s="543" t="s">
        <v>1818</v>
      </c>
      <c r="AL280" s="543" t="s">
        <v>3418</v>
      </c>
      <c r="AM280" s="61" t="s">
        <v>4512</v>
      </c>
      <c r="AN280" s="541"/>
      <c r="AO280" s="541"/>
      <c r="AP280" s="61"/>
      <c r="CG280" t="str">
        <v>CEMEX</v>
      </c>
    </row>
    <row r="281" spans="1:85" x14ac:dyDescent="0.2">
      <c r="A281" s="61">
        <v>280</v>
      </c>
      <c r="B281" s="542" t="s">
        <v>2706</v>
      </c>
      <c r="C281" s="543" t="s">
        <v>4861</v>
      </c>
      <c r="D281" s="543" t="s">
        <v>4862</v>
      </c>
      <c r="E281" s="543" t="s">
        <v>1756</v>
      </c>
      <c r="F281" s="543" t="s">
        <v>1725</v>
      </c>
      <c r="G281" s="543" t="s">
        <v>34</v>
      </c>
      <c r="H281" s="543" t="s">
        <v>1821</v>
      </c>
      <c r="I281" s="543" t="s">
        <v>5351</v>
      </c>
      <c r="J281" s="543" t="s">
        <v>2089</v>
      </c>
      <c r="K281" s="543" t="s">
        <v>2707</v>
      </c>
      <c r="L281" s="543" t="s">
        <v>2729</v>
      </c>
      <c r="M281" s="544">
        <v>1</v>
      </c>
      <c r="N281" s="543" t="s">
        <v>4724</v>
      </c>
      <c r="O281" s="543" t="s">
        <v>2744</v>
      </c>
      <c r="P281" s="543" t="s">
        <v>4281</v>
      </c>
      <c r="Q281" s="543" t="s">
        <v>1897</v>
      </c>
      <c r="R281" s="543" t="s">
        <v>1814</v>
      </c>
      <c r="S281" s="543" t="s">
        <v>4808</v>
      </c>
      <c r="T281" s="543">
        <v>13.9</v>
      </c>
      <c r="U281" s="543" t="s">
        <v>1642</v>
      </c>
      <c r="V281" s="543" t="s">
        <v>2034</v>
      </c>
      <c r="W281" s="543" t="s">
        <v>4027</v>
      </c>
      <c r="X281" s="543" t="s">
        <v>4556</v>
      </c>
      <c r="Y281" s="543" t="s">
        <v>2012</v>
      </c>
      <c r="Z281" s="543" t="s">
        <v>2708</v>
      </c>
      <c r="AA281" s="543" t="s">
        <v>4556</v>
      </c>
      <c r="AB281" s="543" t="s">
        <v>34</v>
      </c>
      <c r="AC281" s="543" t="s">
        <v>1816</v>
      </c>
      <c r="AD281" s="543" t="s">
        <v>1817</v>
      </c>
      <c r="AE281" s="543" t="s">
        <v>1455</v>
      </c>
      <c r="AF281" s="543">
        <v>3</v>
      </c>
      <c r="AG281" s="543">
        <v>1</v>
      </c>
      <c r="AH281" s="543">
        <v>1</v>
      </c>
      <c r="AI281" s="543" t="s">
        <v>34</v>
      </c>
      <c r="AJ281" s="543" t="s">
        <v>34</v>
      </c>
      <c r="AK281" s="543" t="s">
        <v>1818</v>
      </c>
      <c r="AL281" s="543" t="s">
        <v>3418</v>
      </c>
      <c r="AM281" s="61" t="s">
        <v>4666</v>
      </c>
      <c r="AN281" s="541"/>
      <c r="AO281" s="541"/>
      <c r="AP281" s="61"/>
      <c r="CG281" t="str">
        <v>CENTER INDUSTRIES CORP.</v>
      </c>
    </row>
    <row r="282" spans="1:85" x14ac:dyDescent="0.2">
      <c r="A282" s="61">
        <v>281</v>
      </c>
      <c r="B282" s="542" t="s">
        <v>2706</v>
      </c>
      <c r="C282" s="543" t="s">
        <v>4724</v>
      </c>
      <c r="D282" s="543" t="s">
        <v>4725</v>
      </c>
      <c r="E282" s="543" t="s">
        <v>1756</v>
      </c>
      <c r="F282" s="543" t="s">
        <v>1725</v>
      </c>
      <c r="G282" s="543" t="s">
        <v>34</v>
      </c>
      <c r="H282" s="543" t="s">
        <v>1821</v>
      </c>
      <c r="I282" s="543" t="s">
        <v>5351</v>
      </c>
      <c r="J282" s="543" t="s">
        <v>2089</v>
      </c>
      <c r="K282" s="543" t="s">
        <v>2707</v>
      </c>
      <c r="L282" s="543" t="s">
        <v>2729</v>
      </c>
      <c r="M282" s="544">
        <v>1</v>
      </c>
      <c r="N282" s="543" t="s">
        <v>4724</v>
      </c>
      <c r="O282" s="543" t="s">
        <v>5373</v>
      </c>
      <c r="P282" s="543" t="s">
        <v>4281</v>
      </c>
      <c r="Q282" s="543" t="s">
        <v>4589</v>
      </c>
      <c r="R282" s="543" t="s">
        <v>1814</v>
      </c>
      <c r="S282" s="543" t="s">
        <v>4808</v>
      </c>
      <c r="T282" s="543">
        <v>13.9</v>
      </c>
      <c r="U282" s="543" t="s">
        <v>1843</v>
      </c>
      <c r="V282" s="543" t="s">
        <v>2034</v>
      </c>
      <c r="W282" s="543" t="s">
        <v>4027</v>
      </c>
      <c r="X282" s="543" t="s">
        <v>4556</v>
      </c>
      <c r="Y282" s="543" t="s">
        <v>2012</v>
      </c>
      <c r="Z282" s="543" t="s">
        <v>2708</v>
      </c>
      <c r="AA282" s="543" t="s">
        <v>4556</v>
      </c>
      <c r="AB282" s="543" t="s">
        <v>34</v>
      </c>
      <c r="AC282" s="543" t="s">
        <v>1816</v>
      </c>
      <c r="AD282" s="543" t="s">
        <v>1817</v>
      </c>
      <c r="AE282" s="543" t="s">
        <v>1455</v>
      </c>
      <c r="AF282" s="543">
        <v>3</v>
      </c>
      <c r="AG282" s="543">
        <v>1</v>
      </c>
      <c r="AH282" s="543">
        <v>1</v>
      </c>
      <c r="AI282" s="543" t="s">
        <v>34</v>
      </c>
      <c r="AJ282" s="543" t="s">
        <v>34</v>
      </c>
      <c r="AK282" s="543" t="s">
        <v>1818</v>
      </c>
      <c r="AL282" s="543" t="s">
        <v>3418</v>
      </c>
      <c r="AM282" s="61" t="s">
        <v>4496</v>
      </c>
      <c r="AN282" s="541"/>
      <c r="AO282" s="541"/>
      <c r="AP282" s="61"/>
      <c r="CG282" t="str">
        <v>CENTERLINE, INC.</v>
      </c>
    </row>
    <row r="283" spans="1:85" x14ac:dyDescent="0.2">
      <c r="A283" s="61">
        <v>282</v>
      </c>
      <c r="B283" s="542" t="s">
        <v>2706</v>
      </c>
      <c r="C283" s="543" t="s">
        <v>597</v>
      </c>
      <c r="D283" s="543" t="s">
        <v>3838</v>
      </c>
      <c r="E283" s="543" t="s">
        <v>1756</v>
      </c>
      <c r="F283" s="543" t="s">
        <v>1725</v>
      </c>
      <c r="G283" s="543" t="s">
        <v>34</v>
      </c>
      <c r="H283" s="543" t="s">
        <v>1821</v>
      </c>
      <c r="I283" s="543" t="s">
        <v>5342</v>
      </c>
      <c r="J283" s="543" t="s">
        <v>2089</v>
      </c>
      <c r="K283" s="543" t="s">
        <v>2707</v>
      </c>
      <c r="L283" s="543" t="s">
        <v>1812</v>
      </c>
      <c r="M283" s="544">
        <v>2</v>
      </c>
      <c r="N283" s="543" t="s">
        <v>597</v>
      </c>
      <c r="O283" s="543" t="s">
        <v>5373</v>
      </c>
      <c r="P283" s="543" t="s">
        <v>2763</v>
      </c>
      <c r="Q283" s="543" t="s">
        <v>4555</v>
      </c>
      <c r="R283" s="543" t="s">
        <v>1988</v>
      </c>
      <c r="S283" s="543" t="s">
        <v>2731</v>
      </c>
      <c r="T283" s="543">
        <v>400</v>
      </c>
      <c r="U283" s="543" t="s">
        <v>1843</v>
      </c>
      <c r="V283" s="543" t="s">
        <v>1899</v>
      </c>
      <c r="W283" s="543" t="s">
        <v>2732</v>
      </c>
      <c r="X283" s="543" t="s">
        <v>4556</v>
      </c>
      <c r="Y283" s="543" t="s">
        <v>2012</v>
      </c>
      <c r="Z283" s="543" t="s">
        <v>2708</v>
      </c>
      <c r="AA283" s="543" t="s">
        <v>4556</v>
      </c>
      <c r="AB283" s="543" t="s">
        <v>34</v>
      </c>
      <c r="AC283" s="543" t="s">
        <v>1816</v>
      </c>
      <c r="AD283" s="543" t="s">
        <v>1817</v>
      </c>
      <c r="AE283" s="543" t="s">
        <v>1455</v>
      </c>
      <c r="AF283" s="543">
        <v>1.5</v>
      </c>
      <c r="AG283" s="543">
        <v>3</v>
      </c>
      <c r="AH283" s="543">
        <v>1</v>
      </c>
      <c r="AI283" s="543" t="s">
        <v>3626</v>
      </c>
      <c r="AJ283" s="543" t="s">
        <v>34</v>
      </c>
      <c r="AK283" s="543" t="s">
        <v>1818</v>
      </c>
      <c r="AL283" s="543" t="s">
        <v>3418</v>
      </c>
      <c r="AM283" s="61" t="s">
        <v>4495</v>
      </c>
      <c r="AN283" s="541">
        <v>0</v>
      </c>
      <c r="AO283" s="541">
        <v>0</v>
      </c>
      <c r="AP283" s="61"/>
      <c r="CG283" t="str">
        <v>CENTRAL AIR CONDITIONING COMPANY, INC.</v>
      </c>
    </row>
    <row r="284" spans="1:85" x14ac:dyDescent="0.2">
      <c r="A284" s="61">
        <v>283</v>
      </c>
      <c r="B284" s="542" t="s">
        <v>2706</v>
      </c>
      <c r="C284" s="543" t="s">
        <v>599</v>
      </c>
      <c r="D284" s="543" t="s">
        <v>3839</v>
      </c>
      <c r="E284" s="543" t="s">
        <v>1756</v>
      </c>
      <c r="F284" s="543" t="s">
        <v>1725</v>
      </c>
      <c r="G284" s="543" t="s">
        <v>34</v>
      </c>
      <c r="H284" s="543" t="s">
        <v>1821</v>
      </c>
      <c r="I284" s="543" t="s">
        <v>5342</v>
      </c>
      <c r="J284" s="543" t="s">
        <v>2089</v>
      </c>
      <c r="K284" s="543" t="s">
        <v>2707</v>
      </c>
      <c r="L284" s="543" t="s">
        <v>2105</v>
      </c>
      <c r="M284" s="544">
        <v>9321</v>
      </c>
      <c r="N284" s="543" t="s">
        <v>599</v>
      </c>
      <c r="O284" s="543" t="s">
        <v>5373</v>
      </c>
      <c r="P284" s="543" t="s">
        <v>2717</v>
      </c>
      <c r="Q284" s="543" t="s">
        <v>4555</v>
      </c>
      <c r="R284" s="543" t="s">
        <v>1988</v>
      </c>
      <c r="S284" s="543" t="s">
        <v>4809</v>
      </c>
      <c r="T284" s="543">
        <v>640</v>
      </c>
      <c r="U284" s="543" t="s">
        <v>1843</v>
      </c>
      <c r="V284" s="543" t="s">
        <v>1899</v>
      </c>
      <c r="W284" s="543" t="s">
        <v>2718</v>
      </c>
      <c r="X284" s="543" t="s">
        <v>4556</v>
      </c>
      <c r="Y284" s="543" t="s">
        <v>2012</v>
      </c>
      <c r="Z284" s="543" t="s">
        <v>2708</v>
      </c>
      <c r="AA284" s="543" t="s">
        <v>4556</v>
      </c>
      <c r="AB284" s="543" t="s">
        <v>34</v>
      </c>
      <c r="AC284" s="543" t="s">
        <v>1816</v>
      </c>
      <c r="AD284" s="543" t="s">
        <v>1817</v>
      </c>
      <c r="AE284" s="543" t="s">
        <v>1455</v>
      </c>
      <c r="AF284" s="543">
        <v>5.9</v>
      </c>
      <c r="AG284" s="543">
        <v>60</v>
      </c>
      <c r="AH284" s="543">
        <v>2</v>
      </c>
      <c r="AI284" s="543" t="s">
        <v>34</v>
      </c>
      <c r="AJ284" s="543" t="s">
        <v>34</v>
      </c>
      <c r="AK284" s="543" t="s">
        <v>1818</v>
      </c>
      <c r="AL284" s="543" t="s">
        <v>3418</v>
      </c>
      <c r="AM284" s="61" t="s">
        <v>4495</v>
      </c>
      <c r="AN284" s="541">
        <v>0</v>
      </c>
      <c r="AO284" s="541">
        <v>0</v>
      </c>
      <c r="AP284" s="61"/>
      <c r="CG284" t="str">
        <v>CENTRAL POWER SYSTEMS &amp; SERVICES, LLC</v>
      </c>
    </row>
    <row r="285" spans="1:85" x14ac:dyDescent="0.2">
      <c r="A285" s="61">
        <v>284</v>
      </c>
      <c r="B285" s="542" t="s">
        <v>2706</v>
      </c>
      <c r="C285" s="543" t="s">
        <v>1604</v>
      </c>
      <c r="D285" s="543" t="s">
        <v>3840</v>
      </c>
      <c r="E285" s="543" t="s">
        <v>1756</v>
      </c>
      <c r="F285" s="543" t="s">
        <v>1725</v>
      </c>
      <c r="G285" s="543" t="s">
        <v>34</v>
      </c>
      <c r="H285" s="543" t="s">
        <v>1821</v>
      </c>
      <c r="I285" s="543" t="s">
        <v>5351</v>
      </c>
      <c r="J285" s="543" t="s">
        <v>2089</v>
      </c>
      <c r="K285" s="543" t="s">
        <v>2751</v>
      </c>
      <c r="L285" s="543" t="s">
        <v>1812</v>
      </c>
      <c r="M285" s="544">
        <v>4</v>
      </c>
      <c r="N285" s="543" t="s">
        <v>1604</v>
      </c>
      <c r="O285" s="543" t="s">
        <v>2744</v>
      </c>
      <c r="P285" s="543" t="s">
        <v>2604</v>
      </c>
      <c r="Q285" s="543" t="s">
        <v>1897</v>
      </c>
      <c r="R285" s="543" t="s">
        <v>1988</v>
      </c>
      <c r="S285" s="543" t="s">
        <v>2752</v>
      </c>
      <c r="T285" s="543">
        <v>600</v>
      </c>
      <c r="U285" s="543" t="s">
        <v>1642</v>
      </c>
      <c r="V285" s="543" t="s">
        <v>1899</v>
      </c>
      <c r="W285" s="543" t="s">
        <v>2753</v>
      </c>
      <c r="X285" s="543" t="s">
        <v>1815</v>
      </c>
      <c r="Y285" s="543" t="s">
        <v>2012</v>
      </c>
      <c r="Z285" s="543" t="s">
        <v>2754</v>
      </c>
      <c r="AA285" s="543" t="s">
        <v>1815</v>
      </c>
      <c r="AB285" s="543" t="s">
        <v>34</v>
      </c>
      <c r="AC285" s="543" t="s">
        <v>1816</v>
      </c>
      <c r="AD285" s="543" t="s">
        <v>1817</v>
      </c>
      <c r="AE285" s="543" t="s">
        <v>1455</v>
      </c>
      <c r="AF285" s="543">
        <v>4</v>
      </c>
      <c r="AG285" s="543">
        <v>0</v>
      </c>
      <c r="AH285" s="543">
        <v>0</v>
      </c>
      <c r="AI285" s="543" t="s">
        <v>3627</v>
      </c>
      <c r="AJ285" s="543" t="s">
        <v>3586</v>
      </c>
      <c r="AK285" s="543" t="s">
        <v>1818</v>
      </c>
      <c r="AL285" s="543" t="s">
        <v>3418</v>
      </c>
      <c r="AM285" s="61" t="s">
        <v>4495</v>
      </c>
      <c r="AN285" s="541">
        <v>0</v>
      </c>
      <c r="AO285" s="541">
        <v>0</v>
      </c>
      <c r="AP285" s="61"/>
      <c r="CG285" t="str">
        <v>CENTRAL TEXAS HEAT TREATING</v>
      </c>
    </row>
    <row r="286" spans="1:85" x14ac:dyDescent="0.2">
      <c r="A286" s="61">
        <v>285</v>
      </c>
      <c r="B286" s="542" t="s">
        <v>2706</v>
      </c>
      <c r="C286" s="543" t="s">
        <v>587</v>
      </c>
      <c r="D286" s="543" t="s">
        <v>3841</v>
      </c>
      <c r="E286" s="543" t="s">
        <v>1756</v>
      </c>
      <c r="F286" s="543" t="s">
        <v>1725</v>
      </c>
      <c r="G286" s="543" t="s">
        <v>34</v>
      </c>
      <c r="H286" s="543" t="s">
        <v>1821</v>
      </c>
      <c r="I286" s="543" t="s">
        <v>5342</v>
      </c>
      <c r="J286" s="543" t="s">
        <v>2089</v>
      </c>
      <c r="K286" s="543" t="s">
        <v>2707</v>
      </c>
      <c r="L286" s="543" t="s">
        <v>1812</v>
      </c>
      <c r="M286" s="544">
        <v>4</v>
      </c>
      <c r="N286" s="543" t="s">
        <v>587</v>
      </c>
      <c r="O286" s="543" t="s">
        <v>5373</v>
      </c>
      <c r="P286" s="543" t="s">
        <v>2808</v>
      </c>
      <c r="Q286" s="543" t="s">
        <v>4555</v>
      </c>
      <c r="R286" s="543" t="s">
        <v>1988</v>
      </c>
      <c r="S286" s="543" t="s">
        <v>2752</v>
      </c>
      <c r="T286" s="543">
        <v>600</v>
      </c>
      <c r="U286" s="543" t="s">
        <v>1843</v>
      </c>
      <c r="V286" s="543" t="s">
        <v>1899</v>
      </c>
      <c r="W286" s="543" t="s">
        <v>2753</v>
      </c>
      <c r="X286" s="543" t="s">
        <v>4556</v>
      </c>
      <c r="Y286" s="543" t="s">
        <v>2012</v>
      </c>
      <c r="Z286" s="543" t="s">
        <v>2754</v>
      </c>
      <c r="AA286" s="543" t="s">
        <v>4556</v>
      </c>
      <c r="AB286" s="543" t="s">
        <v>34</v>
      </c>
      <c r="AC286" s="543" t="s">
        <v>1816</v>
      </c>
      <c r="AD286" s="543" t="s">
        <v>1817</v>
      </c>
      <c r="AE286" s="543" t="s">
        <v>1455</v>
      </c>
      <c r="AF286" s="543">
        <v>4</v>
      </c>
      <c r="AG286" s="543">
        <v>0</v>
      </c>
      <c r="AH286" s="543">
        <v>0</v>
      </c>
      <c r="AI286" s="543" t="s">
        <v>3627</v>
      </c>
      <c r="AJ286" s="543" t="s">
        <v>3586</v>
      </c>
      <c r="AK286" s="543" t="s">
        <v>1818</v>
      </c>
      <c r="AL286" s="543" t="s">
        <v>3418</v>
      </c>
      <c r="AM286" s="61" t="s">
        <v>4495</v>
      </c>
      <c r="AN286" s="541">
        <v>0</v>
      </c>
      <c r="AO286" s="541">
        <v>0</v>
      </c>
      <c r="AP286" s="61"/>
      <c r="CG286" t="str">
        <v>CENTURION MANUFACTURING</v>
      </c>
    </row>
    <row r="287" spans="1:85" x14ac:dyDescent="0.2">
      <c r="A287" s="61">
        <v>286</v>
      </c>
      <c r="B287" s="542" t="s">
        <v>2706</v>
      </c>
      <c r="C287" s="543" t="s">
        <v>591</v>
      </c>
      <c r="D287" s="543" t="s">
        <v>3842</v>
      </c>
      <c r="E287" s="543" t="s">
        <v>1756</v>
      </c>
      <c r="F287" s="543" t="s">
        <v>1725</v>
      </c>
      <c r="G287" s="543" t="s">
        <v>34</v>
      </c>
      <c r="H287" s="543" t="s">
        <v>1821</v>
      </c>
      <c r="I287" s="543" t="s">
        <v>5342</v>
      </c>
      <c r="J287" s="543" t="s">
        <v>2089</v>
      </c>
      <c r="K287" s="543" t="s">
        <v>4245</v>
      </c>
      <c r="L287" s="543" t="s">
        <v>5441</v>
      </c>
      <c r="M287" s="544">
        <v>5</v>
      </c>
      <c r="N287" s="543" t="s">
        <v>591</v>
      </c>
      <c r="O287" s="543" t="s">
        <v>665</v>
      </c>
      <c r="P287" s="543" t="s">
        <v>5442</v>
      </c>
      <c r="Q287" s="543" t="s">
        <v>4555</v>
      </c>
      <c r="R287" s="543" t="s">
        <v>1988</v>
      </c>
      <c r="S287" s="543" t="s">
        <v>5443</v>
      </c>
      <c r="T287" s="543">
        <v>75</v>
      </c>
      <c r="U287" s="543" t="s">
        <v>1642</v>
      </c>
      <c r="V287" s="543" t="s">
        <v>2601</v>
      </c>
      <c r="W287" s="543" t="s">
        <v>5444</v>
      </c>
      <c r="X287" s="543" t="s">
        <v>4556</v>
      </c>
      <c r="Y287" s="543" t="s">
        <v>109</v>
      </c>
      <c r="Z287" s="543" t="s">
        <v>109</v>
      </c>
      <c r="AA287" s="543" t="s">
        <v>109</v>
      </c>
      <c r="AB287" s="543" t="s">
        <v>34</v>
      </c>
      <c r="AC287" s="543" t="s">
        <v>1816</v>
      </c>
      <c r="AD287" s="543" t="s">
        <v>1817</v>
      </c>
      <c r="AE287" s="543" t="s">
        <v>1455</v>
      </c>
      <c r="AF287" s="543" t="s">
        <v>3040</v>
      </c>
      <c r="AG287" s="543" t="s">
        <v>34</v>
      </c>
      <c r="AH287" s="543" t="s">
        <v>34</v>
      </c>
      <c r="AI287" s="543" t="s">
        <v>34</v>
      </c>
      <c r="AJ287" s="543" t="s">
        <v>34</v>
      </c>
      <c r="AK287" s="543" t="s">
        <v>1818</v>
      </c>
      <c r="AL287" s="543" t="s">
        <v>3418</v>
      </c>
      <c r="AM287" s="61" t="s">
        <v>4495</v>
      </c>
      <c r="AN287" s="541">
        <v>0</v>
      </c>
      <c r="AO287" s="541">
        <v>0</v>
      </c>
      <c r="AP287" s="61"/>
      <c r="CG287" t="str">
        <v>CENTURY PLASTICS</v>
      </c>
    </row>
    <row r="288" spans="1:85" x14ac:dyDescent="0.2">
      <c r="A288" s="61">
        <v>287</v>
      </c>
      <c r="B288" s="542" t="s">
        <v>2706</v>
      </c>
      <c r="C288" s="543" t="s">
        <v>585</v>
      </c>
      <c r="D288" s="543" t="s">
        <v>3843</v>
      </c>
      <c r="E288" s="543" t="s">
        <v>1756</v>
      </c>
      <c r="F288" s="543" t="s">
        <v>1725</v>
      </c>
      <c r="G288" s="543" t="s">
        <v>34</v>
      </c>
      <c r="H288" s="543" t="s">
        <v>1821</v>
      </c>
      <c r="I288" s="543" t="s">
        <v>5342</v>
      </c>
      <c r="J288" s="543" t="s">
        <v>2089</v>
      </c>
      <c r="K288" s="543" t="s">
        <v>2751</v>
      </c>
      <c r="L288" s="543" t="s">
        <v>2237</v>
      </c>
      <c r="M288" s="544">
        <v>78700</v>
      </c>
      <c r="N288" s="543" t="s">
        <v>585</v>
      </c>
      <c r="O288" s="543" t="s">
        <v>5373</v>
      </c>
      <c r="P288" s="543" t="s">
        <v>2755</v>
      </c>
      <c r="Q288" s="543" t="s">
        <v>4555</v>
      </c>
      <c r="R288" s="543" t="s">
        <v>1979</v>
      </c>
      <c r="S288" s="543" t="s">
        <v>2756</v>
      </c>
      <c r="T288" s="543">
        <v>180</v>
      </c>
      <c r="U288" s="543" t="s">
        <v>1843</v>
      </c>
      <c r="V288" s="543" t="s">
        <v>1899</v>
      </c>
      <c r="W288" s="543" t="s">
        <v>2757</v>
      </c>
      <c r="X288" s="543" t="s">
        <v>4556</v>
      </c>
      <c r="Y288" s="543" t="s">
        <v>2012</v>
      </c>
      <c r="Z288" s="543" t="s">
        <v>2708</v>
      </c>
      <c r="AA288" s="543" t="s">
        <v>4556</v>
      </c>
      <c r="AB288" s="543" t="s">
        <v>34</v>
      </c>
      <c r="AC288" s="543" t="s">
        <v>1816</v>
      </c>
      <c r="AD288" s="543" t="s">
        <v>1817</v>
      </c>
      <c r="AE288" s="543" t="s">
        <v>1455</v>
      </c>
      <c r="AF288" s="543">
        <v>42.6</v>
      </c>
      <c r="AG288" s="543">
        <v>68</v>
      </c>
      <c r="AH288" s="543" t="s">
        <v>3555</v>
      </c>
      <c r="AI288" s="543" t="s">
        <v>34</v>
      </c>
      <c r="AJ288" s="543" t="s">
        <v>34</v>
      </c>
      <c r="AK288" s="543" t="s">
        <v>1818</v>
      </c>
      <c r="AL288" s="543" t="s">
        <v>3418</v>
      </c>
      <c r="AM288" s="61" t="s">
        <v>4495</v>
      </c>
      <c r="AN288" s="541">
        <v>0</v>
      </c>
      <c r="AO288" s="541">
        <v>0</v>
      </c>
      <c r="AP288" s="61"/>
      <c r="CG288" t="str">
        <v>CERTAINTEED CORP.</v>
      </c>
    </row>
    <row r="289" spans="1:85" x14ac:dyDescent="0.2">
      <c r="A289" s="61">
        <v>288</v>
      </c>
      <c r="B289" s="542" t="s">
        <v>2706</v>
      </c>
      <c r="C289" s="543" t="s">
        <v>4360</v>
      </c>
      <c r="D289" s="543" t="s">
        <v>4361</v>
      </c>
      <c r="E289" s="543" t="s">
        <v>1756</v>
      </c>
      <c r="F289" s="543" t="s">
        <v>1725</v>
      </c>
      <c r="G289" s="543" t="s">
        <v>34</v>
      </c>
      <c r="H289" s="543" t="s">
        <v>1821</v>
      </c>
      <c r="I289" s="543" t="s">
        <v>5342</v>
      </c>
      <c r="J289" s="543" t="s">
        <v>2089</v>
      </c>
      <c r="K289" s="543" t="s">
        <v>1985</v>
      </c>
      <c r="L289" s="543" t="s">
        <v>4362</v>
      </c>
      <c r="M289" s="544" t="s">
        <v>4363</v>
      </c>
      <c r="N289" s="543" t="s">
        <v>4364</v>
      </c>
      <c r="O289" s="543" t="s">
        <v>2744</v>
      </c>
      <c r="P289" s="543" t="s">
        <v>3179</v>
      </c>
      <c r="Q289" s="543" t="s">
        <v>1897</v>
      </c>
      <c r="R289" s="543" t="s">
        <v>4365</v>
      </c>
      <c r="S289" s="543" t="s">
        <v>4366</v>
      </c>
      <c r="T289" s="543">
        <v>141.6</v>
      </c>
      <c r="U289" s="543" t="s">
        <v>1642</v>
      </c>
      <c r="V289" s="543" t="s">
        <v>1899</v>
      </c>
      <c r="W289" s="543" t="s">
        <v>4367</v>
      </c>
      <c r="X289" s="543" t="s">
        <v>1815</v>
      </c>
      <c r="Y289" s="543" t="s">
        <v>2012</v>
      </c>
      <c r="Z289" s="543" t="s">
        <v>2708</v>
      </c>
      <c r="AA289" s="543" t="s">
        <v>1815</v>
      </c>
      <c r="AB289" s="543" t="s">
        <v>34</v>
      </c>
      <c r="AC289" s="543" t="s">
        <v>1816</v>
      </c>
      <c r="AD289" s="543" t="s">
        <v>1817</v>
      </c>
      <c r="AE289" s="543" t="s">
        <v>1455</v>
      </c>
      <c r="AF289" s="543">
        <v>15.6</v>
      </c>
      <c r="AG289" s="543">
        <v>250</v>
      </c>
      <c r="AH289" s="543">
        <v>40</v>
      </c>
      <c r="AI289" s="543" t="s">
        <v>34</v>
      </c>
      <c r="AJ289" s="543" t="s">
        <v>34</v>
      </c>
      <c r="AK289" s="543" t="s">
        <v>1818</v>
      </c>
      <c r="AL289" s="543" t="s">
        <v>3418</v>
      </c>
      <c r="AM289" s="61" t="s">
        <v>4513</v>
      </c>
      <c r="AN289" s="541">
        <v>0</v>
      </c>
      <c r="AO289" s="541">
        <v>0</v>
      </c>
      <c r="AP289" s="61"/>
      <c r="CG289" t="str">
        <v>CESSNA 163 MID-CONTINENT</v>
      </c>
    </row>
    <row r="290" spans="1:85" x14ac:dyDescent="0.2">
      <c r="A290" s="61">
        <v>289</v>
      </c>
      <c r="B290" s="542" t="s">
        <v>2706</v>
      </c>
      <c r="C290" s="543" t="s">
        <v>581</v>
      </c>
      <c r="D290" s="543" t="s">
        <v>3844</v>
      </c>
      <c r="E290" s="543" t="s">
        <v>1756</v>
      </c>
      <c r="F290" s="543" t="s">
        <v>1725</v>
      </c>
      <c r="G290" s="543" t="s">
        <v>34</v>
      </c>
      <c r="H290" s="543" t="s">
        <v>1821</v>
      </c>
      <c r="I290" s="543" t="s">
        <v>5342</v>
      </c>
      <c r="J290" s="543" t="s">
        <v>2433</v>
      </c>
      <c r="K290" s="543" t="s">
        <v>2751</v>
      </c>
      <c r="L290" s="543" t="s">
        <v>109</v>
      </c>
      <c r="M290" s="544">
        <v>7</v>
      </c>
      <c r="N290" s="543" t="s">
        <v>581</v>
      </c>
      <c r="O290" s="543" t="s">
        <v>665</v>
      </c>
      <c r="P290" s="543" t="s">
        <v>2323</v>
      </c>
      <c r="Q290" s="543" t="s">
        <v>1897</v>
      </c>
      <c r="R290" s="543" t="s">
        <v>1979</v>
      </c>
      <c r="S290" s="543" t="s">
        <v>2758</v>
      </c>
      <c r="T290" s="543">
        <v>240</v>
      </c>
      <c r="U290" s="543" t="s">
        <v>1844</v>
      </c>
      <c r="V290" s="543" t="s">
        <v>2101</v>
      </c>
      <c r="W290" s="543">
        <v>431103000</v>
      </c>
      <c r="X290" s="543" t="s">
        <v>1815</v>
      </c>
      <c r="Y290" s="543" t="s">
        <v>109</v>
      </c>
      <c r="Z290" s="543" t="s">
        <v>109</v>
      </c>
      <c r="AA290" s="543" t="s">
        <v>109</v>
      </c>
      <c r="AB290" s="543" t="s">
        <v>34</v>
      </c>
      <c r="AC290" s="543" t="s">
        <v>1816</v>
      </c>
      <c r="AD290" s="543" t="s">
        <v>1817</v>
      </c>
      <c r="AE290" s="543" t="s">
        <v>1455</v>
      </c>
      <c r="AF290" s="543">
        <v>2.5</v>
      </c>
      <c r="AG290" s="543">
        <v>2</v>
      </c>
      <c r="AH290" s="543">
        <v>2</v>
      </c>
      <c r="AI290" s="543" t="s">
        <v>3628</v>
      </c>
      <c r="AJ290" s="543" t="s">
        <v>3629</v>
      </c>
      <c r="AK290" s="543" t="s">
        <v>1818</v>
      </c>
      <c r="AL290" s="543" t="s">
        <v>3418</v>
      </c>
      <c r="AM290" s="61" t="s">
        <v>4495</v>
      </c>
      <c r="AN290" s="541">
        <v>0</v>
      </c>
      <c r="AO290" s="541">
        <v>0</v>
      </c>
      <c r="AP290" s="61"/>
      <c r="CG290" t="str">
        <v>CESSNA AIRCRAFT CO. DEPT 053</v>
      </c>
    </row>
    <row r="291" spans="1:85" x14ac:dyDescent="0.2">
      <c r="A291" s="61">
        <v>290</v>
      </c>
      <c r="B291" s="542" t="s">
        <v>2706</v>
      </c>
      <c r="C291" s="543" t="s">
        <v>4149</v>
      </c>
      <c r="D291" s="543" t="s">
        <v>4150</v>
      </c>
      <c r="E291" s="543" t="s">
        <v>1756</v>
      </c>
      <c r="F291" s="543" t="s">
        <v>1725</v>
      </c>
      <c r="G291" s="543" t="s">
        <v>34</v>
      </c>
      <c r="H291" s="543" t="s">
        <v>1821</v>
      </c>
      <c r="I291" s="543" t="s">
        <v>5375</v>
      </c>
      <c r="J291" s="543" t="s">
        <v>2089</v>
      </c>
      <c r="K291" s="543" t="s">
        <v>2751</v>
      </c>
      <c r="L291" s="543" t="s">
        <v>2608</v>
      </c>
      <c r="M291" s="544" t="s">
        <v>4151</v>
      </c>
      <c r="N291" s="543" t="s">
        <v>4149</v>
      </c>
      <c r="O291" s="543" t="s">
        <v>5373</v>
      </c>
      <c r="P291" s="543" t="s">
        <v>3176</v>
      </c>
      <c r="Q291" s="543" t="s">
        <v>4555</v>
      </c>
      <c r="R291" s="543" t="s">
        <v>4152</v>
      </c>
      <c r="S291" s="543" t="s">
        <v>4153</v>
      </c>
      <c r="T291" s="543">
        <v>601</v>
      </c>
      <c r="U291" s="543" t="s">
        <v>1843</v>
      </c>
      <c r="V291" s="543" t="s">
        <v>4154</v>
      </c>
      <c r="W291" s="543" t="s">
        <v>4155</v>
      </c>
      <c r="X291" s="543" t="s">
        <v>4556</v>
      </c>
      <c r="Y291" s="543" t="s">
        <v>4156</v>
      </c>
      <c r="Z291" s="543" t="s">
        <v>1948</v>
      </c>
      <c r="AA291" s="543" t="s">
        <v>4556</v>
      </c>
      <c r="AB291" s="543" t="s">
        <v>34</v>
      </c>
      <c r="AC291" s="543" t="s">
        <v>1816</v>
      </c>
      <c r="AD291" s="543" t="s">
        <v>1817</v>
      </c>
      <c r="AE291" s="543" t="s">
        <v>1455</v>
      </c>
      <c r="AF291" s="543" t="s">
        <v>3040</v>
      </c>
      <c r="AG291" s="543" t="s">
        <v>34</v>
      </c>
      <c r="AH291" s="543" t="s">
        <v>34</v>
      </c>
      <c r="AI291" s="543" t="s">
        <v>34</v>
      </c>
      <c r="AJ291" s="543" t="s">
        <v>34</v>
      </c>
      <c r="AK291" s="543" t="s">
        <v>1818</v>
      </c>
      <c r="AL291" s="543" t="s">
        <v>3418</v>
      </c>
      <c r="AM291" s="61" t="s">
        <v>4495</v>
      </c>
      <c r="AN291" s="541">
        <v>0</v>
      </c>
      <c r="AO291" s="541">
        <v>0</v>
      </c>
      <c r="AP291" s="61"/>
      <c r="CG291" t="str">
        <v>CESSNA AIRCRAFT CO. WCSC, DEPT 573</v>
      </c>
    </row>
    <row r="292" spans="1:85" x14ac:dyDescent="0.2">
      <c r="A292" s="61">
        <v>291</v>
      </c>
      <c r="B292" s="542" t="s">
        <v>2706</v>
      </c>
      <c r="C292" s="543" t="s">
        <v>4849</v>
      </c>
      <c r="D292" s="543" t="s">
        <v>4850</v>
      </c>
      <c r="E292" s="543" t="s">
        <v>1756</v>
      </c>
      <c r="F292" s="543" t="s">
        <v>1725</v>
      </c>
      <c r="G292" s="543" t="s">
        <v>34</v>
      </c>
      <c r="H292" s="543" t="s">
        <v>1821</v>
      </c>
      <c r="I292" s="543" t="s">
        <v>4851</v>
      </c>
      <c r="J292" s="543" t="s">
        <v>2089</v>
      </c>
      <c r="K292" s="543" t="s">
        <v>2751</v>
      </c>
      <c r="L292" s="543" t="s">
        <v>2608</v>
      </c>
      <c r="M292" s="544" t="s">
        <v>4151</v>
      </c>
      <c r="N292" s="543" t="s">
        <v>4149</v>
      </c>
      <c r="O292" s="543" t="s">
        <v>2744</v>
      </c>
      <c r="P292" s="543" t="s">
        <v>3176</v>
      </c>
      <c r="Q292" s="543" t="s">
        <v>4555</v>
      </c>
      <c r="R292" s="543" t="s">
        <v>4152</v>
      </c>
      <c r="S292" s="543" t="s">
        <v>4153</v>
      </c>
      <c r="T292" s="543">
        <v>601</v>
      </c>
      <c r="U292" s="543" t="s">
        <v>1642</v>
      </c>
      <c r="V292" s="543" t="s">
        <v>4154</v>
      </c>
      <c r="W292" s="543" t="s">
        <v>4155</v>
      </c>
      <c r="X292" s="543" t="s">
        <v>4556</v>
      </c>
      <c r="Y292" s="543" t="s">
        <v>4156</v>
      </c>
      <c r="Z292" s="543" t="s">
        <v>1948</v>
      </c>
      <c r="AA292" s="543" t="s">
        <v>4556</v>
      </c>
      <c r="AB292" s="543" t="s">
        <v>34</v>
      </c>
      <c r="AC292" s="543" t="s">
        <v>1816</v>
      </c>
      <c r="AD292" s="543" t="s">
        <v>1817</v>
      </c>
      <c r="AE292" s="543" t="s">
        <v>1455</v>
      </c>
      <c r="AF292" s="543" t="s">
        <v>3040</v>
      </c>
      <c r="AG292" s="543" t="s">
        <v>34</v>
      </c>
      <c r="AH292" s="543" t="s">
        <v>34</v>
      </c>
      <c r="AI292" s="543" t="s">
        <v>34</v>
      </c>
      <c r="AJ292" s="543" t="s">
        <v>34</v>
      </c>
      <c r="AK292" s="543" t="s">
        <v>1818</v>
      </c>
      <c r="AL292" s="543" t="s">
        <v>3418</v>
      </c>
      <c r="AM292" s="61" t="s">
        <v>4495</v>
      </c>
      <c r="AN292" s="541"/>
      <c r="AO292" s="541"/>
      <c r="AP292" s="61"/>
      <c r="CG292" t="str">
        <v>CESSNA AIRCRAFT CO.,  DEPT. 064</v>
      </c>
    </row>
    <row r="293" spans="1:85" x14ac:dyDescent="0.2">
      <c r="A293" s="61">
        <v>292</v>
      </c>
      <c r="B293" s="542" t="s">
        <v>2706</v>
      </c>
      <c r="C293" s="543" t="s">
        <v>583</v>
      </c>
      <c r="D293" s="543" t="s">
        <v>3845</v>
      </c>
      <c r="E293" s="543" t="s">
        <v>1756</v>
      </c>
      <c r="F293" s="543" t="s">
        <v>1725</v>
      </c>
      <c r="G293" s="543" t="s">
        <v>34</v>
      </c>
      <c r="H293" s="543" t="s">
        <v>1821</v>
      </c>
      <c r="I293" s="543" t="s">
        <v>5342</v>
      </c>
      <c r="J293" s="543" t="s">
        <v>2433</v>
      </c>
      <c r="K293" s="543" t="s">
        <v>2751</v>
      </c>
      <c r="L293" s="543" t="s">
        <v>1812</v>
      </c>
      <c r="M293" s="544">
        <v>8</v>
      </c>
      <c r="N293" s="543" t="s">
        <v>583</v>
      </c>
      <c r="O293" s="543" t="s">
        <v>665</v>
      </c>
      <c r="P293" s="543" t="s">
        <v>2759</v>
      </c>
      <c r="Q293" s="543" t="s">
        <v>1897</v>
      </c>
      <c r="R293" s="543" t="s">
        <v>1988</v>
      </c>
      <c r="S293" s="543" t="s">
        <v>2758</v>
      </c>
      <c r="T293" s="543">
        <v>240</v>
      </c>
      <c r="U293" s="543" t="s">
        <v>1844</v>
      </c>
      <c r="V293" s="543" t="s">
        <v>2760</v>
      </c>
      <c r="W293" s="543" t="s">
        <v>2761</v>
      </c>
      <c r="X293" s="543" t="s">
        <v>1815</v>
      </c>
      <c r="Y293" s="543" t="s">
        <v>109</v>
      </c>
      <c r="Z293" s="543" t="s">
        <v>109</v>
      </c>
      <c r="AA293" s="543" t="s">
        <v>109</v>
      </c>
      <c r="AB293" s="543" t="s">
        <v>34</v>
      </c>
      <c r="AC293" s="543" t="s">
        <v>1816</v>
      </c>
      <c r="AD293" s="543" t="s">
        <v>1817</v>
      </c>
      <c r="AE293" s="543" t="s">
        <v>1455</v>
      </c>
      <c r="AF293" s="543">
        <v>4</v>
      </c>
      <c r="AG293" s="543">
        <v>0</v>
      </c>
      <c r="AH293" s="543">
        <v>0</v>
      </c>
      <c r="AI293" s="543" t="s">
        <v>3627</v>
      </c>
      <c r="AJ293" s="543" t="s">
        <v>34</v>
      </c>
      <c r="AK293" s="543" t="s">
        <v>1818</v>
      </c>
      <c r="AL293" s="543" t="s">
        <v>3418</v>
      </c>
      <c r="AM293" s="61" t="s">
        <v>4495</v>
      </c>
      <c r="AN293" s="541">
        <v>0</v>
      </c>
      <c r="AO293" s="541">
        <v>0</v>
      </c>
      <c r="AP293" s="61"/>
      <c r="CG293" t="str">
        <v>CESSNA AIRCRAFT CO., DEPT. 031</v>
      </c>
    </row>
    <row r="294" spans="1:85" x14ac:dyDescent="0.2">
      <c r="A294" s="61">
        <v>293</v>
      </c>
      <c r="B294" s="542" t="s">
        <v>2706</v>
      </c>
      <c r="C294" s="543" t="s">
        <v>4315</v>
      </c>
      <c r="D294" s="543" t="s">
        <v>4316</v>
      </c>
      <c r="E294" s="543" t="s">
        <v>1756</v>
      </c>
      <c r="F294" s="543" t="s">
        <v>1725</v>
      </c>
      <c r="G294" s="543" t="s">
        <v>34</v>
      </c>
      <c r="H294" s="543" t="s">
        <v>1821</v>
      </c>
      <c r="I294" s="543" t="s">
        <v>5342</v>
      </c>
      <c r="J294" s="543" t="s">
        <v>2089</v>
      </c>
      <c r="K294" s="543" t="s">
        <v>875</v>
      </c>
      <c r="L294" s="543" t="s">
        <v>2162</v>
      </c>
      <c r="M294" s="544">
        <v>9</v>
      </c>
      <c r="N294" s="543" t="s">
        <v>601</v>
      </c>
      <c r="O294" s="543" t="s">
        <v>2744</v>
      </c>
      <c r="P294" s="543" t="s">
        <v>2726</v>
      </c>
      <c r="Q294" s="543" t="s">
        <v>1897</v>
      </c>
      <c r="R294" s="543" t="s">
        <v>1814</v>
      </c>
      <c r="S294" s="543" t="s">
        <v>2727</v>
      </c>
      <c r="T294" s="543">
        <v>73.900000000000006</v>
      </c>
      <c r="U294" s="543" t="s">
        <v>1642</v>
      </c>
      <c r="V294" s="543" t="s">
        <v>2053</v>
      </c>
      <c r="W294" s="543" t="s">
        <v>2728</v>
      </c>
      <c r="X294" s="543" t="s">
        <v>1815</v>
      </c>
      <c r="Y294" s="543" t="s">
        <v>2782</v>
      </c>
      <c r="Z294" s="543" t="s">
        <v>4907</v>
      </c>
      <c r="AA294" s="543" t="s">
        <v>1815</v>
      </c>
      <c r="AB294" s="543" t="s">
        <v>34</v>
      </c>
      <c r="AC294" s="543" t="s">
        <v>1816</v>
      </c>
      <c r="AD294" s="543" t="s">
        <v>1817</v>
      </c>
      <c r="AE294" s="543" t="s">
        <v>1455</v>
      </c>
      <c r="AF294" s="543">
        <v>0.8</v>
      </c>
      <c r="AG294" s="543">
        <v>1</v>
      </c>
      <c r="AH294" s="543">
        <v>4.05</v>
      </c>
      <c r="AI294" s="543" t="s">
        <v>3625</v>
      </c>
      <c r="AJ294" s="543" t="s">
        <v>34</v>
      </c>
      <c r="AK294" s="543" t="s">
        <v>1818</v>
      </c>
      <c r="AL294" s="543" t="s">
        <v>3418</v>
      </c>
      <c r="AM294" s="61" t="s">
        <v>4513</v>
      </c>
      <c r="AN294" s="541">
        <v>0</v>
      </c>
      <c r="AO294" s="541">
        <v>0</v>
      </c>
      <c r="AP294" s="61"/>
      <c r="CG294" t="str">
        <v>CESSNA AIRCRAFT CO., DEPT. 032</v>
      </c>
    </row>
    <row r="295" spans="1:85" x14ac:dyDescent="0.2">
      <c r="A295" s="61">
        <v>294</v>
      </c>
      <c r="B295" s="542" t="s">
        <v>2706</v>
      </c>
      <c r="C295" s="543" t="s">
        <v>601</v>
      </c>
      <c r="D295" s="543" t="s">
        <v>3846</v>
      </c>
      <c r="E295" s="543" t="s">
        <v>1756</v>
      </c>
      <c r="F295" s="543" t="s">
        <v>1725</v>
      </c>
      <c r="G295" s="543" t="s">
        <v>34</v>
      </c>
      <c r="H295" s="543" t="s">
        <v>1821</v>
      </c>
      <c r="I295" s="543" t="s">
        <v>5342</v>
      </c>
      <c r="J295" s="543" t="s">
        <v>2433</v>
      </c>
      <c r="K295" s="543" t="s">
        <v>875</v>
      </c>
      <c r="L295" s="543" t="s">
        <v>2162</v>
      </c>
      <c r="M295" s="544">
        <v>9</v>
      </c>
      <c r="N295" s="543" t="s">
        <v>601</v>
      </c>
      <c r="O295" s="543" t="s">
        <v>665</v>
      </c>
      <c r="P295" s="543" t="s">
        <v>2726</v>
      </c>
      <c r="Q295" s="543" t="s">
        <v>4555</v>
      </c>
      <c r="R295" s="543" t="s">
        <v>1814</v>
      </c>
      <c r="S295" s="543" t="s">
        <v>2727</v>
      </c>
      <c r="T295" s="543">
        <v>73.900000000000006</v>
      </c>
      <c r="U295" s="543" t="s">
        <v>1844</v>
      </c>
      <c r="V295" s="543" t="s">
        <v>2053</v>
      </c>
      <c r="W295" s="543" t="s">
        <v>2728</v>
      </c>
      <c r="X295" s="543" t="s">
        <v>4556</v>
      </c>
      <c r="Y295" s="543" t="s">
        <v>4740</v>
      </c>
      <c r="Z295" s="543" t="s">
        <v>4907</v>
      </c>
      <c r="AA295" s="543" t="s">
        <v>4556</v>
      </c>
      <c r="AB295" s="543" t="s">
        <v>34</v>
      </c>
      <c r="AC295" s="543" t="s">
        <v>1816</v>
      </c>
      <c r="AD295" s="543" t="s">
        <v>1817</v>
      </c>
      <c r="AE295" s="543" t="s">
        <v>1455</v>
      </c>
      <c r="AF295" s="543">
        <v>0.8</v>
      </c>
      <c r="AG295" s="543">
        <v>1</v>
      </c>
      <c r="AH295" s="543">
        <v>4.05</v>
      </c>
      <c r="AI295" s="543" t="s">
        <v>3625</v>
      </c>
      <c r="AJ295" s="543" t="s">
        <v>34</v>
      </c>
      <c r="AK295" s="543" t="s">
        <v>1818</v>
      </c>
      <c r="AL295" s="543" t="s">
        <v>3418</v>
      </c>
      <c r="AM295" s="61" t="s">
        <v>4498</v>
      </c>
      <c r="AN295" s="541">
        <v>0</v>
      </c>
      <c r="AO295" s="541">
        <v>0</v>
      </c>
      <c r="AP295" s="61"/>
      <c r="CG295" t="str">
        <v>CESSNA AIRCRAFT CO., DEPT. 10</v>
      </c>
    </row>
    <row r="296" spans="1:85" x14ac:dyDescent="0.2">
      <c r="A296" s="61">
        <v>295</v>
      </c>
      <c r="B296" s="542" t="s">
        <v>2706</v>
      </c>
      <c r="C296" s="543" t="s">
        <v>1664</v>
      </c>
      <c r="D296" s="543" t="s">
        <v>3847</v>
      </c>
      <c r="E296" s="543" t="s">
        <v>1756</v>
      </c>
      <c r="F296" s="543" t="s">
        <v>1725</v>
      </c>
      <c r="G296" s="543" t="s">
        <v>34</v>
      </c>
      <c r="H296" s="543" t="s">
        <v>1821</v>
      </c>
      <c r="I296" s="543" t="s">
        <v>5351</v>
      </c>
      <c r="J296" s="543" t="s">
        <v>2089</v>
      </c>
      <c r="K296" s="543" t="s">
        <v>2719</v>
      </c>
      <c r="L296" s="543" t="s">
        <v>2720</v>
      </c>
      <c r="M296" s="544" t="s">
        <v>2749</v>
      </c>
      <c r="N296" s="543" t="s">
        <v>2750</v>
      </c>
      <c r="O296" s="543" t="s">
        <v>2744</v>
      </c>
      <c r="P296" s="543" t="s">
        <v>4782</v>
      </c>
      <c r="Q296" s="543" t="s">
        <v>1897</v>
      </c>
      <c r="R296" s="543" t="s">
        <v>1988</v>
      </c>
      <c r="S296" s="543" t="s">
        <v>2722</v>
      </c>
      <c r="T296" s="543">
        <v>630</v>
      </c>
      <c r="U296" s="543" t="s">
        <v>1642</v>
      </c>
      <c r="V296" s="543" t="s">
        <v>1899</v>
      </c>
      <c r="W296" s="543" t="s">
        <v>2723</v>
      </c>
      <c r="X296" s="543" t="s">
        <v>1815</v>
      </c>
      <c r="Y296" s="543" t="s">
        <v>2012</v>
      </c>
      <c r="Z296" s="543" t="s">
        <v>2724</v>
      </c>
      <c r="AA296" s="543" t="s">
        <v>1815</v>
      </c>
      <c r="AB296" s="543" t="s">
        <v>2725</v>
      </c>
      <c r="AC296" s="543" t="s">
        <v>1816</v>
      </c>
      <c r="AD296" s="543" t="s">
        <v>1817</v>
      </c>
      <c r="AE296" s="543" t="s">
        <v>1455</v>
      </c>
      <c r="AF296" s="543">
        <v>17</v>
      </c>
      <c r="AG296" s="543">
        <v>60</v>
      </c>
      <c r="AH296" s="543">
        <v>10</v>
      </c>
      <c r="AI296" s="543" t="s">
        <v>3624</v>
      </c>
      <c r="AJ296" s="543" t="s">
        <v>34</v>
      </c>
      <c r="AK296" s="543" t="s">
        <v>1818</v>
      </c>
      <c r="AL296" s="543" t="s">
        <v>3418</v>
      </c>
      <c r="AM296" s="61" t="s">
        <v>4513</v>
      </c>
      <c r="AN296" s="541">
        <v>0</v>
      </c>
      <c r="AO296" s="541">
        <v>0</v>
      </c>
      <c r="AP296" s="61"/>
      <c r="CG296" t="str">
        <v>CESSNA AIRCRAFT CO., DEPT. 134</v>
      </c>
    </row>
    <row r="297" spans="1:85" x14ac:dyDescent="0.2">
      <c r="A297" s="61">
        <v>296</v>
      </c>
      <c r="B297" s="542" t="s">
        <v>2706</v>
      </c>
      <c r="C297" s="543" t="s">
        <v>603</v>
      </c>
      <c r="D297" s="543" t="s">
        <v>3848</v>
      </c>
      <c r="E297" s="543" t="s">
        <v>1756</v>
      </c>
      <c r="F297" s="543" t="s">
        <v>1725</v>
      </c>
      <c r="G297" s="543" t="s">
        <v>34</v>
      </c>
      <c r="H297" s="543" t="s">
        <v>1821</v>
      </c>
      <c r="I297" s="543" t="s">
        <v>5342</v>
      </c>
      <c r="J297" s="543" t="s">
        <v>2089</v>
      </c>
      <c r="K297" s="543" t="s">
        <v>2719</v>
      </c>
      <c r="L297" s="543" t="s">
        <v>2720</v>
      </c>
      <c r="M297" s="544" t="s">
        <v>2721</v>
      </c>
      <c r="N297" s="543" t="s">
        <v>603</v>
      </c>
      <c r="O297" s="543" t="s">
        <v>5373</v>
      </c>
      <c r="P297" s="543" t="s">
        <v>4803</v>
      </c>
      <c r="Q297" s="543" t="s">
        <v>4555</v>
      </c>
      <c r="R297" s="543" t="s">
        <v>1988</v>
      </c>
      <c r="S297" s="543" t="s">
        <v>2722</v>
      </c>
      <c r="T297" s="543">
        <v>630</v>
      </c>
      <c r="U297" s="543" t="s">
        <v>1843</v>
      </c>
      <c r="V297" s="543" t="s">
        <v>1899</v>
      </c>
      <c r="W297" s="543" t="s">
        <v>2723</v>
      </c>
      <c r="X297" s="543" t="s">
        <v>4556</v>
      </c>
      <c r="Y297" s="543" t="s">
        <v>2012</v>
      </c>
      <c r="Z297" s="543" t="s">
        <v>2724</v>
      </c>
      <c r="AA297" s="543" t="s">
        <v>4556</v>
      </c>
      <c r="AB297" s="543" t="s">
        <v>2725</v>
      </c>
      <c r="AC297" s="543" t="s">
        <v>1816</v>
      </c>
      <c r="AD297" s="543" t="s">
        <v>1817</v>
      </c>
      <c r="AE297" s="543" t="s">
        <v>1455</v>
      </c>
      <c r="AF297" s="543">
        <v>17</v>
      </c>
      <c r="AG297" s="543">
        <v>60</v>
      </c>
      <c r="AH297" s="543">
        <v>10</v>
      </c>
      <c r="AI297" s="543" t="s">
        <v>3624</v>
      </c>
      <c r="AJ297" s="543" t="s">
        <v>34</v>
      </c>
      <c r="AK297" s="543" t="s">
        <v>1818</v>
      </c>
      <c r="AL297" s="543" t="s">
        <v>3418</v>
      </c>
      <c r="AM297" s="61" t="s">
        <v>4495</v>
      </c>
      <c r="AN297" s="541">
        <v>0</v>
      </c>
      <c r="AO297" s="541">
        <v>0</v>
      </c>
      <c r="AP297" s="61"/>
      <c r="CG297" t="str">
        <v>CESSNA AIRCRAFT CO., DEPT. 137</v>
      </c>
    </row>
    <row r="298" spans="1:85" x14ac:dyDescent="0.2">
      <c r="A298" s="61">
        <v>297</v>
      </c>
      <c r="B298" s="542" t="s">
        <v>2706</v>
      </c>
      <c r="C298" s="543" t="s">
        <v>4852</v>
      </c>
      <c r="D298" s="543" t="s">
        <v>4853</v>
      </c>
      <c r="E298" s="543" t="s">
        <v>1756</v>
      </c>
      <c r="F298" s="543" t="s">
        <v>1725</v>
      </c>
      <c r="G298" s="543" t="s">
        <v>34</v>
      </c>
      <c r="H298" s="543" t="s">
        <v>1821</v>
      </c>
      <c r="I298" s="543" t="s">
        <v>5342</v>
      </c>
      <c r="J298" s="543" t="s">
        <v>2433</v>
      </c>
      <c r="K298" s="543" t="s">
        <v>878</v>
      </c>
      <c r="L298" s="543" t="s">
        <v>2709</v>
      </c>
      <c r="M298" s="544" t="s">
        <v>2710</v>
      </c>
      <c r="N298" s="543" t="s">
        <v>4852</v>
      </c>
      <c r="O298" s="543" t="s">
        <v>665</v>
      </c>
      <c r="P298" s="543" t="s">
        <v>2711</v>
      </c>
      <c r="Q298" s="543" t="s">
        <v>1897</v>
      </c>
      <c r="R298" s="543" t="s">
        <v>1814</v>
      </c>
      <c r="S298" s="543" t="s">
        <v>2712</v>
      </c>
      <c r="T298" s="543">
        <v>564.6</v>
      </c>
      <c r="U298" s="543" t="s">
        <v>1844</v>
      </c>
      <c r="V298" s="543" t="s">
        <v>2713</v>
      </c>
      <c r="W298" s="543" t="s">
        <v>2714</v>
      </c>
      <c r="X298" s="543" t="s">
        <v>1815</v>
      </c>
      <c r="Y298" s="543" t="s">
        <v>4686</v>
      </c>
      <c r="Z298" s="543">
        <v>12347135</v>
      </c>
      <c r="AA298" s="543" t="s">
        <v>1815</v>
      </c>
      <c r="AB298" s="543" t="s">
        <v>2687</v>
      </c>
      <c r="AC298" s="543" t="s">
        <v>1816</v>
      </c>
      <c r="AD298" s="543" t="s">
        <v>1817</v>
      </c>
      <c r="AE298" s="543" t="s">
        <v>1455</v>
      </c>
      <c r="AF298" s="543" t="s">
        <v>3040</v>
      </c>
      <c r="AG298" s="543" t="s">
        <v>34</v>
      </c>
      <c r="AH298" s="543" t="s">
        <v>34</v>
      </c>
      <c r="AI298" s="543" t="s">
        <v>34</v>
      </c>
      <c r="AJ298" s="543" t="s">
        <v>34</v>
      </c>
      <c r="AK298" s="543" t="s">
        <v>1818</v>
      </c>
      <c r="AL298" s="543" t="s">
        <v>3418</v>
      </c>
      <c r="AM298" s="61" t="s">
        <v>4496</v>
      </c>
      <c r="AN298" s="541"/>
      <c r="AO298" s="541"/>
      <c r="AP298" s="61"/>
      <c r="CG298" t="str">
        <v>CESSNA AIRCRAFT CO., DEPT. 160</v>
      </c>
    </row>
    <row r="299" spans="1:85" x14ac:dyDescent="0.2">
      <c r="A299" s="61">
        <v>298</v>
      </c>
      <c r="B299" s="542" t="s">
        <v>2706</v>
      </c>
      <c r="C299" s="543" t="s">
        <v>4854</v>
      </c>
      <c r="D299" s="543" t="s">
        <v>4855</v>
      </c>
      <c r="E299" s="543" t="s">
        <v>1756</v>
      </c>
      <c r="F299" s="543" t="s">
        <v>1725</v>
      </c>
      <c r="G299" s="543" t="s">
        <v>34</v>
      </c>
      <c r="H299" s="543" t="s">
        <v>1821</v>
      </c>
      <c r="I299" s="543" t="s">
        <v>5351</v>
      </c>
      <c r="J299" s="543" t="s">
        <v>2433</v>
      </c>
      <c r="K299" s="543" t="s">
        <v>878</v>
      </c>
      <c r="L299" s="543" t="s">
        <v>2709</v>
      </c>
      <c r="M299" s="544" t="s">
        <v>2710</v>
      </c>
      <c r="N299" s="543" t="s">
        <v>4852</v>
      </c>
      <c r="O299" s="543" t="s">
        <v>665</v>
      </c>
      <c r="P299" s="543" t="s">
        <v>2711</v>
      </c>
      <c r="Q299" s="543" t="s">
        <v>1897</v>
      </c>
      <c r="R299" s="543" t="s">
        <v>1814</v>
      </c>
      <c r="S299" s="543" t="s">
        <v>2712</v>
      </c>
      <c r="T299" s="543">
        <v>564.6</v>
      </c>
      <c r="U299" s="543" t="s">
        <v>1642</v>
      </c>
      <c r="V299" s="543" t="s">
        <v>4533</v>
      </c>
      <c r="W299" s="543" t="s">
        <v>2714</v>
      </c>
      <c r="X299" s="543" t="s">
        <v>1954</v>
      </c>
      <c r="Y299" s="543" t="s">
        <v>2715</v>
      </c>
      <c r="Z299" s="543" t="s">
        <v>2716</v>
      </c>
      <c r="AA299" s="543" t="s">
        <v>1815</v>
      </c>
      <c r="AB299" s="543" t="s">
        <v>4534</v>
      </c>
      <c r="AC299" s="543" t="s">
        <v>1816</v>
      </c>
      <c r="AD299" s="543" t="s">
        <v>1817</v>
      </c>
      <c r="AE299" s="543" t="s">
        <v>1455</v>
      </c>
      <c r="AF299" s="543" t="s">
        <v>3040</v>
      </c>
      <c r="AG299" s="543" t="s">
        <v>34</v>
      </c>
      <c r="AH299" s="543" t="s">
        <v>34</v>
      </c>
      <c r="AI299" s="543" t="s">
        <v>34</v>
      </c>
      <c r="AJ299" s="543" t="s">
        <v>34</v>
      </c>
      <c r="AK299" s="543" t="s">
        <v>1818</v>
      </c>
      <c r="AL299" s="543" t="s">
        <v>3418</v>
      </c>
      <c r="AM299" s="61" t="s">
        <v>4513</v>
      </c>
      <c r="AN299" s="541"/>
      <c r="AO299" s="541"/>
      <c r="AP299" s="61"/>
      <c r="CG299" t="str">
        <v>CESSNA AIRCRAFT CO., DEPT. 160 Component Tooling</v>
      </c>
    </row>
    <row r="300" spans="1:85" x14ac:dyDescent="0.2">
      <c r="A300" s="61">
        <v>299</v>
      </c>
      <c r="B300" s="542" t="s">
        <v>2706</v>
      </c>
      <c r="C300" s="543" t="s">
        <v>4442</v>
      </c>
      <c r="D300" s="543" t="s">
        <v>4443</v>
      </c>
      <c r="E300" s="543" t="s">
        <v>1756</v>
      </c>
      <c r="F300" s="543" t="s">
        <v>1725</v>
      </c>
      <c r="G300" s="543" t="s">
        <v>34</v>
      </c>
      <c r="H300" s="543" t="s">
        <v>1821</v>
      </c>
      <c r="I300" s="543" t="s">
        <v>5375</v>
      </c>
      <c r="J300" s="543" t="s">
        <v>2089</v>
      </c>
      <c r="K300" s="543" t="s">
        <v>4444</v>
      </c>
      <c r="L300" s="543" t="s">
        <v>4445</v>
      </c>
      <c r="M300" s="544" t="s">
        <v>4446</v>
      </c>
      <c r="N300" s="543" t="s">
        <v>4447</v>
      </c>
      <c r="O300" s="543" t="s">
        <v>2744</v>
      </c>
      <c r="P300" s="543" t="s">
        <v>4448</v>
      </c>
      <c r="Q300" s="543" t="s">
        <v>1897</v>
      </c>
      <c r="R300" s="543" t="s">
        <v>4152</v>
      </c>
      <c r="S300" s="543" t="s">
        <v>4449</v>
      </c>
      <c r="T300" s="543">
        <v>538.70000000000005</v>
      </c>
      <c r="U300" s="543" t="s">
        <v>1642</v>
      </c>
      <c r="V300" s="543" t="s">
        <v>2234</v>
      </c>
      <c r="W300" s="543" t="s">
        <v>4450</v>
      </c>
      <c r="X300" s="543" t="s">
        <v>1815</v>
      </c>
      <c r="Y300" s="543" t="s">
        <v>2782</v>
      </c>
      <c r="Z300" s="543">
        <v>12347139</v>
      </c>
      <c r="AA300" s="543" t="s">
        <v>1815</v>
      </c>
      <c r="AB300" s="543" t="s">
        <v>4451</v>
      </c>
      <c r="AC300" s="543" t="s">
        <v>1816</v>
      </c>
      <c r="AD300" s="543" t="s">
        <v>1817</v>
      </c>
      <c r="AE300" s="543" t="s">
        <v>1455</v>
      </c>
      <c r="AF300" s="543">
        <v>123</v>
      </c>
      <c r="AG300" s="543">
        <v>1.6</v>
      </c>
      <c r="AH300" s="543">
        <v>2.62</v>
      </c>
      <c r="AI300" s="543" t="s">
        <v>109</v>
      </c>
      <c r="AJ300" s="543" t="s">
        <v>109</v>
      </c>
      <c r="AK300" s="543" t="s">
        <v>1818</v>
      </c>
      <c r="AL300" s="543" t="s">
        <v>3418</v>
      </c>
      <c r="AM300" s="61" t="s">
        <v>4513</v>
      </c>
      <c r="AN300" s="541">
        <v>0</v>
      </c>
      <c r="AO300" s="541">
        <v>0</v>
      </c>
      <c r="AP300" s="61"/>
      <c r="CG300" t="str">
        <v>CESSNA AIRCRAFT CO., DEPT. 163P</v>
      </c>
    </row>
    <row r="301" spans="1:85" x14ac:dyDescent="0.2">
      <c r="A301" s="61">
        <v>300</v>
      </c>
      <c r="B301" s="542" t="s">
        <v>2706</v>
      </c>
      <c r="C301" s="543" t="s">
        <v>4243</v>
      </c>
      <c r="D301" s="543" t="s">
        <v>4244</v>
      </c>
      <c r="E301" s="543" t="s">
        <v>1756</v>
      </c>
      <c r="F301" s="543" t="s">
        <v>1725</v>
      </c>
      <c r="G301" s="543" t="s">
        <v>34</v>
      </c>
      <c r="H301" s="543" t="s">
        <v>1821</v>
      </c>
      <c r="I301" s="543" t="s">
        <v>5342</v>
      </c>
      <c r="J301" s="543" t="s">
        <v>2089</v>
      </c>
      <c r="K301" s="543" t="s">
        <v>4245</v>
      </c>
      <c r="L301" s="543" t="s">
        <v>2778</v>
      </c>
      <c r="M301" s="544" t="s">
        <v>2779</v>
      </c>
      <c r="N301" s="543" t="s">
        <v>2767</v>
      </c>
      <c r="O301" s="543" t="s">
        <v>665</v>
      </c>
      <c r="P301" s="543" t="s">
        <v>4804</v>
      </c>
      <c r="Q301" s="543" t="s">
        <v>1897</v>
      </c>
      <c r="R301" s="543" t="s">
        <v>1814</v>
      </c>
      <c r="S301" s="543" t="s">
        <v>2780</v>
      </c>
      <c r="T301" s="543">
        <v>528</v>
      </c>
      <c r="U301" s="543" t="s">
        <v>1844</v>
      </c>
      <c r="V301" s="543" t="s">
        <v>2234</v>
      </c>
      <c r="W301" s="543" t="s">
        <v>2781</v>
      </c>
      <c r="X301" s="543" t="s">
        <v>1815</v>
      </c>
      <c r="Y301" s="543" t="s">
        <v>2782</v>
      </c>
      <c r="Z301" s="543" t="s">
        <v>4250</v>
      </c>
      <c r="AA301" s="543" t="s">
        <v>1815</v>
      </c>
      <c r="AB301" s="543" t="s">
        <v>34</v>
      </c>
      <c r="AC301" s="543" t="s">
        <v>1816</v>
      </c>
      <c r="AD301" s="543" t="s">
        <v>1817</v>
      </c>
      <c r="AE301" s="543" t="s">
        <v>1455</v>
      </c>
      <c r="AF301" s="543">
        <v>25</v>
      </c>
      <c r="AG301" s="543">
        <v>385</v>
      </c>
      <c r="AH301" s="543">
        <v>8</v>
      </c>
      <c r="AI301" s="543" t="s">
        <v>3623</v>
      </c>
      <c r="AJ301" s="543" t="s">
        <v>34</v>
      </c>
      <c r="AK301" s="543" t="s">
        <v>1818</v>
      </c>
      <c r="AL301" s="543" t="s">
        <v>3418</v>
      </c>
      <c r="AM301" s="61" t="s">
        <v>4498</v>
      </c>
      <c r="AN301" s="541">
        <v>0</v>
      </c>
      <c r="AO301" s="541">
        <v>0</v>
      </c>
      <c r="AP301" s="61"/>
      <c r="CG301" t="str">
        <v>CESSNA AIRCRAFT CO., DEPT. 352</v>
      </c>
    </row>
    <row r="302" spans="1:85" x14ac:dyDescent="0.2">
      <c r="A302" s="61">
        <v>301</v>
      </c>
      <c r="B302" s="542" t="s">
        <v>2706</v>
      </c>
      <c r="C302" s="543" t="s">
        <v>4246</v>
      </c>
      <c r="D302" s="543" t="s">
        <v>4247</v>
      </c>
      <c r="E302" s="543" t="s">
        <v>1756</v>
      </c>
      <c r="F302" s="543" t="s">
        <v>1725</v>
      </c>
      <c r="G302" s="543" t="s">
        <v>34</v>
      </c>
      <c r="H302" s="543" t="s">
        <v>1821</v>
      </c>
      <c r="I302" s="543" t="s">
        <v>5351</v>
      </c>
      <c r="J302" s="543" t="s">
        <v>2089</v>
      </c>
      <c r="K302" s="543" t="s">
        <v>4248</v>
      </c>
      <c r="L302" s="543" t="s">
        <v>2778</v>
      </c>
      <c r="M302" s="544" t="s">
        <v>2779</v>
      </c>
      <c r="N302" s="543" t="s">
        <v>2767</v>
      </c>
      <c r="O302" s="543" t="s">
        <v>2744</v>
      </c>
      <c r="P302" s="543" t="s">
        <v>4804</v>
      </c>
      <c r="Q302" s="543" t="s">
        <v>1897</v>
      </c>
      <c r="R302" s="543" t="s">
        <v>1814</v>
      </c>
      <c r="S302" s="543" t="s">
        <v>2780</v>
      </c>
      <c r="T302" s="543">
        <v>528</v>
      </c>
      <c r="U302" s="543" t="s">
        <v>1642</v>
      </c>
      <c r="V302" s="543" t="s">
        <v>2234</v>
      </c>
      <c r="W302" s="543" t="s">
        <v>2781</v>
      </c>
      <c r="X302" s="543" t="s">
        <v>1815</v>
      </c>
      <c r="Y302" s="543" t="s">
        <v>2782</v>
      </c>
      <c r="Z302" s="543" t="s">
        <v>4250</v>
      </c>
      <c r="AA302" s="543" t="s">
        <v>1815</v>
      </c>
      <c r="AB302" s="543" t="s">
        <v>34</v>
      </c>
      <c r="AC302" s="543" t="s">
        <v>1816</v>
      </c>
      <c r="AD302" s="543" t="s">
        <v>1817</v>
      </c>
      <c r="AE302" s="543" t="s">
        <v>1455</v>
      </c>
      <c r="AF302" s="543">
        <v>25</v>
      </c>
      <c r="AG302" s="543">
        <v>385</v>
      </c>
      <c r="AH302" s="543">
        <v>8</v>
      </c>
      <c r="AI302" s="543" t="s">
        <v>3623</v>
      </c>
      <c r="AJ302" s="543" t="s">
        <v>34</v>
      </c>
      <c r="AK302" s="543" t="s">
        <v>1818</v>
      </c>
      <c r="AL302" s="543" t="s">
        <v>3418</v>
      </c>
      <c r="AM302" s="61" t="s">
        <v>4513</v>
      </c>
      <c r="AN302" s="541">
        <v>0</v>
      </c>
      <c r="AO302" s="541">
        <v>0</v>
      </c>
      <c r="AP302" s="61"/>
      <c r="CG302" t="str">
        <v>CESSNA AIRCRAFT CO., DEPT. 352 M/S 1</v>
      </c>
    </row>
    <row r="303" spans="1:85" x14ac:dyDescent="0.2">
      <c r="A303" s="61">
        <v>302</v>
      </c>
      <c r="B303" s="542" t="s">
        <v>2706</v>
      </c>
      <c r="C303" s="543" t="s">
        <v>2229</v>
      </c>
      <c r="D303" s="543" t="s">
        <v>4479</v>
      </c>
      <c r="E303" s="543" t="s">
        <v>1756</v>
      </c>
      <c r="F303" s="543" t="s">
        <v>1725</v>
      </c>
      <c r="G303" s="543" t="s">
        <v>34</v>
      </c>
      <c r="H303" s="543" t="s">
        <v>1821</v>
      </c>
      <c r="I303" s="543" t="s">
        <v>5375</v>
      </c>
      <c r="J303" s="543" t="s">
        <v>2089</v>
      </c>
      <c r="K303" s="543" t="s">
        <v>3018</v>
      </c>
      <c r="L303" s="543" t="s">
        <v>4480</v>
      </c>
      <c r="M303" s="544" t="s">
        <v>4481</v>
      </c>
      <c r="N303" s="543" t="s">
        <v>4482</v>
      </c>
      <c r="O303" s="543" t="s">
        <v>5347</v>
      </c>
      <c r="P303" s="543" t="s">
        <v>2711</v>
      </c>
      <c r="Q303" s="543" t="s">
        <v>4555</v>
      </c>
      <c r="R303" s="543" t="s">
        <v>4152</v>
      </c>
      <c r="S303" s="543" t="s">
        <v>4816</v>
      </c>
      <c r="T303" s="543">
        <v>692.5</v>
      </c>
      <c r="U303" s="543" t="s">
        <v>1842</v>
      </c>
      <c r="V303" s="543" t="s">
        <v>2234</v>
      </c>
      <c r="W303" s="543" t="s">
        <v>4484</v>
      </c>
      <c r="X303" s="543" t="s">
        <v>4556</v>
      </c>
      <c r="Y303" s="543" t="s">
        <v>2782</v>
      </c>
      <c r="Z303" s="543">
        <v>19134057</v>
      </c>
      <c r="AA303" s="543" t="s">
        <v>4556</v>
      </c>
      <c r="AB303" s="543" t="s">
        <v>34</v>
      </c>
      <c r="AC303" s="543" t="s">
        <v>1816</v>
      </c>
      <c r="AD303" s="543" t="s">
        <v>1817</v>
      </c>
      <c r="AE303" s="543" t="s">
        <v>1455</v>
      </c>
      <c r="AF303" s="543">
        <v>25.6</v>
      </c>
      <c r="AG303" s="543">
        <v>385</v>
      </c>
      <c r="AH303" s="543">
        <v>8</v>
      </c>
      <c r="AI303" s="543" t="s">
        <v>109</v>
      </c>
      <c r="AJ303" s="543" t="s">
        <v>109</v>
      </c>
      <c r="AK303" s="543" t="s">
        <v>1818</v>
      </c>
      <c r="AL303" s="543" t="s">
        <v>34</v>
      </c>
      <c r="AM303" s="61" t="s">
        <v>4495</v>
      </c>
      <c r="AN303" s="541">
        <v>0</v>
      </c>
      <c r="AO303" s="541">
        <v>0</v>
      </c>
      <c r="AP303" s="61"/>
      <c r="CG303" t="str">
        <v>CESSNA AIRCRAFT CO., DEPT. 410</v>
      </c>
    </row>
    <row r="304" spans="1:85" x14ac:dyDescent="0.2">
      <c r="A304" s="61">
        <v>303</v>
      </c>
      <c r="B304" s="542" t="s">
        <v>2706</v>
      </c>
      <c r="C304" s="543" t="s">
        <v>4485</v>
      </c>
      <c r="D304" s="543" t="s">
        <v>4486</v>
      </c>
      <c r="E304" s="543" t="s">
        <v>1756</v>
      </c>
      <c r="F304" s="543" t="s">
        <v>1725</v>
      </c>
      <c r="G304" s="543" t="s">
        <v>34</v>
      </c>
      <c r="H304" s="543" t="s">
        <v>1821</v>
      </c>
      <c r="I304" s="543" t="s">
        <v>5375</v>
      </c>
      <c r="J304" s="543" t="s">
        <v>2089</v>
      </c>
      <c r="K304" s="543" t="s">
        <v>3018</v>
      </c>
      <c r="L304" s="543" t="s">
        <v>4480</v>
      </c>
      <c r="M304" s="544" t="s">
        <v>4481</v>
      </c>
      <c r="N304" s="543" t="s">
        <v>4482</v>
      </c>
      <c r="O304" s="543" t="s">
        <v>2744</v>
      </c>
      <c r="P304" s="543" t="s">
        <v>2711</v>
      </c>
      <c r="Q304" s="543" t="s">
        <v>1897</v>
      </c>
      <c r="R304" s="543" t="s">
        <v>4152</v>
      </c>
      <c r="S304" s="543" t="s">
        <v>4483</v>
      </c>
      <c r="T304" s="543">
        <v>722.1</v>
      </c>
      <c r="U304" s="543" t="s">
        <v>1642</v>
      </c>
      <c r="V304" s="543" t="s">
        <v>2234</v>
      </c>
      <c r="W304" s="543" t="s">
        <v>4484</v>
      </c>
      <c r="X304" s="543" t="s">
        <v>1815</v>
      </c>
      <c r="Y304" s="543" t="s">
        <v>2782</v>
      </c>
      <c r="Z304" s="543">
        <v>19134057</v>
      </c>
      <c r="AA304" s="543" t="s">
        <v>1815</v>
      </c>
      <c r="AB304" s="543" t="s">
        <v>4451</v>
      </c>
      <c r="AC304" s="543" t="s">
        <v>1816</v>
      </c>
      <c r="AD304" s="543" t="s">
        <v>1817</v>
      </c>
      <c r="AE304" s="543" t="s">
        <v>1455</v>
      </c>
      <c r="AF304" s="543">
        <v>25.6</v>
      </c>
      <c r="AG304" s="543">
        <v>385</v>
      </c>
      <c r="AH304" s="543">
        <v>8</v>
      </c>
      <c r="AI304" s="543" t="s">
        <v>109</v>
      </c>
      <c r="AJ304" s="543" t="s">
        <v>109</v>
      </c>
      <c r="AK304" s="543" t="s">
        <v>1818</v>
      </c>
      <c r="AL304" s="543" t="s">
        <v>34</v>
      </c>
      <c r="AM304" s="61" t="s">
        <v>4513</v>
      </c>
      <c r="AN304" s="541">
        <v>0</v>
      </c>
      <c r="AO304" s="541">
        <v>0</v>
      </c>
      <c r="AP304" s="61"/>
      <c r="CG304" t="str">
        <v>CESSNA AIRCRAFT CO., DEPT. 824</v>
      </c>
    </row>
    <row r="305" spans="1:85" x14ac:dyDescent="0.2">
      <c r="A305" s="61">
        <v>304</v>
      </c>
      <c r="B305" s="542" t="s">
        <v>2706</v>
      </c>
      <c r="C305" s="543" t="s">
        <v>4657</v>
      </c>
      <c r="D305" s="543" t="s">
        <v>4658</v>
      </c>
      <c r="E305" s="543" t="s">
        <v>1756</v>
      </c>
      <c r="F305" s="543" t="s">
        <v>1725</v>
      </c>
      <c r="G305" s="543" t="s">
        <v>34</v>
      </c>
      <c r="H305" s="543" t="s">
        <v>1821</v>
      </c>
      <c r="I305" s="543" t="s">
        <v>5375</v>
      </c>
      <c r="J305" s="543" t="s">
        <v>2089</v>
      </c>
      <c r="K305" s="543" t="s">
        <v>3018</v>
      </c>
      <c r="L305" s="543" t="s">
        <v>4480</v>
      </c>
      <c r="M305" s="544" t="s">
        <v>4659</v>
      </c>
      <c r="N305" s="543" t="s">
        <v>4660</v>
      </c>
      <c r="O305" s="543" t="s">
        <v>2744</v>
      </c>
      <c r="P305" s="543" t="s">
        <v>2711</v>
      </c>
      <c r="Q305" s="543" t="s">
        <v>4555</v>
      </c>
      <c r="R305" s="543" t="s">
        <v>4152</v>
      </c>
      <c r="S305" s="543" t="s">
        <v>4661</v>
      </c>
      <c r="T305" s="543">
        <v>781.4</v>
      </c>
      <c r="U305" s="543" t="s">
        <v>1642</v>
      </c>
      <c r="V305" s="543" t="s">
        <v>2234</v>
      </c>
      <c r="W305" s="543" t="s">
        <v>4662</v>
      </c>
      <c r="X305" s="543" t="s">
        <v>4556</v>
      </c>
      <c r="Y305" s="543" t="s">
        <v>4663</v>
      </c>
      <c r="Z305" s="543">
        <v>16455738</v>
      </c>
      <c r="AA305" s="543" t="s">
        <v>4556</v>
      </c>
      <c r="AB305" s="543" t="s">
        <v>4664</v>
      </c>
      <c r="AC305" s="543" t="s">
        <v>1816</v>
      </c>
      <c r="AD305" s="543" t="s">
        <v>1817</v>
      </c>
      <c r="AE305" s="543" t="s">
        <v>1455</v>
      </c>
      <c r="AF305" s="543">
        <v>25</v>
      </c>
      <c r="AG305" s="543">
        <v>385</v>
      </c>
      <c r="AH305" s="543">
        <v>8</v>
      </c>
      <c r="AI305" s="543" t="s">
        <v>4665</v>
      </c>
      <c r="AJ305" s="543" t="s">
        <v>109</v>
      </c>
      <c r="AK305" s="543" t="s">
        <v>1818</v>
      </c>
      <c r="AL305" s="543" t="s">
        <v>34</v>
      </c>
      <c r="AM305" s="61" t="s">
        <v>4666</v>
      </c>
      <c r="AN305" s="541"/>
      <c r="AO305" s="541"/>
      <c r="AP305" s="61"/>
      <c r="CG305" t="str">
        <v>CESSNA AIRCRAFT CO., INDEPENDENCE</v>
      </c>
    </row>
    <row r="306" spans="1:85" x14ac:dyDescent="0.2">
      <c r="A306" s="61">
        <v>305</v>
      </c>
      <c r="B306" s="542" t="s">
        <v>2706</v>
      </c>
      <c r="C306" s="543" t="s">
        <v>2225</v>
      </c>
      <c r="D306" s="543" t="s">
        <v>4667</v>
      </c>
      <c r="E306" s="543" t="s">
        <v>1756</v>
      </c>
      <c r="F306" s="543" t="s">
        <v>1725</v>
      </c>
      <c r="G306" s="543" t="s">
        <v>34</v>
      </c>
      <c r="H306" s="543" t="s">
        <v>1821</v>
      </c>
      <c r="I306" s="543" t="s">
        <v>5375</v>
      </c>
      <c r="J306" s="543" t="s">
        <v>2089</v>
      </c>
      <c r="K306" s="543" t="s">
        <v>3018</v>
      </c>
      <c r="L306" s="543" t="s">
        <v>4480</v>
      </c>
      <c r="M306" s="544" t="s">
        <v>4659</v>
      </c>
      <c r="N306" s="543" t="s">
        <v>4660</v>
      </c>
      <c r="O306" s="543" t="s">
        <v>5347</v>
      </c>
      <c r="P306" s="543" t="s">
        <v>2711</v>
      </c>
      <c r="Q306" s="543" t="s">
        <v>4555</v>
      </c>
      <c r="R306" s="543" t="s">
        <v>4152</v>
      </c>
      <c r="S306" s="543" t="s">
        <v>4661</v>
      </c>
      <c r="T306" s="543">
        <v>781.4</v>
      </c>
      <c r="U306" s="543" t="s">
        <v>1842</v>
      </c>
      <c r="V306" s="543" t="s">
        <v>2234</v>
      </c>
      <c r="W306" s="543" t="s">
        <v>4662</v>
      </c>
      <c r="X306" s="543" t="s">
        <v>4556</v>
      </c>
      <c r="Y306" s="543" t="s">
        <v>4663</v>
      </c>
      <c r="Z306" s="543" t="s">
        <v>4774</v>
      </c>
      <c r="AA306" s="543" t="s">
        <v>4556</v>
      </c>
      <c r="AB306" s="543" t="s">
        <v>4664</v>
      </c>
      <c r="AC306" s="543" t="s">
        <v>1816</v>
      </c>
      <c r="AD306" s="543" t="s">
        <v>1817</v>
      </c>
      <c r="AE306" s="543" t="s">
        <v>1455</v>
      </c>
      <c r="AF306" s="543">
        <v>25</v>
      </c>
      <c r="AG306" s="543">
        <v>385</v>
      </c>
      <c r="AH306" s="543">
        <v>8</v>
      </c>
      <c r="AI306" s="543" t="s">
        <v>4665</v>
      </c>
      <c r="AJ306" s="543" t="s">
        <v>109</v>
      </c>
      <c r="AK306" s="543" t="s">
        <v>1818</v>
      </c>
      <c r="AL306" s="543" t="s">
        <v>34</v>
      </c>
      <c r="AM306" s="61" t="s">
        <v>4495</v>
      </c>
      <c r="AN306" s="541"/>
      <c r="AO306" s="541"/>
      <c r="AP306" s="61"/>
      <c r="CG306" t="str">
        <v>CESSNA AIRCRAFT CO., MID-CONTINENT</v>
      </c>
    </row>
    <row r="307" spans="1:85" x14ac:dyDescent="0.2">
      <c r="A307" s="61">
        <v>306</v>
      </c>
      <c r="B307" s="542" t="s">
        <v>2706</v>
      </c>
      <c r="C307" s="543">
        <v>11303</v>
      </c>
      <c r="D307" s="543" t="s">
        <v>3849</v>
      </c>
      <c r="E307" s="543" t="s">
        <v>1756</v>
      </c>
      <c r="F307" s="543" t="s">
        <v>1725</v>
      </c>
      <c r="G307" s="543" t="s">
        <v>34</v>
      </c>
      <c r="H307" s="543" t="s">
        <v>1821</v>
      </c>
      <c r="I307" s="543" t="s">
        <v>5342</v>
      </c>
      <c r="J307" s="543" t="s">
        <v>2433</v>
      </c>
      <c r="K307" s="543" t="s">
        <v>2438</v>
      </c>
      <c r="L307" s="543" t="s">
        <v>2765</v>
      </c>
      <c r="M307" s="544">
        <v>11303</v>
      </c>
      <c r="N307" s="543">
        <v>11303</v>
      </c>
      <c r="O307" s="543" t="s">
        <v>665</v>
      </c>
      <c r="P307" s="543" t="s">
        <v>2208</v>
      </c>
      <c r="Q307" s="543" t="s">
        <v>1897</v>
      </c>
      <c r="R307" s="543" t="s">
        <v>1878</v>
      </c>
      <c r="S307" s="543" t="s">
        <v>2766</v>
      </c>
      <c r="T307" s="543">
        <v>0.125</v>
      </c>
      <c r="U307" s="543" t="s">
        <v>1642</v>
      </c>
      <c r="V307" s="543" t="s">
        <v>2453</v>
      </c>
      <c r="W307" s="543">
        <v>7329</v>
      </c>
      <c r="X307" s="543" t="s">
        <v>1815</v>
      </c>
      <c r="Y307" s="543" t="s">
        <v>109</v>
      </c>
      <c r="Z307" s="543" t="s">
        <v>109</v>
      </c>
      <c r="AA307" s="543" t="s">
        <v>109</v>
      </c>
      <c r="AB307" s="543" t="s">
        <v>34</v>
      </c>
      <c r="AC307" s="543" t="s">
        <v>1816</v>
      </c>
      <c r="AD307" s="543" t="s">
        <v>1817</v>
      </c>
      <c r="AE307" s="543" t="s">
        <v>1455</v>
      </c>
      <c r="AF307" s="543" t="s">
        <v>3040</v>
      </c>
      <c r="AG307" s="543" t="s">
        <v>34</v>
      </c>
      <c r="AH307" s="543" t="s">
        <v>34</v>
      </c>
      <c r="AI307" s="543" t="s">
        <v>34</v>
      </c>
      <c r="AJ307" s="543" t="s">
        <v>34</v>
      </c>
      <c r="AK307" s="543" t="s">
        <v>1818</v>
      </c>
      <c r="AL307" s="543" t="s">
        <v>3418</v>
      </c>
      <c r="AM307" s="61" t="s">
        <v>4495</v>
      </c>
      <c r="AN307" s="541">
        <v>0</v>
      </c>
      <c r="AO307" s="541">
        <v>0</v>
      </c>
      <c r="AP307" s="61"/>
      <c r="CG307" t="str">
        <v>CESSNA AIRCRAFT CO., PAWNEE</v>
      </c>
    </row>
    <row r="308" spans="1:85" x14ac:dyDescent="0.2">
      <c r="A308" s="61">
        <v>307</v>
      </c>
      <c r="B308" s="542" t="s">
        <v>2706</v>
      </c>
      <c r="C308" s="543" t="s">
        <v>4338</v>
      </c>
      <c r="D308" s="543" t="s">
        <v>4339</v>
      </c>
      <c r="E308" s="543" t="s">
        <v>1756</v>
      </c>
      <c r="F308" s="543" t="s">
        <v>1725</v>
      </c>
      <c r="G308" s="543" t="s">
        <v>34</v>
      </c>
      <c r="H308" s="543" t="s">
        <v>1821</v>
      </c>
      <c r="I308" s="543" t="s">
        <v>5351</v>
      </c>
      <c r="J308" s="543" t="s">
        <v>2089</v>
      </c>
      <c r="K308" s="543" t="s">
        <v>4340</v>
      </c>
      <c r="L308" s="543" t="s">
        <v>1948</v>
      </c>
      <c r="M308" s="544">
        <v>411620</v>
      </c>
      <c r="N308" s="543" t="s">
        <v>4340</v>
      </c>
      <c r="O308" s="543" t="s">
        <v>4306</v>
      </c>
      <c r="P308" s="543" t="s">
        <v>5124</v>
      </c>
      <c r="Q308" s="543" t="s">
        <v>1897</v>
      </c>
      <c r="R308" s="543" t="s">
        <v>1878</v>
      </c>
      <c r="S308" s="543" t="s">
        <v>4341</v>
      </c>
      <c r="T308" s="543">
        <v>56.1</v>
      </c>
      <c r="U308" s="543" t="s">
        <v>1642</v>
      </c>
      <c r="V308" s="543" t="s">
        <v>4342</v>
      </c>
      <c r="W308" s="543">
        <v>391488</v>
      </c>
      <c r="X308" s="543" t="s">
        <v>1815</v>
      </c>
      <c r="Y308" s="543" t="s">
        <v>2782</v>
      </c>
      <c r="Z308" s="543" t="s">
        <v>4343</v>
      </c>
      <c r="AA308" s="543" t="s">
        <v>1815</v>
      </c>
      <c r="AB308" s="543" t="s">
        <v>34</v>
      </c>
      <c r="AC308" s="543" t="s">
        <v>1816</v>
      </c>
      <c r="AD308" s="543" t="s">
        <v>1817</v>
      </c>
      <c r="AE308" s="543" t="s">
        <v>1455</v>
      </c>
      <c r="AF308" s="543" t="s">
        <v>4268</v>
      </c>
      <c r="AG308" s="543" t="s">
        <v>34</v>
      </c>
      <c r="AH308" s="543" t="s">
        <v>34</v>
      </c>
      <c r="AI308" s="543" t="s">
        <v>34</v>
      </c>
      <c r="AJ308" s="543" t="s">
        <v>34</v>
      </c>
      <c r="AK308" s="543" t="s">
        <v>1818</v>
      </c>
      <c r="AL308" s="543" t="s">
        <v>3418</v>
      </c>
      <c r="AM308" s="61" t="s">
        <v>4513</v>
      </c>
      <c r="AN308" s="541">
        <v>0</v>
      </c>
      <c r="AO308" s="541">
        <v>0</v>
      </c>
      <c r="AP308" s="61"/>
      <c r="CG308" t="str">
        <v>CESSNA AIRCRAFT CO., SERVICE CENTER</v>
      </c>
    </row>
    <row r="309" spans="1:85" x14ac:dyDescent="0.2">
      <c r="A309" s="61">
        <v>308</v>
      </c>
      <c r="B309" s="542" t="s">
        <v>2706</v>
      </c>
      <c r="C309" s="543" t="s">
        <v>4304</v>
      </c>
      <c r="D309" s="543" t="s">
        <v>4305</v>
      </c>
      <c r="E309" s="543" t="s">
        <v>1756</v>
      </c>
      <c r="F309" s="543" t="s">
        <v>1725</v>
      </c>
      <c r="G309" s="543" t="s">
        <v>34</v>
      </c>
      <c r="H309" s="543" t="s">
        <v>1821</v>
      </c>
      <c r="I309" s="543" t="s">
        <v>5351</v>
      </c>
      <c r="J309" s="543" t="s">
        <v>2089</v>
      </c>
      <c r="K309" s="543" t="s">
        <v>4273</v>
      </c>
      <c r="L309" s="543" t="s">
        <v>1936</v>
      </c>
      <c r="M309" s="544" t="s">
        <v>4271</v>
      </c>
      <c r="N309" s="543" t="s">
        <v>4271</v>
      </c>
      <c r="O309" s="543" t="s">
        <v>4306</v>
      </c>
      <c r="P309" s="543" t="s">
        <v>2922</v>
      </c>
      <c r="Q309" s="543" t="s">
        <v>1897</v>
      </c>
      <c r="R309" s="543" t="s">
        <v>1878</v>
      </c>
      <c r="S309" s="543" t="s">
        <v>5267</v>
      </c>
      <c r="T309" s="543">
        <v>826.67</v>
      </c>
      <c r="U309" s="543" t="s">
        <v>1642</v>
      </c>
      <c r="V309" s="543" t="s">
        <v>4274</v>
      </c>
      <c r="W309" s="543">
        <v>188905</v>
      </c>
      <c r="X309" s="543" t="s">
        <v>1815</v>
      </c>
      <c r="Y309" s="543" t="s">
        <v>4275</v>
      </c>
      <c r="Z309" s="543">
        <v>16386514</v>
      </c>
      <c r="AA309" s="543" t="s">
        <v>1815</v>
      </c>
      <c r="AB309" s="543" t="s">
        <v>34</v>
      </c>
      <c r="AC309" s="543" t="s">
        <v>1816</v>
      </c>
      <c r="AD309" s="543" t="s">
        <v>1817</v>
      </c>
      <c r="AE309" s="543" t="s">
        <v>1455</v>
      </c>
      <c r="AF309" s="543" t="s">
        <v>4268</v>
      </c>
      <c r="AG309" s="543" t="s">
        <v>34</v>
      </c>
      <c r="AH309" s="543" t="s">
        <v>34</v>
      </c>
      <c r="AI309" s="543" t="s">
        <v>34</v>
      </c>
      <c r="AJ309" s="543" t="s">
        <v>34</v>
      </c>
      <c r="AK309" s="543" t="s">
        <v>1818</v>
      </c>
      <c r="AL309" s="543" t="s">
        <v>3418</v>
      </c>
      <c r="AM309" s="61" t="s">
        <v>4513</v>
      </c>
      <c r="AN309" s="541">
        <v>0</v>
      </c>
      <c r="AO309" s="541">
        <v>0</v>
      </c>
      <c r="AP309" s="61"/>
      <c r="CG309" t="str">
        <v>CESSNA AIRCRAFT CO., SINGLE ENGINE DIV.</v>
      </c>
    </row>
    <row r="310" spans="1:85" x14ac:dyDescent="0.2">
      <c r="A310" s="61">
        <v>309</v>
      </c>
      <c r="B310" s="542" t="s">
        <v>2706</v>
      </c>
      <c r="C310" s="543" t="s">
        <v>4271</v>
      </c>
      <c r="D310" s="543" t="s">
        <v>4272</v>
      </c>
      <c r="E310" s="543" t="s">
        <v>1756</v>
      </c>
      <c r="F310" s="543" t="s">
        <v>1725</v>
      </c>
      <c r="G310" s="543" t="s">
        <v>34</v>
      </c>
      <c r="H310" s="543" t="s">
        <v>1821</v>
      </c>
      <c r="I310" s="543" t="s">
        <v>5342</v>
      </c>
      <c r="J310" s="543" t="s">
        <v>2089</v>
      </c>
      <c r="K310" s="543" t="s">
        <v>4273</v>
      </c>
      <c r="L310" s="543" t="s">
        <v>1936</v>
      </c>
      <c r="M310" s="544" t="s">
        <v>4271</v>
      </c>
      <c r="N310" s="543" t="s">
        <v>4271</v>
      </c>
      <c r="O310" s="543" t="s">
        <v>665</v>
      </c>
      <c r="P310" s="543" t="s">
        <v>2922</v>
      </c>
      <c r="Q310" s="543" t="s">
        <v>1897</v>
      </c>
      <c r="R310" s="543" t="s">
        <v>1878</v>
      </c>
      <c r="S310" s="543" t="s">
        <v>5267</v>
      </c>
      <c r="T310" s="543">
        <v>826.67</v>
      </c>
      <c r="U310" s="543" t="s">
        <v>1843</v>
      </c>
      <c r="V310" s="543" t="s">
        <v>4274</v>
      </c>
      <c r="W310" s="543">
        <v>188905</v>
      </c>
      <c r="X310" s="543" t="s">
        <v>1815</v>
      </c>
      <c r="Y310" s="543" t="s">
        <v>4275</v>
      </c>
      <c r="Z310" s="543">
        <v>16386514</v>
      </c>
      <c r="AA310" s="543" t="s">
        <v>1815</v>
      </c>
      <c r="AB310" s="543" t="s">
        <v>34</v>
      </c>
      <c r="AC310" s="543" t="s">
        <v>1816</v>
      </c>
      <c r="AD310" s="543" t="s">
        <v>1817</v>
      </c>
      <c r="AE310" s="543" t="s">
        <v>1455</v>
      </c>
      <c r="AF310" s="543" t="s">
        <v>4268</v>
      </c>
      <c r="AG310" s="543" t="s">
        <v>34</v>
      </c>
      <c r="AH310" s="543" t="s">
        <v>34</v>
      </c>
      <c r="AI310" s="543" t="s">
        <v>34</v>
      </c>
      <c r="AJ310" s="543" t="s">
        <v>34</v>
      </c>
      <c r="AK310" s="543" t="s">
        <v>1818</v>
      </c>
      <c r="AL310" s="543" t="s">
        <v>3418</v>
      </c>
      <c r="AM310" s="61" t="s">
        <v>4496</v>
      </c>
      <c r="AN310" s="541">
        <v>0</v>
      </c>
      <c r="AO310" s="541">
        <v>0</v>
      </c>
      <c r="AP310" s="61"/>
      <c r="CG310" t="str">
        <v>CESSNA AIRCRAFT CO.,DEPT 579</v>
      </c>
    </row>
    <row r="311" spans="1:85" x14ac:dyDescent="0.2">
      <c r="A311" s="61">
        <v>310</v>
      </c>
      <c r="B311" s="542" t="s">
        <v>2706</v>
      </c>
      <c r="C311" s="543" t="s">
        <v>4288</v>
      </c>
      <c r="D311" s="543" t="s">
        <v>4289</v>
      </c>
      <c r="E311" s="543" t="s">
        <v>1756</v>
      </c>
      <c r="F311" s="543" t="s">
        <v>1725</v>
      </c>
      <c r="G311" s="543" t="s">
        <v>34</v>
      </c>
      <c r="H311" s="543" t="s">
        <v>1821</v>
      </c>
      <c r="I311" s="543" t="s">
        <v>5342</v>
      </c>
      <c r="J311" s="543" t="s">
        <v>2089</v>
      </c>
      <c r="K311" s="543" t="s">
        <v>4273</v>
      </c>
      <c r="L311" s="543" t="s">
        <v>1936</v>
      </c>
      <c r="M311" s="544" t="s">
        <v>4290</v>
      </c>
      <c r="N311" s="543" t="s">
        <v>4290</v>
      </c>
      <c r="O311" s="543" t="s">
        <v>5347</v>
      </c>
      <c r="P311" s="543" t="s">
        <v>2922</v>
      </c>
      <c r="Q311" s="543" t="s">
        <v>4555</v>
      </c>
      <c r="R311" s="543" t="s">
        <v>1878</v>
      </c>
      <c r="S311" s="543" t="s">
        <v>4291</v>
      </c>
      <c r="T311" s="543">
        <v>1178.5999999999999</v>
      </c>
      <c r="U311" s="543" t="s">
        <v>1842</v>
      </c>
      <c r="V311" s="543" t="s">
        <v>2601</v>
      </c>
      <c r="W311" s="543">
        <v>43420</v>
      </c>
      <c r="X311" s="543" t="s">
        <v>4556</v>
      </c>
      <c r="Y311" s="543" t="s">
        <v>5178</v>
      </c>
      <c r="Z311" s="543">
        <v>16461118</v>
      </c>
      <c r="AA311" s="543" t="s">
        <v>4556</v>
      </c>
      <c r="AB311" s="543" t="s">
        <v>34</v>
      </c>
      <c r="AC311" s="543" t="s">
        <v>1816</v>
      </c>
      <c r="AD311" s="543" t="s">
        <v>1817</v>
      </c>
      <c r="AE311" s="543" t="s">
        <v>1455</v>
      </c>
      <c r="AF311" s="543">
        <v>7</v>
      </c>
      <c r="AG311" s="543">
        <v>0.09</v>
      </c>
      <c r="AH311" s="543">
        <v>0.28999999999999998</v>
      </c>
      <c r="AI311" s="543" t="s">
        <v>34</v>
      </c>
      <c r="AJ311" s="543" t="s">
        <v>34</v>
      </c>
      <c r="AK311" s="543" t="s">
        <v>1818</v>
      </c>
      <c r="AL311" s="543" t="s">
        <v>3418</v>
      </c>
      <c r="AM311" s="61" t="s">
        <v>4496</v>
      </c>
      <c r="AN311" s="541">
        <v>0</v>
      </c>
      <c r="AO311" s="541">
        <v>0</v>
      </c>
      <c r="AP311" s="61"/>
      <c r="CG311" t="str">
        <v>CESSNA AIRCRAFT DEPT 702 HOSE SHOP</v>
      </c>
    </row>
    <row r="312" spans="1:85" x14ac:dyDescent="0.2">
      <c r="A312" s="61">
        <v>311</v>
      </c>
      <c r="B312" s="542" t="s">
        <v>2706</v>
      </c>
      <c r="C312" s="543" t="s">
        <v>4292</v>
      </c>
      <c r="D312" s="543" t="s">
        <v>4293</v>
      </c>
      <c r="E312" s="543" t="s">
        <v>1756</v>
      </c>
      <c r="F312" s="543" t="s">
        <v>1725</v>
      </c>
      <c r="G312" s="543" t="s">
        <v>34</v>
      </c>
      <c r="H312" s="543" t="s">
        <v>1821</v>
      </c>
      <c r="I312" s="543" t="s">
        <v>5342</v>
      </c>
      <c r="J312" s="543" t="s">
        <v>2089</v>
      </c>
      <c r="K312" s="543" t="s">
        <v>4273</v>
      </c>
      <c r="L312" s="543" t="s">
        <v>1936</v>
      </c>
      <c r="M312" s="544" t="s">
        <v>4290</v>
      </c>
      <c r="N312" s="543" t="s">
        <v>4290</v>
      </c>
      <c r="O312" s="543" t="s">
        <v>2744</v>
      </c>
      <c r="P312" s="543" t="s">
        <v>2922</v>
      </c>
      <c r="Q312" s="543" t="s">
        <v>1897</v>
      </c>
      <c r="R312" s="543" t="s">
        <v>1878</v>
      </c>
      <c r="S312" s="543" t="s">
        <v>4291</v>
      </c>
      <c r="T312" s="543">
        <v>1178.5999999999999</v>
      </c>
      <c r="U312" s="543" t="s">
        <v>1642</v>
      </c>
      <c r="V312" s="543" t="s">
        <v>2601</v>
      </c>
      <c r="W312" s="543">
        <v>43420</v>
      </c>
      <c r="X312" s="543" t="s">
        <v>1815</v>
      </c>
      <c r="Y312" s="543" t="s">
        <v>4275</v>
      </c>
      <c r="Z312" s="543">
        <v>16446054</v>
      </c>
      <c r="AA312" s="543" t="s">
        <v>1815</v>
      </c>
      <c r="AB312" s="543" t="s">
        <v>34</v>
      </c>
      <c r="AC312" s="543" t="s">
        <v>1816</v>
      </c>
      <c r="AD312" s="543" t="s">
        <v>1817</v>
      </c>
      <c r="AE312" s="543" t="s">
        <v>1455</v>
      </c>
      <c r="AF312" s="543">
        <v>7</v>
      </c>
      <c r="AG312" s="543">
        <v>0.09</v>
      </c>
      <c r="AH312" s="543">
        <v>0.28999999999999998</v>
      </c>
      <c r="AI312" s="543" t="s">
        <v>34</v>
      </c>
      <c r="AJ312" s="543" t="s">
        <v>34</v>
      </c>
      <c r="AK312" s="543" t="s">
        <v>1818</v>
      </c>
      <c r="AL312" s="543" t="s">
        <v>3418</v>
      </c>
      <c r="AM312" s="61" t="s">
        <v>4513</v>
      </c>
      <c r="AN312" s="541">
        <v>0</v>
      </c>
      <c r="AO312" s="541">
        <v>0</v>
      </c>
      <c r="AP312" s="61"/>
      <c r="CG312" t="str">
        <v>CESSNA AIRCRAFT DEPT. 093</v>
      </c>
    </row>
    <row r="313" spans="1:85" x14ac:dyDescent="0.2">
      <c r="A313" s="61">
        <v>312</v>
      </c>
      <c r="B313" s="542" t="s">
        <v>2706</v>
      </c>
      <c r="C313" s="543" t="s">
        <v>4608</v>
      </c>
      <c r="D313" s="543" t="s">
        <v>4609</v>
      </c>
      <c r="E313" s="543" t="s">
        <v>1756</v>
      </c>
      <c r="F313" s="543" t="s">
        <v>1725</v>
      </c>
      <c r="G313" s="543" t="s">
        <v>34</v>
      </c>
      <c r="H313" s="543" t="s">
        <v>1821</v>
      </c>
      <c r="I313" s="543" t="s">
        <v>2777</v>
      </c>
      <c r="J313" s="543" t="s">
        <v>2089</v>
      </c>
      <c r="K313" s="543" t="s">
        <v>4273</v>
      </c>
      <c r="L313" s="543" t="s">
        <v>4610</v>
      </c>
      <c r="M313" s="544">
        <v>144582</v>
      </c>
      <c r="N313" s="543" t="s">
        <v>4611</v>
      </c>
      <c r="O313" s="543" t="s">
        <v>2744</v>
      </c>
      <c r="P313" s="543" t="s">
        <v>4612</v>
      </c>
      <c r="Q313" s="543" t="s">
        <v>1897</v>
      </c>
      <c r="R313" s="543" t="s">
        <v>1878</v>
      </c>
      <c r="S313" s="543" t="s">
        <v>4613</v>
      </c>
      <c r="T313" s="543">
        <v>25.5</v>
      </c>
      <c r="U313" s="543" t="s">
        <v>1642</v>
      </c>
      <c r="V313" s="543" t="s">
        <v>4614</v>
      </c>
      <c r="W313" s="543" t="s">
        <v>4615</v>
      </c>
      <c r="X313" s="543" t="s">
        <v>1815</v>
      </c>
      <c r="Y313" s="543" t="s">
        <v>4616</v>
      </c>
      <c r="Z313" s="543" t="s">
        <v>4617</v>
      </c>
      <c r="AA313" s="543" t="s">
        <v>1815</v>
      </c>
      <c r="AB313" s="543" t="s">
        <v>34</v>
      </c>
      <c r="AC313" s="543" t="s">
        <v>1816</v>
      </c>
      <c r="AD313" s="543" t="s">
        <v>1817</v>
      </c>
      <c r="AE313" s="543" t="s">
        <v>1455</v>
      </c>
      <c r="AF313" s="543" t="s">
        <v>3040</v>
      </c>
      <c r="AG313" s="543" t="s">
        <v>34</v>
      </c>
      <c r="AH313" s="543" t="s">
        <v>34</v>
      </c>
      <c r="AI313" s="543" t="s">
        <v>34</v>
      </c>
      <c r="AJ313" s="543" t="s">
        <v>34</v>
      </c>
      <c r="AK313" s="543" t="s">
        <v>1818</v>
      </c>
      <c r="AL313" s="543" t="s">
        <v>3418</v>
      </c>
      <c r="AM313" s="61" t="s">
        <v>4513</v>
      </c>
      <c r="AN313" s="541">
        <v>0</v>
      </c>
      <c r="AO313" s="541">
        <v>0</v>
      </c>
      <c r="AP313" s="61"/>
      <c r="CG313" t="str">
        <v>CESSNA AIRCRAFT DEPT. 636</v>
      </c>
    </row>
    <row r="314" spans="1:85" x14ac:dyDescent="0.2">
      <c r="A314" s="61">
        <v>313</v>
      </c>
      <c r="B314" s="542" t="s">
        <v>2706</v>
      </c>
      <c r="C314" s="543" t="s">
        <v>4408</v>
      </c>
      <c r="D314" s="543" t="s">
        <v>4409</v>
      </c>
      <c r="E314" s="543" t="s">
        <v>1756</v>
      </c>
      <c r="F314" s="543" t="s">
        <v>1725</v>
      </c>
      <c r="G314" s="543" t="s">
        <v>34</v>
      </c>
      <c r="H314" s="543" t="s">
        <v>1821</v>
      </c>
      <c r="I314" s="543" t="s">
        <v>5342</v>
      </c>
      <c r="J314" s="543" t="s">
        <v>2089</v>
      </c>
      <c r="K314" s="543" t="s">
        <v>4273</v>
      </c>
      <c r="L314" s="543" t="s">
        <v>1936</v>
      </c>
      <c r="M314" s="544" t="s">
        <v>4410</v>
      </c>
      <c r="N314" s="543" t="s">
        <v>4411</v>
      </c>
      <c r="O314" s="543" t="s">
        <v>2744</v>
      </c>
      <c r="P314" s="543" t="s">
        <v>1938</v>
      </c>
      <c r="Q314" s="543" t="s">
        <v>1897</v>
      </c>
      <c r="R314" s="543" t="s">
        <v>1878</v>
      </c>
      <c r="S314" s="543" t="s">
        <v>4412</v>
      </c>
      <c r="T314" s="543">
        <v>73.900000000000006</v>
      </c>
      <c r="U314" s="543" t="s">
        <v>1642</v>
      </c>
      <c r="V314" s="543" t="s">
        <v>4413</v>
      </c>
      <c r="W314" s="543" t="s">
        <v>4414</v>
      </c>
      <c r="X314" s="543" t="s">
        <v>1815</v>
      </c>
      <c r="Y314" s="543" t="s">
        <v>4275</v>
      </c>
      <c r="Z314" s="543">
        <v>16279345</v>
      </c>
      <c r="AA314" s="543" t="s">
        <v>1815</v>
      </c>
      <c r="AB314" s="543" t="s">
        <v>34</v>
      </c>
      <c r="AC314" s="543" t="s">
        <v>1816</v>
      </c>
      <c r="AD314" s="543" t="s">
        <v>1817</v>
      </c>
      <c r="AE314" s="543" t="s">
        <v>1455</v>
      </c>
      <c r="AF314" s="543">
        <v>1</v>
      </c>
      <c r="AG314" s="543">
        <v>4</v>
      </c>
      <c r="AH314" s="543">
        <v>1</v>
      </c>
      <c r="AI314" s="543" t="s">
        <v>4415</v>
      </c>
      <c r="AJ314" s="543" t="s">
        <v>34</v>
      </c>
      <c r="AK314" s="543" t="s">
        <v>1818</v>
      </c>
      <c r="AL314" s="543" t="s">
        <v>3418</v>
      </c>
      <c r="AM314" s="61" t="s">
        <v>4513</v>
      </c>
      <c r="AN314" s="541">
        <v>0</v>
      </c>
      <c r="AO314" s="541">
        <v>0</v>
      </c>
      <c r="AP314" s="61"/>
      <c r="CG314" t="str">
        <v>CESSNA DEPT 074</v>
      </c>
    </row>
    <row r="315" spans="1:85" x14ac:dyDescent="0.2">
      <c r="A315" s="61">
        <v>314</v>
      </c>
      <c r="B315" s="542" t="s">
        <v>2706</v>
      </c>
      <c r="C315" s="543" t="s">
        <v>4457</v>
      </c>
      <c r="D315" s="543" t="s">
        <v>4458</v>
      </c>
      <c r="E315" s="543" t="s">
        <v>1756</v>
      </c>
      <c r="F315" s="543" t="s">
        <v>1725</v>
      </c>
      <c r="G315" s="543" t="s">
        <v>34</v>
      </c>
      <c r="H315" s="543" t="s">
        <v>1821</v>
      </c>
      <c r="I315" s="543" t="s">
        <v>2777</v>
      </c>
      <c r="J315" s="543" t="s">
        <v>2089</v>
      </c>
      <c r="K315" s="543" t="s">
        <v>2602</v>
      </c>
      <c r="L315" s="543" t="s">
        <v>4459</v>
      </c>
      <c r="M315" s="544" t="s">
        <v>4460</v>
      </c>
      <c r="N315" s="543" t="s">
        <v>4461</v>
      </c>
      <c r="O315" s="543" t="s">
        <v>2744</v>
      </c>
      <c r="P315" s="543" t="s">
        <v>2730</v>
      </c>
      <c r="Q315" s="543" t="s">
        <v>1897</v>
      </c>
      <c r="R315" s="543" t="s">
        <v>1814</v>
      </c>
      <c r="S315" s="543" t="s">
        <v>2605</v>
      </c>
      <c r="T315" s="543">
        <v>378</v>
      </c>
      <c r="U315" s="543" t="s">
        <v>1642</v>
      </c>
      <c r="V315" s="543" t="s">
        <v>2601</v>
      </c>
      <c r="W315" s="543">
        <v>19259</v>
      </c>
      <c r="X315" s="543" t="s">
        <v>1815</v>
      </c>
      <c r="Y315" s="543" t="s">
        <v>4156</v>
      </c>
      <c r="Z315" s="543" t="s">
        <v>4462</v>
      </c>
      <c r="AA315" s="543" t="s">
        <v>1815</v>
      </c>
      <c r="AB315" s="543" t="s">
        <v>34</v>
      </c>
      <c r="AC315" s="543" t="s">
        <v>1816</v>
      </c>
      <c r="AD315" s="543" t="s">
        <v>1817</v>
      </c>
      <c r="AE315" s="543" t="s">
        <v>1455</v>
      </c>
      <c r="AF315" s="543" t="s">
        <v>4463</v>
      </c>
      <c r="AG315" s="543" t="s">
        <v>34</v>
      </c>
      <c r="AH315" s="543" t="s">
        <v>34</v>
      </c>
      <c r="AI315" s="543" t="s">
        <v>34</v>
      </c>
      <c r="AJ315" s="543" t="s">
        <v>34</v>
      </c>
      <c r="AK315" s="543" t="s">
        <v>1818</v>
      </c>
      <c r="AL315" s="543" t="s">
        <v>34</v>
      </c>
      <c r="AM315" s="61" t="s">
        <v>4513</v>
      </c>
      <c r="AN315" s="541">
        <v>0</v>
      </c>
      <c r="AO315" s="541">
        <v>0</v>
      </c>
      <c r="AP315" s="61"/>
      <c r="CG315" t="str">
        <v>CESSNA DEPT 179</v>
      </c>
    </row>
    <row r="316" spans="1:85" x14ac:dyDescent="0.2">
      <c r="A316" s="61">
        <v>315</v>
      </c>
      <c r="B316" s="545" t="s">
        <v>2706</v>
      </c>
      <c r="C316" s="546" t="s">
        <v>4461</v>
      </c>
      <c r="D316" s="545" t="s">
        <v>4464</v>
      </c>
      <c r="E316" s="545" t="s">
        <v>1756</v>
      </c>
      <c r="F316" s="546" t="s">
        <v>1725</v>
      </c>
      <c r="G316" s="545" t="s">
        <v>34</v>
      </c>
      <c r="H316" s="547" t="s">
        <v>1821</v>
      </c>
      <c r="I316" s="545" t="s">
        <v>5342</v>
      </c>
      <c r="J316" s="546" t="s">
        <v>2089</v>
      </c>
      <c r="K316" s="545" t="s">
        <v>2602</v>
      </c>
      <c r="L316" s="546" t="s">
        <v>4459</v>
      </c>
      <c r="M316" s="548" t="s">
        <v>4460</v>
      </c>
      <c r="N316" s="546" t="s">
        <v>4461</v>
      </c>
      <c r="O316" s="545" t="s">
        <v>5373</v>
      </c>
      <c r="P316" s="546" t="s">
        <v>2730</v>
      </c>
      <c r="Q316" s="549" t="s">
        <v>4555</v>
      </c>
      <c r="R316" s="546" t="s">
        <v>1814</v>
      </c>
      <c r="S316" s="545" t="s">
        <v>5376</v>
      </c>
      <c r="T316" s="546">
        <v>378</v>
      </c>
      <c r="U316" s="545" t="s">
        <v>1843</v>
      </c>
      <c r="V316" s="545" t="s">
        <v>2601</v>
      </c>
      <c r="W316" s="550" t="s">
        <v>4472</v>
      </c>
      <c r="X316" s="550" t="s">
        <v>4556</v>
      </c>
      <c r="Y316" s="546" t="s">
        <v>4156</v>
      </c>
      <c r="Z316" s="545" t="s">
        <v>4462</v>
      </c>
      <c r="AA316" s="550" t="s">
        <v>4556</v>
      </c>
      <c r="AB316" s="545" t="s">
        <v>34</v>
      </c>
      <c r="AC316" s="545" t="s">
        <v>1816</v>
      </c>
      <c r="AD316" s="551" t="s">
        <v>1817</v>
      </c>
      <c r="AE316" s="545" t="s">
        <v>1455</v>
      </c>
      <c r="AF316" s="545" t="s">
        <v>4463</v>
      </c>
      <c r="AG316" s="545" t="s">
        <v>34</v>
      </c>
      <c r="AH316" s="545" t="s">
        <v>34</v>
      </c>
      <c r="AI316" s="545" t="s">
        <v>34</v>
      </c>
      <c r="AJ316" s="545" t="s">
        <v>34</v>
      </c>
      <c r="AK316" s="546" t="s">
        <v>1818</v>
      </c>
      <c r="AL316" s="61" t="s">
        <v>34</v>
      </c>
      <c r="AM316" s="552" t="s">
        <v>4495</v>
      </c>
      <c r="AN316" s="61">
        <v>0</v>
      </c>
      <c r="AO316" s="61">
        <v>0</v>
      </c>
      <c r="AP316" s="61"/>
      <c r="CG316" t="str">
        <v>CESSNA DEPT.713</v>
      </c>
    </row>
    <row r="317" spans="1:85" x14ac:dyDescent="0.2">
      <c r="A317" s="61">
        <v>316</v>
      </c>
      <c r="B317" s="542" t="s">
        <v>2706</v>
      </c>
      <c r="C317" s="543" t="s">
        <v>5445</v>
      </c>
      <c r="D317" s="543" t="s">
        <v>5446</v>
      </c>
      <c r="E317" s="543" t="s">
        <v>1756</v>
      </c>
      <c r="F317" s="543" t="s">
        <v>1725</v>
      </c>
      <c r="G317" s="543"/>
      <c r="H317" s="543" t="s">
        <v>1821</v>
      </c>
      <c r="I317" s="543" t="s">
        <v>5342</v>
      </c>
      <c r="J317" s="543" t="s">
        <v>2089</v>
      </c>
      <c r="K317" s="543" t="s">
        <v>1825</v>
      </c>
      <c r="L317" s="543" t="s">
        <v>2613</v>
      </c>
      <c r="M317" s="544" t="s">
        <v>2645</v>
      </c>
      <c r="N317" s="543" t="s">
        <v>5445</v>
      </c>
      <c r="O317" s="543" t="s">
        <v>665</v>
      </c>
      <c r="P317" s="543" t="s">
        <v>2711</v>
      </c>
      <c r="Q317" s="543" t="s">
        <v>1897</v>
      </c>
      <c r="R317" s="543" t="s">
        <v>1814</v>
      </c>
      <c r="S317" s="543" t="s">
        <v>5447</v>
      </c>
      <c r="T317" s="543">
        <v>1150</v>
      </c>
      <c r="U317" s="543" t="s">
        <v>1642</v>
      </c>
      <c r="V317" s="543" t="s">
        <v>2234</v>
      </c>
      <c r="W317" s="543" t="s">
        <v>2648</v>
      </c>
      <c r="X317" s="543" t="s">
        <v>1815</v>
      </c>
      <c r="Y317" s="543" t="s">
        <v>109</v>
      </c>
      <c r="Z317" s="543" t="s">
        <v>109</v>
      </c>
      <c r="AA317" s="543" t="s">
        <v>109</v>
      </c>
      <c r="AB317" s="543"/>
      <c r="AC317" s="543" t="s">
        <v>1816</v>
      </c>
      <c r="AD317" s="543" t="s">
        <v>1817</v>
      </c>
      <c r="AE317" s="543" t="s">
        <v>1455</v>
      </c>
      <c r="AF317" s="543" t="s">
        <v>3040</v>
      </c>
      <c r="AG317" s="543"/>
      <c r="AH317" s="543"/>
      <c r="AI317" s="543"/>
      <c r="AJ317" s="543"/>
      <c r="AK317" s="543" t="s">
        <v>1818</v>
      </c>
      <c r="AL317" s="543"/>
      <c r="AM317" s="61" t="s">
        <v>4495</v>
      </c>
      <c r="AN317" s="541"/>
      <c r="AO317" s="541"/>
      <c r="AP317" s="61"/>
      <c r="CG317" t="str">
        <v>CHAMPION INDUSTRIES, INC.</v>
      </c>
    </row>
    <row r="318" spans="1:85" x14ac:dyDescent="0.2">
      <c r="A318" s="61">
        <v>317</v>
      </c>
      <c r="B318" s="542" t="s">
        <v>1090</v>
      </c>
      <c r="C318" s="543" t="s">
        <v>1666</v>
      </c>
      <c r="D318" s="543" t="s">
        <v>3850</v>
      </c>
      <c r="E318" s="543" t="s">
        <v>1757</v>
      </c>
      <c r="F318" s="543" t="s">
        <v>1758</v>
      </c>
      <c r="G318" s="543" t="s">
        <v>34</v>
      </c>
      <c r="H318" s="543" t="s">
        <v>1821</v>
      </c>
      <c r="I318" s="543" t="s">
        <v>5342</v>
      </c>
      <c r="J318" s="543" t="s">
        <v>2089</v>
      </c>
      <c r="K318" s="543" t="s">
        <v>1666</v>
      </c>
      <c r="L318" s="543" t="s">
        <v>1666</v>
      </c>
      <c r="M318" s="544" t="s">
        <v>2809</v>
      </c>
      <c r="N318" s="543" t="s">
        <v>1666</v>
      </c>
      <c r="O318" s="543" t="s">
        <v>5349</v>
      </c>
      <c r="P318" s="543" t="s">
        <v>2810</v>
      </c>
      <c r="Q318" s="543" t="s">
        <v>4553</v>
      </c>
      <c r="R318" s="543" t="s">
        <v>1878</v>
      </c>
      <c r="S318" s="543" t="s">
        <v>2811</v>
      </c>
      <c r="T318" s="543">
        <v>5.7</v>
      </c>
      <c r="U318" s="543" t="s">
        <v>1843</v>
      </c>
      <c r="V318" s="543" t="s">
        <v>2812</v>
      </c>
      <c r="W318" s="543" t="s">
        <v>2813</v>
      </c>
      <c r="X318" s="543" t="s">
        <v>4669</v>
      </c>
      <c r="Y318" s="543" t="s">
        <v>2012</v>
      </c>
      <c r="Z318" s="543" t="s">
        <v>2814</v>
      </c>
      <c r="AA318" s="543" t="s">
        <v>4669</v>
      </c>
      <c r="AB318" s="543" t="s">
        <v>34</v>
      </c>
      <c r="AC318" s="543" t="s">
        <v>1816</v>
      </c>
      <c r="AD318" s="543" t="s">
        <v>1817</v>
      </c>
      <c r="AE318" s="543" t="s">
        <v>1455</v>
      </c>
      <c r="AF318" s="543" t="s">
        <v>3566</v>
      </c>
      <c r="AG318" s="543">
        <v>0.5</v>
      </c>
      <c r="AH318" s="543">
        <v>0.99</v>
      </c>
      <c r="AI318" s="543" t="s">
        <v>34</v>
      </c>
      <c r="AJ318" s="543" t="s">
        <v>34</v>
      </c>
      <c r="AK318" s="543" t="s">
        <v>1818</v>
      </c>
      <c r="AL318" s="543" t="s">
        <v>3418</v>
      </c>
      <c r="AM318" s="61" t="s">
        <v>4495</v>
      </c>
      <c r="AN318" s="541">
        <v>0</v>
      </c>
      <c r="AO318" s="541">
        <v>0</v>
      </c>
      <c r="AP318" s="61"/>
      <c r="CG318" t="str">
        <v>CHAMPIONS MACHINE TOOL SALES</v>
      </c>
    </row>
    <row r="319" spans="1:85" x14ac:dyDescent="0.2">
      <c r="A319" s="61">
        <v>318</v>
      </c>
      <c r="B319" s="542" t="s">
        <v>1090</v>
      </c>
      <c r="C319" s="543" t="s">
        <v>1092</v>
      </c>
      <c r="D319" s="543" t="s">
        <v>3851</v>
      </c>
      <c r="E319" s="543" t="s">
        <v>1757</v>
      </c>
      <c r="F319" s="543" t="s">
        <v>1758</v>
      </c>
      <c r="G319" s="543" t="s">
        <v>34</v>
      </c>
      <c r="H319" s="543" t="s">
        <v>1821</v>
      </c>
      <c r="I319" s="543" t="s">
        <v>5342</v>
      </c>
      <c r="J319" s="543" t="s">
        <v>2089</v>
      </c>
      <c r="K319" s="543" t="s">
        <v>2815</v>
      </c>
      <c r="L319" s="543" t="s">
        <v>2818</v>
      </c>
      <c r="M319" s="544" t="s">
        <v>2819</v>
      </c>
      <c r="N319" s="543" t="s">
        <v>1092</v>
      </c>
      <c r="O319" s="543" t="s">
        <v>5349</v>
      </c>
      <c r="P319" s="543" t="s">
        <v>2810</v>
      </c>
      <c r="Q319" s="543" t="s">
        <v>4553</v>
      </c>
      <c r="R319" s="543" t="s">
        <v>1814</v>
      </c>
      <c r="S319" s="543" t="s">
        <v>2820</v>
      </c>
      <c r="T319" s="543">
        <v>17.5</v>
      </c>
      <c r="U319" s="543" t="s">
        <v>1843</v>
      </c>
      <c r="V319" s="543" t="s">
        <v>2160</v>
      </c>
      <c r="W319" s="543" t="s">
        <v>2821</v>
      </c>
      <c r="X319" s="543" t="s">
        <v>4582</v>
      </c>
      <c r="Y319" s="543" t="s">
        <v>2012</v>
      </c>
      <c r="Z319" s="543" t="s">
        <v>2814</v>
      </c>
      <c r="AA319" s="543" t="s">
        <v>4582</v>
      </c>
      <c r="AB319" s="543" t="s">
        <v>34</v>
      </c>
      <c r="AC319" s="543" t="s">
        <v>1816</v>
      </c>
      <c r="AD319" s="543" t="s">
        <v>1817</v>
      </c>
      <c r="AE319" s="543" t="s">
        <v>1455</v>
      </c>
      <c r="AF319" s="543">
        <v>3</v>
      </c>
      <c r="AG319" s="543">
        <v>0.2</v>
      </c>
      <c r="AH319" s="543">
        <v>2</v>
      </c>
      <c r="AI319" s="543" t="s">
        <v>34</v>
      </c>
      <c r="AJ319" s="543" t="s">
        <v>34</v>
      </c>
      <c r="AK319" s="543" t="s">
        <v>1818</v>
      </c>
      <c r="AL319" s="543" t="s">
        <v>3418</v>
      </c>
      <c r="AM319" s="61" t="s">
        <v>4498</v>
      </c>
      <c r="AN319" s="541">
        <v>0</v>
      </c>
      <c r="AO319" s="541">
        <v>0</v>
      </c>
      <c r="AP319" s="61"/>
      <c r="CG319" t="str">
        <v>CHANCE OPERATIONS</v>
      </c>
    </row>
    <row r="320" spans="1:85" x14ac:dyDescent="0.2">
      <c r="A320" s="61">
        <v>319</v>
      </c>
      <c r="B320" s="542" t="s">
        <v>1090</v>
      </c>
      <c r="C320" s="543" t="s">
        <v>599</v>
      </c>
      <c r="D320" s="543" t="s">
        <v>3852</v>
      </c>
      <c r="E320" s="543" t="s">
        <v>1757</v>
      </c>
      <c r="F320" s="543" t="s">
        <v>1758</v>
      </c>
      <c r="G320" s="543" t="s">
        <v>34</v>
      </c>
      <c r="H320" s="543" t="s">
        <v>1821</v>
      </c>
      <c r="I320" s="543" t="s">
        <v>5342</v>
      </c>
      <c r="J320" s="543" t="s">
        <v>2089</v>
      </c>
      <c r="K320" s="543" t="s">
        <v>2815</v>
      </c>
      <c r="L320" s="543">
        <v>332</v>
      </c>
      <c r="M320" s="544">
        <v>3</v>
      </c>
      <c r="N320" s="543" t="s">
        <v>599</v>
      </c>
      <c r="O320" s="543" t="s">
        <v>5349</v>
      </c>
      <c r="P320" s="543" t="s">
        <v>2816</v>
      </c>
      <c r="Q320" s="543" t="s">
        <v>4553</v>
      </c>
      <c r="R320" s="543" t="s">
        <v>1988</v>
      </c>
      <c r="S320" s="543" t="s">
        <v>4847</v>
      </c>
      <c r="T320" s="543">
        <v>0.7</v>
      </c>
      <c r="U320" s="543" t="s">
        <v>1844</v>
      </c>
      <c r="V320" s="543" t="s">
        <v>2817</v>
      </c>
      <c r="W320" s="543">
        <v>12199403014</v>
      </c>
      <c r="X320" s="543" t="s">
        <v>4582</v>
      </c>
      <c r="Y320" s="543" t="s">
        <v>2012</v>
      </c>
      <c r="Z320" s="543" t="s">
        <v>2814</v>
      </c>
      <c r="AA320" s="543" t="s">
        <v>4582</v>
      </c>
      <c r="AB320" s="543" t="s">
        <v>34</v>
      </c>
      <c r="AC320" s="543" t="s">
        <v>1816</v>
      </c>
      <c r="AD320" s="543" t="s">
        <v>1817</v>
      </c>
      <c r="AE320" s="543" t="s">
        <v>1455</v>
      </c>
      <c r="AF320" s="543" t="s">
        <v>3040</v>
      </c>
      <c r="AG320" s="543" t="s">
        <v>34</v>
      </c>
      <c r="AH320" s="543" t="s">
        <v>34</v>
      </c>
      <c r="AI320" s="543" t="s">
        <v>34</v>
      </c>
      <c r="AJ320" s="543" t="s">
        <v>34</v>
      </c>
      <c r="AK320" s="543" t="s">
        <v>1818</v>
      </c>
      <c r="AL320" s="543" t="s">
        <v>3418</v>
      </c>
      <c r="AM320" s="61" t="s">
        <v>4495</v>
      </c>
      <c r="AN320" s="541">
        <v>0</v>
      </c>
      <c r="AO320" s="541">
        <v>0</v>
      </c>
      <c r="AP320" s="61"/>
      <c r="CG320" t="str">
        <v>CHARLES CHALKING, SA.</v>
      </c>
    </row>
    <row r="321" spans="1:85" x14ac:dyDescent="0.2">
      <c r="A321" s="61">
        <v>320</v>
      </c>
      <c r="B321" s="542" t="s">
        <v>1474</v>
      </c>
      <c r="C321" s="543" t="s">
        <v>731</v>
      </c>
      <c r="D321" s="543" t="s">
        <v>3853</v>
      </c>
      <c r="E321" s="543" t="s">
        <v>1759</v>
      </c>
      <c r="F321" s="543" t="s">
        <v>1703</v>
      </c>
      <c r="G321" s="543" t="s">
        <v>34</v>
      </c>
      <c r="H321" s="543" t="s">
        <v>1821</v>
      </c>
      <c r="I321" s="543" t="s">
        <v>5377</v>
      </c>
      <c r="J321" s="543" t="s">
        <v>2433</v>
      </c>
      <c r="K321" s="543" t="s">
        <v>993</v>
      </c>
      <c r="L321" s="543" t="s">
        <v>2847</v>
      </c>
      <c r="M321" s="544">
        <v>896034</v>
      </c>
      <c r="N321" s="543" t="s">
        <v>731</v>
      </c>
      <c r="O321" s="543" t="s">
        <v>665</v>
      </c>
      <c r="P321" s="543" t="s">
        <v>2848</v>
      </c>
      <c r="Q321" s="543" t="s">
        <v>1813</v>
      </c>
      <c r="R321" s="543" t="s">
        <v>1814</v>
      </c>
      <c r="S321" s="543" t="s">
        <v>2849</v>
      </c>
      <c r="T321" s="543">
        <v>22.2</v>
      </c>
      <c r="U321" s="543" t="s">
        <v>1843</v>
      </c>
      <c r="V321" s="543" t="s">
        <v>2850</v>
      </c>
      <c r="W321" s="543">
        <v>5890</v>
      </c>
      <c r="X321" s="543" t="s">
        <v>1813</v>
      </c>
      <c r="Y321" s="543" t="s">
        <v>109</v>
      </c>
      <c r="Z321" s="543" t="s">
        <v>109</v>
      </c>
      <c r="AA321" s="543" t="s">
        <v>109</v>
      </c>
      <c r="AB321" s="543" t="s">
        <v>2851</v>
      </c>
      <c r="AC321" s="543" t="s">
        <v>1816</v>
      </c>
      <c r="AD321" s="543" t="s">
        <v>1817</v>
      </c>
      <c r="AE321" s="543" t="s">
        <v>1455</v>
      </c>
      <c r="AF321" s="543" t="s">
        <v>3040</v>
      </c>
      <c r="AG321" s="543" t="s">
        <v>34</v>
      </c>
      <c r="AH321" s="543" t="s">
        <v>34</v>
      </c>
      <c r="AI321" s="543" t="s">
        <v>34</v>
      </c>
      <c r="AJ321" s="543" t="s">
        <v>34</v>
      </c>
      <c r="AK321" s="543" t="s">
        <v>1818</v>
      </c>
      <c r="AL321" s="543" t="s">
        <v>34</v>
      </c>
      <c r="AM321" s="61" t="s">
        <v>4495</v>
      </c>
      <c r="AN321" s="541">
        <v>0</v>
      </c>
      <c r="AO321" s="541">
        <v>0</v>
      </c>
      <c r="AP321" s="61"/>
      <c r="CG321" t="str">
        <v>CHARLES ENGINEERING</v>
      </c>
    </row>
    <row r="322" spans="1:85" x14ac:dyDescent="0.2">
      <c r="A322" s="61">
        <v>321</v>
      </c>
      <c r="B322" s="542" t="s">
        <v>1474</v>
      </c>
      <c r="C322" s="543" t="s">
        <v>728</v>
      </c>
      <c r="D322" s="543" t="s">
        <v>3854</v>
      </c>
      <c r="E322" s="543" t="s">
        <v>1759</v>
      </c>
      <c r="F322" s="543" t="s">
        <v>1703</v>
      </c>
      <c r="G322" s="543" t="s">
        <v>34</v>
      </c>
      <c r="H322" s="543" t="s">
        <v>1821</v>
      </c>
      <c r="I322" s="543" t="s">
        <v>5378</v>
      </c>
      <c r="J322" s="543" t="s">
        <v>2433</v>
      </c>
      <c r="K322" s="543" t="s">
        <v>2852</v>
      </c>
      <c r="L322" s="543" t="s">
        <v>2162</v>
      </c>
      <c r="M322" s="544" t="s">
        <v>728</v>
      </c>
      <c r="N322" s="543" t="s">
        <v>728</v>
      </c>
      <c r="O322" s="543" t="s">
        <v>665</v>
      </c>
      <c r="P322" s="543" t="s">
        <v>2848</v>
      </c>
      <c r="Q322" s="543" t="s">
        <v>1813</v>
      </c>
      <c r="R322" s="543" t="s">
        <v>1988</v>
      </c>
      <c r="S322" s="543" t="s">
        <v>2853</v>
      </c>
      <c r="T322" s="543">
        <v>87.5</v>
      </c>
      <c r="U322" s="543" t="s">
        <v>1843</v>
      </c>
      <c r="V322" s="543" t="s">
        <v>5058</v>
      </c>
      <c r="W322" s="543" t="s">
        <v>5059</v>
      </c>
      <c r="X322" s="543" t="s">
        <v>1813</v>
      </c>
      <c r="Y322" s="543" t="s">
        <v>109</v>
      </c>
      <c r="Z322" s="543" t="s">
        <v>109</v>
      </c>
      <c r="AA322" s="543" t="s">
        <v>109</v>
      </c>
      <c r="AB322" s="543" t="s">
        <v>2854</v>
      </c>
      <c r="AC322" s="543" t="s">
        <v>1816</v>
      </c>
      <c r="AD322" s="543" t="s">
        <v>1817</v>
      </c>
      <c r="AE322" s="543" t="s">
        <v>1455</v>
      </c>
      <c r="AF322" s="543">
        <v>1</v>
      </c>
      <c r="AG322" s="543">
        <v>0.32</v>
      </c>
      <c r="AH322" s="543">
        <v>0.08</v>
      </c>
      <c r="AI322" s="543" t="s">
        <v>3587</v>
      </c>
      <c r="AJ322" s="543" t="s">
        <v>34</v>
      </c>
      <c r="AK322" s="543" t="s">
        <v>1818</v>
      </c>
      <c r="AL322" s="543" t="s">
        <v>34</v>
      </c>
      <c r="AM322" s="61" t="s">
        <v>4495</v>
      </c>
      <c r="AN322" s="541">
        <v>0</v>
      </c>
      <c r="AO322" s="541">
        <v>0</v>
      </c>
      <c r="AP322" s="61"/>
      <c r="CG322" t="str">
        <v>CHARLES P. OWEN</v>
      </c>
    </row>
    <row r="323" spans="1:85" x14ac:dyDescent="0.2">
      <c r="A323" s="61">
        <v>322</v>
      </c>
      <c r="B323" s="542" t="s">
        <v>1474</v>
      </c>
      <c r="C323" s="543" t="s">
        <v>719</v>
      </c>
      <c r="D323" s="543" t="s">
        <v>3855</v>
      </c>
      <c r="E323" s="543" t="s">
        <v>1759</v>
      </c>
      <c r="F323" s="543" t="s">
        <v>1703</v>
      </c>
      <c r="G323" s="543" t="s">
        <v>34</v>
      </c>
      <c r="H323" s="543" t="s">
        <v>1821</v>
      </c>
      <c r="I323" s="543" t="s">
        <v>5342</v>
      </c>
      <c r="J323" s="543" t="s">
        <v>2089</v>
      </c>
      <c r="K323" s="543" t="s">
        <v>2828</v>
      </c>
      <c r="L323" s="543" t="s">
        <v>2829</v>
      </c>
      <c r="M323" s="544" t="s">
        <v>2830</v>
      </c>
      <c r="N323" s="543" t="s">
        <v>719</v>
      </c>
      <c r="O323" s="543" t="s">
        <v>5343</v>
      </c>
      <c r="P323" s="543" t="s">
        <v>2114</v>
      </c>
      <c r="Q323" s="543" t="s">
        <v>4555</v>
      </c>
      <c r="R323" s="543" t="s">
        <v>1988</v>
      </c>
      <c r="S323" s="543" t="s">
        <v>2831</v>
      </c>
      <c r="T323" s="543">
        <v>302.5</v>
      </c>
      <c r="U323" s="543" t="s">
        <v>1843</v>
      </c>
      <c r="V323" s="543" t="s">
        <v>3021</v>
      </c>
      <c r="W323" s="543" t="s">
        <v>5125</v>
      </c>
      <c r="X323" s="543" t="s">
        <v>4556</v>
      </c>
      <c r="Y323" s="543" t="s">
        <v>3021</v>
      </c>
      <c r="Z323" s="543" t="s">
        <v>5125</v>
      </c>
      <c r="AA323" s="543" t="s">
        <v>4556</v>
      </c>
      <c r="AB323" s="543" t="s">
        <v>34</v>
      </c>
      <c r="AC323" s="543" t="s">
        <v>1816</v>
      </c>
      <c r="AD323" s="543" t="s">
        <v>1817</v>
      </c>
      <c r="AE323" s="543" t="s">
        <v>1455</v>
      </c>
      <c r="AF323" s="543">
        <v>31.4</v>
      </c>
      <c r="AG323" s="543">
        <v>68</v>
      </c>
      <c r="AH323" s="543">
        <v>11</v>
      </c>
      <c r="AI323" s="543" t="s">
        <v>34</v>
      </c>
      <c r="AJ323" s="543" t="s">
        <v>34</v>
      </c>
      <c r="AK323" s="543" t="s">
        <v>1818</v>
      </c>
      <c r="AL323" s="543" t="s">
        <v>34</v>
      </c>
      <c r="AM323" s="61" t="s">
        <v>4495</v>
      </c>
      <c r="AN323" s="541"/>
      <c r="AO323" s="541"/>
      <c r="AP323" s="61"/>
      <c r="CG323" t="str">
        <v>CHEROKEE NATION METAL WORKS</v>
      </c>
    </row>
    <row r="324" spans="1:85" x14ac:dyDescent="0.2">
      <c r="A324" s="61">
        <v>323</v>
      </c>
      <c r="B324" s="542" t="s">
        <v>1474</v>
      </c>
      <c r="C324" s="543" t="s">
        <v>742</v>
      </c>
      <c r="D324" s="543" t="s">
        <v>3856</v>
      </c>
      <c r="E324" s="543" t="s">
        <v>1759</v>
      </c>
      <c r="F324" s="543" t="s">
        <v>1703</v>
      </c>
      <c r="G324" s="543" t="s">
        <v>34</v>
      </c>
      <c r="H324" s="543" t="s">
        <v>1821</v>
      </c>
      <c r="I324" s="543" t="s">
        <v>5342</v>
      </c>
      <c r="J324" s="543" t="s">
        <v>2089</v>
      </c>
      <c r="K324" s="543" t="s">
        <v>2544</v>
      </c>
      <c r="L324" s="543" t="s">
        <v>2832</v>
      </c>
      <c r="M324" s="544" t="s">
        <v>2833</v>
      </c>
      <c r="N324" s="543" t="s">
        <v>742</v>
      </c>
      <c r="O324" s="543" t="s">
        <v>5343</v>
      </c>
      <c r="P324" s="543" t="s">
        <v>2834</v>
      </c>
      <c r="Q324" s="543" t="s">
        <v>4555</v>
      </c>
      <c r="R324" s="543" t="s">
        <v>1988</v>
      </c>
      <c r="S324" s="543" t="s">
        <v>2835</v>
      </c>
      <c r="T324" s="543">
        <v>196</v>
      </c>
      <c r="U324" s="543" t="s">
        <v>1843</v>
      </c>
      <c r="V324" s="543" t="s">
        <v>2836</v>
      </c>
      <c r="W324" s="543" t="s">
        <v>1889</v>
      </c>
      <c r="X324" s="543" t="s">
        <v>4556</v>
      </c>
      <c r="Y324" s="543" t="s">
        <v>2836</v>
      </c>
      <c r="Z324" s="543" t="s">
        <v>1889</v>
      </c>
      <c r="AA324" s="543" t="s">
        <v>4556</v>
      </c>
      <c r="AB324" s="543" t="s">
        <v>34</v>
      </c>
      <c r="AC324" s="543" t="s">
        <v>1816</v>
      </c>
      <c r="AD324" s="543" t="s">
        <v>1817</v>
      </c>
      <c r="AE324" s="543" t="s">
        <v>1455</v>
      </c>
      <c r="AF324" s="543">
        <v>30000</v>
      </c>
      <c r="AG324" s="543">
        <v>10</v>
      </c>
      <c r="AH324" s="543">
        <v>1000</v>
      </c>
      <c r="AI324" s="543" t="s">
        <v>34</v>
      </c>
      <c r="AJ324" s="543" t="s">
        <v>34</v>
      </c>
      <c r="AK324" s="543" t="s">
        <v>1818</v>
      </c>
      <c r="AL324" s="543" t="s">
        <v>34</v>
      </c>
      <c r="AM324" s="61" t="s">
        <v>4498</v>
      </c>
      <c r="AN324" s="541">
        <v>1.4583333333333332E-2</v>
      </c>
      <c r="AO324" s="541">
        <v>0</v>
      </c>
      <c r="AP324" s="61"/>
      <c r="CG324" t="str">
        <v>CHEROKEE NATION RED WING, LLC</v>
      </c>
    </row>
    <row r="325" spans="1:85" x14ac:dyDescent="0.2">
      <c r="A325" s="61">
        <v>324</v>
      </c>
      <c r="B325" s="542" t="s">
        <v>1474</v>
      </c>
      <c r="C325" s="543" t="s">
        <v>733</v>
      </c>
      <c r="D325" s="543" t="s">
        <v>3857</v>
      </c>
      <c r="E325" s="543" t="s">
        <v>1759</v>
      </c>
      <c r="F325" s="543" t="s">
        <v>1703</v>
      </c>
      <c r="G325" s="543" t="s">
        <v>34</v>
      </c>
      <c r="H325" s="543" t="s">
        <v>1821</v>
      </c>
      <c r="I325" s="543" t="s">
        <v>5342</v>
      </c>
      <c r="J325" s="543" t="s">
        <v>2089</v>
      </c>
      <c r="K325" s="543" t="s">
        <v>2859</v>
      </c>
      <c r="L325" s="543" t="s">
        <v>2860</v>
      </c>
      <c r="M325" s="544" t="s">
        <v>733</v>
      </c>
      <c r="N325" s="543" t="s">
        <v>733</v>
      </c>
      <c r="O325" s="543" t="s">
        <v>4737</v>
      </c>
      <c r="P325" s="543" t="s">
        <v>2861</v>
      </c>
      <c r="Q325" s="543" t="s">
        <v>4553</v>
      </c>
      <c r="R325" s="543" t="s">
        <v>1988</v>
      </c>
      <c r="S325" s="543" t="s">
        <v>2862</v>
      </c>
      <c r="T325" s="543">
        <v>390</v>
      </c>
      <c r="U325" s="543" t="s">
        <v>1843</v>
      </c>
      <c r="V325" s="543" t="s">
        <v>5060</v>
      </c>
      <c r="W325" s="543" t="s">
        <v>5061</v>
      </c>
      <c r="X325" s="543" t="s">
        <v>4556</v>
      </c>
      <c r="Y325" s="543" t="s">
        <v>5060</v>
      </c>
      <c r="Z325" s="543" t="s">
        <v>5061</v>
      </c>
      <c r="AA325" s="543" t="s">
        <v>4556</v>
      </c>
      <c r="AB325" s="543" t="s">
        <v>34</v>
      </c>
      <c r="AC325" s="543" t="s">
        <v>1816</v>
      </c>
      <c r="AD325" s="543" t="s">
        <v>1817</v>
      </c>
      <c r="AE325" s="543" t="s">
        <v>1455</v>
      </c>
      <c r="AF325" s="543" t="s">
        <v>3040</v>
      </c>
      <c r="AG325" s="543" t="s">
        <v>34</v>
      </c>
      <c r="AH325" s="543" t="s">
        <v>34</v>
      </c>
      <c r="AI325" s="543" t="s">
        <v>34</v>
      </c>
      <c r="AJ325" s="543" t="s">
        <v>34</v>
      </c>
      <c r="AK325" s="543" t="s">
        <v>1818</v>
      </c>
      <c r="AL325" s="543" t="s">
        <v>34</v>
      </c>
      <c r="AM325" s="61" t="s">
        <v>4495</v>
      </c>
      <c r="AN325" s="541">
        <v>0</v>
      </c>
      <c r="AO325" s="541">
        <v>2.1527777777777781E-2</v>
      </c>
      <c r="AP325" s="61"/>
      <c r="CG325" t="str">
        <v>CHEYENNE MANUFACTURING INC.</v>
      </c>
    </row>
    <row r="326" spans="1:85" x14ac:dyDescent="0.2">
      <c r="A326" s="61">
        <v>325</v>
      </c>
      <c r="B326" s="542" t="s">
        <v>1474</v>
      </c>
      <c r="C326" s="543" t="s">
        <v>735</v>
      </c>
      <c r="D326" s="543" t="s">
        <v>3858</v>
      </c>
      <c r="E326" s="543" t="s">
        <v>1759</v>
      </c>
      <c r="F326" s="543" t="s">
        <v>1703</v>
      </c>
      <c r="G326" s="543" t="s">
        <v>34</v>
      </c>
      <c r="H326" s="543" t="s">
        <v>1821</v>
      </c>
      <c r="I326" s="543" t="s">
        <v>5342</v>
      </c>
      <c r="J326" s="543" t="s">
        <v>2089</v>
      </c>
      <c r="K326" s="543" t="s">
        <v>2863</v>
      </c>
      <c r="L326" s="543" t="s">
        <v>2860</v>
      </c>
      <c r="M326" s="544" t="s">
        <v>735</v>
      </c>
      <c r="N326" s="543" t="s">
        <v>735</v>
      </c>
      <c r="O326" s="543" t="s">
        <v>5379</v>
      </c>
      <c r="P326" s="543" t="s">
        <v>2864</v>
      </c>
      <c r="Q326" s="543" t="s">
        <v>4553</v>
      </c>
      <c r="R326" s="543" t="s">
        <v>1988</v>
      </c>
      <c r="S326" s="543" t="s">
        <v>2865</v>
      </c>
      <c r="T326" s="543">
        <v>382.3</v>
      </c>
      <c r="U326" s="543" t="s">
        <v>1843</v>
      </c>
      <c r="V326" s="543" t="s">
        <v>5060</v>
      </c>
      <c r="W326" s="543" t="s">
        <v>5062</v>
      </c>
      <c r="X326" s="543" t="s">
        <v>4556</v>
      </c>
      <c r="Y326" s="543" t="s">
        <v>5060</v>
      </c>
      <c r="Z326" s="543" t="s">
        <v>5062</v>
      </c>
      <c r="AA326" s="543" t="s">
        <v>4556</v>
      </c>
      <c r="AB326" s="543" t="s">
        <v>34</v>
      </c>
      <c r="AC326" s="543" t="s">
        <v>1816</v>
      </c>
      <c r="AD326" s="543" t="s">
        <v>1817</v>
      </c>
      <c r="AE326" s="543" t="s">
        <v>1455</v>
      </c>
      <c r="AF326" s="543" t="s">
        <v>3040</v>
      </c>
      <c r="AG326" s="543" t="s">
        <v>34</v>
      </c>
      <c r="AH326" s="543" t="s">
        <v>34</v>
      </c>
      <c r="AI326" s="543" t="s">
        <v>34</v>
      </c>
      <c r="AJ326" s="543" t="s">
        <v>34</v>
      </c>
      <c r="AK326" s="543" t="s">
        <v>1818</v>
      </c>
      <c r="AL326" s="543" t="s">
        <v>34</v>
      </c>
      <c r="AM326" s="61" t="s">
        <v>4495</v>
      </c>
      <c r="AN326" s="541">
        <v>0</v>
      </c>
      <c r="AO326" s="541">
        <v>0</v>
      </c>
      <c r="AP326" s="61"/>
      <c r="CG326" t="str">
        <v>CHROME PLUS INT'L - WICHITA</v>
      </c>
    </row>
    <row r="327" spans="1:85" x14ac:dyDescent="0.2">
      <c r="A327" s="61">
        <v>326</v>
      </c>
      <c r="B327" s="542" t="s">
        <v>1474</v>
      </c>
      <c r="C327" s="543" t="s">
        <v>737</v>
      </c>
      <c r="D327" s="543" t="s">
        <v>3859</v>
      </c>
      <c r="E327" s="543" t="s">
        <v>1759</v>
      </c>
      <c r="F327" s="543" t="s">
        <v>1703</v>
      </c>
      <c r="G327" s="543" t="s">
        <v>34</v>
      </c>
      <c r="H327" s="543" t="s">
        <v>1821</v>
      </c>
      <c r="I327" s="543" t="s">
        <v>5377</v>
      </c>
      <c r="J327" s="543" t="s">
        <v>2089</v>
      </c>
      <c r="K327" s="543" t="s">
        <v>2845</v>
      </c>
      <c r="L327" s="543" t="s">
        <v>1948</v>
      </c>
      <c r="M327" s="544" t="s">
        <v>737</v>
      </c>
      <c r="N327" s="543" t="s">
        <v>737</v>
      </c>
      <c r="O327" s="543" t="s">
        <v>109</v>
      </c>
      <c r="P327" s="543" t="s">
        <v>1938</v>
      </c>
      <c r="Q327" s="543" t="s">
        <v>1819</v>
      </c>
      <c r="R327" s="543" t="s">
        <v>2844</v>
      </c>
      <c r="S327" s="543" t="s">
        <v>2846</v>
      </c>
      <c r="T327" s="543">
        <v>100</v>
      </c>
      <c r="U327" s="543" t="s">
        <v>1843</v>
      </c>
      <c r="V327" s="543" t="s">
        <v>5051</v>
      </c>
      <c r="W327" s="543" t="s">
        <v>5410</v>
      </c>
      <c r="X327" s="543" t="s">
        <v>1815</v>
      </c>
      <c r="Y327" s="543" t="s">
        <v>5051</v>
      </c>
      <c r="Z327" s="543" t="s">
        <v>5410</v>
      </c>
      <c r="AA327" s="543" t="s">
        <v>1815</v>
      </c>
      <c r="AB327" s="543" t="s">
        <v>5411</v>
      </c>
      <c r="AC327" s="543" t="s">
        <v>1816</v>
      </c>
      <c r="AD327" s="543" t="s">
        <v>1817</v>
      </c>
      <c r="AE327" s="543" t="s">
        <v>1455</v>
      </c>
      <c r="AF327" s="543" t="s">
        <v>3040</v>
      </c>
      <c r="AG327" s="543" t="s">
        <v>34</v>
      </c>
      <c r="AH327" s="543" t="s">
        <v>34</v>
      </c>
      <c r="AI327" s="543" t="s">
        <v>34</v>
      </c>
      <c r="AJ327" s="543" t="s">
        <v>34</v>
      </c>
      <c r="AK327" s="543" t="s">
        <v>1818</v>
      </c>
      <c r="AL327" s="543" t="s">
        <v>34</v>
      </c>
      <c r="AM327" s="61" t="s">
        <v>4514</v>
      </c>
      <c r="AN327" s="541">
        <v>0</v>
      </c>
      <c r="AO327" s="541">
        <v>0</v>
      </c>
      <c r="AP327" s="61"/>
      <c r="CG327" t="str">
        <v>CHROME PLUS INTERNATIONAL - CUSTER</v>
      </c>
    </row>
    <row r="328" spans="1:85" x14ac:dyDescent="0.2">
      <c r="A328" s="61">
        <v>327</v>
      </c>
      <c r="B328" s="542" t="s">
        <v>1474</v>
      </c>
      <c r="C328" s="543" t="s">
        <v>740</v>
      </c>
      <c r="D328" s="543" t="s">
        <v>3860</v>
      </c>
      <c r="E328" s="543" t="s">
        <v>1759</v>
      </c>
      <c r="F328" s="543" t="s">
        <v>1703</v>
      </c>
      <c r="G328" s="543" t="s">
        <v>34</v>
      </c>
      <c r="H328" s="543" t="s">
        <v>1821</v>
      </c>
      <c r="I328" s="543" t="s">
        <v>5342</v>
      </c>
      <c r="J328" s="543" t="s">
        <v>2089</v>
      </c>
      <c r="K328" s="543" t="s">
        <v>2837</v>
      </c>
      <c r="L328" s="543" t="s">
        <v>2838</v>
      </c>
      <c r="M328" s="544" t="s">
        <v>2839</v>
      </c>
      <c r="N328" s="543" t="s">
        <v>740</v>
      </c>
      <c r="O328" s="543" t="s">
        <v>4618</v>
      </c>
      <c r="P328" s="543" t="s">
        <v>2840</v>
      </c>
      <c r="Q328" s="543" t="s">
        <v>4568</v>
      </c>
      <c r="R328" s="543" t="s">
        <v>1988</v>
      </c>
      <c r="S328" s="543" t="s">
        <v>2841</v>
      </c>
      <c r="T328" s="543">
        <v>270</v>
      </c>
      <c r="U328" s="543" t="s">
        <v>1843</v>
      </c>
      <c r="V328" s="543" t="s">
        <v>2492</v>
      </c>
      <c r="W328" s="543" t="s">
        <v>2842</v>
      </c>
      <c r="X328" s="543" t="s">
        <v>4556</v>
      </c>
      <c r="Y328" s="543" t="s">
        <v>2674</v>
      </c>
      <c r="Z328" s="543" t="s">
        <v>2843</v>
      </c>
      <c r="AA328" s="543" t="s">
        <v>4556</v>
      </c>
      <c r="AB328" s="543" t="s">
        <v>34</v>
      </c>
      <c r="AC328" s="543" t="s">
        <v>1816</v>
      </c>
      <c r="AD328" s="543" t="s">
        <v>1817</v>
      </c>
      <c r="AE328" s="543" t="s">
        <v>1455</v>
      </c>
      <c r="AF328" s="543" t="s">
        <v>3567</v>
      </c>
      <c r="AG328" s="543" t="s">
        <v>3568</v>
      </c>
      <c r="AH328" s="543" t="s">
        <v>3630</v>
      </c>
      <c r="AI328" s="543" t="s">
        <v>3631</v>
      </c>
      <c r="AJ328" s="543" t="s">
        <v>3632</v>
      </c>
      <c r="AK328" s="543" t="s">
        <v>1818</v>
      </c>
      <c r="AL328" s="543" t="s">
        <v>34</v>
      </c>
      <c r="AM328" s="61" t="s">
        <v>4498</v>
      </c>
      <c r="AN328" s="541">
        <v>0</v>
      </c>
      <c r="AO328" s="541">
        <v>0</v>
      </c>
      <c r="AP328" s="61"/>
      <c r="CG328" t="str">
        <v>CHROME PLUS INTERNATIONAL - CUSTER CPF</v>
      </c>
    </row>
    <row r="329" spans="1:85" x14ac:dyDescent="0.2">
      <c r="A329" s="61">
        <v>328</v>
      </c>
      <c r="B329" s="542" t="s">
        <v>1474</v>
      </c>
      <c r="C329" s="543" t="s">
        <v>3482</v>
      </c>
      <c r="D329" s="543" t="s">
        <v>4135</v>
      </c>
      <c r="E329" s="543" t="s">
        <v>1759</v>
      </c>
      <c r="F329" s="543" t="s">
        <v>1703</v>
      </c>
      <c r="G329" s="543" t="s">
        <v>34</v>
      </c>
      <c r="H329" s="543" t="s">
        <v>1821</v>
      </c>
      <c r="I329" s="543" t="s">
        <v>5342</v>
      </c>
      <c r="J329" s="543" t="s">
        <v>1809</v>
      </c>
      <c r="K329" s="543" t="s">
        <v>4136</v>
      </c>
      <c r="L329" s="543" t="s">
        <v>665</v>
      </c>
      <c r="M329" s="544" t="s">
        <v>3482</v>
      </c>
      <c r="N329" s="543" t="s">
        <v>3482</v>
      </c>
      <c r="O329" s="543" t="s">
        <v>665</v>
      </c>
      <c r="P329" s="543" t="s">
        <v>2464</v>
      </c>
      <c r="Q329" s="543" t="s">
        <v>1894</v>
      </c>
      <c r="R329" s="543" t="s">
        <v>1814</v>
      </c>
      <c r="S329" s="543" t="s">
        <v>2822</v>
      </c>
      <c r="T329" s="543">
        <v>189</v>
      </c>
      <c r="U329" s="543" t="s">
        <v>1844</v>
      </c>
      <c r="V329" s="543" t="s">
        <v>1936</v>
      </c>
      <c r="W329" s="543" t="s">
        <v>4137</v>
      </c>
      <c r="X329" s="543" t="s">
        <v>1954</v>
      </c>
      <c r="Y329" s="543" t="s">
        <v>109</v>
      </c>
      <c r="Z329" s="543" t="s">
        <v>109</v>
      </c>
      <c r="AA329" s="543" t="s">
        <v>109</v>
      </c>
      <c r="AB329" s="543" t="s">
        <v>2824</v>
      </c>
      <c r="AC329" s="543" t="s">
        <v>1816</v>
      </c>
      <c r="AD329" s="543" t="s">
        <v>1817</v>
      </c>
      <c r="AE329" s="543" t="s">
        <v>1455</v>
      </c>
      <c r="AF329" s="543" t="s">
        <v>34</v>
      </c>
      <c r="AG329" s="543" t="s">
        <v>34</v>
      </c>
      <c r="AH329" s="543" t="s">
        <v>34</v>
      </c>
      <c r="AI329" s="543" t="s">
        <v>34</v>
      </c>
      <c r="AJ329" s="543" t="s">
        <v>34</v>
      </c>
      <c r="AK329" s="543" t="s">
        <v>1818</v>
      </c>
      <c r="AL329" s="543" t="s">
        <v>34</v>
      </c>
      <c r="AM329" s="61" t="s">
        <v>4495</v>
      </c>
      <c r="AN329" s="541">
        <v>0</v>
      </c>
      <c r="AO329" s="541">
        <v>0</v>
      </c>
      <c r="AP329" s="61"/>
      <c r="CG329" t="str">
        <v>CHROME PLUS INTERNATIONAL - MCPHERSON</v>
      </c>
    </row>
    <row r="330" spans="1:85" x14ac:dyDescent="0.2">
      <c r="A330" s="61">
        <v>329</v>
      </c>
      <c r="B330" s="542" t="s">
        <v>1474</v>
      </c>
      <c r="C330" s="543" t="s">
        <v>1620</v>
      </c>
      <c r="D330" s="543" t="s">
        <v>3861</v>
      </c>
      <c r="E330" s="543" t="s">
        <v>1759</v>
      </c>
      <c r="F330" s="543" t="s">
        <v>1703</v>
      </c>
      <c r="G330" s="543" t="s">
        <v>34</v>
      </c>
      <c r="H330" s="543" t="s">
        <v>1821</v>
      </c>
      <c r="I330" s="543" t="s">
        <v>5378</v>
      </c>
      <c r="J330" s="543" t="s">
        <v>2433</v>
      </c>
      <c r="K330" s="543" t="s">
        <v>2855</v>
      </c>
      <c r="L330" s="543" t="s">
        <v>1948</v>
      </c>
      <c r="M330" s="544" t="s">
        <v>1620</v>
      </c>
      <c r="N330" s="543" t="s">
        <v>1620</v>
      </c>
      <c r="O330" s="543" t="s">
        <v>665</v>
      </c>
      <c r="P330" s="543" t="s">
        <v>2856</v>
      </c>
      <c r="Q330" s="543" t="s">
        <v>1897</v>
      </c>
      <c r="R330" s="543" t="s">
        <v>1814</v>
      </c>
      <c r="S330" s="543" t="s">
        <v>2857</v>
      </c>
      <c r="T330" s="543">
        <v>346.5</v>
      </c>
      <c r="U330" s="543" t="s">
        <v>1844</v>
      </c>
      <c r="V330" s="543" t="s">
        <v>1948</v>
      </c>
      <c r="W330" s="543" t="s">
        <v>2858</v>
      </c>
      <c r="X330" s="543" t="s">
        <v>1963</v>
      </c>
      <c r="Y330" s="543" t="s">
        <v>109</v>
      </c>
      <c r="Z330" s="543" t="s">
        <v>109</v>
      </c>
      <c r="AA330" s="543" t="s">
        <v>109</v>
      </c>
      <c r="AB330" s="543" t="s">
        <v>2824</v>
      </c>
      <c r="AC330" s="543" t="s">
        <v>1816</v>
      </c>
      <c r="AD330" s="543" t="s">
        <v>1817</v>
      </c>
      <c r="AE330" s="543" t="s">
        <v>1455</v>
      </c>
      <c r="AF330" s="543" t="s">
        <v>3040</v>
      </c>
      <c r="AG330" s="543" t="s">
        <v>34</v>
      </c>
      <c r="AH330" s="543" t="s">
        <v>34</v>
      </c>
      <c r="AI330" s="543" t="s">
        <v>34</v>
      </c>
      <c r="AJ330" s="543" t="s">
        <v>34</v>
      </c>
      <c r="AK330" s="543" t="s">
        <v>1818</v>
      </c>
      <c r="AL330" s="543" t="s">
        <v>34</v>
      </c>
      <c r="AM330" s="61" t="s">
        <v>4495</v>
      </c>
      <c r="AN330" s="541">
        <v>0</v>
      </c>
      <c r="AO330" s="541">
        <v>0</v>
      </c>
      <c r="AP330" s="61"/>
      <c r="CG330" t="str">
        <v>CHS PIPELINE</v>
      </c>
    </row>
    <row r="331" spans="1:85" x14ac:dyDescent="0.2">
      <c r="A331" s="61">
        <v>330</v>
      </c>
      <c r="B331" s="542" t="s">
        <v>1474</v>
      </c>
      <c r="C331" s="543" t="s">
        <v>3484</v>
      </c>
      <c r="D331" s="543" t="s">
        <v>4023</v>
      </c>
      <c r="E331" s="543" t="s">
        <v>1759</v>
      </c>
      <c r="F331" s="543" t="s">
        <v>1703</v>
      </c>
      <c r="G331" s="543" t="s">
        <v>34</v>
      </c>
      <c r="H331" s="543" t="s">
        <v>1821</v>
      </c>
      <c r="I331" s="543" t="s">
        <v>5342</v>
      </c>
      <c r="J331" s="543" t="s">
        <v>2433</v>
      </c>
      <c r="K331" s="543" t="s">
        <v>4024</v>
      </c>
      <c r="L331" s="543" t="s">
        <v>1948</v>
      </c>
      <c r="M331" s="544" t="s">
        <v>3484</v>
      </c>
      <c r="N331" s="543" t="s">
        <v>3484</v>
      </c>
      <c r="O331" s="543" t="s">
        <v>665</v>
      </c>
      <c r="P331" s="543" t="s">
        <v>5380</v>
      </c>
      <c r="Q331" s="543" t="s">
        <v>1897</v>
      </c>
      <c r="R331" s="543" t="s">
        <v>1814</v>
      </c>
      <c r="S331" s="543" t="s">
        <v>2857</v>
      </c>
      <c r="T331" s="543">
        <v>346.5</v>
      </c>
      <c r="U331" s="543" t="s">
        <v>1844</v>
      </c>
      <c r="V331" s="543" t="s">
        <v>1948</v>
      </c>
      <c r="W331" s="543" t="s">
        <v>4025</v>
      </c>
      <c r="X331" s="543" t="s">
        <v>1884</v>
      </c>
      <c r="Y331" s="543" t="s">
        <v>109</v>
      </c>
      <c r="Z331" s="543" t="s">
        <v>109</v>
      </c>
      <c r="AA331" s="543" t="s">
        <v>109</v>
      </c>
      <c r="AB331" s="543" t="s">
        <v>5381</v>
      </c>
      <c r="AC331" s="543" t="s">
        <v>1816</v>
      </c>
      <c r="AD331" s="543" t="s">
        <v>1817</v>
      </c>
      <c r="AE331" s="543" t="s">
        <v>1455</v>
      </c>
      <c r="AF331" s="543" t="s">
        <v>3040</v>
      </c>
      <c r="AG331" s="543" t="s">
        <v>34</v>
      </c>
      <c r="AH331" s="543" t="s">
        <v>34</v>
      </c>
      <c r="AI331" s="543" t="s">
        <v>34</v>
      </c>
      <c r="AJ331" s="543" t="s">
        <v>34</v>
      </c>
      <c r="AK331" s="543" t="s">
        <v>1818</v>
      </c>
      <c r="AL331" s="543" t="s">
        <v>34</v>
      </c>
      <c r="AM331" s="61" t="s">
        <v>4495</v>
      </c>
      <c r="AN331" s="541">
        <v>0</v>
      </c>
      <c r="AO331" s="541">
        <v>0</v>
      </c>
      <c r="AP331" s="61"/>
      <c r="CG331" t="str">
        <v>CIH EQUIPMENT COMPANY, INC.</v>
      </c>
    </row>
    <row r="332" spans="1:85" x14ac:dyDescent="0.2">
      <c r="A332" s="61">
        <v>331</v>
      </c>
      <c r="B332" s="542" t="s">
        <v>1474</v>
      </c>
      <c r="C332" s="543" t="s">
        <v>723</v>
      </c>
      <c r="D332" s="543" t="s">
        <v>3862</v>
      </c>
      <c r="E332" s="543" t="s">
        <v>1759</v>
      </c>
      <c r="F332" s="543" t="s">
        <v>1703</v>
      </c>
      <c r="G332" s="543" t="s">
        <v>34</v>
      </c>
      <c r="H332" s="543" t="s">
        <v>1821</v>
      </c>
      <c r="I332" s="543" t="s">
        <v>5342</v>
      </c>
      <c r="J332" s="543" t="s">
        <v>2089</v>
      </c>
      <c r="K332" s="543" t="s">
        <v>2468</v>
      </c>
      <c r="L332" s="543" t="s">
        <v>665</v>
      </c>
      <c r="M332" s="544" t="s">
        <v>723</v>
      </c>
      <c r="N332" s="543" t="s">
        <v>723</v>
      </c>
      <c r="O332" s="543" t="s">
        <v>665</v>
      </c>
      <c r="P332" s="543" t="s">
        <v>2244</v>
      </c>
      <c r="Q332" s="543" t="s">
        <v>4555</v>
      </c>
      <c r="R332" s="543" t="s">
        <v>1814</v>
      </c>
      <c r="S332" s="543" t="s">
        <v>2822</v>
      </c>
      <c r="T332" s="543">
        <v>189</v>
      </c>
      <c r="U332" s="543" t="s">
        <v>1844</v>
      </c>
      <c r="V332" s="543" t="s">
        <v>1936</v>
      </c>
      <c r="W332" s="543" t="s">
        <v>2823</v>
      </c>
      <c r="X332" s="543" t="s">
        <v>4563</v>
      </c>
      <c r="Y332" s="543" t="s">
        <v>109</v>
      </c>
      <c r="Z332" s="543" t="s">
        <v>109</v>
      </c>
      <c r="AA332" s="543" t="s">
        <v>109</v>
      </c>
      <c r="AB332" s="543" t="s">
        <v>2824</v>
      </c>
      <c r="AC332" s="543" t="s">
        <v>1816</v>
      </c>
      <c r="AD332" s="543" t="s">
        <v>1817</v>
      </c>
      <c r="AE332" s="543" t="s">
        <v>1455</v>
      </c>
      <c r="AF332" s="543" t="s">
        <v>34</v>
      </c>
      <c r="AG332" s="543" t="s">
        <v>34</v>
      </c>
      <c r="AH332" s="543" t="s">
        <v>34</v>
      </c>
      <c r="AI332" s="543" t="s">
        <v>34</v>
      </c>
      <c r="AJ332" s="543" t="s">
        <v>34</v>
      </c>
      <c r="AK332" s="543" t="s">
        <v>1818</v>
      </c>
      <c r="AL332" s="543" t="s">
        <v>34</v>
      </c>
      <c r="AM332" s="61" t="s">
        <v>4495</v>
      </c>
      <c r="AN332" s="541">
        <v>0</v>
      </c>
      <c r="AO332" s="541">
        <v>0</v>
      </c>
      <c r="AP332" s="61"/>
      <c r="CG332" t="str">
        <v>CIS</v>
      </c>
    </row>
    <row r="333" spans="1:85" x14ac:dyDescent="0.2">
      <c r="A333" s="61">
        <v>332</v>
      </c>
      <c r="B333" s="542" t="s">
        <v>1474</v>
      </c>
      <c r="C333" s="543" t="s">
        <v>721</v>
      </c>
      <c r="D333" s="543" t="s">
        <v>3863</v>
      </c>
      <c r="E333" s="543" t="s">
        <v>1759</v>
      </c>
      <c r="F333" s="543" t="s">
        <v>1703</v>
      </c>
      <c r="G333" s="543" t="s">
        <v>34</v>
      </c>
      <c r="H333" s="543" t="s">
        <v>1821</v>
      </c>
      <c r="I333" s="543" t="s">
        <v>5342</v>
      </c>
      <c r="J333" s="543" t="s">
        <v>2089</v>
      </c>
      <c r="K333" s="543" t="s">
        <v>2825</v>
      </c>
      <c r="L333" s="543" t="s">
        <v>665</v>
      </c>
      <c r="M333" s="544" t="s">
        <v>721</v>
      </c>
      <c r="N333" s="543" t="s">
        <v>721</v>
      </c>
      <c r="O333" s="543" t="s">
        <v>665</v>
      </c>
      <c r="P333" s="543" t="s">
        <v>2826</v>
      </c>
      <c r="Q333" s="543" t="s">
        <v>1894</v>
      </c>
      <c r="R333" s="543" t="s">
        <v>1814</v>
      </c>
      <c r="S333" s="543" t="s">
        <v>2822</v>
      </c>
      <c r="T333" s="543">
        <v>189</v>
      </c>
      <c r="U333" s="543" t="s">
        <v>1844</v>
      </c>
      <c r="V333" s="543" t="s">
        <v>1936</v>
      </c>
      <c r="W333" s="543" t="s">
        <v>2827</v>
      </c>
      <c r="X333" s="543" t="s">
        <v>1954</v>
      </c>
      <c r="Y333" s="543" t="s">
        <v>109</v>
      </c>
      <c r="Z333" s="543" t="s">
        <v>109</v>
      </c>
      <c r="AA333" s="543" t="s">
        <v>109</v>
      </c>
      <c r="AB333" s="543" t="s">
        <v>2824</v>
      </c>
      <c r="AC333" s="543" t="s">
        <v>1816</v>
      </c>
      <c r="AD333" s="543" t="s">
        <v>1817</v>
      </c>
      <c r="AE333" s="543" t="s">
        <v>1455</v>
      </c>
      <c r="AF333" s="543" t="s">
        <v>34</v>
      </c>
      <c r="AG333" s="543" t="s">
        <v>34</v>
      </c>
      <c r="AH333" s="543" t="s">
        <v>34</v>
      </c>
      <c r="AI333" s="543" t="s">
        <v>34</v>
      </c>
      <c r="AJ333" s="543" t="s">
        <v>34</v>
      </c>
      <c r="AK333" s="543" t="s">
        <v>1818</v>
      </c>
      <c r="AL333" s="543" t="s">
        <v>34</v>
      </c>
      <c r="AM333" s="61" t="s">
        <v>4495</v>
      </c>
      <c r="AN333" s="541">
        <v>0</v>
      </c>
      <c r="AO333" s="541">
        <v>0</v>
      </c>
      <c r="AP333" s="61"/>
      <c r="CG333" t="str">
        <v>CITY OF WICHITA</v>
      </c>
    </row>
    <row r="334" spans="1:85" x14ac:dyDescent="0.2">
      <c r="A334" s="61">
        <v>333</v>
      </c>
      <c r="B334" s="542" t="s">
        <v>1095</v>
      </c>
      <c r="C334" s="543">
        <v>3037</v>
      </c>
      <c r="D334" s="543" t="s">
        <v>3864</v>
      </c>
      <c r="E334" s="543" t="s">
        <v>1760</v>
      </c>
      <c r="F334" s="543" t="s">
        <v>1761</v>
      </c>
      <c r="G334" s="543" t="s">
        <v>34</v>
      </c>
      <c r="H334" s="543" t="s">
        <v>1821</v>
      </c>
      <c r="I334" s="543" t="s">
        <v>5342</v>
      </c>
      <c r="J334" s="543" t="s">
        <v>2089</v>
      </c>
      <c r="K334" s="543" t="s">
        <v>878</v>
      </c>
      <c r="L334" s="543" t="s">
        <v>2874</v>
      </c>
      <c r="M334" s="544">
        <v>82216</v>
      </c>
      <c r="N334" s="543">
        <v>3037</v>
      </c>
      <c r="O334" s="543" t="s">
        <v>5360</v>
      </c>
      <c r="P334" s="543" t="s">
        <v>2868</v>
      </c>
      <c r="Q334" s="543" t="s">
        <v>4553</v>
      </c>
      <c r="R334" s="543" t="s">
        <v>1814</v>
      </c>
      <c r="S334" s="543" t="s">
        <v>2875</v>
      </c>
      <c r="T334" s="543">
        <v>248.9</v>
      </c>
      <c r="U334" s="543" t="s">
        <v>1843</v>
      </c>
      <c r="V334" s="543" t="s">
        <v>3028</v>
      </c>
      <c r="W334" s="543">
        <v>305939</v>
      </c>
      <c r="X334" s="543" t="s">
        <v>4556</v>
      </c>
      <c r="Y334" s="543" t="s">
        <v>5126</v>
      </c>
      <c r="Z334" s="543" t="s">
        <v>5127</v>
      </c>
      <c r="AA334" s="543" t="s">
        <v>4556</v>
      </c>
      <c r="AB334" s="543" t="s">
        <v>34</v>
      </c>
      <c r="AC334" s="543" t="s">
        <v>1816</v>
      </c>
      <c r="AD334" s="543" t="s">
        <v>1817</v>
      </c>
      <c r="AE334" s="543" t="s">
        <v>1455</v>
      </c>
      <c r="AF334" s="543">
        <v>6</v>
      </c>
      <c r="AG334" s="543">
        <v>0.17</v>
      </c>
      <c r="AH334" s="543">
        <v>0.28000000000000003</v>
      </c>
      <c r="AI334" s="543" t="s">
        <v>34</v>
      </c>
      <c r="AJ334" s="543" t="s">
        <v>34</v>
      </c>
      <c r="AK334" s="543" t="s">
        <v>1818</v>
      </c>
      <c r="AL334" s="543" t="s">
        <v>34</v>
      </c>
      <c r="AM334" s="61" t="s">
        <v>4498</v>
      </c>
      <c r="AN334" s="541">
        <v>0</v>
      </c>
      <c r="AO334" s="541">
        <v>0</v>
      </c>
      <c r="AP334" s="61"/>
      <c r="CG334" t="str">
        <v>CLARCOR INDUSTRIAL AIR</v>
      </c>
    </row>
    <row r="335" spans="1:85" x14ac:dyDescent="0.2">
      <c r="A335" s="61">
        <v>334</v>
      </c>
      <c r="B335" s="542" t="s">
        <v>1095</v>
      </c>
      <c r="C335" s="543" t="s">
        <v>1098</v>
      </c>
      <c r="D335" s="543" t="s">
        <v>3865</v>
      </c>
      <c r="E335" s="543" t="s">
        <v>1760</v>
      </c>
      <c r="F335" s="543" t="s">
        <v>1761</v>
      </c>
      <c r="G335" s="543" t="s">
        <v>34</v>
      </c>
      <c r="H335" s="543" t="s">
        <v>1821</v>
      </c>
      <c r="I335" s="543" t="s">
        <v>5342</v>
      </c>
      <c r="J335" s="543" t="s">
        <v>2089</v>
      </c>
      <c r="K335" s="543" t="s">
        <v>878</v>
      </c>
      <c r="L335" s="543" t="s">
        <v>2866</v>
      </c>
      <c r="M335" s="544" t="s">
        <v>2867</v>
      </c>
      <c r="N335" s="543" t="s">
        <v>1098</v>
      </c>
      <c r="O335" s="543" t="s">
        <v>5360</v>
      </c>
      <c r="P335" s="543" t="s">
        <v>2868</v>
      </c>
      <c r="Q335" s="543" t="s">
        <v>4553</v>
      </c>
      <c r="R335" s="543" t="s">
        <v>1814</v>
      </c>
      <c r="S335" s="543" t="s">
        <v>2869</v>
      </c>
      <c r="T335" s="543">
        <v>292.5</v>
      </c>
      <c r="U335" s="543" t="s">
        <v>1844</v>
      </c>
      <c r="V335" s="543" t="s">
        <v>2870</v>
      </c>
      <c r="W335" s="543" t="s">
        <v>2871</v>
      </c>
      <c r="X335" s="543" t="s">
        <v>4556</v>
      </c>
      <c r="Y335" s="543" t="s">
        <v>2872</v>
      </c>
      <c r="Z335" s="543" t="s">
        <v>2873</v>
      </c>
      <c r="AA335" s="543" t="s">
        <v>4556</v>
      </c>
      <c r="AB335" s="543" t="s">
        <v>34</v>
      </c>
      <c r="AC335" s="543" t="s">
        <v>1816</v>
      </c>
      <c r="AD335" s="543" t="s">
        <v>1817</v>
      </c>
      <c r="AE335" s="543" t="s">
        <v>1455</v>
      </c>
      <c r="AF335" s="543" t="s">
        <v>3040</v>
      </c>
      <c r="AG335" s="543" t="s">
        <v>34</v>
      </c>
      <c r="AH335" s="543" t="s">
        <v>34</v>
      </c>
      <c r="AI335" s="543" t="s">
        <v>34</v>
      </c>
      <c r="AJ335" s="543" t="s">
        <v>34</v>
      </c>
      <c r="AK335" s="543" t="s">
        <v>1818</v>
      </c>
      <c r="AL335" s="543" t="s">
        <v>34</v>
      </c>
      <c r="AM335" s="61" t="s">
        <v>4498</v>
      </c>
      <c r="AN335" s="541">
        <v>0</v>
      </c>
      <c r="AO335" s="541">
        <v>0</v>
      </c>
      <c r="AP335" s="61"/>
      <c r="CG335" t="str">
        <v>CLARK MANUFACTURING</v>
      </c>
    </row>
    <row r="336" spans="1:85" x14ac:dyDescent="0.2">
      <c r="A336" s="61">
        <v>335</v>
      </c>
      <c r="B336" s="542" t="s">
        <v>1130</v>
      </c>
      <c r="C336" s="543" t="s">
        <v>1134</v>
      </c>
      <c r="D336" s="543" t="s">
        <v>3866</v>
      </c>
      <c r="E336" s="543" t="s">
        <v>2932</v>
      </c>
      <c r="F336" s="543" t="s">
        <v>1712</v>
      </c>
      <c r="G336" s="543" t="s">
        <v>34</v>
      </c>
      <c r="H336" s="543" t="s">
        <v>1821</v>
      </c>
      <c r="I336" s="543" t="s">
        <v>5342</v>
      </c>
      <c r="J336" s="543" t="s">
        <v>2433</v>
      </c>
      <c r="K336" s="543" t="s">
        <v>2933</v>
      </c>
      <c r="L336" s="543" t="s">
        <v>2934</v>
      </c>
      <c r="M336" s="544" t="s">
        <v>2935</v>
      </c>
      <c r="N336" s="543" t="s">
        <v>1134</v>
      </c>
      <c r="O336" s="543" t="s">
        <v>665</v>
      </c>
      <c r="P336" s="543" t="s">
        <v>2936</v>
      </c>
      <c r="Q336" s="543" t="s">
        <v>1897</v>
      </c>
      <c r="R336" s="543" t="s">
        <v>1988</v>
      </c>
      <c r="S336" s="543" t="s">
        <v>2937</v>
      </c>
      <c r="T336" s="543">
        <v>840</v>
      </c>
      <c r="U336" s="543" t="s">
        <v>1843</v>
      </c>
      <c r="V336" s="543" t="s">
        <v>2812</v>
      </c>
      <c r="W336" s="543" t="s">
        <v>2938</v>
      </c>
      <c r="X336" s="543" t="s">
        <v>1815</v>
      </c>
      <c r="Y336" s="543" t="s">
        <v>2487</v>
      </c>
      <c r="Z336" s="543" t="s">
        <v>2939</v>
      </c>
      <c r="AA336" s="543" t="s">
        <v>1815</v>
      </c>
      <c r="AB336" s="543" t="s">
        <v>34</v>
      </c>
      <c r="AC336" s="543" t="s">
        <v>1816</v>
      </c>
      <c r="AD336" s="543" t="s">
        <v>1817</v>
      </c>
      <c r="AE336" s="543" t="s">
        <v>1455</v>
      </c>
      <c r="AF336" s="543" t="s">
        <v>4093</v>
      </c>
      <c r="AG336" s="543">
        <v>1</v>
      </c>
      <c r="AH336" s="543">
        <v>1</v>
      </c>
      <c r="AI336" s="543" t="s">
        <v>4094</v>
      </c>
      <c r="AJ336" s="543" t="s">
        <v>34</v>
      </c>
      <c r="AK336" s="543" t="s">
        <v>1818</v>
      </c>
      <c r="AL336" s="543" t="s">
        <v>34</v>
      </c>
      <c r="AM336" s="61" t="s">
        <v>4497</v>
      </c>
      <c r="AN336" s="541">
        <v>0</v>
      </c>
      <c r="AO336" s="541">
        <v>0</v>
      </c>
      <c r="AP336" s="61"/>
      <c r="CG336" t="str">
        <v>CLAUDE MANN &amp; ASSOCIATES</v>
      </c>
    </row>
    <row r="337" spans="1:85" x14ac:dyDescent="0.2">
      <c r="A337" s="61">
        <v>336</v>
      </c>
      <c r="B337" s="542" t="s">
        <v>1130</v>
      </c>
      <c r="C337" s="543" t="s">
        <v>1557</v>
      </c>
      <c r="D337" s="543" t="s">
        <v>3867</v>
      </c>
      <c r="E337" s="543" t="s">
        <v>2932</v>
      </c>
      <c r="F337" s="543" t="s">
        <v>1712</v>
      </c>
      <c r="G337" s="543" t="s">
        <v>34</v>
      </c>
      <c r="H337" s="543" t="s">
        <v>1821</v>
      </c>
      <c r="I337" s="543" t="s">
        <v>5342</v>
      </c>
      <c r="J337" s="543" t="s">
        <v>2433</v>
      </c>
      <c r="K337" s="543" t="s">
        <v>2933</v>
      </c>
      <c r="L337" s="543" t="s">
        <v>2136</v>
      </c>
      <c r="M337" s="544" t="s">
        <v>2945</v>
      </c>
      <c r="N337" s="543" t="s">
        <v>2946</v>
      </c>
      <c r="O337" s="543" t="s">
        <v>665</v>
      </c>
      <c r="P337" s="543" t="s">
        <v>2891</v>
      </c>
      <c r="Q337" s="543" t="s">
        <v>1897</v>
      </c>
      <c r="R337" s="543" t="s">
        <v>1979</v>
      </c>
      <c r="S337" s="543" t="s">
        <v>2947</v>
      </c>
      <c r="T337" s="543">
        <v>1481</v>
      </c>
      <c r="U337" s="543" t="s">
        <v>1843</v>
      </c>
      <c r="V337" s="543" t="s">
        <v>2948</v>
      </c>
      <c r="W337" s="543" t="s">
        <v>2949</v>
      </c>
      <c r="X337" s="543" t="s">
        <v>1974</v>
      </c>
      <c r="Y337" s="543" t="s">
        <v>109</v>
      </c>
      <c r="Z337" s="543" t="s">
        <v>109</v>
      </c>
      <c r="AA337" s="543" t="s">
        <v>109</v>
      </c>
      <c r="AB337" s="543" t="s">
        <v>2950</v>
      </c>
      <c r="AC337" s="543" t="s">
        <v>1816</v>
      </c>
      <c r="AD337" s="543" t="s">
        <v>1817</v>
      </c>
      <c r="AE337" s="543" t="s">
        <v>1455</v>
      </c>
      <c r="AF337" s="543" t="s">
        <v>34</v>
      </c>
      <c r="AG337" s="543" t="s">
        <v>34</v>
      </c>
      <c r="AH337" s="543" t="s">
        <v>34</v>
      </c>
      <c r="AI337" s="543" t="s">
        <v>34</v>
      </c>
      <c r="AJ337" s="543" t="s">
        <v>34</v>
      </c>
      <c r="AK337" s="543" t="s">
        <v>1818</v>
      </c>
      <c r="AL337" s="543" t="s">
        <v>34</v>
      </c>
      <c r="AM337" s="61" t="s">
        <v>4497</v>
      </c>
      <c r="AN337" s="541">
        <v>0</v>
      </c>
      <c r="AO337" s="541">
        <v>0</v>
      </c>
      <c r="AP337" s="61"/>
      <c r="CG337" t="str">
        <v>CLEARWATER ENGINEERING</v>
      </c>
    </row>
    <row r="338" spans="1:85" x14ac:dyDescent="0.2">
      <c r="A338" s="61">
        <v>337</v>
      </c>
      <c r="B338" s="542" t="s">
        <v>1130</v>
      </c>
      <c r="C338" s="543" t="s">
        <v>1132</v>
      </c>
      <c r="D338" s="543" t="s">
        <v>3868</v>
      </c>
      <c r="E338" s="543" t="s">
        <v>2932</v>
      </c>
      <c r="F338" s="543" t="s">
        <v>1712</v>
      </c>
      <c r="G338" s="543" t="s">
        <v>34</v>
      </c>
      <c r="H338" s="543" t="s">
        <v>1821</v>
      </c>
      <c r="I338" s="543" t="s">
        <v>5342</v>
      </c>
      <c r="J338" s="543" t="s">
        <v>2089</v>
      </c>
      <c r="K338" s="543" t="s">
        <v>878</v>
      </c>
      <c r="L338" s="543" t="s">
        <v>2940</v>
      </c>
      <c r="M338" s="544">
        <v>92063</v>
      </c>
      <c r="N338" s="543" t="s">
        <v>1132</v>
      </c>
      <c r="O338" s="543" t="s">
        <v>665</v>
      </c>
      <c r="P338" s="543" t="s">
        <v>2936</v>
      </c>
      <c r="Q338" s="543" t="s">
        <v>4553</v>
      </c>
      <c r="R338" s="543" t="s">
        <v>1979</v>
      </c>
      <c r="S338" s="543" t="s">
        <v>2941</v>
      </c>
      <c r="T338" s="543">
        <v>742.5</v>
      </c>
      <c r="U338" s="543" t="s">
        <v>1844</v>
      </c>
      <c r="V338" s="543" t="s">
        <v>2942</v>
      </c>
      <c r="W338" s="543" t="s">
        <v>2943</v>
      </c>
      <c r="X338" s="543" t="s">
        <v>4556</v>
      </c>
      <c r="Y338" s="543" t="s">
        <v>2487</v>
      </c>
      <c r="Z338" s="543" t="s">
        <v>2944</v>
      </c>
      <c r="AA338" s="543" t="s">
        <v>4556</v>
      </c>
      <c r="AB338" s="543" t="s">
        <v>34</v>
      </c>
      <c r="AC338" s="543" t="s">
        <v>1816</v>
      </c>
      <c r="AD338" s="543" t="s">
        <v>1817</v>
      </c>
      <c r="AE338" s="543" t="s">
        <v>1455</v>
      </c>
      <c r="AF338" s="543">
        <v>5</v>
      </c>
      <c r="AG338" s="543">
        <v>5</v>
      </c>
      <c r="AH338" s="543">
        <v>0</v>
      </c>
      <c r="AI338" s="543">
        <v>30</v>
      </c>
      <c r="AJ338" s="543" t="s">
        <v>34</v>
      </c>
      <c r="AK338" s="543" t="s">
        <v>1818</v>
      </c>
      <c r="AL338" s="543" t="s">
        <v>34</v>
      </c>
      <c r="AM338" s="61" t="s">
        <v>4497</v>
      </c>
      <c r="AN338" s="541">
        <v>0</v>
      </c>
      <c r="AO338" s="541">
        <v>0</v>
      </c>
      <c r="AP338" s="61"/>
      <c r="CG338" t="str">
        <v>CLEMENS AVIATION</v>
      </c>
    </row>
    <row r="339" spans="1:85" x14ac:dyDescent="0.2">
      <c r="A339" s="61">
        <v>338</v>
      </c>
      <c r="B339" s="542" t="s">
        <v>1100</v>
      </c>
      <c r="C339" s="543" t="s">
        <v>1103</v>
      </c>
      <c r="D339" s="543" t="s">
        <v>3869</v>
      </c>
      <c r="E339" s="543" t="s">
        <v>1762</v>
      </c>
      <c r="F339" s="543" t="s">
        <v>1697</v>
      </c>
      <c r="G339" s="543" t="s">
        <v>34</v>
      </c>
      <c r="H339" s="543" t="s">
        <v>1821</v>
      </c>
      <c r="I339" s="543" t="s">
        <v>5342</v>
      </c>
      <c r="J339" s="543" t="s">
        <v>2433</v>
      </c>
      <c r="K339" s="543" t="s">
        <v>875</v>
      </c>
      <c r="L339" s="543" t="s">
        <v>2880</v>
      </c>
      <c r="M339" s="544" t="s">
        <v>1103</v>
      </c>
      <c r="N339" s="543" t="s">
        <v>1103</v>
      </c>
      <c r="O339" s="543" t="s">
        <v>665</v>
      </c>
      <c r="P339" s="543" t="s">
        <v>2604</v>
      </c>
      <c r="Q339" s="543" t="s">
        <v>1897</v>
      </c>
      <c r="R339" s="543" t="s">
        <v>1878</v>
      </c>
      <c r="S339" s="543" t="s">
        <v>2881</v>
      </c>
      <c r="T339" s="543">
        <v>0.3</v>
      </c>
      <c r="U339" s="543" t="s">
        <v>1642</v>
      </c>
      <c r="V339" s="543" t="s">
        <v>2882</v>
      </c>
      <c r="W339" s="543" t="s">
        <v>2883</v>
      </c>
      <c r="X339" s="543" t="s">
        <v>4127</v>
      </c>
      <c r="Y339" s="543" t="s">
        <v>109</v>
      </c>
      <c r="Z339" s="543" t="s">
        <v>109</v>
      </c>
      <c r="AA339" s="543" t="s">
        <v>109</v>
      </c>
      <c r="AB339" s="543" t="s">
        <v>4950</v>
      </c>
      <c r="AC339" s="543" t="s">
        <v>1816</v>
      </c>
      <c r="AD339" s="543" t="s">
        <v>1817</v>
      </c>
      <c r="AE339" s="543" t="s">
        <v>1455</v>
      </c>
      <c r="AF339" s="543" t="s">
        <v>3040</v>
      </c>
      <c r="AG339" s="543" t="s">
        <v>34</v>
      </c>
      <c r="AH339" s="543" t="s">
        <v>34</v>
      </c>
      <c r="AI339" s="543" t="s">
        <v>34</v>
      </c>
      <c r="AJ339" s="543" t="s">
        <v>34</v>
      </c>
      <c r="AK339" s="543" t="s">
        <v>1818</v>
      </c>
      <c r="AL339" s="543" t="s">
        <v>34</v>
      </c>
      <c r="AM339" s="61" t="s">
        <v>4515</v>
      </c>
      <c r="AN339" s="541">
        <v>0</v>
      </c>
      <c r="AO339" s="541">
        <v>0</v>
      </c>
      <c r="AP339" s="61"/>
      <c r="CG339" t="str">
        <v>CM MANUFACTURING, INC.</v>
      </c>
    </row>
    <row r="340" spans="1:85" x14ac:dyDescent="0.2">
      <c r="A340" s="61">
        <v>339</v>
      </c>
      <c r="B340" s="542" t="s">
        <v>1100</v>
      </c>
      <c r="C340" s="543" t="s">
        <v>1128</v>
      </c>
      <c r="D340" s="543" t="s">
        <v>3870</v>
      </c>
      <c r="E340" s="543" t="s">
        <v>1762</v>
      </c>
      <c r="F340" s="543" t="s">
        <v>1697</v>
      </c>
      <c r="G340" s="543" t="s">
        <v>34</v>
      </c>
      <c r="H340" s="543" t="s">
        <v>1821</v>
      </c>
      <c r="I340" s="543" t="s">
        <v>5342</v>
      </c>
      <c r="J340" s="543" t="s">
        <v>2089</v>
      </c>
      <c r="K340" s="543" t="s">
        <v>875</v>
      </c>
      <c r="L340" s="543" t="s">
        <v>2876</v>
      </c>
      <c r="M340" s="544" t="s">
        <v>2877</v>
      </c>
      <c r="N340" s="543" t="s">
        <v>1128</v>
      </c>
      <c r="O340" s="543" t="s">
        <v>665</v>
      </c>
      <c r="P340" s="543" t="s">
        <v>2152</v>
      </c>
      <c r="Q340" s="543" t="s">
        <v>1897</v>
      </c>
      <c r="R340" s="543" t="s">
        <v>1988</v>
      </c>
      <c r="S340" s="543" t="s">
        <v>2878</v>
      </c>
      <c r="T340" s="543">
        <v>120</v>
      </c>
      <c r="U340" s="543" t="s">
        <v>1843</v>
      </c>
      <c r="V340" s="543" t="s">
        <v>5128</v>
      </c>
      <c r="W340" s="543" t="s">
        <v>5129</v>
      </c>
      <c r="X340" s="543" t="s">
        <v>1815</v>
      </c>
      <c r="Y340" s="543" t="s">
        <v>5128</v>
      </c>
      <c r="Z340" s="543" t="s">
        <v>5129</v>
      </c>
      <c r="AA340" s="543" t="s">
        <v>109</v>
      </c>
      <c r="AB340" s="543" t="s">
        <v>34</v>
      </c>
      <c r="AC340" s="543" t="s">
        <v>1816</v>
      </c>
      <c r="AD340" s="543" t="s">
        <v>1817</v>
      </c>
      <c r="AE340" s="543" t="s">
        <v>1455</v>
      </c>
      <c r="AF340" s="543" t="s">
        <v>3569</v>
      </c>
      <c r="AG340" s="543">
        <v>0.5</v>
      </c>
      <c r="AH340" s="543">
        <v>0.75</v>
      </c>
      <c r="AI340" s="543" t="s">
        <v>34</v>
      </c>
      <c r="AJ340" s="543" t="s">
        <v>34</v>
      </c>
      <c r="AK340" s="543" t="s">
        <v>1818</v>
      </c>
      <c r="AL340" s="543" t="s">
        <v>34</v>
      </c>
      <c r="AM340" s="61" t="s">
        <v>4495</v>
      </c>
      <c r="AN340" s="541"/>
      <c r="AO340" s="541"/>
      <c r="AP340" s="61"/>
      <c r="CG340" t="str">
        <v>CMJ MANUFACTURING</v>
      </c>
    </row>
    <row r="341" spans="1:85" x14ac:dyDescent="0.2">
      <c r="A341" s="61">
        <v>340</v>
      </c>
      <c r="B341" s="542" t="s">
        <v>1100</v>
      </c>
      <c r="C341" s="543" t="s">
        <v>4623</v>
      </c>
      <c r="D341" s="543" t="s">
        <v>4624</v>
      </c>
      <c r="E341" s="543" t="s">
        <v>1762</v>
      </c>
      <c r="F341" s="543" t="s">
        <v>1697</v>
      </c>
      <c r="G341" s="543" t="s">
        <v>34</v>
      </c>
      <c r="H341" s="543" t="s">
        <v>1821</v>
      </c>
      <c r="I341" s="543" t="s">
        <v>5342</v>
      </c>
      <c r="J341" s="543" t="s">
        <v>2089</v>
      </c>
      <c r="K341" s="543" t="s">
        <v>875</v>
      </c>
      <c r="L341" s="543" t="s">
        <v>4625</v>
      </c>
      <c r="M341" s="544" t="s">
        <v>4626</v>
      </c>
      <c r="N341" s="543" t="s">
        <v>4623</v>
      </c>
      <c r="O341" s="543" t="s">
        <v>665</v>
      </c>
      <c r="P341" s="543" t="s">
        <v>2152</v>
      </c>
      <c r="Q341" s="543" t="s">
        <v>1897</v>
      </c>
      <c r="R341" s="543" t="s">
        <v>4189</v>
      </c>
      <c r="S341" s="543" t="s">
        <v>4627</v>
      </c>
      <c r="T341" s="543">
        <v>395</v>
      </c>
      <c r="U341" s="543" t="s">
        <v>1843</v>
      </c>
      <c r="V341" s="543" t="s">
        <v>4834</v>
      </c>
      <c r="W341" s="543" t="s">
        <v>4835</v>
      </c>
      <c r="X341" s="543" t="s">
        <v>1815</v>
      </c>
      <c r="Y341" s="543" t="s">
        <v>4834</v>
      </c>
      <c r="Z341" s="543" t="s">
        <v>4835</v>
      </c>
      <c r="AA341" s="543" t="s">
        <v>1815</v>
      </c>
      <c r="AB341" s="543" t="s">
        <v>34</v>
      </c>
      <c r="AC341" s="543" t="s">
        <v>1816</v>
      </c>
      <c r="AD341" s="543" t="s">
        <v>1817</v>
      </c>
      <c r="AE341" s="543" t="s">
        <v>1455</v>
      </c>
      <c r="AF341" s="543">
        <v>21.5</v>
      </c>
      <c r="AG341" s="543">
        <v>230</v>
      </c>
      <c r="AH341" s="543" t="s">
        <v>4836</v>
      </c>
      <c r="AI341" s="543" t="s">
        <v>4837</v>
      </c>
      <c r="AJ341" s="543" t="s">
        <v>4838</v>
      </c>
      <c r="AK341" s="543" t="s">
        <v>1818</v>
      </c>
      <c r="AL341" s="543" t="s">
        <v>34</v>
      </c>
      <c r="AM341" s="61" t="s">
        <v>4495</v>
      </c>
      <c r="AN341" s="541">
        <v>0</v>
      </c>
      <c r="AO341" s="541">
        <v>0</v>
      </c>
      <c r="AP341" s="61"/>
      <c r="CG341" t="str">
        <v>CMT INC</v>
      </c>
    </row>
    <row r="342" spans="1:85" x14ac:dyDescent="0.2">
      <c r="A342" s="61">
        <v>341</v>
      </c>
      <c r="B342" s="542" t="s">
        <v>1100</v>
      </c>
      <c r="C342" s="543" t="s">
        <v>1105</v>
      </c>
      <c r="D342" s="543" t="s">
        <v>3871</v>
      </c>
      <c r="E342" s="543" t="s">
        <v>1762</v>
      </c>
      <c r="F342" s="543" t="s">
        <v>1697</v>
      </c>
      <c r="G342" s="543" t="s">
        <v>34</v>
      </c>
      <c r="H342" s="543" t="s">
        <v>1821</v>
      </c>
      <c r="I342" s="543" t="s">
        <v>5342</v>
      </c>
      <c r="J342" s="543" t="s">
        <v>2089</v>
      </c>
      <c r="K342" s="543" t="s">
        <v>875</v>
      </c>
      <c r="L342" s="543" t="s">
        <v>2884</v>
      </c>
      <c r="M342" s="544" t="s">
        <v>2885</v>
      </c>
      <c r="N342" s="543" t="s">
        <v>1105</v>
      </c>
      <c r="O342" s="543" t="s">
        <v>665</v>
      </c>
      <c r="P342" s="543" t="s">
        <v>2886</v>
      </c>
      <c r="Q342" s="543" t="s">
        <v>4568</v>
      </c>
      <c r="R342" s="543" t="s">
        <v>1814</v>
      </c>
      <c r="S342" s="543" t="s">
        <v>2887</v>
      </c>
      <c r="T342" s="543">
        <v>4.5999999999999996</v>
      </c>
      <c r="U342" s="543" t="s">
        <v>1843</v>
      </c>
      <c r="V342" s="543" t="s">
        <v>4810</v>
      </c>
      <c r="W342" s="543" t="s">
        <v>4811</v>
      </c>
      <c r="X342" s="543" t="s">
        <v>4556</v>
      </c>
      <c r="Y342" s="543" t="s">
        <v>4923</v>
      </c>
      <c r="Z342" s="543" t="s">
        <v>5063</v>
      </c>
      <c r="AA342" s="543" t="s">
        <v>4556</v>
      </c>
      <c r="AB342" s="543" t="s">
        <v>34</v>
      </c>
      <c r="AC342" s="543" t="s">
        <v>1816</v>
      </c>
      <c r="AD342" s="543" t="s">
        <v>1817</v>
      </c>
      <c r="AE342" s="543" t="s">
        <v>1455</v>
      </c>
      <c r="AF342" s="543">
        <v>10</v>
      </c>
      <c r="AG342" s="543">
        <v>1</v>
      </c>
      <c r="AH342" s="543">
        <v>0.1</v>
      </c>
      <c r="AI342" s="543" t="s">
        <v>3633</v>
      </c>
      <c r="AJ342" s="543" t="s">
        <v>3611</v>
      </c>
      <c r="AK342" s="543" t="s">
        <v>1818</v>
      </c>
      <c r="AL342" s="543" t="s">
        <v>34</v>
      </c>
      <c r="AM342" s="61" t="s">
        <v>4495</v>
      </c>
      <c r="AN342" s="541">
        <v>0</v>
      </c>
      <c r="AO342" s="541">
        <v>0</v>
      </c>
      <c r="AP342" s="61"/>
      <c r="CG342" t="str">
        <v>CMTSE PRODUCT SPECIALIST</v>
      </c>
    </row>
    <row r="343" spans="1:85" x14ac:dyDescent="0.2">
      <c r="A343" s="61">
        <v>342</v>
      </c>
      <c r="B343" s="542" t="s">
        <v>1100</v>
      </c>
      <c r="C343" s="543" t="s">
        <v>1108</v>
      </c>
      <c r="D343" s="543" t="s">
        <v>3872</v>
      </c>
      <c r="E343" s="543" t="s">
        <v>1762</v>
      </c>
      <c r="F343" s="543" t="s">
        <v>1697</v>
      </c>
      <c r="G343" s="543" t="s">
        <v>34</v>
      </c>
      <c r="H343" s="543" t="s">
        <v>1821</v>
      </c>
      <c r="I343" s="543" t="s">
        <v>5342</v>
      </c>
      <c r="J343" s="543" t="s">
        <v>2089</v>
      </c>
      <c r="K343" s="543" t="s">
        <v>875</v>
      </c>
      <c r="L343" s="543" t="s">
        <v>2888</v>
      </c>
      <c r="M343" s="544">
        <v>54064</v>
      </c>
      <c r="N343" s="543" t="s">
        <v>1108</v>
      </c>
      <c r="O343" s="543" t="s">
        <v>665</v>
      </c>
      <c r="P343" s="543" t="s">
        <v>2889</v>
      </c>
      <c r="Q343" s="543" t="s">
        <v>4553</v>
      </c>
      <c r="R343" s="543" t="s">
        <v>1814</v>
      </c>
      <c r="S343" s="543" t="s">
        <v>2890</v>
      </c>
      <c r="T343" s="543">
        <v>5.3</v>
      </c>
      <c r="U343" s="543" t="s">
        <v>1844</v>
      </c>
      <c r="V343" s="543" t="s">
        <v>5046</v>
      </c>
      <c r="W343" s="543" t="s">
        <v>5047</v>
      </c>
      <c r="X343" s="543" t="s">
        <v>4556</v>
      </c>
      <c r="Y343" s="543" t="s">
        <v>109</v>
      </c>
      <c r="Z343" s="543" t="s">
        <v>109</v>
      </c>
      <c r="AA343" s="543" t="s">
        <v>109</v>
      </c>
      <c r="AB343" s="543" t="s">
        <v>34</v>
      </c>
      <c r="AC343" s="543" t="s">
        <v>1816</v>
      </c>
      <c r="AD343" s="543" t="s">
        <v>1817</v>
      </c>
      <c r="AE343" s="543" t="s">
        <v>1455</v>
      </c>
      <c r="AF343" s="543">
        <v>20</v>
      </c>
      <c r="AG343" s="543">
        <v>360</v>
      </c>
      <c r="AH343" s="543">
        <v>60</v>
      </c>
      <c r="AI343" s="543" t="s">
        <v>34</v>
      </c>
      <c r="AJ343" s="543" t="s">
        <v>34</v>
      </c>
      <c r="AK343" s="543" t="s">
        <v>1818</v>
      </c>
      <c r="AL343" s="543" t="s">
        <v>34</v>
      </c>
      <c r="AM343" s="61" t="s">
        <v>4495</v>
      </c>
      <c r="AN343" s="541">
        <v>0</v>
      </c>
      <c r="AO343" s="541">
        <v>0</v>
      </c>
      <c r="AP343" s="61"/>
      <c r="CG343" t="str">
        <v>CMW INTERNATIONAL INC.</v>
      </c>
    </row>
    <row r="344" spans="1:85" x14ac:dyDescent="0.2">
      <c r="A344" s="61">
        <v>343</v>
      </c>
      <c r="B344" s="542" t="s">
        <v>1100</v>
      </c>
      <c r="C344" s="543" t="s">
        <v>1110</v>
      </c>
      <c r="D344" s="543" t="s">
        <v>3873</v>
      </c>
      <c r="E344" s="543" t="s">
        <v>1762</v>
      </c>
      <c r="F344" s="543" t="s">
        <v>1697</v>
      </c>
      <c r="G344" s="543" t="s">
        <v>34</v>
      </c>
      <c r="H344" s="543" t="s">
        <v>1821</v>
      </c>
      <c r="I344" s="543" t="s">
        <v>5342</v>
      </c>
      <c r="J344" s="543" t="s">
        <v>2433</v>
      </c>
      <c r="K344" s="543" t="s">
        <v>875</v>
      </c>
      <c r="L344" s="543" t="s">
        <v>2832</v>
      </c>
      <c r="M344" s="544" t="s">
        <v>2905</v>
      </c>
      <c r="N344" s="543" t="s">
        <v>1110</v>
      </c>
      <c r="O344" s="543" t="s">
        <v>665</v>
      </c>
      <c r="P344" s="543" t="s">
        <v>2215</v>
      </c>
      <c r="Q344" s="543" t="s">
        <v>1897</v>
      </c>
      <c r="R344" s="543" t="s">
        <v>1878</v>
      </c>
      <c r="S344" s="543" t="s">
        <v>2906</v>
      </c>
      <c r="T344" s="543">
        <v>232.9</v>
      </c>
      <c r="U344" s="543" t="s">
        <v>1843</v>
      </c>
      <c r="V344" s="543" t="s">
        <v>2907</v>
      </c>
      <c r="W344" s="543" t="s">
        <v>2908</v>
      </c>
      <c r="X344" s="543" t="s">
        <v>1815</v>
      </c>
      <c r="Y344" s="543" t="s">
        <v>2327</v>
      </c>
      <c r="Z344" s="543" t="s">
        <v>2909</v>
      </c>
      <c r="AA344" s="543" t="s">
        <v>1815</v>
      </c>
      <c r="AB344" s="543" t="s">
        <v>34</v>
      </c>
      <c r="AC344" s="543" t="s">
        <v>1816</v>
      </c>
      <c r="AD344" s="543" t="s">
        <v>1817</v>
      </c>
      <c r="AE344" s="543" t="s">
        <v>1455</v>
      </c>
      <c r="AF344" s="543">
        <v>1.3</v>
      </c>
      <c r="AG344" s="543">
        <v>1.08</v>
      </c>
      <c r="AH344" s="543">
        <v>0.17</v>
      </c>
      <c r="AI344" s="543" t="s">
        <v>3608</v>
      </c>
      <c r="AJ344" s="543" t="s">
        <v>3636</v>
      </c>
      <c r="AK344" s="543" t="s">
        <v>1818</v>
      </c>
      <c r="AL344" s="543" t="s">
        <v>34</v>
      </c>
      <c r="AM344" s="61" t="s">
        <v>4495</v>
      </c>
      <c r="AN344" s="541">
        <v>0</v>
      </c>
      <c r="AO344" s="541">
        <v>0</v>
      </c>
      <c r="AP344" s="61"/>
      <c r="CG344" t="str">
        <v>CNC SPECIALTIES</v>
      </c>
    </row>
    <row r="345" spans="1:85" x14ac:dyDescent="0.2">
      <c r="A345" s="61">
        <v>344</v>
      </c>
      <c r="B345" s="542" t="s">
        <v>1100</v>
      </c>
      <c r="C345" s="543" t="s">
        <v>1112</v>
      </c>
      <c r="D345" s="543" t="s">
        <v>3874</v>
      </c>
      <c r="E345" s="543" t="s">
        <v>1762</v>
      </c>
      <c r="F345" s="543" t="s">
        <v>1697</v>
      </c>
      <c r="G345" s="543" t="s">
        <v>34</v>
      </c>
      <c r="H345" s="543" t="s">
        <v>1821</v>
      </c>
      <c r="I345" s="543" t="s">
        <v>5342</v>
      </c>
      <c r="J345" s="543" t="s">
        <v>2433</v>
      </c>
      <c r="K345" s="543" t="s">
        <v>875</v>
      </c>
      <c r="L345" s="543" t="s">
        <v>2910</v>
      </c>
      <c r="M345" s="544" t="s">
        <v>2911</v>
      </c>
      <c r="N345" s="543" t="s">
        <v>1112</v>
      </c>
      <c r="O345" s="543" t="s">
        <v>665</v>
      </c>
      <c r="P345" s="543" t="s">
        <v>2215</v>
      </c>
      <c r="Q345" s="543" t="s">
        <v>1897</v>
      </c>
      <c r="R345" s="543" t="s">
        <v>1878</v>
      </c>
      <c r="S345" s="543" t="s">
        <v>2912</v>
      </c>
      <c r="T345" s="543">
        <v>8.25</v>
      </c>
      <c r="U345" s="543" t="s">
        <v>1843</v>
      </c>
      <c r="V345" s="543" t="s">
        <v>2913</v>
      </c>
      <c r="W345" s="543" t="s">
        <v>2914</v>
      </c>
      <c r="X345" s="543" t="s">
        <v>1815</v>
      </c>
      <c r="Y345" s="543" t="s">
        <v>2327</v>
      </c>
      <c r="Z345" s="543" t="s">
        <v>2915</v>
      </c>
      <c r="AA345" s="543" t="s">
        <v>1815</v>
      </c>
      <c r="AB345" s="543" t="s">
        <v>34</v>
      </c>
      <c r="AC345" s="543" t="s">
        <v>1816</v>
      </c>
      <c r="AD345" s="543" t="s">
        <v>1817</v>
      </c>
      <c r="AE345" s="543" t="s">
        <v>1455</v>
      </c>
      <c r="AF345" s="543">
        <v>5</v>
      </c>
      <c r="AG345" s="543">
        <v>2</v>
      </c>
      <c r="AH345" s="543">
        <v>0.1</v>
      </c>
      <c r="AI345" s="543" t="s">
        <v>3633</v>
      </c>
      <c r="AJ345" s="543" t="s">
        <v>3637</v>
      </c>
      <c r="AK345" s="543" t="s">
        <v>1818</v>
      </c>
      <c r="AL345" s="543" t="s">
        <v>34</v>
      </c>
      <c r="AM345" s="61" t="s">
        <v>4495</v>
      </c>
      <c r="AN345" s="541">
        <v>0</v>
      </c>
      <c r="AO345" s="541">
        <v>0</v>
      </c>
      <c r="AP345" s="61"/>
      <c r="CG345" t="str">
        <v>CNH AMERICA L.L.C. - CALIBRATION LAB</v>
      </c>
    </row>
    <row r="346" spans="1:85" x14ac:dyDescent="0.2">
      <c r="A346" s="61">
        <v>345</v>
      </c>
      <c r="B346" s="542" t="s">
        <v>1100</v>
      </c>
      <c r="C346" s="543" t="s">
        <v>1118</v>
      </c>
      <c r="D346" s="543" t="s">
        <v>3875</v>
      </c>
      <c r="E346" s="543" t="s">
        <v>1762</v>
      </c>
      <c r="F346" s="543" t="s">
        <v>1697</v>
      </c>
      <c r="G346" s="543" t="s">
        <v>34</v>
      </c>
      <c r="H346" s="543" t="s">
        <v>1821</v>
      </c>
      <c r="I346" s="543" t="s">
        <v>5342</v>
      </c>
      <c r="J346" s="543" t="s">
        <v>2433</v>
      </c>
      <c r="K346" s="543" t="s">
        <v>2925</v>
      </c>
      <c r="L346" s="543" t="s">
        <v>2926</v>
      </c>
      <c r="M346" s="544" t="s">
        <v>2927</v>
      </c>
      <c r="N346" s="543" t="s">
        <v>1118</v>
      </c>
      <c r="O346" s="543" t="s">
        <v>665</v>
      </c>
      <c r="P346" s="543" t="s">
        <v>2152</v>
      </c>
      <c r="Q346" s="543" t="s">
        <v>1813</v>
      </c>
      <c r="R346" s="543" t="s">
        <v>1878</v>
      </c>
      <c r="S346" s="543" t="s">
        <v>2928</v>
      </c>
      <c r="T346" s="543">
        <v>10.4</v>
      </c>
      <c r="U346" s="543" t="s">
        <v>1843</v>
      </c>
      <c r="V346" s="543" t="s">
        <v>2929</v>
      </c>
      <c r="W346" s="543" t="s">
        <v>2930</v>
      </c>
      <c r="X346" s="543" t="s">
        <v>1815</v>
      </c>
      <c r="Y346" s="543" t="s">
        <v>2931</v>
      </c>
      <c r="Z346" s="543">
        <v>7961820</v>
      </c>
      <c r="AA346" s="543" t="s">
        <v>1951</v>
      </c>
      <c r="AB346" s="543" t="s">
        <v>1885</v>
      </c>
      <c r="AC346" s="543" t="s">
        <v>1816</v>
      </c>
      <c r="AD346" s="543" t="s">
        <v>1817</v>
      </c>
      <c r="AE346" s="543" t="s">
        <v>1455</v>
      </c>
      <c r="AF346" s="543" t="s">
        <v>3040</v>
      </c>
      <c r="AG346" s="543" t="s">
        <v>34</v>
      </c>
      <c r="AH346" s="543" t="s">
        <v>34</v>
      </c>
      <c r="AI346" s="543" t="s">
        <v>34</v>
      </c>
      <c r="AJ346" s="543" t="s">
        <v>34</v>
      </c>
      <c r="AK346" s="543" t="s">
        <v>1818</v>
      </c>
      <c r="AL346" s="543" t="s">
        <v>34</v>
      </c>
      <c r="AM346" s="61" t="s">
        <v>4496</v>
      </c>
      <c r="AN346" s="541">
        <v>0</v>
      </c>
      <c r="AO346" s="541">
        <v>0</v>
      </c>
      <c r="AP346" s="61"/>
      <c r="CG346" t="str">
        <v>CNH AMERICA L.L.C. - ENG. TEST LAB</v>
      </c>
    </row>
    <row r="347" spans="1:85" x14ac:dyDescent="0.2">
      <c r="A347" s="61">
        <v>346</v>
      </c>
      <c r="B347" s="542" t="s">
        <v>1100</v>
      </c>
      <c r="C347" s="543" t="s">
        <v>1114</v>
      </c>
      <c r="D347" s="543" t="s">
        <v>3876</v>
      </c>
      <c r="E347" s="543" t="s">
        <v>1762</v>
      </c>
      <c r="F347" s="543" t="s">
        <v>1697</v>
      </c>
      <c r="G347" s="543" t="s">
        <v>34</v>
      </c>
      <c r="H347" s="543" t="s">
        <v>1821</v>
      </c>
      <c r="I347" s="543" t="s">
        <v>5342</v>
      </c>
      <c r="J347" s="543" t="s">
        <v>2433</v>
      </c>
      <c r="K347" s="543" t="s">
        <v>1825</v>
      </c>
      <c r="L347" s="543" t="s">
        <v>2916</v>
      </c>
      <c r="M347" s="544">
        <v>87914</v>
      </c>
      <c r="N347" s="543" t="s">
        <v>1114</v>
      </c>
      <c r="O347" s="543" t="s">
        <v>665</v>
      </c>
      <c r="P347" s="543" t="s">
        <v>2917</v>
      </c>
      <c r="Q347" s="543" t="s">
        <v>1897</v>
      </c>
      <c r="R347" s="543" t="s">
        <v>1878</v>
      </c>
      <c r="S347" s="543" t="s">
        <v>2918</v>
      </c>
      <c r="T347" s="543">
        <v>42.7</v>
      </c>
      <c r="U347" s="543" t="s">
        <v>1844</v>
      </c>
      <c r="V347" s="543" t="s">
        <v>2919</v>
      </c>
      <c r="W347" s="543">
        <v>97.39</v>
      </c>
      <c r="X347" s="543" t="s">
        <v>1815</v>
      </c>
      <c r="Y347" s="543" t="s">
        <v>2327</v>
      </c>
      <c r="Z347" s="543" t="s">
        <v>2920</v>
      </c>
      <c r="AA347" s="543" t="s">
        <v>1815</v>
      </c>
      <c r="AB347" s="543" t="s">
        <v>34</v>
      </c>
      <c r="AC347" s="543" t="s">
        <v>1816</v>
      </c>
      <c r="AD347" s="543" t="s">
        <v>1817</v>
      </c>
      <c r="AE347" s="543" t="s">
        <v>1455</v>
      </c>
      <c r="AF347" s="543">
        <v>6.5</v>
      </c>
      <c r="AG347" s="543">
        <v>0.3</v>
      </c>
      <c r="AH347" s="543">
        <v>0.08</v>
      </c>
      <c r="AI347" s="543" t="s">
        <v>3618</v>
      </c>
      <c r="AJ347" s="543" t="s">
        <v>3638</v>
      </c>
      <c r="AK347" s="543" t="s">
        <v>1818</v>
      </c>
      <c r="AL347" s="543" t="s">
        <v>34</v>
      </c>
      <c r="AM347" s="61" t="s">
        <v>4498</v>
      </c>
      <c r="AN347" s="541">
        <v>0</v>
      </c>
      <c r="AO347" s="541">
        <v>0</v>
      </c>
      <c r="AP347" s="61"/>
      <c r="CG347" t="str">
        <v>COASTAL ELECTRONICS, LLC</v>
      </c>
    </row>
    <row r="348" spans="1:85" x14ac:dyDescent="0.2">
      <c r="A348" s="61">
        <v>347</v>
      </c>
      <c r="B348" s="542" t="s">
        <v>1100</v>
      </c>
      <c r="C348" s="543" t="s">
        <v>5130</v>
      </c>
      <c r="D348" s="543" t="s">
        <v>5131</v>
      </c>
      <c r="E348" s="543" t="s">
        <v>1762</v>
      </c>
      <c r="F348" s="543" t="s">
        <v>1697</v>
      </c>
      <c r="G348" s="543"/>
      <c r="H348" s="543" t="s">
        <v>1821</v>
      </c>
      <c r="I348" s="543" t="s">
        <v>4736</v>
      </c>
      <c r="J348" s="543" t="s">
        <v>2089</v>
      </c>
      <c r="K348" s="543" t="s">
        <v>875</v>
      </c>
      <c r="L348" s="543" t="s">
        <v>5132</v>
      </c>
      <c r="M348" s="544">
        <v>630195</v>
      </c>
      <c r="N348" s="543" t="s">
        <v>5130</v>
      </c>
      <c r="O348" s="543" t="s">
        <v>665</v>
      </c>
      <c r="P348" s="543" t="s">
        <v>2152</v>
      </c>
      <c r="Q348" s="543" t="s">
        <v>1897</v>
      </c>
      <c r="R348" s="543" t="s">
        <v>4189</v>
      </c>
      <c r="S348" s="543" t="s">
        <v>5133</v>
      </c>
      <c r="T348" s="543">
        <v>70.83</v>
      </c>
      <c r="U348" s="543" t="s">
        <v>1843</v>
      </c>
      <c r="V348" s="543" t="s">
        <v>4810</v>
      </c>
      <c r="W348" s="543" t="s">
        <v>5134</v>
      </c>
      <c r="X348" s="543" t="s">
        <v>1815</v>
      </c>
      <c r="Y348" s="543" t="s">
        <v>5128</v>
      </c>
      <c r="Z348" s="543" t="s">
        <v>5134</v>
      </c>
      <c r="AA348" s="543" t="s">
        <v>1815</v>
      </c>
      <c r="AB348" s="543"/>
      <c r="AC348" s="543" t="s">
        <v>1816</v>
      </c>
      <c r="AD348" s="543" t="s">
        <v>1817</v>
      </c>
      <c r="AE348" s="543" t="s">
        <v>1455</v>
      </c>
      <c r="AF348" s="543">
        <v>14.1</v>
      </c>
      <c r="AG348" s="543">
        <v>189</v>
      </c>
      <c r="AH348" s="543" t="s">
        <v>4090</v>
      </c>
      <c r="AI348" s="543" t="s">
        <v>5135</v>
      </c>
      <c r="AJ348" s="543"/>
      <c r="AK348" s="543" t="s">
        <v>1818</v>
      </c>
      <c r="AL348" s="543"/>
      <c r="AM348" s="61" t="s">
        <v>4495</v>
      </c>
      <c r="AN348" s="541"/>
      <c r="AO348" s="541"/>
      <c r="AP348" s="61"/>
      <c r="CG348" t="str">
        <v>COBHAM AvCOMM</v>
      </c>
    </row>
    <row r="349" spans="1:85" x14ac:dyDescent="0.2">
      <c r="A349" s="61">
        <v>348</v>
      </c>
      <c r="B349" s="542" t="s">
        <v>1100</v>
      </c>
      <c r="C349" s="543" t="s">
        <v>1116</v>
      </c>
      <c r="D349" s="543" t="s">
        <v>3877</v>
      </c>
      <c r="E349" s="543" t="s">
        <v>1762</v>
      </c>
      <c r="F349" s="543" t="s">
        <v>1697</v>
      </c>
      <c r="G349" s="543" t="s">
        <v>34</v>
      </c>
      <c r="H349" s="543" t="s">
        <v>1821</v>
      </c>
      <c r="I349" s="543" t="s">
        <v>5342</v>
      </c>
      <c r="J349" s="543" t="s">
        <v>2433</v>
      </c>
      <c r="K349" s="543" t="s">
        <v>1943</v>
      </c>
      <c r="L349" s="543" t="s">
        <v>2921</v>
      </c>
      <c r="M349" s="544">
        <v>122026</v>
      </c>
      <c r="N349" s="543" t="s">
        <v>1116</v>
      </c>
      <c r="O349" s="543" t="s">
        <v>665</v>
      </c>
      <c r="P349" s="543" t="s">
        <v>2922</v>
      </c>
      <c r="Q349" s="543" t="s">
        <v>1819</v>
      </c>
      <c r="R349" s="543" t="s">
        <v>1988</v>
      </c>
      <c r="S349" s="543" t="s">
        <v>2923</v>
      </c>
      <c r="T349" s="543">
        <v>1380</v>
      </c>
      <c r="U349" s="543" t="s">
        <v>1844</v>
      </c>
      <c r="V349" s="543" t="s">
        <v>2924</v>
      </c>
      <c r="W349" s="543">
        <v>133569</v>
      </c>
      <c r="X349" s="543" t="s">
        <v>1815</v>
      </c>
      <c r="Y349" s="543" t="s">
        <v>109</v>
      </c>
      <c r="Z349" s="543" t="s">
        <v>109</v>
      </c>
      <c r="AA349" s="543" t="s">
        <v>109</v>
      </c>
      <c r="AB349" s="543" t="s">
        <v>34</v>
      </c>
      <c r="AC349" s="543" t="s">
        <v>1816</v>
      </c>
      <c r="AD349" s="543" t="s">
        <v>1817</v>
      </c>
      <c r="AE349" s="543" t="s">
        <v>1455</v>
      </c>
      <c r="AF349" s="543">
        <v>25</v>
      </c>
      <c r="AG349" s="543">
        <v>180</v>
      </c>
      <c r="AH349" s="543">
        <v>0</v>
      </c>
      <c r="AI349" s="543" t="s">
        <v>3639</v>
      </c>
      <c r="AJ349" s="543" t="s">
        <v>34</v>
      </c>
      <c r="AK349" s="543" t="s">
        <v>1818</v>
      </c>
      <c r="AL349" s="543" t="s">
        <v>34</v>
      </c>
      <c r="AM349" s="61" t="s">
        <v>4497</v>
      </c>
      <c r="AN349" s="541">
        <v>0</v>
      </c>
      <c r="AO349" s="541">
        <v>0</v>
      </c>
      <c r="AP349" s="61"/>
      <c r="CG349" t="str">
        <v>COFFEYVILLE SEKTAM, INC.</v>
      </c>
    </row>
    <row r="350" spans="1:85" x14ac:dyDescent="0.2">
      <c r="A350" s="61">
        <v>349</v>
      </c>
      <c r="B350" s="542" t="s">
        <v>1100</v>
      </c>
      <c r="C350" s="543" t="s">
        <v>1121</v>
      </c>
      <c r="D350" s="543" t="s">
        <v>3878</v>
      </c>
      <c r="E350" s="543" t="s">
        <v>1762</v>
      </c>
      <c r="F350" s="543" t="s">
        <v>1697</v>
      </c>
      <c r="G350" s="543" t="s">
        <v>34</v>
      </c>
      <c r="H350" s="543" t="s">
        <v>1821</v>
      </c>
      <c r="I350" s="543" t="s">
        <v>5342</v>
      </c>
      <c r="J350" s="543" t="s">
        <v>2089</v>
      </c>
      <c r="K350" s="543" t="s">
        <v>878</v>
      </c>
      <c r="L350" s="543" t="s">
        <v>2899</v>
      </c>
      <c r="M350" s="544">
        <v>18318</v>
      </c>
      <c r="N350" s="543" t="s">
        <v>1121</v>
      </c>
      <c r="O350" s="543" t="s">
        <v>665</v>
      </c>
      <c r="P350" s="543" t="s">
        <v>2226</v>
      </c>
      <c r="Q350" s="543" t="s">
        <v>4553</v>
      </c>
      <c r="R350" s="543" t="s">
        <v>1979</v>
      </c>
      <c r="S350" s="543" t="s">
        <v>2900</v>
      </c>
      <c r="T350" s="543">
        <v>1440</v>
      </c>
      <c r="U350" s="543" t="s">
        <v>1844</v>
      </c>
      <c r="V350" s="543" t="s">
        <v>2901</v>
      </c>
      <c r="W350" s="543" t="s">
        <v>2902</v>
      </c>
      <c r="X350" s="543" t="s">
        <v>4556</v>
      </c>
      <c r="Y350" s="543" t="s">
        <v>2903</v>
      </c>
      <c r="Z350" s="543" t="s">
        <v>2904</v>
      </c>
      <c r="AA350" s="543" t="s">
        <v>4556</v>
      </c>
      <c r="AB350" s="543" t="s">
        <v>34</v>
      </c>
      <c r="AC350" s="543" t="s">
        <v>1816</v>
      </c>
      <c r="AD350" s="543" t="s">
        <v>1817</v>
      </c>
      <c r="AE350" s="543" t="s">
        <v>1455</v>
      </c>
      <c r="AF350" s="543" t="s">
        <v>3040</v>
      </c>
      <c r="AG350" s="543" t="s">
        <v>34</v>
      </c>
      <c r="AH350" s="543" t="s">
        <v>34</v>
      </c>
      <c r="AI350" s="543" t="s">
        <v>34</v>
      </c>
      <c r="AJ350" s="543" t="s">
        <v>34</v>
      </c>
      <c r="AK350" s="543" t="s">
        <v>1818</v>
      </c>
      <c r="AL350" s="543" t="s">
        <v>34</v>
      </c>
      <c r="AM350" s="61" t="s">
        <v>4497</v>
      </c>
      <c r="AN350" s="541">
        <v>0</v>
      </c>
      <c r="AO350" s="541">
        <v>0</v>
      </c>
      <c r="AP350" s="61"/>
      <c r="CG350" t="str">
        <v>COGENT-LEE MATHEWS</v>
      </c>
    </row>
    <row r="351" spans="1:85" x14ac:dyDescent="0.2">
      <c r="A351" s="61">
        <v>350</v>
      </c>
      <c r="B351" s="542" t="s">
        <v>1100</v>
      </c>
      <c r="C351" s="543" t="s">
        <v>1986</v>
      </c>
      <c r="D351" s="543" t="s">
        <v>4917</v>
      </c>
      <c r="E351" s="543" t="s">
        <v>1762</v>
      </c>
      <c r="F351" s="543" t="s">
        <v>1697</v>
      </c>
      <c r="G351" s="543" t="s">
        <v>34</v>
      </c>
      <c r="H351" s="543" t="s">
        <v>1821</v>
      </c>
      <c r="I351" s="543" t="s">
        <v>5342</v>
      </c>
      <c r="J351" s="543" t="s">
        <v>1461</v>
      </c>
      <c r="K351" s="543" t="s">
        <v>4918</v>
      </c>
      <c r="L351" s="543" t="s">
        <v>4919</v>
      </c>
      <c r="M351" s="544" t="s">
        <v>4920</v>
      </c>
      <c r="N351" s="543" t="s">
        <v>1986</v>
      </c>
      <c r="O351" s="543" t="s">
        <v>2092</v>
      </c>
      <c r="P351" s="543" t="s">
        <v>4921</v>
      </c>
      <c r="Q351" s="543" t="s">
        <v>4553</v>
      </c>
      <c r="R351" s="543" t="s">
        <v>1814</v>
      </c>
      <c r="S351" s="543" t="s">
        <v>4922</v>
      </c>
      <c r="T351" s="543">
        <v>154.04</v>
      </c>
      <c r="U351" s="543" t="s">
        <v>4870</v>
      </c>
      <c r="V351" s="543" t="s">
        <v>4923</v>
      </c>
      <c r="W351" s="543" t="s">
        <v>4924</v>
      </c>
      <c r="X351" s="543" t="s">
        <v>4556</v>
      </c>
      <c r="Y351" s="543" t="s">
        <v>109</v>
      </c>
      <c r="Z351" s="543" t="s">
        <v>109</v>
      </c>
      <c r="AA351" s="543" t="s">
        <v>109</v>
      </c>
      <c r="AB351" s="543" t="s">
        <v>34</v>
      </c>
      <c r="AC351" s="543" t="s">
        <v>1816</v>
      </c>
      <c r="AD351" s="543" t="s">
        <v>4925</v>
      </c>
      <c r="AE351" s="543" t="s">
        <v>1454</v>
      </c>
      <c r="AF351" s="543">
        <v>26.9</v>
      </c>
      <c r="AG351" s="543">
        <v>377</v>
      </c>
      <c r="AH351" s="543" t="s">
        <v>3555</v>
      </c>
      <c r="AI351" s="543" t="s">
        <v>4926</v>
      </c>
      <c r="AJ351" s="543" t="s">
        <v>4927</v>
      </c>
      <c r="AK351" s="543" t="s">
        <v>1818</v>
      </c>
      <c r="AL351" s="543" t="s">
        <v>34</v>
      </c>
      <c r="AM351" s="61" t="s">
        <v>4498</v>
      </c>
      <c r="AN351" s="541"/>
      <c r="AO351" s="541"/>
      <c r="AP351" s="61"/>
      <c r="CG351" t="str">
        <v>COLEMAN BEACON PLANT</v>
      </c>
    </row>
    <row r="352" spans="1:85" x14ac:dyDescent="0.2">
      <c r="A352" s="61">
        <v>351</v>
      </c>
      <c r="B352" s="542" t="s">
        <v>1100</v>
      </c>
      <c r="C352" s="543" t="s">
        <v>585</v>
      </c>
      <c r="D352" s="543" t="s">
        <v>3879</v>
      </c>
      <c r="E352" s="543" t="s">
        <v>1762</v>
      </c>
      <c r="F352" s="543" t="s">
        <v>1697</v>
      </c>
      <c r="G352" s="543" t="s">
        <v>34</v>
      </c>
      <c r="H352" s="543" t="s">
        <v>1821</v>
      </c>
      <c r="I352" s="543" t="s">
        <v>5342</v>
      </c>
      <c r="J352" s="543" t="s">
        <v>1461</v>
      </c>
      <c r="K352" s="543" t="s">
        <v>926</v>
      </c>
      <c r="L352" s="543" t="s">
        <v>2892</v>
      </c>
      <c r="M352" s="544">
        <v>380028</v>
      </c>
      <c r="N352" s="543" t="s">
        <v>585</v>
      </c>
      <c r="O352" s="543" t="s">
        <v>665</v>
      </c>
      <c r="P352" s="543" t="s">
        <v>4872</v>
      </c>
      <c r="Q352" s="543" t="s">
        <v>4553</v>
      </c>
      <c r="R352" s="543" t="s">
        <v>1878</v>
      </c>
      <c r="S352" s="543" t="s">
        <v>4873</v>
      </c>
      <c r="T352" s="543">
        <v>10</v>
      </c>
      <c r="U352" s="543" t="s">
        <v>1844</v>
      </c>
      <c r="V352" s="543" t="s">
        <v>2579</v>
      </c>
      <c r="W352" s="543" t="s">
        <v>2893</v>
      </c>
      <c r="X352" s="543" t="s">
        <v>4556</v>
      </c>
      <c r="Y352" s="543" t="s">
        <v>109</v>
      </c>
      <c r="Z352" s="543" t="s">
        <v>109</v>
      </c>
      <c r="AA352" s="543" t="s">
        <v>109</v>
      </c>
      <c r="AB352" s="543" t="s">
        <v>34</v>
      </c>
      <c r="AC352" s="543" t="s">
        <v>1816</v>
      </c>
      <c r="AD352" s="543" t="s">
        <v>1817</v>
      </c>
      <c r="AE352" s="543" t="s">
        <v>1455</v>
      </c>
      <c r="AF352" s="543">
        <v>2</v>
      </c>
      <c r="AG352" s="543">
        <v>0.05</v>
      </c>
      <c r="AH352" s="543">
        <v>0.05</v>
      </c>
      <c r="AI352" s="543" t="s">
        <v>3634</v>
      </c>
      <c r="AJ352" s="543" t="s">
        <v>3635</v>
      </c>
      <c r="AK352" s="543" t="s">
        <v>1818</v>
      </c>
      <c r="AL352" s="543" t="s">
        <v>34</v>
      </c>
      <c r="AM352" s="61" t="s">
        <v>4495</v>
      </c>
      <c r="AN352" s="541">
        <v>0</v>
      </c>
      <c r="AO352" s="541">
        <v>0</v>
      </c>
      <c r="AP352" s="61"/>
      <c r="CG352" t="str">
        <v>COLEMAN COMPANY</v>
      </c>
    </row>
    <row r="353" spans="1:85" x14ac:dyDescent="0.2">
      <c r="A353" s="61">
        <v>352</v>
      </c>
      <c r="B353" s="542" t="s">
        <v>1100</v>
      </c>
      <c r="C353" s="543" t="s">
        <v>1123</v>
      </c>
      <c r="D353" s="543" t="s">
        <v>3880</v>
      </c>
      <c r="E353" s="543" t="s">
        <v>1762</v>
      </c>
      <c r="F353" s="543" t="s">
        <v>1697</v>
      </c>
      <c r="G353" s="543" t="s">
        <v>34</v>
      </c>
      <c r="H353" s="543" t="s">
        <v>1821</v>
      </c>
      <c r="I353" s="543" t="s">
        <v>5342</v>
      </c>
      <c r="J353" s="543" t="s">
        <v>2089</v>
      </c>
      <c r="K353" s="543" t="s">
        <v>878</v>
      </c>
      <c r="L353" s="543" t="s">
        <v>1936</v>
      </c>
      <c r="M353" s="544" t="s">
        <v>2894</v>
      </c>
      <c r="N353" s="543" t="s">
        <v>1123</v>
      </c>
      <c r="O353" s="543" t="s">
        <v>665</v>
      </c>
      <c r="P353" s="543" t="s">
        <v>2574</v>
      </c>
      <c r="Q353" s="543" t="s">
        <v>1819</v>
      </c>
      <c r="R353" s="543" t="s">
        <v>1820</v>
      </c>
      <c r="S353" s="543" t="s">
        <v>2895</v>
      </c>
      <c r="T353" s="543">
        <v>840</v>
      </c>
      <c r="U353" s="543" t="s">
        <v>1844</v>
      </c>
      <c r="V353" s="543" t="s">
        <v>2896</v>
      </c>
      <c r="W353" s="543" t="s">
        <v>2897</v>
      </c>
      <c r="X353" s="543" t="s">
        <v>1815</v>
      </c>
      <c r="Y353" s="543" t="s">
        <v>2898</v>
      </c>
      <c r="Z353" s="543">
        <v>4303967</v>
      </c>
      <c r="AA353" s="543" t="s">
        <v>1894</v>
      </c>
      <c r="AB353" s="543" t="s">
        <v>34</v>
      </c>
      <c r="AC353" s="543" t="s">
        <v>1816</v>
      </c>
      <c r="AD353" s="543" t="s">
        <v>1817</v>
      </c>
      <c r="AE353" s="543" t="s">
        <v>1455</v>
      </c>
      <c r="AF353" s="543" t="s">
        <v>3040</v>
      </c>
      <c r="AG353" s="543" t="s">
        <v>34</v>
      </c>
      <c r="AH353" s="543" t="s">
        <v>34</v>
      </c>
      <c r="AI353" s="543" t="s">
        <v>34</v>
      </c>
      <c r="AJ353" s="543" t="s">
        <v>34</v>
      </c>
      <c r="AK353" s="543" t="s">
        <v>1818</v>
      </c>
      <c r="AL353" s="543" t="s">
        <v>34</v>
      </c>
      <c r="AM353" s="61" t="s">
        <v>4497</v>
      </c>
      <c r="AN353" s="541">
        <v>0</v>
      </c>
      <c r="AO353" s="541">
        <v>0</v>
      </c>
      <c r="AP353" s="61"/>
      <c r="CG353" t="str">
        <v>COLLEGE HILL PEDIATRICS</v>
      </c>
    </row>
    <row r="354" spans="1:85" x14ac:dyDescent="0.2">
      <c r="A354" s="61">
        <v>353</v>
      </c>
      <c r="B354" s="542" t="s">
        <v>1100</v>
      </c>
      <c r="C354" s="543" t="s">
        <v>4221</v>
      </c>
      <c r="D354" s="543" t="s">
        <v>4222</v>
      </c>
      <c r="E354" s="543" t="s">
        <v>1762</v>
      </c>
      <c r="F354" s="543" t="s">
        <v>1697</v>
      </c>
      <c r="G354" s="543" t="s">
        <v>34</v>
      </c>
      <c r="H354" s="543" t="s">
        <v>1821</v>
      </c>
      <c r="I354" s="543" t="s">
        <v>5342</v>
      </c>
      <c r="J354" s="543" t="s">
        <v>1461</v>
      </c>
      <c r="K354" s="543" t="s">
        <v>878</v>
      </c>
      <c r="L354" s="543" t="s">
        <v>4223</v>
      </c>
      <c r="M354" s="544" t="s">
        <v>4224</v>
      </c>
      <c r="N354" s="543" t="s">
        <v>4225</v>
      </c>
      <c r="O354" s="543" t="s">
        <v>665</v>
      </c>
      <c r="P354" s="543" t="s">
        <v>4226</v>
      </c>
      <c r="Q354" s="543" t="s">
        <v>1819</v>
      </c>
      <c r="R354" s="543" t="s">
        <v>1979</v>
      </c>
      <c r="S354" s="543" t="s">
        <v>4227</v>
      </c>
      <c r="T354" s="543">
        <v>1771</v>
      </c>
      <c r="U354" s="543" t="s">
        <v>1844</v>
      </c>
      <c r="V354" s="543" t="s">
        <v>1981</v>
      </c>
      <c r="W354" s="543" t="s">
        <v>4228</v>
      </c>
      <c r="X354" s="543" t="s">
        <v>2431</v>
      </c>
      <c r="Y354" s="543" t="s">
        <v>2487</v>
      </c>
      <c r="Z354" s="543" t="s">
        <v>4424</v>
      </c>
      <c r="AA354" s="543" t="s">
        <v>1815</v>
      </c>
      <c r="AB354" s="543" t="s">
        <v>4425</v>
      </c>
      <c r="AC354" s="543" t="s">
        <v>1816</v>
      </c>
      <c r="AD354" s="543" t="s">
        <v>1817</v>
      </c>
      <c r="AE354" s="543" t="s">
        <v>1455</v>
      </c>
      <c r="AF354" s="543" t="s">
        <v>3040</v>
      </c>
      <c r="AG354" s="543" t="s">
        <v>34</v>
      </c>
      <c r="AH354" s="543" t="s">
        <v>34</v>
      </c>
      <c r="AI354" s="543" t="s">
        <v>34</v>
      </c>
      <c r="AJ354" s="543" t="s">
        <v>34</v>
      </c>
      <c r="AK354" s="543" t="s">
        <v>1818</v>
      </c>
      <c r="AL354" s="543" t="s">
        <v>34</v>
      </c>
      <c r="AM354" s="61" t="s">
        <v>4497</v>
      </c>
      <c r="AN354" s="541">
        <v>0</v>
      </c>
      <c r="AO354" s="541">
        <v>0</v>
      </c>
      <c r="AP354" s="61"/>
      <c r="CG354" t="str">
        <v>COLLINS BUS CORPORATION</v>
      </c>
    </row>
    <row r="355" spans="1:85" x14ac:dyDescent="0.2">
      <c r="A355" s="61">
        <v>354</v>
      </c>
      <c r="B355" s="542" t="s">
        <v>1100</v>
      </c>
      <c r="C355" s="543" t="s">
        <v>599</v>
      </c>
      <c r="D355" s="543" t="s">
        <v>4951</v>
      </c>
      <c r="E355" s="543" t="s">
        <v>1762</v>
      </c>
      <c r="F355" s="543" t="s">
        <v>1697</v>
      </c>
      <c r="G355" s="543" t="s">
        <v>34</v>
      </c>
      <c r="H355" s="543" t="s">
        <v>1821</v>
      </c>
      <c r="I355" s="543" t="s">
        <v>5342</v>
      </c>
      <c r="J355" s="543" t="s">
        <v>1461</v>
      </c>
      <c r="K355" s="543" t="s">
        <v>926</v>
      </c>
      <c r="L355" s="543" t="s">
        <v>4952</v>
      </c>
      <c r="M355" s="544">
        <v>330453</v>
      </c>
      <c r="N355" s="543" t="s">
        <v>599</v>
      </c>
      <c r="O355" s="543" t="s">
        <v>665</v>
      </c>
      <c r="P355" s="543" t="s">
        <v>4953</v>
      </c>
      <c r="Q355" s="543" t="s">
        <v>4553</v>
      </c>
      <c r="R355" s="543" t="s">
        <v>1878</v>
      </c>
      <c r="S355" s="543" t="s">
        <v>2479</v>
      </c>
      <c r="T355" s="543">
        <v>10</v>
      </c>
      <c r="U355" s="543" t="s">
        <v>1844</v>
      </c>
      <c r="V355" s="543" t="s">
        <v>4954</v>
      </c>
      <c r="W355" s="543" t="s">
        <v>4955</v>
      </c>
      <c r="X355" s="543" t="s">
        <v>4556</v>
      </c>
      <c r="Y355" s="543" t="s">
        <v>109</v>
      </c>
      <c r="Z355" s="543" t="s">
        <v>109</v>
      </c>
      <c r="AA355" s="543" t="s">
        <v>109</v>
      </c>
      <c r="AB355" s="543" t="s">
        <v>34</v>
      </c>
      <c r="AC355" s="543" t="s">
        <v>1816</v>
      </c>
      <c r="AD355" s="543" t="s">
        <v>1817</v>
      </c>
      <c r="AE355" s="543" t="s">
        <v>1455</v>
      </c>
      <c r="AF355" s="543">
        <v>2</v>
      </c>
      <c r="AG355" s="543">
        <v>0.05</v>
      </c>
      <c r="AH355" s="543">
        <v>0.05</v>
      </c>
      <c r="AI355" s="543" t="s">
        <v>3634</v>
      </c>
      <c r="AJ355" s="543" t="s">
        <v>3635</v>
      </c>
      <c r="AK355" s="543" t="s">
        <v>1818</v>
      </c>
      <c r="AL355" s="543" t="s">
        <v>34</v>
      </c>
      <c r="AM355" s="61" t="s">
        <v>4495</v>
      </c>
      <c r="AN355" s="541"/>
      <c r="AO355" s="541"/>
      <c r="AP355" s="61"/>
      <c r="CG355" t="str">
        <v>COLORADO METALLURGICAL SERVICES</v>
      </c>
    </row>
    <row r="356" spans="1:85" x14ac:dyDescent="0.2">
      <c r="A356" s="61">
        <v>355</v>
      </c>
      <c r="B356" s="542" t="s">
        <v>1136</v>
      </c>
      <c r="C356" s="543" t="s">
        <v>1138</v>
      </c>
      <c r="D356" s="543" t="s">
        <v>3881</v>
      </c>
      <c r="E356" s="543" t="s">
        <v>1763</v>
      </c>
      <c r="F356" s="543" t="s">
        <v>1703</v>
      </c>
      <c r="G356" s="543" t="s">
        <v>34</v>
      </c>
      <c r="H356" s="543" t="s">
        <v>1821</v>
      </c>
      <c r="I356" s="543" t="s">
        <v>5342</v>
      </c>
      <c r="J356" s="543" t="s">
        <v>1461</v>
      </c>
      <c r="K356" s="543" t="s">
        <v>1825</v>
      </c>
      <c r="L356" s="543" t="s">
        <v>2951</v>
      </c>
      <c r="M356" s="544">
        <v>112047</v>
      </c>
      <c r="N356" s="543" t="s">
        <v>1138</v>
      </c>
      <c r="O356" s="543" t="s">
        <v>665</v>
      </c>
      <c r="P356" s="543" t="s">
        <v>4138</v>
      </c>
      <c r="Q356" s="543" t="s">
        <v>1897</v>
      </c>
      <c r="R356" s="543" t="s">
        <v>1988</v>
      </c>
      <c r="S356" s="543" t="s">
        <v>4598</v>
      </c>
      <c r="T356" s="543">
        <v>143.75</v>
      </c>
      <c r="U356" s="543" t="s">
        <v>1642</v>
      </c>
      <c r="V356" s="543" t="s">
        <v>4139</v>
      </c>
      <c r="W356" s="543">
        <v>2009104701</v>
      </c>
      <c r="X356" s="543" t="s">
        <v>1815</v>
      </c>
      <c r="Y356" s="543" t="s">
        <v>4139</v>
      </c>
      <c r="Z356" s="543">
        <v>2009104701</v>
      </c>
      <c r="AA356" s="543" t="s">
        <v>1815</v>
      </c>
      <c r="AB356" s="543" t="s">
        <v>34</v>
      </c>
      <c r="AC356" s="543" t="s">
        <v>1816</v>
      </c>
      <c r="AD356" s="543" t="s">
        <v>1817</v>
      </c>
      <c r="AE356" s="543" t="s">
        <v>1455</v>
      </c>
      <c r="AF356" s="543">
        <v>10.5</v>
      </c>
      <c r="AG356" s="543">
        <v>400</v>
      </c>
      <c r="AH356" s="543">
        <v>8</v>
      </c>
      <c r="AI356" s="543" t="s">
        <v>34</v>
      </c>
      <c r="AJ356" s="543" t="s">
        <v>34</v>
      </c>
      <c r="AK356" s="543" t="s">
        <v>1818</v>
      </c>
      <c r="AL356" s="543" t="s">
        <v>34</v>
      </c>
      <c r="AM356" s="61" t="s">
        <v>4495</v>
      </c>
      <c r="AN356" s="541">
        <v>0</v>
      </c>
      <c r="AO356" s="541">
        <v>0</v>
      </c>
      <c r="AP356" s="61"/>
      <c r="CG356" t="str">
        <v>COLWICH GRADE SCHOOL PHYS. ED. DEPT.</v>
      </c>
    </row>
    <row r="357" spans="1:85" x14ac:dyDescent="0.2">
      <c r="A357" s="61">
        <v>356</v>
      </c>
      <c r="B357" s="542" t="s">
        <v>1136</v>
      </c>
      <c r="C357" s="543" t="s">
        <v>4140</v>
      </c>
      <c r="D357" s="543" t="s">
        <v>4141</v>
      </c>
      <c r="E357" s="543" t="s">
        <v>1763</v>
      </c>
      <c r="F357" s="543" t="s">
        <v>1703</v>
      </c>
      <c r="G357" s="543" t="s">
        <v>34</v>
      </c>
      <c r="H357" s="543" t="s">
        <v>1821</v>
      </c>
      <c r="I357" s="543" t="s">
        <v>5351</v>
      </c>
      <c r="J357" s="543" t="s">
        <v>1461</v>
      </c>
      <c r="K357" s="543" t="s">
        <v>1825</v>
      </c>
      <c r="L357" s="543" t="s">
        <v>2951</v>
      </c>
      <c r="M357" s="544">
        <v>112047</v>
      </c>
      <c r="N357" s="543" t="s">
        <v>1138</v>
      </c>
      <c r="O357" s="543" t="s">
        <v>665</v>
      </c>
      <c r="P357" s="543" t="s">
        <v>4183</v>
      </c>
      <c r="Q357" s="543" t="s">
        <v>1897</v>
      </c>
      <c r="R357" s="543" t="s">
        <v>1988</v>
      </c>
      <c r="S357" s="543" t="s">
        <v>3168</v>
      </c>
      <c r="T357" s="543">
        <v>402.3</v>
      </c>
      <c r="U357" s="543" t="s">
        <v>1642</v>
      </c>
      <c r="V357" s="543" t="s">
        <v>4184</v>
      </c>
      <c r="W357" s="543">
        <v>2009104701</v>
      </c>
      <c r="X357" s="543" t="s">
        <v>1815</v>
      </c>
      <c r="Y357" s="543" t="s">
        <v>4184</v>
      </c>
      <c r="Z357" s="543">
        <v>2009104701</v>
      </c>
      <c r="AA357" s="543" t="s">
        <v>1815</v>
      </c>
      <c r="AB357" s="543" t="s">
        <v>34</v>
      </c>
      <c r="AC357" s="543" t="s">
        <v>1816</v>
      </c>
      <c r="AD357" s="543" t="s">
        <v>1817</v>
      </c>
      <c r="AE357" s="543" t="s">
        <v>1455</v>
      </c>
      <c r="AF357" s="543">
        <v>10.5</v>
      </c>
      <c r="AG357" s="543">
        <v>400</v>
      </c>
      <c r="AH357" s="543">
        <v>8</v>
      </c>
      <c r="AI357" s="543" t="s">
        <v>34</v>
      </c>
      <c r="AJ357" s="543" t="s">
        <v>34</v>
      </c>
      <c r="AK357" s="543" t="s">
        <v>1818</v>
      </c>
      <c r="AL357" s="543" t="s">
        <v>34</v>
      </c>
      <c r="AM357" s="61" t="s">
        <v>4513</v>
      </c>
      <c r="AN357" s="541">
        <v>0</v>
      </c>
      <c r="AO357" s="541">
        <v>0</v>
      </c>
      <c r="AP357" s="61"/>
      <c r="CG357" t="str">
        <v>COMET RAIL PRODUCTS</v>
      </c>
    </row>
    <row r="358" spans="1:85" x14ac:dyDescent="0.2">
      <c r="A358" s="61">
        <v>357</v>
      </c>
      <c r="B358" s="542" t="s">
        <v>1136</v>
      </c>
      <c r="C358" s="543" t="s">
        <v>1606</v>
      </c>
      <c r="D358" s="543" t="s">
        <v>3882</v>
      </c>
      <c r="E358" s="543" t="s">
        <v>1763</v>
      </c>
      <c r="F358" s="543" t="s">
        <v>1703</v>
      </c>
      <c r="G358" s="543" t="s">
        <v>34</v>
      </c>
      <c r="H358" s="543" t="s">
        <v>1821</v>
      </c>
      <c r="I358" s="543" t="s">
        <v>5342</v>
      </c>
      <c r="J358" s="543" t="s">
        <v>1461</v>
      </c>
      <c r="K358" s="543" t="s">
        <v>2958</v>
      </c>
      <c r="L358" s="543" t="s">
        <v>2959</v>
      </c>
      <c r="M358" s="544" t="s">
        <v>1606</v>
      </c>
      <c r="N358" s="543" t="s">
        <v>1606</v>
      </c>
      <c r="O358" s="543" t="s">
        <v>2092</v>
      </c>
      <c r="P358" s="543" t="s">
        <v>3171</v>
      </c>
      <c r="Q358" s="543" t="s">
        <v>3171</v>
      </c>
      <c r="R358" s="543" t="s">
        <v>1973</v>
      </c>
      <c r="S358" s="543" t="s">
        <v>3172</v>
      </c>
      <c r="T358" s="543">
        <v>3168</v>
      </c>
      <c r="U358" s="543" t="s">
        <v>1642</v>
      </c>
      <c r="V358" s="543" t="s">
        <v>109</v>
      </c>
      <c r="W358" s="543" t="s">
        <v>109</v>
      </c>
      <c r="X358" s="543" t="s">
        <v>109</v>
      </c>
      <c r="Y358" s="543" t="s">
        <v>2960</v>
      </c>
      <c r="Z358" s="543" t="s">
        <v>2952</v>
      </c>
      <c r="AA358" s="543" t="s">
        <v>1815</v>
      </c>
      <c r="AB358" s="543" t="s">
        <v>34</v>
      </c>
      <c r="AC358" s="543" t="s">
        <v>1816</v>
      </c>
      <c r="AD358" s="543" t="s">
        <v>1817</v>
      </c>
      <c r="AE358" s="543" t="s">
        <v>1455</v>
      </c>
      <c r="AF358" s="543" t="s">
        <v>3040</v>
      </c>
      <c r="AG358" s="543" t="s">
        <v>34</v>
      </c>
      <c r="AH358" s="543" t="s">
        <v>34</v>
      </c>
      <c r="AI358" s="543" t="s">
        <v>34</v>
      </c>
      <c r="AJ358" s="543" t="s">
        <v>34</v>
      </c>
      <c r="AK358" s="543" t="s">
        <v>1818</v>
      </c>
      <c r="AL358" s="543" t="s">
        <v>34</v>
      </c>
      <c r="AM358" s="61" t="s">
        <v>4512</v>
      </c>
      <c r="AN358" s="541">
        <v>0</v>
      </c>
      <c r="AO358" s="541">
        <v>0</v>
      </c>
      <c r="AP358" s="61"/>
      <c r="CG358" t="str">
        <v>COMMERCIAL AIRCRAFT PRODUCTS, LLC</v>
      </c>
    </row>
    <row r="359" spans="1:85" x14ac:dyDescent="0.2">
      <c r="A359" s="61">
        <v>358</v>
      </c>
      <c r="B359" s="542" t="s">
        <v>1136</v>
      </c>
      <c r="C359" s="543" t="s">
        <v>1668</v>
      </c>
      <c r="D359" s="543" t="s">
        <v>3883</v>
      </c>
      <c r="E359" s="543" t="s">
        <v>1763</v>
      </c>
      <c r="F359" s="543" t="s">
        <v>1703</v>
      </c>
      <c r="G359" s="543" t="s">
        <v>34</v>
      </c>
      <c r="H359" s="543" t="s">
        <v>1821</v>
      </c>
      <c r="I359" s="543" t="s">
        <v>5342</v>
      </c>
      <c r="J359" s="543" t="s">
        <v>1461</v>
      </c>
      <c r="K359" s="543" t="s">
        <v>2953</v>
      </c>
      <c r="L359" s="543" t="s">
        <v>2954</v>
      </c>
      <c r="M359" s="544" t="s">
        <v>1668</v>
      </c>
      <c r="N359" s="543" t="s">
        <v>1668</v>
      </c>
      <c r="O359" s="543" t="s">
        <v>2092</v>
      </c>
      <c r="P359" s="543" t="s">
        <v>3169</v>
      </c>
      <c r="Q359" s="543" t="s">
        <v>1897</v>
      </c>
      <c r="R359" s="543" t="s">
        <v>1814</v>
      </c>
      <c r="S359" s="543" t="s">
        <v>3170</v>
      </c>
      <c r="T359" s="543">
        <v>96</v>
      </c>
      <c r="U359" s="543" t="s">
        <v>1642</v>
      </c>
      <c r="V359" s="543" t="s">
        <v>2955</v>
      </c>
      <c r="W359" s="543" t="s">
        <v>2956</v>
      </c>
      <c r="X359" s="543" t="s">
        <v>2957</v>
      </c>
      <c r="Y359" s="543" t="s">
        <v>109</v>
      </c>
      <c r="Z359" s="543" t="s">
        <v>109</v>
      </c>
      <c r="AA359" s="543" t="s">
        <v>109</v>
      </c>
      <c r="AB359" s="543" t="s">
        <v>34</v>
      </c>
      <c r="AC359" s="543" t="s">
        <v>1816</v>
      </c>
      <c r="AD359" s="543" t="s">
        <v>1817</v>
      </c>
      <c r="AE359" s="543" t="s">
        <v>1455</v>
      </c>
      <c r="AF359" s="543" t="s">
        <v>3040</v>
      </c>
      <c r="AG359" s="543" t="s">
        <v>34</v>
      </c>
      <c r="AH359" s="543" t="s">
        <v>34</v>
      </c>
      <c r="AI359" s="543" t="s">
        <v>34</v>
      </c>
      <c r="AJ359" s="543" t="s">
        <v>34</v>
      </c>
      <c r="AK359" s="543" t="s">
        <v>1818</v>
      </c>
      <c r="AL359" s="543" t="s">
        <v>34</v>
      </c>
      <c r="AM359" s="61" t="s">
        <v>4495</v>
      </c>
      <c r="AN359" s="541">
        <v>0</v>
      </c>
      <c r="AO359" s="541">
        <v>0</v>
      </c>
      <c r="AP359" s="61"/>
      <c r="CG359" t="str">
        <v>COMMUNICATIONS TEST DESIGN, INC.</v>
      </c>
    </row>
    <row r="360" spans="1:85" x14ac:dyDescent="0.2">
      <c r="A360" s="61">
        <v>359</v>
      </c>
      <c r="B360" s="542" t="s">
        <v>1136</v>
      </c>
      <c r="C360" s="543" t="s">
        <v>5219</v>
      </c>
      <c r="D360" s="543" t="s">
        <v>5220</v>
      </c>
      <c r="E360" s="543" t="s">
        <v>5221</v>
      </c>
      <c r="F360" s="543" t="s">
        <v>1716</v>
      </c>
      <c r="G360" s="543"/>
      <c r="H360" s="543" t="s">
        <v>1821</v>
      </c>
      <c r="I360" s="543" t="s">
        <v>5403</v>
      </c>
      <c r="J360" s="543" t="s">
        <v>1809</v>
      </c>
      <c r="K360" s="543" t="s">
        <v>4245</v>
      </c>
      <c r="L360" s="543" t="s">
        <v>5222</v>
      </c>
      <c r="M360" s="544" t="s">
        <v>5223</v>
      </c>
      <c r="N360" s="543" t="s">
        <v>5219</v>
      </c>
      <c r="O360" s="543" t="s">
        <v>2744</v>
      </c>
      <c r="P360" s="543" t="s">
        <v>5224</v>
      </c>
      <c r="Q360" s="543" t="s">
        <v>1897</v>
      </c>
      <c r="R360" s="543" t="s">
        <v>4468</v>
      </c>
      <c r="S360" s="543" t="s">
        <v>5225</v>
      </c>
      <c r="T360" s="543">
        <v>1067.2</v>
      </c>
      <c r="U360" s="543" t="s">
        <v>1642</v>
      </c>
      <c r="V360" s="543" t="s">
        <v>2234</v>
      </c>
      <c r="W360" s="543" t="s">
        <v>5226</v>
      </c>
      <c r="X360" s="543" t="s">
        <v>1815</v>
      </c>
      <c r="Y360" s="543" t="s">
        <v>4278</v>
      </c>
      <c r="Z360" s="543" t="s">
        <v>5227</v>
      </c>
      <c r="AA360" s="543" t="s">
        <v>1815</v>
      </c>
      <c r="AB360" s="543"/>
      <c r="AC360" s="543" t="s">
        <v>1816</v>
      </c>
      <c r="AD360" s="543" t="s">
        <v>5228</v>
      </c>
      <c r="AE360" s="543" t="s">
        <v>1455</v>
      </c>
      <c r="AF360" s="543" t="s">
        <v>3040</v>
      </c>
      <c r="AG360" s="543"/>
      <c r="AH360" s="543"/>
      <c r="AI360" s="543"/>
      <c r="AJ360" s="543"/>
      <c r="AK360" s="543" t="s">
        <v>1818</v>
      </c>
      <c r="AL360" s="543"/>
      <c r="AM360" s="61" t="s">
        <v>4666</v>
      </c>
      <c r="AN360" s="541"/>
      <c r="AO360" s="541"/>
      <c r="AP360" s="61"/>
      <c r="CG360" t="str">
        <v>COMPLEXX MACHINING</v>
      </c>
    </row>
    <row r="361" spans="1:85" x14ac:dyDescent="0.2">
      <c r="A361" s="61">
        <v>360</v>
      </c>
      <c r="B361" s="542" t="s">
        <v>1140</v>
      </c>
      <c r="C361" s="543" t="s">
        <v>639</v>
      </c>
      <c r="D361" s="543" t="s">
        <v>5382</v>
      </c>
      <c r="E361" s="543" t="s">
        <v>1764</v>
      </c>
      <c r="F361" s="543" t="s">
        <v>1701</v>
      </c>
      <c r="G361" s="543" t="s">
        <v>34</v>
      </c>
      <c r="H361" s="543" t="s">
        <v>1821</v>
      </c>
      <c r="I361" s="543" t="s">
        <v>5342</v>
      </c>
      <c r="J361" s="543" t="s">
        <v>1461</v>
      </c>
      <c r="K361" s="543" t="s">
        <v>1997</v>
      </c>
      <c r="L361" s="543" t="s">
        <v>2961</v>
      </c>
      <c r="M361" s="544">
        <v>9261</v>
      </c>
      <c r="N361" s="543" t="s">
        <v>639</v>
      </c>
      <c r="O361" s="543" t="s">
        <v>665</v>
      </c>
      <c r="P361" s="543" t="s">
        <v>2016</v>
      </c>
      <c r="Q361" s="543" t="s">
        <v>1897</v>
      </c>
      <c r="R361" s="543" t="s">
        <v>1814</v>
      </c>
      <c r="S361" s="543" t="s">
        <v>3173</v>
      </c>
      <c r="T361" s="543">
        <v>339.3</v>
      </c>
      <c r="U361" s="543" t="s">
        <v>1642</v>
      </c>
      <c r="V361" s="543" t="s">
        <v>2961</v>
      </c>
      <c r="W361" s="543" t="s">
        <v>1936</v>
      </c>
      <c r="X361" s="543" t="s">
        <v>1815</v>
      </c>
      <c r="Y361" s="543" t="s">
        <v>2961</v>
      </c>
      <c r="Z361" s="543" t="s">
        <v>1936</v>
      </c>
      <c r="AA361" s="543" t="s">
        <v>1815</v>
      </c>
      <c r="AB361" s="543" t="s">
        <v>34</v>
      </c>
      <c r="AC361" s="543" t="s">
        <v>1816</v>
      </c>
      <c r="AD361" s="543" t="s">
        <v>1817</v>
      </c>
      <c r="AE361" s="543" t="s">
        <v>1455</v>
      </c>
      <c r="AF361" s="543" t="s">
        <v>3040</v>
      </c>
      <c r="AG361" s="543" t="s">
        <v>34</v>
      </c>
      <c r="AH361" s="543" t="s">
        <v>34</v>
      </c>
      <c r="AI361" s="543" t="s">
        <v>34</v>
      </c>
      <c r="AJ361" s="543" t="s">
        <v>34</v>
      </c>
      <c r="AK361" s="543" t="s">
        <v>1818</v>
      </c>
      <c r="AL361" s="543" t="s">
        <v>34</v>
      </c>
      <c r="AM361" s="61" t="s">
        <v>4495</v>
      </c>
      <c r="AN361" s="541">
        <v>0</v>
      </c>
      <c r="AO361" s="541">
        <v>0</v>
      </c>
      <c r="AP361" s="61"/>
      <c r="CG361" t="str">
        <v>COMPOSITE MOLDING AND ASSEMBLY, LLC.</v>
      </c>
    </row>
    <row r="362" spans="1:85" x14ac:dyDescent="0.2">
      <c r="A362" s="61">
        <v>361</v>
      </c>
      <c r="B362" s="542" t="s">
        <v>1140</v>
      </c>
      <c r="C362" s="543" t="s">
        <v>1622</v>
      </c>
      <c r="D362" s="543" t="s">
        <v>3884</v>
      </c>
      <c r="E362" s="543" t="s">
        <v>1764</v>
      </c>
      <c r="F362" s="543" t="s">
        <v>1701</v>
      </c>
      <c r="G362" s="543" t="s">
        <v>34</v>
      </c>
      <c r="H362" s="543" t="s">
        <v>1821</v>
      </c>
      <c r="I362" s="543" t="s">
        <v>5342</v>
      </c>
      <c r="J362" s="543" t="s">
        <v>1461</v>
      </c>
      <c r="K362" s="543" t="s">
        <v>1622</v>
      </c>
      <c r="L362" s="543" t="s">
        <v>2961</v>
      </c>
      <c r="M362" s="544">
        <v>17160</v>
      </c>
      <c r="N362" s="543" t="s">
        <v>1622</v>
      </c>
      <c r="O362" s="543" t="s">
        <v>2092</v>
      </c>
      <c r="P362" s="543" t="s">
        <v>2016</v>
      </c>
      <c r="Q362" s="543" t="s">
        <v>1897</v>
      </c>
      <c r="R362" s="543" t="s">
        <v>1814</v>
      </c>
      <c r="S362" s="543" t="s">
        <v>3173</v>
      </c>
      <c r="T362" s="543">
        <v>339.3</v>
      </c>
      <c r="U362" s="543" t="s">
        <v>1642</v>
      </c>
      <c r="V362" s="543" t="s">
        <v>2961</v>
      </c>
      <c r="W362" s="543" t="s">
        <v>1948</v>
      </c>
      <c r="X362" s="543" t="s">
        <v>1815</v>
      </c>
      <c r="Y362" s="543" t="s">
        <v>2961</v>
      </c>
      <c r="Z362" s="543" t="s">
        <v>1948</v>
      </c>
      <c r="AA362" s="543" t="s">
        <v>1815</v>
      </c>
      <c r="AB362" s="543" t="s">
        <v>34</v>
      </c>
      <c r="AC362" s="543" t="s">
        <v>1816</v>
      </c>
      <c r="AD362" s="543" t="s">
        <v>1817</v>
      </c>
      <c r="AE362" s="543" t="s">
        <v>1455</v>
      </c>
      <c r="AF362" s="543" t="s">
        <v>3040</v>
      </c>
      <c r="AG362" s="543" t="s">
        <v>34</v>
      </c>
      <c r="AH362" s="543" t="s">
        <v>34</v>
      </c>
      <c r="AI362" s="543" t="s">
        <v>34</v>
      </c>
      <c r="AJ362" s="543" t="s">
        <v>34</v>
      </c>
      <c r="AK362" s="543" t="s">
        <v>1818</v>
      </c>
      <c r="AL362" s="543" t="s">
        <v>34</v>
      </c>
      <c r="AM362" s="61" t="s">
        <v>4495</v>
      </c>
      <c r="AN362" s="541">
        <v>0</v>
      </c>
      <c r="AO362" s="541">
        <v>0</v>
      </c>
      <c r="AP362" s="61"/>
      <c r="CG362" t="str">
        <v>CONCORDIA TECHNOLOGIES</v>
      </c>
    </row>
    <row r="363" spans="1:85" x14ac:dyDescent="0.2">
      <c r="A363" s="61">
        <v>362</v>
      </c>
      <c r="B363" s="542" t="s">
        <v>1140</v>
      </c>
      <c r="C363" s="543" t="s">
        <v>1152</v>
      </c>
      <c r="D363" s="543" t="s">
        <v>3885</v>
      </c>
      <c r="E363" s="543" t="s">
        <v>1764</v>
      </c>
      <c r="F363" s="543" t="s">
        <v>1701</v>
      </c>
      <c r="G363" s="543" t="s">
        <v>34</v>
      </c>
      <c r="H363" s="543" t="s">
        <v>1821</v>
      </c>
      <c r="I363" s="543" t="s">
        <v>5356</v>
      </c>
      <c r="J363" s="543" t="s">
        <v>1809</v>
      </c>
      <c r="K363" s="543" t="s">
        <v>1998</v>
      </c>
      <c r="L363" s="543" t="s">
        <v>2970</v>
      </c>
      <c r="M363" s="544" t="s">
        <v>1152</v>
      </c>
      <c r="N363" s="543" t="s">
        <v>1152</v>
      </c>
      <c r="O363" s="543" t="s">
        <v>2971</v>
      </c>
      <c r="P363" s="543" t="s">
        <v>2064</v>
      </c>
      <c r="Q363" s="543" t="s">
        <v>1897</v>
      </c>
      <c r="R363" s="543" t="s">
        <v>1973</v>
      </c>
      <c r="S363" s="543" t="s">
        <v>3174</v>
      </c>
      <c r="T363" s="543">
        <v>2744</v>
      </c>
      <c r="U363" s="543" t="s">
        <v>1642</v>
      </c>
      <c r="V363" s="543" t="s">
        <v>2972</v>
      </c>
      <c r="W363" s="543" t="s">
        <v>1152</v>
      </c>
      <c r="X363" s="543" t="s">
        <v>1923</v>
      </c>
      <c r="Y363" s="543" t="s">
        <v>2973</v>
      </c>
      <c r="Z363" s="543">
        <v>500445</v>
      </c>
      <c r="AA363" s="543" t="s">
        <v>1815</v>
      </c>
      <c r="AB363" s="543" t="s">
        <v>4535</v>
      </c>
      <c r="AC363" s="543" t="s">
        <v>1816</v>
      </c>
      <c r="AD363" s="543" t="s">
        <v>1817</v>
      </c>
      <c r="AE363" s="543" t="s">
        <v>1455</v>
      </c>
      <c r="AF363" s="543" t="s">
        <v>3040</v>
      </c>
      <c r="AG363" s="543" t="s">
        <v>34</v>
      </c>
      <c r="AH363" s="543" t="s">
        <v>34</v>
      </c>
      <c r="AI363" s="543" t="s">
        <v>34</v>
      </c>
      <c r="AJ363" s="543" t="s">
        <v>34</v>
      </c>
      <c r="AK363" s="543" t="s">
        <v>1818</v>
      </c>
      <c r="AL363" s="543" t="s">
        <v>34</v>
      </c>
      <c r="AM363" s="61" t="s">
        <v>4512</v>
      </c>
      <c r="AN363" s="541">
        <v>0</v>
      </c>
      <c r="AO363" s="541">
        <v>0</v>
      </c>
      <c r="AP363" s="61"/>
      <c r="CG363" t="str">
        <v>CONRAD MACHINE AND RAIL</v>
      </c>
    </row>
    <row r="364" spans="1:85" x14ac:dyDescent="0.2">
      <c r="A364" s="61">
        <v>363</v>
      </c>
      <c r="B364" s="542" t="s">
        <v>1140</v>
      </c>
      <c r="C364" s="543" t="s">
        <v>1146</v>
      </c>
      <c r="D364" s="543" t="s">
        <v>3886</v>
      </c>
      <c r="E364" s="543" t="s">
        <v>1764</v>
      </c>
      <c r="F364" s="543" t="s">
        <v>1701</v>
      </c>
      <c r="G364" s="543" t="s">
        <v>34</v>
      </c>
      <c r="H364" s="543" t="s">
        <v>1821</v>
      </c>
      <c r="I364" s="543" t="s">
        <v>5342</v>
      </c>
      <c r="J364" s="543" t="s">
        <v>1461</v>
      </c>
      <c r="K364" s="543" t="s">
        <v>1825</v>
      </c>
      <c r="L364" s="543" t="s">
        <v>2496</v>
      </c>
      <c r="M364" s="544" t="s">
        <v>2964</v>
      </c>
      <c r="N364" s="543" t="s">
        <v>1146</v>
      </c>
      <c r="O364" s="543" t="s">
        <v>109</v>
      </c>
      <c r="P364" s="543" t="s">
        <v>2370</v>
      </c>
      <c r="Q364" s="543" t="s">
        <v>1897</v>
      </c>
      <c r="R364" s="543" t="s">
        <v>1814</v>
      </c>
      <c r="S364" s="543" t="s">
        <v>3178</v>
      </c>
      <c r="T364" s="543">
        <v>19.3</v>
      </c>
      <c r="U364" s="543" t="s">
        <v>1642</v>
      </c>
      <c r="V364" s="543" t="s">
        <v>2601</v>
      </c>
      <c r="W364" s="543" t="s">
        <v>2965</v>
      </c>
      <c r="X364" s="543" t="s">
        <v>1815</v>
      </c>
      <c r="Y364" s="543" t="s">
        <v>109</v>
      </c>
      <c r="Z364" s="543" t="s">
        <v>109</v>
      </c>
      <c r="AA364" s="543" t="s">
        <v>109</v>
      </c>
      <c r="AB364" s="543" t="s">
        <v>34</v>
      </c>
      <c r="AC364" s="543" t="s">
        <v>1816</v>
      </c>
      <c r="AD364" s="543" t="s">
        <v>1817</v>
      </c>
      <c r="AE364" s="543" t="s">
        <v>1455</v>
      </c>
      <c r="AF364" s="543">
        <v>10</v>
      </c>
      <c r="AG364" s="543">
        <v>0.1</v>
      </c>
      <c r="AH364" s="543">
        <v>0.15</v>
      </c>
      <c r="AI364" s="543" t="s">
        <v>34</v>
      </c>
      <c r="AJ364" s="543" t="s">
        <v>34</v>
      </c>
      <c r="AK364" s="543" t="s">
        <v>1818</v>
      </c>
      <c r="AL364" s="543" t="s">
        <v>34</v>
      </c>
      <c r="AM364" s="61" t="s">
        <v>4498</v>
      </c>
      <c r="AN364" s="541">
        <v>0</v>
      </c>
      <c r="AO364" s="541">
        <v>0</v>
      </c>
      <c r="AP364" s="61"/>
      <c r="CG364" t="str">
        <v>CONSOLIDATED MANUFACTURING, INC.</v>
      </c>
    </row>
    <row r="365" spans="1:85" x14ac:dyDescent="0.2">
      <c r="A365" s="61">
        <v>364</v>
      </c>
      <c r="B365" s="542" t="s">
        <v>1140</v>
      </c>
      <c r="C365" s="543" t="s">
        <v>1148</v>
      </c>
      <c r="D365" s="543" t="s">
        <v>3887</v>
      </c>
      <c r="E365" s="543" t="s">
        <v>1764</v>
      </c>
      <c r="F365" s="543" t="s">
        <v>1701</v>
      </c>
      <c r="G365" s="543" t="s">
        <v>34</v>
      </c>
      <c r="H365" s="543" t="s">
        <v>1821</v>
      </c>
      <c r="I365" s="543" t="s">
        <v>5342</v>
      </c>
      <c r="J365" s="543" t="s">
        <v>1461</v>
      </c>
      <c r="K365" s="543" t="s">
        <v>1825</v>
      </c>
      <c r="L365" s="543" t="s">
        <v>2966</v>
      </c>
      <c r="M365" s="544" t="s">
        <v>2967</v>
      </c>
      <c r="N365" s="543" t="s">
        <v>1148</v>
      </c>
      <c r="O365" s="543" t="s">
        <v>2092</v>
      </c>
      <c r="P365" s="543" t="s">
        <v>3179</v>
      </c>
      <c r="Q365" s="543" t="s">
        <v>1897</v>
      </c>
      <c r="R365" s="543" t="s">
        <v>1814</v>
      </c>
      <c r="S365" s="543" t="s">
        <v>3180</v>
      </c>
      <c r="T365" s="543">
        <v>169</v>
      </c>
      <c r="U365" s="543" t="s">
        <v>1642</v>
      </c>
      <c r="V365" s="543" t="s">
        <v>2968</v>
      </c>
      <c r="W365" s="543">
        <v>156602</v>
      </c>
      <c r="X365" s="543" t="s">
        <v>1815</v>
      </c>
      <c r="Y365" s="543" t="s">
        <v>2968</v>
      </c>
      <c r="Z365" s="543">
        <v>156602</v>
      </c>
      <c r="AA365" s="543" t="s">
        <v>1815</v>
      </c>
      <c r="AB365" s="543" t="s">
        <v>34</v>
      </c>
      <c r="AC365" s="543" t="s">
        <v>1816</v>
      </c>
      <c r="AD365" s="543" t="s">
        <v>1817</v>
      </c>
      <c r="AE365" s="543" t="s">
        <v>1455</v>
      </c>
      <c r="AF365" s="543" t="s">
        <v>3040</v>
      </c>
      <c r="AG365" s="543" t="s">
        <v>34</v>
      </c>
      <c r="AH365" s="543" t="s">
        <v>34</v>
      </c>
      <c r="AI365" s="543" t="s">
        <v>34</v>
      </c>
      <c r="AJ365" s="543" t="s">
        <v>34</v>
      </c>
      <c r="AK365" s="543" t="s">
        <v>1818</v>
      </c>
      <c r="AL365" s="543" t="s">
        <v>34</v>
      </c>
      <c r="AM365" s="61" t="s">
        <v>4498</v>
      </c>
      <c r="AN365" s="541">
        <v>0</v>
      </c>
      <c r="AO365" s="541">
        <v>0</v>
      </c>
      <c r="AP365" s="61"/>
      <c r="CG365" t="str">
        <v>CONSTAR PLASTICS</v>
      </c>
    </row>
    <row r="366" spans="1:85" x14ac:dyDescent="0.2">
      <c r="A366" s="61">
        <v>365</v>
      </c>
      <c r="B366" s="542" t="s">
        <v>1140</v>
      </c>
      <c r="C366" s="543" t="s">
        <v>1150</v>
      </c>
      <c r="D366" s="543" t="s">
        <v>3888</v>
      </c>
      <c r="E366" s="543" t="s">
        <v>1764</v>
      </c>
      <c r="F366" s="543" t="s">
        <v>1701</v>
      </c>
      <c r="G366" s="543" t="s">
        <v>34</v>
      </c>
      <c r="H366" s="543" t="s">
        <v>1821</v>
      </c>
      <c r="I366" s="543" t="s">
        <v>5342</v>
      </c>
      <c r="J366" s="543" t="s">
        <v>1461</v>
      </c>
      <c r="K366" s="543" t="s">
        <v>1825</v>
      </c>
      <c r="L366" s="543" t="s">
        <v>2966</v>
      </c>
      <c r="M366" s="544" t="s">
        <v>2969</v>
      </c>
      <c r="N366" s="543" t="s">
        <v>1150</v>
      </c>
      <c r="O366" s="543" t="s">
        <v>2092</v>
      </c>
      <c r="P366" s="543" t="s">
        <v>3179</v>
      </c>
      <c r="Q366" s="543" t="s">
        <v>1897</v>
      </c>
      <c r="R366" s="543" t="s">
        <v>1814</v>
      </c>
      <c r="S366" s="543" t="s">
        <v>3180</v>
      </c>
      <c r="T366" s="543">
        <v>169</v>
      </c>
      <c r="U366" s="543" t="s">
        <v>1642</v>
      </c>
      <c r="V366" s="543" t="s">
        <v>2968</v>
      </c>
      <c r="W366" s="543">
        <v>156603002</v>
      </c>
      <c r="X366" s="543" t="s">
        <v>1815</v>
      </c>
      <c r="Y366" s="543" t="s">
        <v>2968</v>
      </c>
      <c r="Z366" s="543">
        <v>156603002</v>
      </c>
      <c r="AA366" s="543" t="s">
        <v>1815</v>
      </c>
      <c r="AB366" s="543" t="s">
        <v>34</v>
      </c>
      <c r="AC366" s="543" t="s">
        <v>1816</v>
      </c>
      <c r="AD366" s="543" t="s">
        <v>1817</v>
      </c>
      <c r="AE366" s="543" t="s">
        <v>1455</v>
      </c>
      <c r="AF366" s="543" t="s">
        <v>3040</v>
      </c>
      <c r="AG366" s="543" t="s">
        <v>34</v>
      </c>
      <c r="AH366" s="543" t="s">
        <v>34</v>
      </c>
      <c r="AI366" s="543" t="s">
        <v>34</v>
      </c>
      <c r="AJ366" s="543" t="s">
        <v>34</v>
      </c>
      <c r="AK366" s="543" t="s">
        <v>1818</v>
      </c>
      <c r="AL366" s="543" t="s">
        <v>34</v>
      </c>
      <c r="AM366" s="61" t="s">
        <v>4498</v>
      </c>
      <c r="AN366" s="541">
        <v>0</v>
      </c>
      <c r="AO366" s="541">
        <v>0</v>
      </c>
      <c r="AP366" s="61"/>
      <c r="CG366" t="str">
        <v>CONTECH</v>
      </c>
    </row>
    <row r="367" spans="1:85" x14ac:dyDescent="0.2">
      <c r="A367" s="61">
        <v>366</v>
      </c>
      <c r="B367" s="542" t="s">
        <v>1140</v>
      </c>
      <c r="C367" s="543" t="s">
        <v>4319</v>
      </c>
      <c r="D367" s="543" t="s">
        <v>4320</v>
      </c>
      <c r="E367" s="543" t="s">
        <v>1764</v>
      </c>
      <c r="F367" s="543" t="s">
        <v>1701</v>
      </c>
      <c r="G367" s="543" t="s">
        <v>34</v>
      </c>
      <c r="H367" s="543" t="s">
        <v>1821</v>
      </c>
      <c r="I367" s="543" t="s">
        <v>5342</v>
      </c>
      <c r="J367" s="543" t="s">
        <v>1461</v>
      </c>
      <c r="K367" s="543" t="s">
        <v>4319</v>
      </c>
      <c r="L367" s="543" t="s">
        <v>1948</v>
      </c>
      <c r="M367" s="544">
        <v>1234</v>
      </c>
      <c r="N367" s="543" t="s">
        <v>4319</v>
      </c>
      <c r="O367" s="543" t="s">
        <v>2092</v>
      </c>
      <c r="P367" s="543" t="s">
        <v>4321</v>
      </c>
      <c r="Q367" s="543" t="s">
        <v>4321</v>
      </c>
      <c r="R367" s="543" t="s">
        <v>1814</v>
      </c>
      <c r="S367" s="543" t="s">
        <v>4322</v>
      </c>
      <c r="T367" s="543">
        <v>800</v>
      </c>
      <c r="U367" s="543" t="s">
        <v>1642</v>
      </c>
      <c r="V367" s="543" t="s">
        <v>109</v>
      </c>
      <c r="W367" s="543" t="s">
        <v>109</v>
      </c>
      <c r="X367" s="543" t="s">
        <v>109</v>
      </c>
      <c r="Y367" s="543" t="s">
        <v>4323</v>
      </c>
      <c r="Z367" s="543">
        <v>50048</v>
      </c>
      <c r="AA367" s="543" t="s">
        <v>1894</v>
      </c>
      <c r="AB367" s="543" t="s">
        <v>34</v>
      </c>
      <c r="AC367" s="543" t="s">
        <v>1816</v>
      </c>
      <c r="AD367" s="543" t="s">
        <v>1817</v>
      </c>
      <c r="AE367" s="543" t="s">
        <v>1455</v>
      </c>
      <c r="AF367" s="543" t="s">
        <v>34</v>
      </c>
      <c r="AG367" s="543" t="s">
        <v>34</v>
      </c>
      <c r="AH367" s="543" t="s">
        <v>34</v>
      </c>
      <c r="AI367" s="543" t="s">
        <v>34</v>
      </c>
      <c r="AJ367" s="543" t="s">
        <v>34</v>
      </c>
      <c r="AK367" s="543" t="s">
        <v>1818</v>
      </c>
      <c r="AL367" s="543" t="s">
        <v>34</v>
      </c>
      <c r="AM367" s="61" t="s">
        <v>4512</v>
      </c>
      <c r="AN367" s="541">
        <v>0</v>
      </c>
      <c r="AO367" s="541">
        <v>0</v>
      </c>
      <c r="AP367" s="61"/>
      <c r="CG367" t="str">
        <v>CONTITECH USA, LLC</v>
      </c>
    </row>
    <row r="368" spans="1:85" x14ac:dyDescent="0.2">
      <c r="A368" s="61">
        <v>367</v>
      </c>
      <c r="B368" s="542" t="s">
        <v>1140</v>
      </c>
      <c r="C368" s="543" t="s">
        <v>1143</v>
      </c>
      <c r="D368" s="543" t="s">
        <v>3889</v>
      </c>
      <c r="E368" s="543" t="s">
        <v>1764</v>
      </c>
      <c r="F368" s="543" t="s">
        <v>1701</v>
      </c>
      <c r="G368" s="543" t="s">
        <v>34</v>
      </c>
      <c r="H368" s="543" t="s">
        <v>1821</v>
      </c>
      <c r="I368" s="543" t="s">
        <v>5342</v>
      </c>
      <c r="J368" s="543" t="s">
        <v>1461</v>
      </c>
      <c r="K368" s="543" t="s">
        <v>1997</v>
      </c>
      <c r="L368" s="543" t="s">
        <v>2961</v>
      </c>
      <c r="M368" s="544">
        <v>9139</v>
      </c>
      <c r="N368" s="543" t="s">
        <v>1143</v>
      </c>
      <c r="O368" s="543" t="s">
        <v>2092</v>
      </c>
      <c r="P368" s="543" t="s">
        <v>2114</v>
      </c>
      <c r="Q368" s="543" t="s">
        <v>1897</v>
      </c>
      <c r="R368" s="543" t="s">
        <v>1814</v>
      </c>
      <c r="S368" s="543" t="s">
        <v>3175</v>
      </c>
      <c r="T368" s="543">
        <v>42.4</v>
      </c>
      <c r="U368" s="543" t="s">
        <v>1642</v>
      </c>
      <c r="V368" s="543" t="s">
        <v>2962</v>
      </c>
      <c r="W368" s="543" t="s">
        <v>1936</v>
      </c>
      <c r="X368" s="543" t="s">
        <v>2431</v>
      </c>
      <c r="Y368" s="543" t="s">
        <v>2962</v>
      </c>
      <c r="Z368" s="543" t="s">
        <v>1936</v>
      </c>
      <c r="AA368" s="543" t="s">
        <v>2431</v>
      </c>
      <c r="AB368" s="543" t="s">
        <v>4095</v>
      </c>
      <c r="AC368" s="543" t="s">
        <v>1816</v>
      </c>
      <c r="AD368" s="543" t="s">
        <v>1817</v>
      </c>
      <c r="AE368" s="543" t="s">
        <v>1455</v>
      </c>
      <c r="AF368" s="543" t="s">
        <v>3570</v>
      </c>
      <c r="AG368" s="543" t="s">
        <v>3571</v>
      </c>
      <c r="AH368" s="543" t="s">
        <v>34</v>
      </c>
      <c r="AI368" s="543" t="s">
        <v>34</v>
      </c>
      <c r="AJ368" s="543" t="s">
        <v>34</v>
      </c>
      <c r="AK368" s="543" t="s">
        <v>1818</v>
      </c>
      <c r="AL368" s="543" t="s">
        <v>34</v>
      </c>
      <c r="AM368" s="61" t="s">
        <v>4516</v>
      </c>
      <c r="AN368" s="541">
        <v>0</v>
      </c>
      <c r="AO368" s="541">
        <v>0</v>
      </c>
      <c r="AP368" s="61"/>
      <c r="CG368" t="str">
        <v>COPERION K-TRON SALINA, INC.</v>
      </c>
    </row>
    <row r="369" spans="1:85" x14ac:dyDescent="0.2">
      <c r="A369" s="61">
        <v>368</v>
      </c>
      <c r="B369" s="542" t="s">
        <v>4956</v>
      </c>
      <c r="C369" s="543" t="s">
        <v>4957</v>
      </c>
      <c r="D369" s="543" t="s">
        <v>4958</v>
      </c>
      <c r="E369" s="543" t="s">
        <v>4959</v>
      </c>
      <c r="F369" s="543" t="s">
        <v>4960</v>
      </c>
      <c r="G369" s="543" t="s">
        <v>34</v>
      </c>
      <c r="H369" s="543" t="s">
        <v>1821</v>
      </c>
      <c r="I369" s="543" t="s">
        <v>5342</v>
      </c>
      <c r="J369" s="543" t="s">
        <v>1461</v>
      </c>
      <c r="K369" s="543" t="s">
        <v>4957</v>
      </c>
      <c r="L369" s="543" t="s">
        <v>4961</v>
      </c>
      <c r="M369" s="544" t="s">
        <v>4962</v>
      </c>
      <c r="N369" s="543" t="s">
        <v>4957</v>
      </c>
      <c r="O369" s="543" t="s">
        <v>2092</v>
      </c>
      <c r="P369" s="543" t="s">
        <v>4321</v>
      </c>
      <c r="Q369" s="543" t="s">
        <v>4321</v>
      </c>
      <c r="R369" s="543" t="s">
        <v>1814</v>
      </c>
      <c r="S369" s="543" t="s">
        <v>4963</v>
      </c>
      <c r="T369" s="543">
        <v>4725.9526999999998</v>
      </c>
      <c r="U369" s="543" t="s">
        <v>1642</v>
      </c>
      <c r="V369" s="543" t="s">
        <v>109</v>
      </c>
      <c r="W369" s="543" t="s">
        <v>109</v>
      </c>
      <c r="X369" s="543" t="s">
        <v>109</v>
      </c>
      <c r="Y369" s="543" t="s">
        <v>4964</v>
      </c>
      <c r="Z369" s="543" t="s">
        <v>4965</v>
      </c>
      <c r="AA369" s="543" t="s">
        <v>1894</v>
      </c>
      <c r="AB369" s="543" t="s">
        <v>34</v>
      </c>
      <c r="AC369" s="543" t="s">
        <v>1816</v>
      </c>
      <c r="AD369" s="543" t="s">
        <v>1817</v>
      </c>
      <c r="AE369" s="543" t="s">
        <v>1455</v>
      </c>
      <c r="AF369" s="543" t="s">
        <v>109</v>
      </c>
      <c r="AG369" s="543" t="s">
        <v>34</v>
      </c>
      <c r="AH369" s="543" t="s">
        <v>34</v>
      </c>
      <c r="AI369" s="543" t="s">
        <v>34</v>
      </c>
      <c r="AJ369" s="543" t="s">
        <v>34</v>
      </c>
      <c r="AK369" s="543" t="s">
        <v>1818</v>
      </c>
      <c r="AL369" s="543" t="s">
        <v>34</v>
      </c>
      <c r="AM369" s="61" t="s">
        <v>4512</v>
      </c>
      <c r="AN369" s="541"/>
      <c r="AO369" s="541"/>
      <c r="AP369" s="61"/>
      <c r="CG369" t="str">
        <v>COREY VIAR WELDFIT</v>
      </c>
    </row>
    <row r="370" spans="1:85" x14ac:dyDescent="0.2">
      <c r="A370" s="61">
        <v>369</v>
      </c>
      <c r="B370" s="542" t="s">
        <v>1154</v>
      </c>
      <c r="C370" s="543" t="s">
        <v>1670</v>
      </c>
      <c r="D370" s="543" t="s">
        <v>3890</v>
      </c>
      <c r="E370" s="543" t="s">
        <v>1765</v>
      </c>
      <c r="F370" s="543" t="s">
        <v>1766</v>
      </c>
      <c r="G370" s="543" t="s">
        <v>34</v>
      </c>
      <c r="H370" s="543" t="s">
        <v>1821</v>
      </c>
      <c r="I370" s="543" t="s">
        <v>5342</v>
      </c>
      <c r="J370" s="543" t="s">
        <v>1461</v>
      </c>
      <c r="K370" s="543" t="s">
        <v>2974</v>
      </c>
      <c r="L370" s="543" t="s">
        <v>2975</v>
      </c>
      <c r="M370" s="544">
        <v>127568</v>
      </c>
      <c r="N370" s="543" t="s">
        <v>1670</v>
      </c>
      <c r="O370" s="543" t="s">
        <v>2092</v>
      </c>
      <c r="P370" s="543" t="s">
        <v>3181</v>
      </c>
      <c r="Q370" s="543" t="s">
        <v>1897</v>
      </c>
      <c r="R370" s="543" t="s">
        <v>1814</v>
      </c>
      <c r="S370" s="543" t="s">
        <v>3182</v>
      </c>
      <c r="T370" s="543">
        <v>35.299999999999997</v>
      </c>
      <c r="U370" s="543" t="s">
        <v>1642</v>
      </c>
      <c r="V370" s="543" t="s">
        <v>2976</v>
      </c>
      <c r="W370" s="543">
        <v>152326</v>
      </c>
      <c r="X370" s="543" t="s">
        <v>1815</v>
      </c>
      <c r="Y370" s="543" t="s">
        <v>2977</v>
      </c>
      <c r="Z370" s="543">
        <v>12758</v>
      </c>
      <c r="AA370" s="543" t="s">
        <v>1815</v>
      </c>
      <c r="AB370" s="543" t="s">
        <v>34</v>
      </c>
      <c r="AC370" s="543" t="s">
        <v>1816</v>
      </c>
      <c r="AD370" s="543" t="s">
        <v>1817</v>
      </c>
      <c r="AE370" s="543" t="s">
        <v>1455</v>
      </c>
      <c r="AF370" s="543" t="s">
        <v>3040</v>
      </c>
      <c r="AG370" s="543" t="s">
        <v>34</v>
      </c>
      <c r="AH370" s="543" t="s">
        <v>34</v>
      </c>
      <c r="AI370" s="543" t="s">
        <v>34</v>
      </c>
      <c r="AJ370" s="543" t="s">
        <v>34</v>
      </c>
      <c r="AK370" s="543" t="s">
        <v>1818</v>
      </c>
      <c r="AL370" s="543" t="s">
        <v>34</v>
      </c>
      <c r="AM370" s="61" t="s">
        <v>4495</v>
      </c>
      <c r="AN370" s="541">
        <v>0</v>
      </c>
      <c r="AO370" s="541">
        <v>0</v>
      </c>
      <c r="AP370" s="61"/>
      <c r="CG370" t="str">
        <v>CORMER GROUP INDUSTRIES INC.</v>
      </c>
    </row>
    <row r="371" spans="1:85" x14ac:dyDescent="0.2">
      <c r="A371" s="61">
        <v>370</v>
      </c>
      <c r="B371" s="542" t="s">
        <v>1154</v>
      </c>
      <c r="C371" s="543" t="s">
        <v>1158</v>
      </c>
      <c r="D371" s="543" t="s">
        <v>3891</v>
      </c>
      <c r="E371" s="543" t="s">
        <v>1765</v>
      </c>
      <c r="F371" s="543" t="s">
        <v>1766</v>
      </c>
      <c r="G371" s="543" t="s">
        <v>34</v>
      </c>
      <c r="H371" s="543" t="s">
        <v>1821</v>
      </c>
      <c r="I371" s="543" t="s">
        <v>5342</v>
      </c>
      <c r="J371" s="543" t="s">
        <v>1461</v>
      </c>
      <c r="K371" s="543" t="s">
        <v>2978</v>
      </c>
      <c r="L371" s="543" t="s">
        <v>2979</v>
      </c>
      <c r="M371" s="544" t="s">
        <v>1158</v>
      </c>
      <c r="N371" s="543" t="s">
        <v>1158</v>
      </c>
      <c r="O371" s="543" t="s">
        <v>2092</v>
      </c>
      <c r="P371" s="543" t="s">
        <v>3183</v>
      </c>
      <c r="Q371" s="543" t="s">
        <v>1819</v>
      </c>
      <c r="R371" s="543" t="s">
        <v>1814</v>
      </c>
      <c r="S371" s="543" t="s">
        <v>3184</v>
      </c>
      <c r="T371" s="543">
        <v>2.6</v>
      </c>
      <c r="U371" s="543" t="s">
        <v>1642</v>
      </c>
      <c r="V371" s="543" t="s">
        <v>2980</v>
      </c>
      <c r="W371" s="543" t="s">
        <v>1158</v>
      </c>
      <c r="X371" s="543" t="s">
        <v>1894</v>
      </c>
      <c r="Y371" s="543" t="s">
        <v>109</v>
      </c>
      <c r="Z371" s="543" t="s">
        <v>109</v>
      </c>
      <c r="AA371" s="543" t="s">
        <v>109</v>
      </c>
      <c r="AB371" s="543" t="s">
        <v>2687</v>
      </c>
      <c r="AC371" s="543" t="s">
        <v>1816</v>
      </c>
      <c r="AD371" s="543" t="s">
        <v>1817</v>
      </c>
      <c r="AE371" s="543" t="s">
        <v>1455</v>
      </c>
      <c r="AF371" s="543" t="s">
        <v>3040</v>
      </c>
      <c r="AG371" s="543" t="s">
        <v>34</v>
      </c>
      <c r="AH371" s="543" t="s">
        <v>34</v>
      </c>
      <c r="AI371" s="543" t="s">
        <v>34</v>
      </c>
      <c r="AJ371" s="543" t="s">
        <v>34</v>
      </c>
      <c r="AK371" s="543" t="s">
        <v>1818</v>
      </c>
      <c r="AL371" s="543" t="s">
        <v>34</v>
      </c>
      <c r="AM371" s="61" t="s">
        <v>4495</v>
      </c>
      <c r="AN371" s="541">
        <v>0</v>
      </c>
      <c r="AO371" s="541">
        <v>0</v>
      </c>
      <c r="AP371" s="61"/>
      <c r="CG371" t="str">
        <v>CORNEJO &amp; SONS, INC.</v>
      </c>
    </row>
    <row r="372" spans="1:85" x14ac:dyDescent="0.2">
      <c r="A372" s="61">
        <v>371</v>
      </c>
      <c r="B372" s="542" t="s">
        <v>1154</v>
      </c>
      <c r="C372" s="543">
        <v>411462</v>
      </c>
      <c r="D372" s="543" t="s">
        <v>4522</v>
      </c>
      <c r="E372" s="543" t="s">
        <v>1765</v>
      </c>
      <c r="F372" s="543" t="s">
        <v>1766</v>
      </c>
      <c r="G372" s="543" t="s">
        <v>34</v>
      </c>
      <c r="H372" s="543" t="s">
        <v>1821</v>
      </c>
      <c r="I372" s="543" t="s">
        <v>5342</v>
      </c>
      <c r="J372" s="543" t="s">
        <v>1461</v>
      </c>
      <c r="K372" s="543" t="s">
        <v>1825</v>
      </c>
      <c r="L372" s="543" t="s">
        <v>2963</v>
      </c>
      <c r="M372" s="544">
        <v>411462</v>
      </c>
      <c r="N372" s="543">
        <v>411462</v>
      </c>
      <c r="O372" s="543" t="s">
        <v>665</v>
      </c>
      <c r="P372" s="543" t="s">
        <v>2808</v>
      </c>
      <c r="Q372" s="543" t="s">
        <v>1897</v>
      </c>
      <c r="R372" s="543" t="s">
        <v>1878</v>
      </c>
      <c r="S372" s="543" t="s">
        <v>3177</v>
      </c>
      <c r="T372" s="543">
        <v>117.1</v>
      </c>
      <c r="U372" s="543" t="s">
        <v>1642</v>
      </c>
      <c r="V372" s="543" t="s">
        <v>3054</v>
      </c>
      <c r="W372" s="543">
        <v>411462</v>
      </c>
      <c r="X372" s="543" t="s">
        <v>1963</v>
      </c>
      <c r="Y372" s="543" t="s">
        <v>3054</v>
      </c>
      <c r="Z372" s="543">
        <v>411462</v>
      </c>
      <c r="AA372" s="543" t="s">
        <v>1963</v>
      </c>
      <c r="AB372" s="543" t="s">
        <v>4055</v>
      </c>
      <c r="AC372" s="543" t="s">
        <v>1816</v>
      </c>
      <c r="AD372" s="543" t="s">
        <v>1817</v>
      </c>
      <c r="AE372" s="543" t="s">
        <v>1455</v>
      </c>
      <c r="AF372" s="543" t="s">
        <v>3040</v>
      </c>
      <c r="AG372" s="543" t="s">
        <v>34</v>
      </c>
      <c r="AH372" s="543" t="s">
        <v>34</v>
      </c>
      <c r="AI372" s="543" t="s">
        <v>34</v>
      </c>
      <c r="AJ372" s="543" t="s">
        <v>34</v>
      </c>
      <c r="AK372" s="543" t="s">
        <v>1818</v>
      </c>
      <c r="AL372" s="543" t="s">
        <v>34</v>
      </c>
      <c r="AM372" s="61" t="s">
        <v>4498</v>
      </c>
      <c r="AN372" s="541">
        <v>0</v>
      </c>
      <c r="AO372" s="541">
        <v>0</v>
      </c>
      <c r="AP372" s="61"/>
      <c r="CG372" t="str">
        <v>COTTONWOOD PEDIATRICS</v>
      </c>
    </row>
    <row r="373" spans="1:85" x14ac:dyDescent="0.2">
      <c r="A373" s="61">
        <v>372</v>
      </c>
      <c r="B373" s="542" t="s">
        <v>1154</v>
      </c>
      <c r="C373" s="543" t="s">
        <v>1156</v>
      </c>
      <c r="D373" s="543" t="s">
        <v>3892</v>
      </c>
      <c r="E373" s="543" t="s">
        <v>1765</v>
      </c>
      <c r="F373" s="543" t="s">
        <v>1766</v>
      </c>
      <c r="G373" s="543" t="s">
        <v>34</v>
      </c>
      <c r="H373" s="543" t="s">
        <v>1821</v>
      </c>
      <c r="I373" s="543" t="s">
        <v>5342</v>
      </c>
      <c r="J373" s="543" t="s">
        <v>1461</v>
      </c>
      <c r="K373" s="543" t="s">
        <v>1600</v>
      </c>
      <c r="L373" s="543" t="s">
        <v>2981</v>
      </c>
      <c r="M373" s="544" t="s">
        <v>1156</v>
      </c>
      <c r="N373" s="543" t="s">
        <v>1156</v>
      </c>
      <c r="O373" s="543" t="s">
        <v>665</v>
      </c>
      <c r="P373" s="543" t="s">
        <v>4473</v>
      </c>
      <c r="Q373" s="543" t="s">
        <v>1819</v>
      </c>
      <c r="R373" s="543" t="s">
        <v>1814</v>
      </c>
      <c r="S373" s="543" t="s">
        <v>3185</v>
      </c>
      <c r="T373" s="543">
        <v>5.6</v>
      </c>
      <c r="U373" s="543" t="s">
        <v>1642</v>
      </c>
      <c r="V373" s="543" t="s">
        <v>2982</v>
      </c>
      <c r="W373" s="543" t="s">
        <v>1156</v>
      </c>
      <c r="X373" s="543" t="s">
        <v>2704</v>
      </c>
      <c r="Y373" s="543" t="s">
        <v>109</v>
      </c>
      <c r="Z373" s="543" t="s">
        <v>109</v>
      </c>
      <c r="AA373" s="543" t="s">
        <v>109</v>
      </c>
      <c r="AB373" s="543" t="s">
        <v>2983</v>
      </c>
      <c r="AC373" s="543" t="s">
        <v>1816</v>
      </c>
      <c r="AD373" s="543" t="s">
        <v>1817</v>
      </c>
      <c r="AE373" s="543" t="s">
        <v>1455</v>
      </c>
      <c r="AF373" s="543" t="s">
        <v>3040</v>
      </c>
      <c r="AG373" s="543" t="s">
        <v>34</v>
      </c>
      <c r="AH373" s="543" t="s">
        <v>34</v>
      </c>
      <c r="AI373" s="543" t="s">
        <v>34</v>
      </c>
      <c r="AJ373" s="543" t="s">
        <v>34</v>
      </c>
      <c r="AK373" s="543" t="s">
        <v>1818</v>
      </c>
      <c r="AL373" s="543" t="s">
        <v>34</v>
      </c>
      <c r="AM373" s="61" t="s">
        <v>4498</v>
      </c>
      <c r="AN373" s="541">
        <v>0</v>
      </c>
      <c r="AO373" s="541">
        <v>0</v>
      </c>
      <c r="AP373" s="61"/>
      <c r="CG373" t="str">
        <v>COX AIRPARTS, LLC</v>
      </c>
    </row>
    <row r="374" spans="1:85" x14ac:dyDescent="0.2">
      <c r="A374" s="61">
        <v>373</v>
      </c>
      <c r="B374" s="542" t="s">
        <v>1672</v>
      </c>
      <c r="C374" s="543" t="s">
        <v>579</v>
      </c>
      <c r="D374" s="543" t="s">
        <v>3893</v>
      </c>
      <c r="E374" s="543" t="s">
        <v>3186</v>
      </c>
      <c r="F374" s="543" t="s">
        <v>3187</v>
      </c>
      <c r="G374" s="543" t="s">
        <v>34</v>
      </c>
      <c r="H374" s="543" t="s">
        <v>1821</v>
      </c>
      <c r="I374" s="543" t="s">
        <v>5383</v>
      </c>
      <c r="J374" s="543" t="s">
        <v>1809</v>
      </c>
      <c r="K374" s="543" t="s">
        <v>2438</v>
      </c>
      <c r="L374" s="543" t="s">
        <v>2984</v>
      </c>
      <c r="M374" s="544" t="s">
        <v>2985</v>
      </c>
      <c r="N374" s="543" t="s">
        <v>579</v>
      </c>
      <c r="O374" s="543" t="s">
        <v>5384</v>
      </c>
      <c r="P374" s="543" t="s">
        <v>3188</v>
      </c>
      <c r="Q374" s="543" t="s">
        <v>4568</v>
      </c>
      <c r="R374" s="543" t="s">
        <v>1814</v>
      </c>
      <c r="S374" s="543" t="s">
        <v>3189</v>
      </c>
      <c r="T374" s="543">
        <v>22.5</v>
      </c>
      <c r="U374" s="543" t="s">
        <v>1844</v>
      </c>
      <c r="V374" s="543" t="s">
        <v>2986</v>
      </c>
      <c r="W374" s="543" t="s">
        <v>2987</v>
      </c>
      <c r="X374" s="543" t="s">
        <v>4556</v>
      </c>
      <c r="Y374" s="543" t="s">
        <v>2988</v>
      </c>
      <c r="Z374" s="543">
        <v>17350177</v>
      </c>
      <c r="AA374" s="543" t="s">
        <v>4556</v>
      </c>
      <c r="AB374" s="543" t="s">
        <v>34</v>
      </c>
      <c r="AC374" s="543" t="s">
        <v>1816</v>
      </c>
      <c r="AD374" s="543" t="s">
        <v>1817</v>
      </c>
      <c r="AE374" s="543" t="s">
        <v>1455</v>
      </c>
      <c r="AF374" s="543">
        <v>8</v>
      </c>
      <c r="AG374" s="543">
        <v>2</v>
      </c>
      <c r="AH374" s="543" t="s">
        <v>34</v>
      </c>
      <c r="AI374" s="543" t="s">
        <v>34</v>
      </c>
      <c r="AJ374" s="543" t="s">
        <v>34</v>
      </c>
      <c r="AK374" s="543" t="s">
        <v>1818</v>
      </c>
      <c r="AL374" s="543" t="s">
        <v>34</v>
      </c>
      <c r="AM374" s="61" t="s">
        <v>4498</v>
      </c>
      <c r="AN374" s="541">
        <v>0</v>
      </c>
      <c r="AO374" s="541">
        <v>0</v>
      </c>
      <c r="AP374" s="61"/>
      <c r="CG374" t="str">
        <v>COX FLEET SERVICES</v>
      </c>
    </row>
    <row r="375" spans="1:85" s="477" customFormat="1" x14ac:dyDescent="0.2">
      <c r="A375" s="553">
        <v>374</v>
      </c>
      <c r="B375" s="542" t="s">
        <v>1672</v>
      </c>
      <c r="C375" s="543" t="s">
        <v>597</v>
      </c>
      <c r="D375" s="543" t="s">
        <v>3894</v>
      </c>
      <c r="E375" s="543" t="s">
        <v>3186</v>
      </c>
      <c r="F375" s="543" t="s">
        <v>3187</v>
      </c>
      <c r="G375" s="543" t="s">
        <v>34</v>
      </c>
      <c r="H375" s="543" t="s">
        <v>1821</v>
      </c>
      <c r="I375" s="543" t="s">
        <v>5383</v>
      </c>
      <c r="J375" s="543" t="s">
        <v>1809</v>
      </c>
      <c r="K375" s="543" t="s">
        <v>2438</v>
      </c>
      <c r="L375" s="543" t="s">
        <v>2989</v>
      </c>
      <c r="M375" s="544">
        <v>12989</v>
      </c>
      <c r="N375" s="543" t="s">
        <v>597</v>
      </c>
      <c r="O375" s="543" t="s">
        <v>5385</v>
      </c>
      <c r="P375" s="543" t="s">
        <v>3190</v>
      </c>
      <c r="Q375" s="543" t="s">
        <v>4568</v>
      </c>
      <c r="R375" s="543" t="s">
        <v>1814</v>
      </c>
      <c r="S375" s="543" t="s">
        <v>3189</v>
      </c>
      <c r="T375" s="543">
        <v>22.5</v>
      </c>
      <c r="U375" s="543" t="s">
        <v>1843</v>
      </c>
      <c r="V375" s="543" t="s">
        <v>2990</v>
      </c>
      <c r="W375" s="543" t="s">
        <v>2991</v>
      </c>
      <c r="X375" s="543" t="s">
        <v>4556</v>
      </c>
      <c r="Y375" s="543" t="s">
        <v>2992</v>
      </c>
      <c r="Z375" s="543">
        <v>18380123</v>
      </c>
      <c r="AA375" s="543" t="s">
        <v>4556</v>
      </c>
      <c r="AB375" s="543" t="s">
        <v>34</v>
      </c>
      <c r="AC375" s="543" t="s">
        <v>1816</v>
      </c>
      <c r="AD375" s="543" t="s">
        <v>1817</v>
      </c>
      <c r="AE375" s="543" t="s">
        <v>1455</v>
      </c>
      <c r="AF375" s="543">
        <v>8</v>
      </c>
      <c r="AG375" s="543">
        <v>2</v>
      </c>
      <c r="AH375" s="543" t="s">
        <v>34</v>
      </c>
      <c r="AI375" s="543" t="s">
        <v>34</v>
      </c>
      <c r="AJ375" s="543" t="s">
        <v>34</v>
      </c>
      <c r="AK375" s="543" t="s">
        <v>1818</v>
      </c>
      <c r="AL375" s="543" t="s">
        <v>34</v>
      </c>
      <c r="AM375" s="61" t="s">
        <v>4498</v>
      </c>
      <c r="AN375" s="541">
        <v>0</v>
      </c>
      <c r="AO375" s="541">
        <v>0</v>
      </c>
      <c r="AP375" s="553"/>
      <c r="CG375" t="str">
        <v>COX MACHINE, INC - HARPER DIV</v>
      </c>
    </row>
    <row r="376" spans="1:85" x14ac:dyDescent="0.2">
      <c r="A376" s="61">
        <v>375</v>
      </c>
      <c r="B376" s="542" t="s">
        <v>4856</v>
      </c>
      <c r="C376" s="543" t="s">
        <v>5136</v>
      </c>
      <c r="D376" s="543" t="s">
        <v>5137</v>
      </c>
      <c r="E376" s="543" t="s">
        <v>3191</v>
      </c>
      <c r="F376" s="543" t="s">
        <v>1767</v>
      </c>
      <c r="G376" s="543" t="s">
        <v>34</v>
      </c>
      <c r="H376" s="543" t="s">
        <v>1821</v>
      </c>
      <c r="I376" s="543" t="s">
        <v>5342</v>
      </c>
      <c r="J376" s="543" t="s">
        <v>1809</v>
      </c>
      <c r="K376" s="543" t="s">
        <v>5136</v>
      </c>
      <c r="L376" s="543" t="s">
        <v>4839</v>
      </c>
      <c r="M376" s="544" t="s">
        <v>4840</v>
      </c>
      <c r="N376" s="543" t="s">
        <v>5136</v>
      </c>
      <c r="O376" s="543" t="s">
        <v>2092</v>
      </c>
      <c r="P376" s="543" t="s">
        <v>2138</v>
      </c>
      <c r="Q376" s="543" t="s">
        <v>1894</v>
      </c>
      <c r="R376" s="543" t="s">
        <v>1814</v>
      </c>
      <c r="S376" s="543" t="s">
        <v>4841</v>
      </c>
      <c r="T376" s="543">
        <v>5730.7</v>
      </c>
      <c r="U376" s="543" t="s">
        <v>1843</v>
      </c>
      <c r="V376" s="543" t="s">
        <v>4842</v>
      </c>
      <c r="W376" s="543" t="s">
        <v>4843</v>
      </c>
      <c r="X376" s="543" t="s">
        <v>2431</v>
      </c>
      <c r="Y376" s="543" t="s">
        <v>4844</v>
      </c>
      <c r="Z376" s="543" t="s">
        <v>4845</v>
      </c>
      <c r="AA376" s="543" t="s">
        <v>1815</v>
      </c>
      <c r="AB376" s="543" t="s">
        <v>2687</v>
      </c>
      <c r="AC376" s="543" t="s">
        <v>1816</v>
      </c>
      <c r="AD376" s="543" t="s">
        <v>1817</v>
      </c>
      <c r="AE376" s="543" t="s">
        <v>1455</v>
      </c>
      <c r="AF376" s="543" t="s">
        <v>4846</v>
      </c>
      <c r="AG376" s="543" t="s">
        <v>34</v>
      </c>
      <c r="AH376" s="543" t="s">
        <v>34</v>
      </c>
      <c r="AI376" s="543" t="s">
        <v>34</v>
      </c>
      <c r="AJ376" s="543" t="s">
        <v>34</v>
      </c>
      <c r="AK376" s="543" t="s">
        <v>1818</v>
      </c>
      <c r="AL376" s="543" t="s">
        <v>34</v>
      </c>
      <c r="AM376" s="61" t="s">
        <v>4495</v>
      </c>
      <c r="AN376" s="541">
        <v>0</v>
      </c>
      <c r="AO376" s="541">
        <v>0</v>
      </c>
      <c r="AP376" s="61"/>
      <c r="CG376" t="str">
        <v>COX MACHINE, INC - WICHITA DIV</v>
      </c>
    </row>
    <row r="377" spans="1:85" x14ac:dyDescent="0.2">
      <c r="A377" s="61">
        <v>376</v>
      </c>
      <c r="B377" s="542" t="s">
        <v>1443</v>
      </c>
      <c r="C377" s="543" t="s">
        <v>1523</v>
      </c>
      <c r="D377" s="543" t="s">
        <v>3895</v>
      </c>
      <c r="E377" s="543" t="s">
        <v>3191</v>
      </c>
      <c r="F377" s="543" t="s">
        <v>1767</v>
      </c>
      <c r="G377" s="543" t="s">
        <v>34</v>
      </c>
      <c r="H377" s="543" t="s">
        <v>1821</v>
      </c>
      <c r="I377" s="543" t="s">
        <v>5342</v>
      </c>
      <c r="J377" s="543" t="s">
        <v>1461</v>
      </c>
      <c r="K377" s="543" t="s">
        <v>3014</v>
      </c>
      <c r="L377" s="543" t="s">
        <v>1948</v>
      </c>
      <c r="M377" s="544" t="s">
        <v>1523</v>
      </c>
      <c r="N377" s="543" t="s">
        <v>1523</v>
      </c>
      <c r="O377" s="543" t="s">
        <v>2092</v>
      </c>
      <c r="P377" s="543" t="s">
        <v>3207</v>
      </c>
      <c r="Q377" s="543" t="s">
        <v>1894</v>
      </c>
      <c r="R377" s="543" t="s">
        <v>1878</v>
      </c>
      <c r="S377" s="543" t="s">
        <v>3208</v>
      </c>
      <c r="T377" s="543">
        <v>1220</v>
      </c>
      <c r="U377" s="543" t="s">
        <v>109</v>
      </c>
      <c r="V377" s="543" t="s">
        <v>2998</v>
      </c>
      <c r="W377" s="543" t="s">
        <v>2999</v>
      </c>
      <c r="X377" s="543" t="s">
        <v>1815</v>
      </c>
      <c r="Y377" s="543" t="s">
        <v>2998</v>
      </c>
      <c r="Z377" s="543" t="s">
        <v>2999</v>
      </c>
      <c r="AA377" s="543" t="s">
        <v>1815</v>
      </c>
      <c r="AB377" s="543" t="s">
        <v>34</v>
      </c>
      <c r="AC377" s="543" t="s">
        <v>1816</v>
      </c>
      <c r="AD377" s="543" t="s">
        <v>1817</v>
      </c>
      <c r="AE377" s="543" t="s">
        <v>1455</v>
      </c>
      <c r="AF377" s="543" t="s">
        <v>34</v>
      </c>
      <c r="AG377" s="543" t="s">
        <v>34</v>
      </c>
      <c r="AH377" s="543" t="s">
        <v>34</v>
      </c>
      <c r="AI377" s="543" t="s">
        <v>34</v>
      </c>
      <c r="AJ377" s="543" t="s">
        <v>34</v>
      </c>
      <c r="AK377" s="543" t="s">
        <v>1818</v>
      </c>
      <c r="AL377" s="543" t="s">
        <v>34</v>
      </c>
      <c r="AM377" s="61" t="s">
        <v>4495</v>
      </c>
      <c r="AN377" s="541">
        <v>0</v>
      </c>
      <c r="AO377" s="541">
        <v>0</v>
      </c>
      <c r="AP377" s="61"/>
      <c r="CG377" t="str">
        <v>COX MACHINE, INC. - SHEET METAL DIVISION</v>
      </c>
    </row>
    <row r="378" spans="1:85" x14ac:dyDescent="0.2">
      <c r="A378" s="61">
        <v>377</v>
      </c>
      <c r="B378" s="542" t="s">
        <v>1443</v>
      </c>
      <c r="C378" s="543" t="s">
        <v>1514</v>
      </c>
      <c r="D378" s="543" t="s">
        <v>3896</v>
      </c>
      <c r="E378" s="543" t="s">
        <v>3191</v>
      </c>
      <c r="F378" s="543" t="s">
        <v>1767</v>
      </c>
      <c r="G378" s="543" t="s">
        <v>34</v>
      </c>
      <c r="H378" s="543" t="s">
        <v>1821</v>
      </c>
      <c r="I378" s="543" t="s">
        <v>5342</v>
      </c>
      <c r="J378" s="543" t="s">
        <v>1461</v>
      </c>
      <c r="K378" s="543" t="s">
        <v>3000</v>
      </c>
      <c r="L378" s="543" t="s">
        <v>3001</v>
      </c>
      <c r="M378" s="544">
        <v>42118153</v>
      </c>
      <c r="N378" s="543" t="s">
        <v>1514</v>
      </c>
      <c r="O378" s="543" t="s">
        <v>2092</v>
      </c>
      <c r="P378" s="543" t="s">
        <v>3194</v>
      </c>
      <c r="Q378" s="543" t="s">
        <v>3195</v>
      </c>
      <c r="R378" s="543" t="s">
        <v>1814</v>
      </c>
      <c r="S378" s="543" t="s">
        <v>3196</v>
      </c>
      <c r="T378" s="543">
        <v>0.98</v>
      </c>
      <c r="U378" s="543" t="s">
        <v>1843</v>
      </c>
      <c r="V378" s="543" t="s">
        <v>1889</v>
      </c>
      <c r="W378" s="543" t="s">
        <v>1514</v>
      </c>
      <c r="X378" s="543" t="s">
        <v>3002</v>
      </c>
      <c r="Y378" s="543" t="s">
        <v>109</v>
      </c>
      <c r="Z378" s="543" t="s">
        <v>109</v>
      </c>
      <c r="AA378" s="543" t="s">
        <v>109</v>
      </c>
      <c r="AB378" s="543" t="s">
        <v>3003</v>
      </c>
      <c r="AC378" s="543" t="s">
        <v>1816</v>
      </c>
      <c r="AD378" s="543" t="s">
        <v>1817</v>
      </c>
      <c r="AE378" s="543" t="s">
        <v>1455</v>
      </c>
      <c r="AF378" s="543" t="s">
        <v>34</v>
      </c>
      <c r="AG378" s="543" t="s">
        <v>34</v>
      </c>
      <c r="AH378" s="543" t="s">
        <v>34</v>
      </c>
      <c r="AI378" s="543" t="s">
        <v>34</v>
      </c>
      <c r="AJ378" s="543" t="s">
        <v>34</v>
      </c>
      <c r="AK378" s="543" t="s">
        <v>1818</v>
      </c>
      <c r="AL378" s="543" t="s">
        <v>34</v>
      </c>
      <c r="AM378" s="61" t="s">
        <v>4495</v>
      </c>
      <c r="AN378" s="541">
        <v>0</v>
      </c>
      <c r="AO378" s="541">
        <v>0</v>
      </c>
      <c r="AP378" s="61"/>
      <c r="CG378" t="str">
        <v>CRAWFORD COUNTY HEALTH DEPARTMENT</v>
      </c>
    </row>
    <row r="379" spans="1:85" x14ac:dyDescent="0.2">
      <c r="A379" s="61">
        <v>378</v>
      </c>
      <c r="B379" s="542" t="s">
        <v>1443</v>
      </c>
      <c r="C379" s="543" t="s">
        <v>1518</v>
      </c>
      <c r="D379" s="543" t="s">
        <v>3897</v>
      </c>
      <c r="E379" s="543" t="s">
        <v>3191</v>
      </c>
      <c r="F379" s="543" t="s">
        <v>1767</v>
      </c>
      <c r="G379" s="543" t="s">
        <v>34</v>
      </c>
      <c r="H379" s="543" t="s">
        <v>1821</v>
      </c>
      <c r="I379" s="543" t="s">
        <v>5342</v>
      </c>
      <c r="J379" s="543" t="s">
        <v>1461</v>
      </c>
      <c r="K379" s="543" t="s">
        <v>3197</v>
      </c>
      <c r="L379" s="543" t="s">
        <v>3198</v>
      </c>
      <c r="M379" s="544" t="s">
        <v>3199</v>
      </c>
      <c r="N379" s="543" t="s">
        <v>1518</v>
      </c>
      <c r="O379" s="543" t="s">
        <v>2092</v>
      </c>
      <c r="P379" s="543" t="s">
        <v>2138</v>
      </c>
      <c r="Q379" s="543" t="s">
        <v>1813</v>
      </c>
      <c r="R379" s="543" t="s">
        <v>1814</v>
      </c>
      <c r="S379" s="543" t="s">
        <v>3200</v>
      </c>
      <c r="T379" s="543">
        <v>1517</v>
      </c>
      <c r="U379" s="543" t="s">
        <v>1843</v>
      </c>
      <c r="V379" s="543" t="s">
        <v>3201</v>
      </c>
      <c r="W379" s="543" t="s">
        <v>3202</v>
      </c>
      <c r="X379" s="543" t="s">
        <v>1815</v>
      </c>
      <c r="Y379" s="543" t="s">
        <v>109</v>
      </c>
      <c r="Z379" s="543" t="s">
        <v>109</v>
      </c>
      <c r="AA379" s="543" t="s">
        <v>109</v>
      </c>
      <c r="AB379" s="543" t="s">
        <v>3203</v>
      </c>
      <c r="AC379" s="543" t="s">
        <v>1816</v>
      </c>
      <c r="AD379" s="543" t="s">
        <v>1817</v>
      </c>
      <c r="AE379" s="543" t="s">
        <v>1455</v>
      </c>
      <c r="AF379" s="543" t="s">
        <v>34</v>
      </c>
      <c r="AG379" s="543" t="s">
        <v>34</v>
      </c>
      <c r="AH379" s="543" t="s">
        <v>34</v>
      </c>
      <c r="AI379" s="543" t="s">
        <v>34</v>
      </c>
      <c r="AJ379" s="543" t="s">
        <v>34</v>
      </c>
      <c r="AK379" s="543" t="s">
        <v>1818</v>
      </c>
      <c r="AL379" s="543" t="s">
        <v>34</v>
      </c>
      <c r="AM379" s="61" t="s">
        <v>4498</v>
      </c>
      <c r="AN379" s="541">
        <v>0</v>
      </c>
      <c r="AO379" s="541">
        <v>0</v>
      </c>
      <c r="AP379" s="61"/>
      <c r="CG379" t="str">
        <v>CREATIVE COMPOSITES</v>
      </c>
    </row>
    <row r="380" spans="1:85" x14ac:dyDescent="0.2">
      <c r="A380" s="61">
        <v>379</v>
      </c>
      <c r="B380" s="542" t="s">
        <v>1443</v>
      </c>
      <c r="C380" s="543" t="s">
        <v>1516</v>
      </c>
      <c r="D380" s="543" t="s">
        <v>3898</v>
      </c>
      <c r="E380" s="543" t="s">
        <v>3191</v>
      </c>
      <c r="F380" s="543" t="s">
        <v>1767</v>
      </c>
      <c r="G380" s="543" t="s">
        <v>34</v>
      </c>
      <c r="H380" s="543" t="s">
        <v>1821</v>
      </c>
      <c r="I380" s="543" t="s">
        <v>5342</v>
      </c>
      <c r="J380" s="543" t="s">
        <v>1461</v>
      </c>
      <c r="K380" s="543" t="s">
        <v>2993</v>
      </c>
      <c r="L380" s="543" t="s">
        <v>2994</v>
      </c>
      <c r="M380" s="544" t="s">
        <v>1516</v>
      </c>
      <c r="N380" s="543" t="s">
        <v>1516</v>
      </c>
      <c r="O380" s="543" t="s">
        <v>2092</v>
      </c>
      <c r="P380" s="543" t="s">
        <v>1881</v>
      </c>
      <c r="Q380" s="543" t="s">
        <v>1819</v>
      </c>
      <c r="R380" s="543" t="s">
        <v>1878</v>
      </c>
      <c r="S380" s="543" t="s">
        <v>3192</v>
      </c>
      <c r="T380" s="543">
        <v>4719</v>
      </c>
      <c r="U380" s="543" t="s">
        <v>1843</v>
      </c>
      <c r="V380" s="543" t="s">
        <v>4056</v>
      </c>
      <c r="W380" s="543" t="s">
        <v>3004</v>
      </c>
      <c r="X380" s="543" t="s">
        <v>1815</v>
      </c>
      <c r="Y380" s="543" t="s">
        <v>4056</v>
      </c>
      <c r="Z380" s="543" t="s">
        <v>3004</v>
      </c>
      <c r="AA380" s="543" t="s">
        <v>1815</v>
      </c>
      <c r="AB380" s="543" t="s">
        <v>3005</v>
      </c>
      <c r="AC380" s="543" t="s">
        <v>1816</v>
      </c>
      <c r="AD380" s="543" t="s">
        <v>1817</v>
      </c>
      <c r="AE380" s="543" t="s">
        <v>1455</v>
      </c>
      <c r="AF380" s="543" t="s">
        <v>34</v>
      </c>
      <c r="AG380" s="543" t="s">
        <v>34</v>
      </c>
      <c r="AH380" s="543" t="s">
        <v>34</v>
      </c>
      <c r="AI380" s="543" t="s">
        <v>34</v>
      </c>
      <c r="AJ380" s="543" t="s">
        <v>34</v>
      </c>
      <c r="AK380" s="543" t="s">
        <v>1818</v>
      </c>
      <c r="AL380" s="543" t="s">
        <v>34</v>
      </c>
      <c r="AM380" s="61" t="s">
        <v>4497</v>
      </c>
      <c r="AN380" s="541">
        <v>0</v>
      </c>
      <c r="AO380" s="541">
        <v>0</v>
      </c>
      <c r="AP380" s="61"/>
      <c r="CG380" t="str">
        <v>CRESCENT GAGE &amp; TOOL SALES</v>
      </c>
    </row>
    <row r="381" spans="1:85" x14ac:dyDescent="0.2">
      <c r="A381" s="61">
        <v>380</v>
      </c>
      <c r="B381" s="542" t="s">
        <v>1443</v>
      </c>
      <c r="C381" s="543" t="s">
        <v>1510</v>
      </c>
      <c r="D381" s="543" t="s">
        <v>3899</v>
      </c>
      <c r="E381" s="543" t="s">
        <v>3191</v>
      </c>
      <c r="F381" s="543" t="s">
        <v>1767</v>
      </c>
      <c r="G381" s="543" t="s">
        <v>34</v>
      </c>
      <c r="H381" s="543" t="s">
        <v>1821</v>
      </c>
      <c r="I381" s="543" t="s">
        <v>5342</v>
      </c>
      <c r="J381" s="543" t="s">
        <v>1461</v>
      </c>
      <c r="K381" s="543" t="s">
        <v>2993</v>
      </c>
      <c r="L381" s="543" t="s">
        <v>2994</v>
      </c>
      <c r="M381" s="544" t="s">
        <v>1510</v>
      </c>
      <c r="N381" s="543" t="s">
        <v>1510</v>
      </c>
      <c r="O381" s="543" t="s">
        <v>2092</v>
      </c>
      <c r="P381" s="543" t="s">
        <v>1881</v>
      </c>
      <c r="Q381" s="543" t="s">
        <v>1819</v>
      </c>
      <c r="R381" s="543" t="s">
        <v>1878</v>
      </c>
      <c r="S381" s="543" t="s">
        <v>3192</v>
      </c>
      <c r="T381" s="543">
        <v>4719</v>
      </c>
      <c r="U381" s="543" t="s">
        <v>1843</v>
      </c>
      <c r="V381" s="543" t="s">
        <v>4056</v>
      </c>
      <c r="W381" s="543" t="s">
        <v>2995</v>
      </c>
      <c r="X381" s="543" t="s">
        <v>1815</v>
      </c>
      <c r="Y381" s="543" t="s">
        <v>4056</v>
      </c>
      <c r="Z381" s="543" t="s">
        <v>2995</v>
      </c>
      <c r="AA381" s="543" t="s">
        <v>1815</v>
      </c>
      <c r="AB381" s="543" t="s">
        <v>2996</v>
      </c>
      <c r="AC381" s="543" t="s">
        <v>1816</v>
      </c>
      <c r="AD381" s="543" t="s">
        <v>1817</v>
      </c>
      <c r="AE381" s="543" t="s">
        <v>1455</v>
      </c>
      <c r="AF381" s="543" t="s">
        <v>34</v>
      </c>
      <c r="AG381" s="543" t="s">
        <v>34</v>
      </c>
      <c r="AH381" s="543" t="s">
        <v>34</v>
      </c>
      <c r="AI381" s="543" t="s">
        <v>34</v>
      </c>
      <c r="AJ381" s="543" t="s">
        <v>34</v>
      </c>
      <c r="AK381" s="543" t="s">
        <v>1818</v>
      </c>
      <c r="AL381" s="543" t="s">
        <v>34</v>
      </c>
      <c r="AM381" s="61" t="s">
        <v>4497</v>
      </c>
      <c r="AN381" s="541">
        <v>0</v>
      </c>
      <c r="AO381" s="541">
        <v>0</v>
      </c>
      <c r="AP381" s="61"/>
      <c r="CG381" t="str">
        <v>CREW CUT LANDSCAPES</v>
      </c>
    </row>
    <row r="382" spans="1:85" ht="15" customHeight="1" x14ac:dyDescent="0.2">
      <c r="A382" s="61">
        <v>381</v>
      </c>
      <c r="B382" s="542" t="s">
        <v>1443</v>
      </c>
      <c r="C382" s="543" t="s">
        <v>1521</v>
      </c>
      <c r="D382" s="543" t="s">
        <v>3900</v>
      </c>
      <c r="E382" s="543" t="s">
        <v>3191</v>
      </c>
      <c r="F382" s="543" t="s">
        <v>1767</v>
      </c>
      <c r="G382" s="543" t="s">
        <v>34</v>
      </c>
      <c r="H382" s="543" t="s">
        <v>1821</v>
      </c>
      <c r="I382" s="543" t="s">
        <v>5342</v>
      </c>
      <c r="J382" s="543" t="s">
        <v>1461</v>
      </c>
      <c r="K382" s="543" t="s">
        <v>2993</v>
      </c>
      <c r="L382" s="543" t="s">
        <v>2994</v>
      </c>
      <c r="M382" s="544" t="s">
        <v>1521</v>
      </c>
      <c r="N382" s="543" t="s">
        <v>1521</v>
      </c>
      <c r="O382" s="543" t="s">
        <v>2092</v>
      </c>
      <c r="P382" s="543" t="s">
        <v>1881</v>
      </c>
      <c r="Q382" s="543" t="s">
        <v>1819</v>
      </c>
      <c r="R382" s="543" t="s">
        <v>1878</v>
      </c>
      <c r="S382" s="543" t="s">
        <v>3204</v>
      </c>
      <c r="T382" s="543">
        <v>1917</v>
      </c>
      <c r="U382" s="543" t="s">
        <v>1843</v>
      </c>
      <c r="V382" s="543" t="s">
        <v>4056</v>
      </c>
      <c r="W382" s="543" t="s">
        <v>3006</v>
      </c>
      <c r="X382" s="543" t="s">
        <v>1815</v>
      </c>
      <c r="Y382" s="543" t="s">
        <v>4056</v>
      </c>
      <c r="Z382" s="543" t="s">
        <v>3006</v>
      </c>
      <c r="AA382" s="543" t="s">
        <v>1815</v>
      </c>
      <c r="AB382" s="543" t="s">
        <v>34</v>
      </c>
      <c r="AC382" s="543" t="s">
        <v>1816</v>
      </c>
      <c r="AD382" s="543" t="s">
        <v>1817</v>
      </c>
      <c r="AE382" s="543" t="s">
        <v>1455</v>
      </c>
      <c r="AF382" s="543" t="s">
        <v>34</v>
      </c>
      <c r="AG382" s="543" t="s">
        <v>34</v>
      </c>
      <c r="AH382" s="543" t="s">
        <v>34</v>
      </c>
      <c r="AI382" s="543" t="s">
        <v>34</v>
      </c>
      <c r="AJ382" s="543" t="s">
        <v>34</v>
      </c>
      <c r="AK382" s="543" t="s">
        <v>1818</v>
      </c>
      <c r="AL382" s="543" t="s">
        <v>34</v>
      </c>
      <c r="AM382" s="61" t="s">
        <v>4497</v>
      </c>
      <c r="AN382" s="541">
        <v>0</v>
      </c>
      <c r="AO382" s="541">
        <v>0</v>
      </c>
      <c r="AP382" s="61"/>
      <c r="CG382" t="str">
        <v>CRISS OPTICAL MANUFACTURING</v>
      </c>
    </row>
    <row r="383" spans="1:85" ht="15" customHeight="1" x14ac:dyDescent="0.2">
      <c r="A383" s="61">
        <v>382</v>
      </c>
      <c r="B383" s="542" t="s">
        <v>1443</v>
      </c>
      <c r="C383" s="543" t="s">
        <v>1520</v>
      </c>
      <c r="D383" s="543" t="s">
        <v>3901</v>
      </c>
      <c r="E383" s="543" t="s">
        <v>3191</v>
      </c>
      <c r="F383" s="543" t="s">
        <v>1767</v>
      </c>
      <c r="G383" s="543" t="s">
        <v>34</v>
      </c>
      <c r="H383" s="543" t="s">
        <v>1821</v>
      </c>
      <c r="I383" s="543" t="s">
        <v>5342</v>
      </c>
      <c r="J383" s="543" t="s">
        <v>1809</v>
      </c>
      <c r="K383" s="543" t="s">
        <v>3007</v>
      </c>
      <c r="L383" s="543" t="s">
        <v>3008</v>
      </c>
      <c r="M383" s="544" t="s">
        <v>3009</v>
      </c>
      <c r="N383" s="543" t="s">
        <v>4096</v>
      </c>
      <c r="O383" s="543" t="s">
        <v>3010</v>
      </c>
      <c r="P383" s="543" t="s">
        <v>2138</v>
      </c>
      <c r="Q383" s="543" t="s">
        <v>1813</v>
      </c>
      <c r="R383" s="543" t="s">
        <v>1814</v>
      </c>
      <c r="S383" s="543" t="s">
        <v>3205</v>
      </c>
      <c r="T383" s="543">
        <v>61.6</v>
      </c>
      <c r="U383" s="543" t="s">
        <v>1843</v>
      </c>
      <c r="V383" s="543" t="s">
        <v>3011</v>
      </c>
      <c r="W383" s="543" t="s">
        <v>3012</v>
      </c>
      <c r="X383" s="543" t="s">
        <v>1815</v>
      </c>
      <c r="Y383" s="543" t="s">
        <v>109</v>
      </c>
      <c r="Z383" s="543" t="s">
        <v>109</v>
      </c>
      <c r="AA383" s="543" t="s">
        <v>109</v>
      </c>
      <c r="AB383" s="543" t="s">
        <v>34</v>
      </c>
      <c r="AC383" s="543" t="s">
        <v>1816</v>
      </c>
      <c r="AD383" s="543" t="s">
        <v>1817</v>
      </c>
      <c r="AE383" s="543" t="s">
        <v>1455</v>
      </c>
      <c r="AF383" s="543" t="s">
        <v>34</v>
      </c>
      <c r="AG383" s="543" t="s">
        <v>34</v>
      </c>
      <c r="AH383" s="543" t="s">
        <v>34</v>
      </c>
      <c r="AI383" s="543" t="s">
        <v>34</v>
      </c>
      <c r="AJ383" s="543" t="s">
        <v>34</v>
      </c>
      <c r="AK383" s="543" t="s">
        <v>1818</v>
      </c>
      <c r="AL383" s="543" t="s">
        <v>34</v>
      </c>
      <c r="AM383" s="61" t="s">
        <v>4495</v>
      </c>
      <c r="AN383" s="541">
        <v>0</v>
      </c>
      <c r="AO383" s="541">
        <v>0</v>
      </c>
      <c r="AP383" s="61"/>
      <c r="CG383" t="str">
        <v>CROSS MANUFACTURING - HAYS DIVISION</v>
      </c>
    </row>
    <row r="384" spans="1:85" ht="15" customHeight="1" x14ac:dyDescent="0.2">
      <c r="A384" s="61">
        <v>383</v>
      </c>
      <c r="B384" s="542" t="s">
        <v>1443</v>
      </c>
      <c r="C384" s="543" t="s">
        <v>3487</v>
      </c>
      <c r="D384" s="543" t="s">
        <v>4048</v>
      </c>
      <c r="E384" s="543" t="s">
        <v>4049</v>
      </c>
      <c r="F384" s="543" t="s">
        <v>1767</v>
      </c>
      <c r="G384" s="543" t="s">
        <v>34</v>
      </c>
      <c r="H384" s="543" t="s">
        <v>1821</v>
      </c>
      <c r="I384" s="543" t="s">
        <v>5342</v>
      </c>
      <c r="J384" s="543" t="s">
        <v>1461</v>
      </c>
      <c r="K384" s="543" t="s">
        <v>2993</v>
      </c>
      <c r="L384" s="543" t="s">
        <v>2994</v>
      </c>
      <c r="M384" s="544" t="s">
        <v>3487</v>
      </c>
      <c r="N384" s="543" t="s">
        <v>3487</v>
      </c>
      <c r="O384" s="543" t="s">
        <v>2092</v>
      </c>
      <c r="P384" s="543" t="s">
        <v>1881</v>
      </c>
      <c r="Q384" s="543" t="s">
        <v>4050</v>
      </c>
      <c r="R384" s="543" t="s">
        <v>1878</v>
      </c>
      <c r="S384" s="543" t="s">
        <v>2231</v>
      </c>
      <c r="T384" s="543">
        <v>4900</v>
      </c>
      <c r="U384" s="543" t="s">
        <v>1843</v>
      </c>
      <c r="V384" s="543" t="s">
        <v>4056</v>
      </c>
      <c r="W384" s="543" t="s">
        <v>4051</v>
      </c>
      <c r="X384" s="543" t="s">
        <v>1815</v>
      </c>
      <c r="Y384" s="543" t="s">
        <v>4056</v>
      </c>
      <c r="Z384" s="543" t="s">
        <v>4051</v>
      </c>
      <c r="AA384" s="543" t="s">
        <v>1815</v>
      </c>
      <c r="AB384" s="543" t="s">
        <v>34</v>
      </c>
      <c r="AC384" s="543" t="s">
        <v>1816</v>
      </c>
      <c r="AD384" s="543" t="s">
        <v>4052</v>
      </c>
      <c r="AE384" s="543" t="s">
        <v>1455</v>
      </c>
      <c r="AF384" s="543" t="s">
        <v>34</v>
      </c>
      <c r="AG384" s="543" t="s">
        <v>34</v>
      </c>
      <c r="AH384" s="543" t="s">
        <v>34</v>
      </c>
      <c r="AI384" s="543" t="s">
        <v>34</v>
      </c>
      <c r="AJ384" s="543" t="s">
        <v>34</v>
      </c>
      <c r="AK384" s="543">
        <v>0</v>
      </c>
      <c r="AL384" s="543" t="s">
        <v>34</v>
      </c>
      <c r="AM384" s="61" t="s">
        <v>4497</v>
      </c>
      <c r="AN384" s="541">
        <v>0</v>
      </c>
      <c r="AO384" s="541">
        <v>0</v>
      </c>
      <c r="AP384" s="61"/>
      <c r="CG384" t="str">
        <v>CROSS MFG - PRATT DIVISION</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1">
        <v>0</v>
      </c>
      <c r="AO385" s="541">
        <v>0</v>
      </c>
      <c r="AP385" s="61"/>
      <c r="CG385" t="str">
        <v>CROSS MFG., INC. LEWIS DIVISION</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1">
        <v>0</v>
      </c>
      <c r="AO386" s="541">
        <v>0</v>
      </c>
      <c r="AP386" s="61"/>
      <c r="CG386" t="str">
        <v>CROSS PRECISION MEASUREMENT</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1">
        <v>0.21</v>
      </c>
      <c r="AO387" s="541">
        <v>0</v>
      </c>
      <c r="AP387" s="61"/>
      <c r="CG387" t="str">
        <v>CROSSROADS TRAILER</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1">
        <v>1.4583333333333332E-2</v>
      </c>
      <c r="AO388" s="541">
        <v>0</v>
      </c>
      <c r="AP388" s="61"/>
      <c r="CG388" t="str">
        <v>CSP PRECISION MANUFACTURING, INC.</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1"/>
      <c r="AO389" s="541"/>
      <c r="AP389" s="61"/>
      <c r="CG389" t="str">
        <v>CTDI COMMUNICATIONS use Communication Test Design</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1">
        <v>0</v>
      </c>
      <c r="AO390" s="541">
        <v>2.1527777777777781E-2</v>
      </c>
      <c r="AP390" s="61"/>
      <c r="CG390" t="str">
        <v>CTP CORP</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1">
        <v>0</v>
      </c>
      <c r="AO391" s="541">
        <v>0</v>
      </c>
      <c r="AP391" s="61"/>
      <c r="CG391" t="str">
        <v>CUMBERLAND ADDITIVE</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1">
        <v>0</v>
      </c>
      <c r="AO392" s="541">
        <v>0</v>
      </c>
      <c r="AP392" s="61"/>
      <c r="CG392" t="str">
        <v>CURTIS MACHINE COMPANY,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1">
        <v>0</v>
      </c>
      <c r="AO393" s="541">
        <v>0</v>
      </c>
      <c r="AP393" s="61"/>
      <c r="CG393" t="str">
        <v>CURTISS-WRIGHT CONTROLS, INC.</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1"/>
      <c r="AO394" s="541"/>
      <c r="AP394" s="61"/>
      <c r="CG394" t="str">
        <v>CURTISS-WRIGHT SURFACE TECHNOLOGIES</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1">
        <v>0</v>
      </c>
      <c r="AO395" s="541">
        <v>0</v>
      </c>
      <c r="AP395" s="61"/>
      <c r="CG395" t="str">
        <v>Callacore</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1">
        <v>0</v>
      </c>
      <c r="AO396" s="541">
        <v>0</v>
      </c>
      <c r="AP396" s="61"/>
      <c r="CG396" t="str">
        <v>Cantrell Lawn &amp; Irrigation</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1">
        <v>0</v>
      </c>
      <c r="AO397" s="541">
        <v>0</v>
      </c>
      <c r="AP397" s="61"/>
      <c r="CG397" t="str">
        <v>Cardinal Colwich, LLC</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1">
        <v>0</v>
      </c>
      <c r="AO398" s="541">
        <v>0</v>
      </c>
      <c r="AP398" s="61"/>
      <c r="CG398" t="str">
        <v>Carlson Hydraulics</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1">
        <v>0</v>
      </c>
      <c r="AO399" s="541">
        <v>0</v>
      </c>
      <c r="AP399" s="61"/>
      <c r="CG399" t="str">
        <v>Case</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1">
        <v>0</v>
      </c>
      <c r="AO400" s="541">
        <v>0</v>
      </c>
      <c r="AP400" s="61"/>
      <c r="CG400" t="str">
        <v>Cash</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1">
        <v>0</v>
      </c>
      <c r="AO401" s="541">
        <v>0</v>
      </c>
      <c r="AP401" s="61"/>
      <c r="CG401" t="str">
        <v>Centex Lab</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1"/>
      <c r="AO402" s="541"/>
      <c r="AP402" s="61"/>
      <c r="CG402" t="str">
        <v>Central Consolidated</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1"/>
      <c r="AO403" s="541"/>
      <c r="AP403" s="61"/>
      <c r="CG403" t="str">
        <v>Cessna General Account</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1"/>
      <c r="AO404" s="541"/>
      <c r="AP404" s="61"/>
      <c r="CG404" t="str">
        <v>Chad Parrott</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1">
        <v>0</v>
      </c>
      <c r="AO405" s="541">
        <v>0</v>
      </c>
      <c r="AP405" s="61"/>
      <c r="CG405" t="str">
        <v>Champion Lawn Care</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1"/>
      <c r="AO406" s="541"/>
      <c r="AP406" s="61"/>
      <c r="CG406" t="str">
        <v>City of McPherson</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1">
        <v>0</v>
      </c>
      <c r="AO407" s="541">
        <v>0</v>
      </c>
      <c r="AP407" s="61"/>
      <c r="CG407" t="str">
        <v>Comfort Systems</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1">
        <v>0</v>
      </c>
      <c r="AO408" s="541">
        <v>0</v>
      </c>
      <c r="AP408" s="61"/>
      <c r="CG408" t="str">
        <v>Commercial Lawn Management</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1">
        <v>0</v>
      </c>
      <c r="AO409" s="541">
        <v>0</v>
      </c>
      <c r="AP409" s="61"/>
      <c r="CG409" t="str">
        <v>Creekmore Plumbing</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1">
        <v>0</v>
      </c>
      <c r="AO410" s="541">
        <v>0</v>
      </c>
      <c r="AP410" s="61"/>
      <c r="CG410" t="str">
        <v>D &amp; D MACHINE, INC.</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1">
        <v>0</v>
      </c>
      <c r="AO411" s="541">
        <v>0</v>
      </c>
      <c r="AP411" s="61"/>
      <c r="CG411" t="str">
        <v>D &amp; H MACHINE, INC</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1">
        <v>0</v>
      </c>
      <c r="AO412" s="541">
        <v>0</v>
      </c>
      <c r="AP412" s="61"/>
      <c r="CG412" t="str">
        <v>D &amp; N MACHINING</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1"/>
      <c r="AO413" s="541"/>
      <c r="AP413" s="61"/>
      <c r="CG413" t="str">
        <v>D &amp; S MANUFACTURING</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1"/>
      <c r="AO414" s="541"/>
      <c r="AP414" s="61"/>
      <c r="CG414" t="str">
        <v>D-J AEROSPACE, INC. PHILIPPINES</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1">
        <v>0</v>
      </c>
      <c r="AO415" s="541">
        <v>0</v>
      </c>
      <c r="AP415" s="61"/>
      <c r="CG415" t="str">
        <v>D-J ENGINEERING, INC.</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1">
        <v>0</v>
      </c>
      <c r="AO416" s="541">
        <v>0</v>
      </c>
      <c r="AP416" s="61"/>
      <c r="CG416" t="str">
        <v>D-J EXTRUDING</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1">
        <v>0</v>
      </c>
      <c r="AO417" s="541">
        <v>0</v>
      </c>
      <c r="AP417" s="61"/>
      <c r="CG417" t="str">
        <v>D.E. RICE</v>
      </c>
    </row>
    <row r="418" spans="1:88" s="524" customFormat="1" x14ac:dyDescent="0.2">
      <c r="A418" s="554">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1">
        <v>0</v>
      </c>
      <c r="AO418" s="541">
        <v>0</v>
      </c>
      <c r="AP418" s="554"/>
      <c r="CG418" t="str">
        <v>D.L. WALLER MACHINE SHOP</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1">
        <v>0</v>
      </c>
      <c r="AO419" s="541">
        <v>0</v>
      </c>
      <c r="AP419" s="61"/>
      <c r="CG419" t="str">
        <v>DALE BENDER</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1">
        <v>0</v>
      </c>
      <c r="AO420" s="541">
        <v>0</v>
      </c>
      <c r="AP420" s="61"/>
      <c r="CG420" t="str">
        <v>DALE BOLLINGER</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1">
        <v>0</v>
      </c>
      <c r="AO421" s="541">
        <v>0</v>
      </c>
      <c r="AP421" s="61"/>
      <c r="CG421" t="str">
        <v>DAN SELF</v>
      </c>
    </row>
    <row r="422" spans="1:88" s="407"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1">
        <v>0</v>
      </c>
      <c r="AO422" s="541">
        <v>0</v>
      </c>
      <c r="AP422" s="61"/>
      <c r="AQ422"/>
      <c r="AR422"/>
      <c r="CE422"/>
      <c r="CG422" t="str">
        <v>DARWIN THOMPSON</v>
      </c>
      <c r="CI422"/>
      <c r="CJ422"/>
    </row>
    <row r="423" spans="1:88" s="406"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1">
        <v>0</v>
      </c>
      <c r="AO423" s="541">
        <v>0</v>
      </c>
      <c r="AP423" s="61"/>
      <c r="AQ423"/>
      <c r="AR423"/>
      <c r="CE423"/>
      <c r="CG423" t="str">
        <v>DAWSON BROTHERS</v>
      </c>
      <c r="CI423"/>
      <c r="CJ423"/>
    </row>
    <row r="424" spans="1:88" s="407"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1">
        <v>0</v>
      </c>
      <c r="AO424" s="541">
        <v>0</v>
      </c>
      <c r="AP424" s="61"/>
      <c r="AQ424"/>
      <c r="AR424"/>
      <c r="CE424"/>
      <c r="CG424" t="str">
        <v>DAYTON-GRANGER, INC.</v>
      </c>
      <c r="CI424"/>
      <c r="CJ424"/>
    </row>
    <row r="425" spans="1:88" s="406"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1"/>
      <c r="AO425" s="541"/>
      <c r="AP425" s="61"/>
      <c r="AQ425"/>
      <c r="AR425"/>
      <c r="CE425"/>
      <c r="CG425" t="str">
        <v>DBC CONSTRUCTION</v>
      </c>
      <c r="CI425"/>
      <c r="CJ425"/>
    </row>
    <row r="426" spans="1:88" s="407"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1">
        <v>0</v>
      </c>
      <c r="AO426" s="541">
        <v>0</v>
      </c>
      <c r="AP426" s="61"/>
      <c r="AQ426"/>
      <c r="AR426"/>
      <c r="CE426"/>
      <c r="CG426" t="str">
        <v>DCD SERVICES LLC</v>
      </c>
      <c r="CI426"/>
      <c r="CJ426"/>
    </row>
    <row r="427" spans="1:88" s="406"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1"/>
      <c r="AO427" s="541"/>
      <c r="AP427" s="61"/>
      <c r="AQ427"/>
      <c r="AR427"/>
      <c r="CE427"/>
      <c r="CG427" t="str">
        <v>DEAN BROADAWAY</v>
      </c>
      <c r="CI427"/>
      <c r="CJ427"/>
    </row>
    <row r="428" spans="1:88" s="407"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1"/>
      <c r="AO428" s="541"/>
      <c r="AP428" s="61"/>
      <c r="AQ428"/>
      <c r="AR428"/>
      <c r="CE428"/>
      <c r="CG428" t="str">
        <v>DEAN SNELLING</v>
      </c>
      <c r="CI428"/>
      <c r="CJ428"/>
    </row>
    <row r="429" spans="1:88" s="406"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1"/>
      <c r="AO429" s="541"/>
      <c r="AP429" s="61"/>
      <c r="AQ429"/>
      <c r="AR429"/>
      <c r="CE429"/>
      <c r="CG429" t="str">
        <v>DECKER ELECTRIC</v>
      </c>
      <c r="CI429"/>
      <c r="CJ429"/>
    </row>
    <row r="430" spans="1:88" s="407"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1"/>
      <c r="AO430" s="541"/>
      <c r="AP430" s="61"/>
      <c r="AQ430"/>
      <c r="AR430"/>
      <c r="CE430"/>
      <c r="CG430" t="str">
        <v>DECO TOOL SUPPLY</v>
      </c>
      <c r="CI430"/>
      <c r="CJ430"/>
    </row>
    <row r="431" spans="1:88" s="406"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1"/>
      <c r="AO431" s="541"/>
      <c r="AP431" s="61"/>
      <c r="AQ431"/>
      <c r="AR431"/>
      <c r="CE431"/>
      <c r="CG431" t="str">
        <v>DECO TOOL SUPPLY COMPANY</v>
      </c>
      <c r="CI431"/>
      <c r="CJ431"/>
    </row>
    <row r="432" spans="1:88" s="407"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1"/>
      <c r="AO432" s="541"/>
      <c r="AP432" s="61"/>
      <c r="AQ432"/>
      <c r="AR432"/>
      <c r="CE432"/>
      <c r="CG432" t="str">
        <v>DELTA MACHINE CO.</v>
      </c>
      <c r="CI432"/>
      <c r="CJ432"/>
    </row>
    <row r="433" spans="1:88" s="406"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1"/>
      <c r="AO433" s="541"/>
      <c r="AP433" s="61"/>
      <c r="AQ433"/>
      <c r="AR433"/>
      <c r="CE433"/>
      <c r="CG433" t="str">
        <v>DER ASSOCIATES</v>
      </c>
      <c r="CI433"/>
      <c r="CJ433"/>
    </row>
    <row r="434" spans="1:88" s="407"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1"/>
      <c r="AO434" s="541"/>
      <c r="AP434" s="61"/>
      <c r="AQ434"/>
      <c r="AR434"/>
      <c r="CE434"/>
      <c r="CG434" t="str">
        <v>DERBY MACHINE</v>
      </c>
      <c r="CI434"/>
      <c r="CJ434"/>
    </row>
    <row r="435" spans="1:88" s="406"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1"/>
      <c r="AO435" s="541"/>
      <c r="AP435" s="61"/>
      <c r="AQ435"/>
      <c r="AR435"/>
      <c r="CE435"/>
      <c r="CG435" t="str">
        <v>DERBY STEEL TECHNOLOGIES, LLC</v>
      </c>
      <c r="CI435"/>
      <c r="CJ435"/>
    </row>
    <row r="436" spans="1:88" s="407"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1"/>
      <c r="AO436" s="541"/>
      <c r="AP436" s="61"/>
      <c r="AQ436"/>
      <c r="AR436"/>
      <c r="CE436"/>
      <c r="CG436" t="str">
        <v>DERBY TRAILER TECH</v>
      </c>
      <c r="CI436"/>
      <c r="CJ436"/>
    </row>
    <row r="437" spans="1:88" s="406"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1"/>
      <c r="AO437" s="541"/>
      <c r="AP437" s="61"/>
      <c r="AQ437"/>
      <c r="AR437"/>
      <c r="CE437"/>
      <c r="CG437" t="str">
        <v>DEREK SHRIVER</v>
      </c>
      <c r="CI437"/>
      <c r="CJ437"/>
    </row>
    <row r="438" spans="1:88" s="407"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1"/>
      <c r="AO438" s="541"/>
      <c r="AP438" s="61"/>
      <c r="AQ438"/>
      <c r="AR438"/>
      <c r="CE438"/>
      <c r="CG438" t="str">
        <v>DIVERSIFIED SERVICES</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1"/>
      <c r="AO439" s="541"/>
      <c r="AP439" s="61"/>
      <c r="CG439" t="str">
        <v>DIVERSIFIED SERVICES, INC. - NORTH</v>
      </c>
    </row>
    <row r="440" spans="1:88" s="407"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1"/>
      <c r="AO440" s="541"/>
      <c r="AP440" s="61"/>
      <c r="AQ440"/>
      <c r="AR440"/>
      <c r="CE440"/>
      <c r="CG440" t="str">
        <v>DL DYNAMIC LLC</v>
      </c>
      <c r="CI440"/>
      <c r="CJ440"/>
    </row>
    <row r="441" spans="1:88" s="406"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1"/>
      <c r="AO441" s="541"/>
      <c r="AP441" s="61"/>
      <c r="AQ441"/>
      <c r="AR441"/>
      <c r="CE441"/>
      <c r="CG441" t="str">
        <v>DME ELECTRONICS</v>
      </c>
      <c r="CI441"/>
      <c r="CJ441"/>
    </row>
    <row r="442" spans="1:88" s="407"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1">
        <v>0</v>
      </c>
      <c r="AO442" s="541">
        <v>0</v>
      </c>
      <c r="AP442" s="61"/>
      <c r="AQ442"/>
      <c r="AR442"/>
      <c r="CE442"/>
      <c r="CG442" t="str">
        <v>DMG MORI</v>
      </c>
      <c r="CI442"/>
      <c r="CJ442"/>
    </row>
    <row r="443" spans="1:88" s="406"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1">
        <v>0</v>
      </c>
      <c r="AO443" s="541">
        <v>0</v>
      </c>
      <c r="AP443" s="61"/>
      <c r="AQ443"/>
      <c r="AR443"/>
      <c r="CE443"/>
      <c r="CG443" t="str">
        <v>DNC MACHINING, INC.</v>
      </c>
      <c r="CI443"/>
      <c r="CJ443"/>
    </row>
    <row r="444" spans="1:88" s="407"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1"/>
      <c r="AO444" s="541"/>
      <c r="AP444" s="61"/>
      <c r="AQ444"/>
      <c r="AR444"/>
      <c r="CE444"/>
      <c r="CG444" t="str">
        <v>DOUGLAS WATT</v>
      </c>
      <c r="CI444"/>
      <c r="CJ444"/>
    </row>
    <row r="445" spans="1:88" s="406"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1">
        <v>0</v>
      </c>
      <c r="AO445" s="541">
        <v>0</v>
      </c>
      <c r="AP445" s="61"/>
      <c r="AQ445"/>
      <c r="AR445"/>
      <c r="CE445"/>
      <c r="CG445" t="str">
        <v>DRAKA CABLETEQ/USA</v>
      </c>
      <c r="CI445"/>
      <c r="CJ445"/>
    </row>
    <row r="446" spans="1:88" s="407"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1">
        <v>0</v>
      </c>
      <c r="AO446" s="541">
        <v>0</v>
      </c>
      <c r="AP446" s="61"/>
      <c r="AQ446"/>
      <c r="AR446"/>
      <c r="CE446"/>
      <c r="CG446" t="str">
        <v>DRAPER INDUSTRIES LLC</v>
      </c>
      <c r="CI446"/>
      <c r="CJ446"/>
    </row>
    <row r="447" spans="1:88" s="406"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1">
        <v>0</v>
      </c>
      <c r="AO447" s="541">
        <v>0</v>
      </c>
      <c r="AP447" s="61"/>
      <c r="AQ447"/>
      <c r="AR447"/>
      <c r="CE447"/>
      <c r="CG447" t="str">
        <v>DUAL DYNAMICS, INC.</v>
      </c>
      <c r="CI447"/>
      <c r="CJ447"/>
    </row>
    <row r="448" spans="1:88" s="407"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1">
        <v>0</v>
      </c>
      <c r="AO448" s="541">
        <v>0</v>
      </c>
      <c r="AP448" s="61"/>
      <c r="AQ448"/>
      <c r="AR448"/>
      <c r="CE448"/>
      <c r="CG448" t="str">
        <v>DUCOMMUN AEROSTRUCTURES - COXSACKIE</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1">
        <v>0</v>
      </c>
      <c r="AO449" s="541">
        <v>0</v>
      </c>
      <c r="AP449" s="61"/>
      <c r="CG449" t="str">
        <v>DUCOMMUN AEROSTRUCTURES, INC.</v>
      </c>
    </row>
    <row r="450" spans="1:88" s="407"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1">
        <v>0</v>
      </c>
      <c r="AO450" s="541">
        <v>0</v>
      </c>
      <c r="AP450" s="61"/>
      <c r="AQ450"/>
      <c r="AR450"/>
      <c r="CE450"/>
      <c r="CG450" t="str">
        <v>DUCOMMUN LABARGE TECHNOLOGIES</v>
      </c>
      <c r="CI450"/>
      <c r="CJ450"/>
    </row>
    <row r="451" spans="1:88" s="406"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1">
        <v>0</v>
      </c>
      <c r="AO451" s="541">
        <v>0</v>
      </c>
      <c r="AP451" s="61"/>
      <c r="AQ451"/>
      <c r="AR451"/>
      <c r="CE451"/>
      <c r="CG451" t="str">
        <v>DUFIEUX INDUSTRIE CANADA</v>
      </c>
      <c r="CI451"/>
      <c r="CJ451"/>
    </row>
    <row r="452" spans="1:88" s="407"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1"/>
      <c r="AO452" s="541"/>
      <c r="AP452" s="61"/>
      <c r="AQ452"/>
      <c r="AR452"/>
      <c r="CE452"/>
      <c r="CG452" t="str">
        <v>DUNCAN AVIATION</v>
      </c>
      <c r="CI452"/>
      <c r="CJ452"/>
    </row>
    <row r="453" spans="1:88" s="406"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1">
        <v>0</v>
      </c>
      <c r="AO453" s="541">
        <v>0</v>
      </c>
      <c r="AP453" s="61"/>
      <c r="AQ453"/>
      <c r="AR453"/>
      <c r="CE453"/>
      <c r="CG453" t="str">
        <v>DUNCAN AVIATION</v>
      </c>
      <c r="CI453"/>
      <c r="CJ453"/>
    </row>
    <row r="454" spans="1:88" s="407"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1">
        <v>0</v>
      </c>
      <c r="AO454" s="541">
        <v>0</v>
      </c>
      <c r="AP454" s="61"/>
      <c r="AQ454"/>
      <c r="AR454"/>
      <c r="CE454"/>
      <c r="CG454" t="str">
        <v>DXP / SUPPLY CHAIN SERVICES</v>
      </c>
      <c r="CI454"/>
      <c r="CJ454"/>
    </row>
    <row r="455" spans="1:88" s="406"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1">
        <v>0</v>
      </c>
      <c r="AO455" s="541">
        <v>0</v>
      </c>
      <c r="AP455" s="61"/>
      <c r="AQ455"/>
      <c r="AR455"/>
      <c r="CE455"/>
      <c r="CG455" t="str">
        <v>DYNAMIC INTERNATIONAL</v>
      </c>
      <c r="CI455"/>
      <c r="CJ455"/>
    </row>
    <row r="456" spans="1:88" s="407"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1">
        <v>0</v>
      </c>
      <c r="AO456" s="541">
        <v>0</v>
      </c>
      <c r="AP456" s="61"/>
      <c r="AQ456"/>
      <c r="AR456"/>
      <c r="CE456"/>
      <c r="CG456" t="str">
        <v>DYNAMIC MACHINE &amp; TOOL</v>
      </c>
      <c r="CI456"/>
      <c r="CJ456"/>
    </row>
    <row r="457" spans="1:88" s="406"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1">
        <v>0</v>
      </c>
      <c r="AO457" s="541">
        <v>0</v>
      </c>
      <c r="AP457" s="61"/>
      <c r="AQ457"/>
      <c r="AR457"/>
      <c r="CE457"/>
      <c r="CG457" t="str">
        <v>DYNAMIC N/C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1">
        <v>0</v>
      </c>
      <c r="AO458" s="541">
        <v>0</v>
      </c>
      <c r="AP458" s="61"/>
      <c r="CG458" t="str">
        <v>DYNAMIC PAINT SOLUTIONS</v>
      </c>
    </row>
    <row r="459" spans="1:88" s="406"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1">
        <v>0</v>
      </c>
      <c r="AO459" s="541">
        <v>0</v>
      </c>
      <c r="AP459" s="61"/>
      <c r="AQ459"/>
      <c r="AR459"/>
      <c r="CE459"/>
      <c r="CG459" t="str">
        <v>DYNAMIC SOLUTIONS</v>
      </c>
      <c r="CI459"/>
      <c r="CJ459"/>
    </row>
    <row r="460" spans="1:88" s="407"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1">
        <v>0</v>
      </c>
      <c r="AO460" s="541">
        <v>0</v>
      </c>
      <c r="AP460" s="61"/>
      <c r="AQ460"/>
      <c r="AR460"/>
      <c r="CE460"/>
      <c r="CG460" t="str">
        <v>DYTECH SOLUTIONS INTERNATIONAL, INC.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1">
        <v>0</v>
      </c>
      <c r="AO461" s="541">
        <v>0</v>
      </c>
      <c r="AP461" s="61"/>
      <c r="CG461" t="str">
        <v>Demo Customer Account</v>
      </c>
    </row>
    <row r="462" spans="1:88" s="407"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1">
        <v>0</v>
      </c>
      <c r="AO462" s="541">
        <v>0</v>
      </c>
      <c r="AP462" s="61"/>
      <c r="AQ462"/>
      <c r="AR462"/>
      <c r="CE462"/>
      <c r="CG462" t="str">
        <v>Dibbs Manufacturing LLC</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1">
        <v>0</v>
      </c>
      <c r="AO463" s="541">
        <v>0</v>
      </c>
      <c r="AP463" s="61"/>
      <c r="CG463" t="str">
        <v>Don Voughn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1">
        <v>0</v>
      </c>
      <c r="AO464" s="541">
        <v>0</v>
      </c>
      <c r="AP464" s="61"/>
      <c r="CG464" t="str">
        <v>Doug Ward</v>
      </c>
    </row>
    <row r="465" spans="1:88" s="406"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1">
        <v>0</v>
      </c>
      <c r="AO465" s="541">
        <v>0</v>
      </c>
      <c r="AP465" s="61"/>
      <c r="AQ465"/>
      <c r="AR465"/>
      <c r="CE465"/>
      <c r="CG465" t="str">
        <v>DÜRR SYSTEMS GMBH</v>
      </c>
      <c r="CI465"/>
      <c r="CJ465"/>
    </row>
    <row r="466" spans="1:88" s="407"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1">
        <v>0</v>
      </c>
      <c r="AO466" s="541">
        <v>0</v>
      </c>
      <c r="AP466" s="61"/>
      <c r="AQ466"/>
      <c r="AR466"/>
      <c r="CE466"/>
      <c r="CG466" t="str">
        <v>E.J.G Irrigation</v>
      </c>
      <c r="CI466"/>
      <c r="CJ466"/>
    </row>
    <row r="467" spans="1:88" s="406"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1">
        <v>0</v>
      </c>
      <c r="AO467" s="541">
        <v>0</v>
      </c>
      <c r="AP467" s="61"/>
      <c r="AQ467"/>
      <c r="AR467"/>
      <c r="CE467"/>
      <c r="CG467" t="str">
        <v>EAGLE ENTERPRISES, INC.</v>
      </c>
      <c r="CI467"/>
      <c r="CJ467"/>
    </row>
    <row r="468" spans="1:88" s="407"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1">
        <v>0</v>
      </c>
      <c r="AO468" s="541">
        <v>0</v>
      </c>
      <c r="AP468" s="61"/>
      <c r="AQ468"/>
      <c r="AR468"/>
      <c r="CE468"/>
      <c r="CG468" t="str">
        <v>EAGLEMED LLC</v>
      </c>
      <c r="CI468"/>
      <c r="CJ468"/>
    </row>
    <row r="469" spans="1:88" s="406"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1">
        <v>0</v>
      </c>
      <c r="AO469" s="541">
        <v>0</v>
      </c>
      <c r="AP469" s="61"/>
      <c r="AQ469"/>
      <c r="AR469"/>
      <c r="CE469"/>
      <c r="CG469" t="str">
        <v>EAGLEPICHER TECHNOLOGIES, LLC</v>
      </c>
      <c r="CI469"/>
      <c r="CJ469"/>
    </row>
    <row r="470" spans="1:88" s="407"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1">
        <v>0</v>
      </c>
      <c r="AO470" s="541">
        <v>0</v>
      </c>
      <c r="AP470" s="61"/>
      <c r="AQ470"/>
      <c r="AR470"/>
      <c r="CE470"/>
      <c r="CG470" t="str">
        <v>EAGLEPICHER TECHNOLOGIES, LLC - C STREET</v>
      </c>
      <c r="CI470"/>
      <c r="CJ470"/>
    </row>
    <row r="471" spans="1:88" s="406"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1">
        <v>0</v>
      </c>
      <c r="AO471" s="541">
        <v>0</v>
      </c>
      <c r="AP471" s="61"/>
      <c r="AQ471"/>
      <c r="AR471"/>
      <c r="CE471"/>
      <c r="CG471" t="str">
        <v>EAGLEPICHER TECHNOLOGIES, LLC - PITTSBURG</v>
      </c>
      <c r="CI471"/>
      <c r="CJ471"/>
    </row>
    <row r="472" spans="1:88" s="407"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1">
        <v>0</v>
      </c>
      <c r="AO472" s="541">
        <v>0</v>
      </c>
      <c r="AP472" s="61"/>
      <c r="AQ472"/>
      <c r="AR472"/>
      <c r="CE472"/>
      <c r="CG472" t="str">
        <v>EAGLEPICHER TECHNOLOGIES, LLC - SENECA</v>
      </c>
      <c r="CI472"/>
      <c r="CJ472"/>
    </row>
    <row r="473" spans="1:88" s="406"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1">
        <v>0</v>
      </c>
      <c r="AO473" s="541">
        <v>0</v>
      </c>
      <c r="AP473" s="61"/>
      <c r="AQ473"/>
      <c r="AR473"/>
      <c r="CE473"/>
      <c r="CG473" t="str">
        <v>EARL BAKER CO.</v>
      </c>
      <c r="CI473"/>
      <c r="CJ473"/>
    </row>
    <row r="474" spans="1:88" s="407"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1">
        <v>0</v>
      </c>
      <c r="AO474" s="541">
        <v>0</v>
      </c>
      <c r="AP474" s="61"/>
      <c r="AQ474"/>
      <c r="AR474"/>
      <c r="CE474"/>
      <c r="CG474" t="str">
        <v>EAS CORPORATION</v>
      </c>
      <c r="CI474"/>
      <c r="CJ474"/>
    </row>
    <row r="475" spans="1:88" s="406"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1">
        <v>0</v>
      </c>
      <c r="AO475" s="541">
        <v>0</v>
      </c>
      <c r="AP475" s="61"/>
      <c r="AQ475"/>
      <c r="AR475"/>
      <c r="CE475"/>
      <c r="CG475" t="str">
        <v>EATON CORPORATION</v>
      </c>
      <c r="CI475"/>
      <c r="CJ475"/>
    </row>
    <row r="476" spans="1:88" s="407"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1">
        <v>0</v>
      </c>
      <c r="AO476" s="541">
        <v>0</v>
      </c>
      <c r="AP476" s="61"/>
      <c r="AQ476"/>
      <c r="AR476"/>
      <c r="CE476"/>
      <c r="CG476" t="str">
        <v>EBSCO SPRING CO., INC.</v>
      </c>
      <c r="CI476"/>
      <c r="CJ476"/>
    </row>
    <row r="477" spans="1:88" s="406"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1">
        <v>0</v>
      </c>
      <c r="AO477" s="541">
        <v>0</v>
      </c>
      <c r="AP477" s="61"/>
      <c r="AQ477"/>
      <c r="AR477"/>
      <c r="CE477"/>
      <c r="CG477" t="str">
        <v>ECK &amp; ECK MACHINE CO.</v>
      </c>
      <c r="CI477"/>
      <c r="CJ477"/>
    </row>
    <row r="478" spans="1:88" s="407"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1">
        <v>0</v>
      </c>
      <c r="AO478" s="541">
        <v>0</v>
      </c>
      <c r="AP478" s="61"/>
      <c r="AQ478"/>
      <c r="AR478"/>
      <c r="CE478"/>
      <c r="CG478" t="str">
        <v>EDWARD COATS</v>
      </c>
      <c r="CI478"/>
      <c r="CJ478"/>
    </row>
    <row r="479" spans="1:88" s="406"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1">
        <v>0</v>
      </c>
      <c r="AO479" s="541">
        <v>0</v>
      </c>
      <c r="AP479" s="61"/>
      <c r="AQ479"/>
      <c r="AR479"/>
      <c r="CE479"/>
      <c r="CG479" t="str">
        <v>EL DORADO CLINIC</v>
      </c>
      <c r="CI479"/>
      <c r="CJ479"/>
    </row>
    <row r="480" spans="1:88" s="407"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1">
        <v>0</v>
      </c>
      <c r="AO480" s="541">
        <v>0</v>
      </c>
      <c r="AP480" s="61"/>
      <c r="AQ480"/>
      <c r="AR480"/>
      <c r="CE480"/>
      <c r="CG480" t="str">
        <v>EL PASO TEST EQUIPMENT LLC</v>
      </c>
      <c r="CI480"/>
      <c r="CJ480"/>
    </row>
    <row r="481" spans="1:88" s="406"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1">
        <v>0</v>
      </c>
      <c r="AO481" s="541">
        <v>0</v>
      </c>
      <c r="AP481" s="61"/>
      <c r="AQ481"/>
      <c r="AR481"/>
      <c r="CE481"/>
      <c r="CG481" t="str">
        <v>ELEC-TRON, INC.</v>
      </c>
      <c r="CI481"/>
      <c r="CJ481"/>
    </row>
    <row r="482" spans="1:88" s="407"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1">
        <v>0</v>
      </c>
      <c r="AO482" s="541">
        <v>0</v>
      </c>
      <c r="AP482" s="61"/>
      <c r="AQ482"/>
      <c r="AR482"/>
      <c r="CE482"/>
      <c r="CG482" t="str">
        <v>ELECTRO-METHODS, INC.</v>
      </c>
      <c r="CI482"/>
      <c r="CJ482"/>
    </row>
    <row r="483" spans="1:88" s="406"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1">
        <v>0</v>
      </c>
      <c r="AO483" s="541">
        <v>0</v>
      </c>
      <c r="AP483" s="61"/>
      <c r="AQ483"/>
      <c r="AR483"/>
      <c r="CE483"/>
      <c r="CG483" t="str">
        <v>ELECTROMECH TECHNOLOGIES</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1">
        <v>0</v>
      </c>
      <c r="AO484" s="541">
        <v>0</v>
      </c>
      <c r="AP484" s="61"/>
      <c r="CG484" t="str">
        <v>ELEMENT MATERIALS TECHNOLOGY DALEVILLE</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1">
        <v>0</v>
      </c>
      <c r="AO485" s="541">
        <v>0</v>
      </c>
      <c r="AP485" s="61"/>
      <c r="CG485" t="str">
        <v>ELEMENT WICHITA</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1">
        <v>0</v>
      </c>
      <c r="AO486" s="541">
        <v>0</v>
      </c>
      <c r="AP486" s="61"/>
      <c r="CG486" t="str">
        <v>ELKHORN VALLEY PACKING</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1">
        <v>0</v>
      </c>
      <c r="AO487" s="541">
        <v>0</v>
      </c>
      <c r="AP487" s="61"/>
      <c r="CG487" t="str">
        <v>EMINENCE MANUFACTURING,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1">
        <v>0</v>
      </c>
      <c r="AO488" s="541">
        <v>0</v>
      </c>
      <c r="AP488" s="61"/>
      <c r="CG488" t="str">
        <v>EMMERT WELDING AND MANUFACTURING</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1">
        <v>0</v>
      </c>
      <c r="AO489" s="541">
        <v>0</v>
      </c>
      <c r="AP489" s="61"/>
      <c r="CG489" t="str">
        <v>EMOTEQ CORPORATION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1">
        <v>0</v>
      </c>
      <c r="AO490" s="541">
        <v>0</v>
      </c>
      <c r="AP490" s="61"/>
      <c r="CG490" t="str">
        <v>ENDURALOCK</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1">
        <v>0</v>
      </c>
      <c r="AO491" s="541">
        <v>0</v>
      </c>
      <c r="AP491" s="61"/>
      <c r="CG491" t="str">
        <v>ENERSYS DELAWARE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1"/>
      <c r="AO492" s="541"/>
      <c r="AP492" s="61"/>
      <c r="CG492" t="str">
        <v>ENJET AERO ADVANCED MANUFACTUING</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1"/>
      <c r="AO493" s="541"/>
      <c r="AP493" s="61"/>
      <c r="CG493" t="str">
        <v>ENTZ AERODYNE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1"/>
      <c r="AO494" s="541"/>
      <c r="AP494" s="61"/>
      <c r="CG494" t="str">
        <v>ENVISION INDUSTRIES,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1">
        <v>0</v>
      </c>
      <c r="AO495" s="541">
        <v>0</v>
      </c>
      <c r="AP495" s="61"/>
      <c r="CG495" t="str">
        <v>EPM</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1">
        <v>0</v>
      </c>
      <c r="AO496" s="541">
        <v>0</v>
      </c>
      <c r="AP496" s="61"/>
      <c r="CG496" t="str">
        <v>ERI SOLUTIONS, INC.</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1">
        <v>0</v>
      </c>
      <c r="AO497" s="541">
        <v>0</v>
      </c>
      <c r="AP497" s="61"/>
      <c r="CG497" t="str">
        <v>ERNEST - SPENCER METALS, INC.</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1">
        <v>0</v>
      </c>
      <c r="AO498" s="541">
        <v>0</v>
      </c>
      <c r="AP498" s="61"/>
      <c r="CG498" t="str">
        <v>ERNIE WINTER</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1">
        <v>0</v>
      </c>
      <c r="AO499" s="541">
        <v>0</v>
      </c>
      <c r="AP499" s="61"/>
      <c r="CG499" t="str">
        <v>ESSNER MANUFACTURING, L.P.</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1">
        <v>0</v>
      </c>
      <c r="AO500" s="541">
        <v>0</v>
      </c>
      <c r="AP500" s="61"/>
      <c r="CG500" t="str">
        <v>ETCO SPECIALTY PRODUCTS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1">
        <v>0</v>
      </c>
      <c r="AO501" s="541">
        <v>0</v>
      </c>
      <c r="AP501" s="61"/>
      <c r="CG501" t="str">
        <v>ETEZAZI INDUSTRIES</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1">
        <v>0</v>
      </c>
      <c r="AO502" s="541">
        <v>0</v>
      </c>
      <c r="AP502" s="61"/>
      <c r="CG502" t="str">
        <v>EULESS AERO COMPONENTS,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1">
        <v>0</v>
      </c>
      <c r="AO503" s="541">
        <v>0</v>
      </c>
      <c r="AP503" s="61"/>
      <c r="CG503" t="str">
        <v>EUROTEC VERTICAL FLIGHT SOLUTIONS, LLC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1">
        <v>1.4583333333333332E-2</v>
      </c>
      <c r="AO504" s="541">
        <v>0</v>
      </c>
      <c r="AP504" s="61"/>
      <c r="CG504" t="str">
        <v>EVANS/EVCO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1">
        <v>1.4583333333333332E-2</v>
      </c>
      <c r="AO505" s="541">
        <v>0</v>
      </c>
      <c r="AP505" s="61"/>
      <c r="CG505" t="str">
        <v>EVERIDGE/ICS</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1">
        <v>0</v>
      </c>
      <c r="AO506" s="541">
        <v>0</v>
      </c>
      <c r="AP506" s="61"/>
      <c r="CG506" t="str">
        <v>EVONIK</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1">
        <v>1.4583333333333332E-2</v>
      </c>
      <c r="AO507" s="541">
        <v>0</v>
      </c>
      <c r="AP507" s="61"/>
      <c r="CG507" t="str">
        <v>EW7 Products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1">
        <v>0</v>
      </c>
      <c r="AO508" s="541">
        <v>2.1527777777777781E-2</v>
      </c>
      <c r="AP508" s="61"/>
      <c r="CG508" t="str">
        <v>EXACT FLOW</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1">
        <v>0</v>
      </c>
      <c r="AO509" s="541">
        <v>0</v>
      </c>
      <c r="AP509" s="61"/>
      <c r="CG509" t="str">
        <v>EXACTA AEROSPACE, INC.</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1">
        <v>0</v>
      </c>
      <c r="AO510" s="541">
        <v>0</v>
      </c>
      <c r="AP510" s="61"/>
      <c r="CG510" t="str">
        <v>EXACTA AEROSPACE, INC. SOUTH</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1">
        <v>0</v>
      </c>
      <c r="AO511" s="541">
        <v>0</v>
      </c>
      <c r="AP511" s="61"/>
      <c r="CG511" t="str">
        <v>EXCEL INDUSTRIES</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1">
        <v>0</v>
      </c>
      <c r="AO512" s="541">
        <v>0</v>
      </c>
      <c r="AP512" s="61"/>
      <c r="CG512" t="str">
        <v>EXCEL TOOL &amp; MANUFACTURING</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1">
        <v>1.4583333333333332E-2</v>
      </c>
      <c r="AO513" s="541">
        <v>2.1527777777777781E-2</v>
      </c>
      <c r="AP513" s="61"/>
      <c r="CG513" t="str">
        <v>EXECUTIVE JET MANAGEMENT</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1">
        <v>0</v>
      </c>
      <c r="AO514" s="541">
        <v>0</v>
      </c>
      <c r="AP514" s="61"/>
      <c r="CG514" t="str">
        <v>EXLINE, INC.</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1">
        <v>0</v>
      </c>
      <c r="AO515" s="541">
        <v>0</v>
      </c>
      <c r="AP515" s="61"/>
      <c r="CG515" t="str">
        <v>EXOTIC METALS FORMING COMPANY LLC</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1"/>
      <c r="AO516" s="541"/>
      <c r="AP516" s="61"/>
      <c r="CG516" t="str">
        <v>EXTECH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1"/>
      <c r="AO517" s="541"/>
      <c r="AP517" s="61"/>
      <c r="CG517" t="str">
        <v>EXTRU-TECH, INC.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1"/>
      <c r="AO518" s="541"/>
      <c r="AP518" s="61"/>
      <c r="CG518" t="str">
        <v>Eck Services</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1"/>
      <c r="AO519" s="541"/>
      <c r="AP519" s="61"/>
      <c r="CG519" t="str">
        <v>Eddy's Body Shop</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1">
        <v>0</v>
      </c>
      <c r="AO520" s="541">
        <v>0</v>
      </c>
      <c r="AP520" s="61"/>
      <c r="CG520" t="str">
        <v>Electrex Inc</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1">
        <v>0</v>
      </c>
      <c r="AO521" s="541">
        <v>0</v>
      </c>
      <c r="AP521" s="61"/>
      <c r="CG521" t="str">
        <v>Emerald City Cargo</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1"/>
      <c r="AO522" s="541"/>
      <c r="AP522" s="61"/>
      <c r="CG522" t="str">
        <v>Evergreen Landscape and Sprinkler Service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1"/>
      <c r="AO523" s="541"/>
      <c r="AP523" s="61"/>
      <c r="CG523" t="str">
        <v>F &amp; M MACHINE SHOP</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1"/>
      <c r="AO524" s="541"/>
      <c r="AP524" s="61"/>
      <c r="CG524" t="str">
        <v>FACCSI</v>
      </c>
    </row>
    <row r="525" spans="1:85" x14ac:dyDescent="0.2">
      <c r="AN525" s="462"/>
      <c r="AO525" s="462"/>
      <c r="CG525" t="str">
        <v>FAGRON STERILE SERVICES</v>
      </c>
    </row>
    <row r="526" spans="1:85" x14ac:dyDescent="0.2">
      <c r="AN526" s="462"/>
      <c r="AO526" s="462"/>
      <c r="CG526" t="str">
        <v>FAIRMOUNT TECHNOLOGIES LLC</v>
      </c>
    </row>
    <row r="527" spans="1:85" x14ac:dyDescent="0.2">
      <c r="AN527" s="462"/>
      <c r="AO527" s="462"/>
      <c r="CG527" t="str">
        <v>FAMILY CARE CENTER</v>
      </c>
    </row>
    <row r="528" spans="1:85" x14ac:dyDescent="0.2">
      <c r="AN528" s="462"/>
      <c r="AO528" s="462"/>
      <c r="CG528" t="str">
        <v>FARRAR CORPORATION - MANHATTAN DIVISION</v>
      </c>
    </row>
    <row r="529" spans="40:85" x14ac:dyDescent="0.2">
      <c r="AN529" s="462"/>
      <c r="AO529" s="462"/>
      <c r="CG529" t="str">
        <v>FARRAR CORPORATION - NORWICH DIVISION</v>
      </c>
    </row>
    <row r="530" spans="40:85" x14ac:dyDescent="0.2">
      <c r="AN530" s="462"/>
      <c r="AO530" s="462"/>
      <c r="CG530" t="str">
        <v>FASTENAIR, LLC</v>
      </c>
    </row>
    <row r="531" spans="40:85" x14ac:dyDescent="0.2">
      <c r="AN531" s="462"/>
      <c r="AO531" s="462"/>
      <c r="CG531" t="str">
        <v>FASTENAL</v>
      </c>
    </row>
    <row r="532" spans="40:85" x14ac:dyDescent="0.2">
      <c r="AN532" s="462"/>
      <c r="AO532" s="462"/>
      <c r="CG532" t="str">
        <v>FEDERAL AVIATION ADMIN. HUTCHINSON DIV</v>
      </c>
    </row>
    <row r="533" spans="40:85" x14ac:dyDescent="0.2">
      <c r="AN533" s="462"/>
      <c r="AO533" s="462"/>
      <c r="CG533" t="str">
        <v>FERRA AEROSPACE INC</v>
      </c>
    </row>
    <row r="534" spans="40:85" x14ac:dyDescent="0.2">
      <c r="AN534" s="462"/>
      <c r="AO534" s="462"/>
      <c r="CG534" t="str">
        <v>FERROLOY FOUNDRY, INC.</v>
      </c>
    </row>
    <row r="535" spans="40:85" x14ac:dyDescent="0.2">
      <c r="AN535" s="462"/>
      <c r="AO535" s="462"/>
      <c r="CG535" t="str">
        <v>FERROLOY, INC.</v>
      </c>
    </row>
    <row r="536" spans="40:85" x14ac:dyDescent="0.2">
      <c r="AN536" s="462"/>
      <c r="AO536" s="462"/>
      <c r="CG536" t="str">
        <v>FHR ANALYTICAL SERVICES</v>
      </c>
    </row>
    <row r="537" spans="40:85" x14ac:dyDescent="0.2">
      <c r="AN537" s="462"/>
      <c r="AO537" s="462"/>
      <c r="CG537" t="str">
        <v>FIBER DYNAMICS</v>
      </c>
    </row>
    <row r="538" spans="40:85" x14ac:dyDescent="0.2">
      <c r="AN538" s="462"/>
      <c r="AO538" s="462"/>
      <c r="CG538" t="str">
        <v>FIBER GLASS SYSTEMS</v>
      </c>
    </row>
    <row r="539" spans="40:85" x14ac:dyDescent="0.2">
      <c r="AN539" s="462"/>
      <c r="AO539" s="462"/>
      <c r="CG539" t="str">
        <v>FIBERGLASS AND COMPOSITES TECHNOLOGY</v>
      </c>
    </row>
    <row r="540" spans="40:85" x14ac:dyDescent="0.2">
      <c r="AN540" s="462"/>
      <c r="AO540" s="462"/>
      <c r="CG540" t="str">
        <v>FIGEAC AERO</v>
      </c>
    </row>
    <row r="541" spans="40:85" x14ac:dyDescent="0.2">
      <c r="AN541" s="462"/>
      <c r="AO541" s="462"/>
      <c r="CG541" t="str">
        <v>FINEST CUT MILLING</v>
      </c>
    </row>
    <row r="542" spans="40:85" x14ac:dyDescent="0.2">
      <c r="AN542" s="462"/>
      <c r="AO542" s="462"/>
      <c r="CG542" t="str">
        <v>FIRST CAB</v>
      </c>
    </row>
    <row r="543" spans="40:85" x14ac:dyDescent="0.2">
      <c r="AN543" s="462"/>
      <c r="AO543" s="462"/>
      <c r="CG543" t="str">
        <v>FIRST GLOBAL MFG., INC.</v>
      </c>
    </row>
    <row r="544" spans="40:85" x14ac:dyDescent="0.2">
      <c r="AN544" s="462"/>
      <c r="AO544" s="462"/>
      <c r="CG544" t="str">
        <v>FISHER MANUFACTURING SERVICES</v>
      </c>
    </row>
    <row r="545" spans="40:85" x14ac:dyDescent="0.2">
      <c r="AN545" s="462"/>
      <c r="AO545" s="462"/>
      <c r="CG545" t="str">
        <v>FIVE STAR MECHANICAL</v>
      </c>
    </row>
    <row r="546" spans="40:85" x14ac:dyDescent="0.2">
      <c r="AN546" s="462"/>
      <c r="AO546" s="462"/>
      <c r="CG546" t="str">
        <v>FLAME SPRAY REPAIR BY BONES</v>
      </c>
    </row>
    <row r="547" spans="40:85" x14ac:dyDescent="0.2">
      <c r="AN547" s="462"/>
      <c r="AO547" s="462"/>
      <c r="CG547" t="str">
        <v>FLEXFAB LLC</v>
      </c>
    </row>
    <row r="548" spans="40:85" x14ac:dyDescent="0.2">
      <c r="AN548" s="462"/>
      <c r="AO548" s="462"/>
      <c r="CG548" t="str">
        <v>FLY MANUFACTURING, LLC</v>
      </c>
    </row>
    <row r="549" spans="40:85" x14ac:dyDescent="0.2">
      <c r="AN549" s="462"/>
      <c r="AO549" s="462"/>
      <c r="CG549" t="str">
        <v>FMC CORPORATION</v>
      </c>
    </row>
    <row r="550" spans="40:85" x14ac:dyDescent="0.2">
      <c r="AN550" s="462"/>
      <c r="AO550" s="462"/>
      <c r="CG550" t="str">
        <v>FMC TECH</v>
      </c>
    </row>
    <row r="551" spans="40:85" x14ac:dyDescent="0.2">
      <c r="AN551" s="462"/>
      <c r="AO551" s="462"/>
      <c r="CG551" t="str">
        <v>FMC TECHNOLOGIES</v>
      </c>
    </row>
    <row r="552" spans="40:85" x14ac:dyDescent="0.2">
      <c r="AN552" s="462"/>
      <c r="AO552" s="462"/>
      <c r="CG552" t="str">
        <v>FMW INC.</v>
      </c>
    </row>
    <row r="553" spans="40:85" x14ac:dyDescent="0.2">
      <c r="AN553" s="462"/>
      <c r="AO553" s="462"/>
      <c r="CG553" t="str">
        <v>FOAM DESIGN, INC</v>
      </c>
    </row>
    <row r="554" spans="40:85" x14ac:dyDescent="0.2">
      <c r="AN554" s="462"/>
      <c r="AO554" s="462"/>
      <c r="CG554" t="str">
        <v>FOLEY EQUIPMENT COMPANY</v>
      </c>
    </row>
    <row r="555" spans="40:85" x14ac:dyDescent="0.2">
      <c r="AN555" s="462"/>
      <c r="AO555" s="462"/>
      <c r="CG555" t="str">
        <v>FOLEY EQUIPMENT COMPANY - WICHITA</v>
      </c>
    </row>
    <row r="556" spans="40:85" x14ac:dyDescent="0.2">
      <c r="AN556" s="462"/>
      <c r="AO556" s="462"/>
      <c r="CG556" t="str">
        <v>FORE AERO COMPANY</v>
      </c>
    </row>
    <row r="557" spans="40:85" x14ac:dyDescent="0.2">
      <c r="AN557" s="462"/>
      <c r="AO557" s="462"/>
      <c r="CG557" t="str">
        <v>FORMING SPECIALISTS, INC.</v>
      </c>
    </row>
    <row r="558" spans="40:85" x14ac:dyDescent="0.2">
      <c r="AN558" s="462"/>
      <c r="AO558" s="462"/>
      <c r="CG558" t="str">
        <v>FORTE PRODUCTS</v>
      </c>
    </row>
    <row r="559" spans="40:85" x14ac:dyDescent="0.2">
      <c r="AN559" s="462"/>
      <c r="AO559" s="462"/>
      <c r="CG559" t="str">
        <v>FORUM VALVE SOLUTIONS</v>
      </c>
    </row>
    <row r="560" spans="40:85" x14ac:dyDescent="0.2">
      <c r="AN560" s="462"/>
      <c r="AO560" s="462"/>
      <c r="CG560" t="str">
        <v>FOUR STAR TOOL &amp; DIE</v>
      </c>
    </row>
    <row r="561" spans="40:85" x14ac:dyDescent="0.2">
      <c r="AN561" s="462"/>
      <c r="AO561" s="462"/>
      <c r="CG561" t="str">
        <v>FOUR STATE IND. SUPPLY - OK DIV</v>
      </c>
    </row>
    <row r="562" spans="40:85" x14ac:dyDescent="0.2">
      <c r="AN562" s="462"/>
      <c r="AO562" s="462"/>
      <c r="CG562" t="str">
        <v>FOUR STATE INDUSTRIAL SUPPLY - TX</v>
      </c>
    </row>
    <row r="563" spans="40:85" x14ac:dyDescent="0.2">
      <c r="AN563" s="462"/>
      <c r="AO563" s="462"/>
      <c r="CG563" t="str">
        <v>FOUR Z MANUFACTURING</v>
      </c>
    </row>
    <row r="564" spans="40:85" x14ac:dyDescent="0.2">
      <c r="AN564" s="462"/>
      <c r="AO564" s="462"/>
      <c r="CG564" t="str">
        <v>FRANK VOSEL</v>
      </c>
    </row>
    <row r="565" spans="40:85" x14ac:dyDescent="0.2">
      <c r="AN565" s="462"/>
      <c r="AO565" s="462"/>
      <c r="CG565" t="str">
        <v>FRANKLIN'S INDUSTRIES OF TEXAS, LLC</v>
      </c>
    </row>
    <row r="566" spans="40:85" x14ac:dyDescent="0.2">
      <c r="AN566" s="462"/>
      <c r="AO566" s="462"/>
      <c r="CG566" t="str">
        <v>FREEDOM &amp; ASSOCIATES ELECTRIC</v>
      </c>
    </row>
    <row r="567" spans="40:85" x14ac:dyDescent="0.2">
      <c r="AN567" s="462"/>
      <c r="AO567" s="462"/>
      <c r="CG567" t="str">
        <v>FREEDOM WORKS MFG. INC</v>
      </c>
    </row>
    <row r="568" spans="40:85" x14ac:dyDescent="0.2">
      <c r="AN568" s="462"/>
      <c r="AO568" s="462"/>
      <c r="CG568" t="str">
        <v>FREEMAN COMPANY</v>
      </c>
    </row>
    <row r="569" spans="40:85" x14ac:dyDescent="0.2">
      <c r="AN569" s="462"/>
      <c r="AO569" s="462"/>
      <c r="CG569" t="str">
        <v>FTW COATINGS</v>
      </c>
    </row>
    <row r="570" spans="40:85" x14ac:dyDescent="0.2">
      <c r="AN570" s="462"/>
      <c r="AO570" s="462"/>
      <c r="CG570" t="str">
        <v>FULL VISION, INC.</v>
      </c>
    </row>
    <row r="571" spans="40:85" x14ac:dyDescent="0.2">
      <c r="AN571" s="462"/>
      <c r="AO571" s="462"/>
      <c r="CG571" t="str">
        <v>FULLER BRUSH CO.</v>
      </c>
    </row>
    <row r="572" spans="40:85" x14ac:dyDescent="0.2">
      <c r="AN572" s="462"/>
      <c r="AO572" s="462"/>
      <c r="CG572" t="str">
        <v>FURMANITE AMERICA</v>
      </c>
    </row>
    <row r="573" spans="40:85" x14ac:dyDescent="0.2">
      <c r="AN573" s="462"/>
      <c r="AO573" s="462"/>
      <c r="CG573" t="str">
        <v>Fast Planes LLC</v>
      </c>
    </row>
    <row r="574" spans="40:85" x14ac:dyDescent="0.2">
      <c r="AN574" s="462"/>
      <c r="AO574" s="462"/>
      <c r="CG574" t="str">
        <v>Federal Aviation Administration Wichita</v>
      </c>
    </row>
    <row r="575" spans="40:85" x14ac:dyDescent="0.2">
      <c r="AN575" s="462"/>
      <c r="AO575" s="462"/>
      <c r="CG575" t="str">
        <v>Florence Corporation</v>
      </c>
    </row>
    <row r="576" spans="40:85" x14ac:dyDescent="0.2">
      <c r="AN576" s="462"/>
      <c r="AO576" s="462"/>
      <c r="CG576" t="str">
        <v>G &amp; D METALS INC</v>
      </c>
    </row>
    <row r="577" spans="40:85" x14ac:dyDescent="0.2">
      <c r="AN577" s="462"/>
      <c r="AO577" s="462"/>
      <c r="CG577" t="str">
        <v>G.L. HUYETT INC.</v>
      </c>
    </row>
    <row r="578" spans="40:85" x14ac:dyDescent="0.2">
      <c r="AN578" s="462"/>
      <c r="AO578" s="462"/>
      <c r="CG578" t="str">
        <v>G.T. MICHELLI CO. INC. (This is a duplicate - Please remove)</v>
      </c>
    </row>
    <row r="579" spans="40:85" x14ac:dyDescent="0.2">
      <c r="AN579" s="462"/>
      <c r="AO579" s="462"/>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Cx7HnR0DAJd5vAM1AeOUXtjxI0CaNFD9ZazC5lTVpjotFm5ffZ5osxfmVFe5EYcwpurt7Ri8zO8gvHGFwaC/bg==" saltValue="GlRkVj8HinzQswid2nLAUQ=="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f>Main!D5</f>
        <v>0</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lk2KDl9WHSoYtf7OL+BiPaIaj0iZUPZSlrRgXCQC0efjYufG0nuAEvnl5W00OUaj03UVNrVxHRvF3aLEvyU6yg==" saltValue="pTIhUOmDLUyGvXe5/0UNj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111" priority="1" stopIfTrue="1" operator="between">
      <formula>$E$1</formula>
      <formula>$E$2</formula>
    </cfRule>
    <cfRule type="cellIs" dxfId="110" priority="2" stopIfTrue="1" operator="greaterThan">
      <formula>$C$2</formula>
    </cfRule>
    <cfRule type="cellIs" dxfId="109" priority="3" stopIfTrue="1" operator="lessThan">
      <formula>$C$1</formula>
    </cfRule>
    <cfRule type="cellIs" dxfId="10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f>Main!D5</f>
        <v>0</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dZM8VoRsNLNQi4e2mfwQ/34EsuSflv2SlfAozFQDsw1lKltn3mrmgPhyTz/BGUyNXleWstCNnxAH+FW+m8Stw==" saltValue="JGGjLdzQIU5XyX0Zd35pv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107" priority="1" stopIfTrue="1" operator="between">
      <formula>$E$1</formula>
      <formula>$E$2</formula>
    </cfRule>
    <cfRule type="cellIs" dxfId="106" priority="2" stopIfTrue="1" operator="greaterThan">
      <formula>$C$2</formula>
    </cfRule>
    <cfRule type="cellIs" dxfId="105" priority="3" stopIfTrue="1" operator="lessThan">
      <formula>$C$1</formula>
    </cfRule>
    <cfRule type="cellIs" dxfId="10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f>Main!D5</f>
        <v>0</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KIMJwG1+EHDnSA396MyWIhVrN+Xqs522tRnfTSwQzNzChSKwFUkj4DE1xM+FrZY9TPnbfYUNurhAeFQVnFcoqA==" saltValue="Vkk+X22dugwZUJJPmNorn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103" priority="1" stopIfTrue="1" operator="between">
      <formula>$E$1</formula>
      <formula>$E$2</formula>
    </cfRule>
    <cfRule type="cellIs" dxfId="102" priority="2" stopIfTrue="1" operator="greaterThan">
      <formula>$C$2</formula>
    </cfRule>
    <cfRule type="cellIs" dxfId="101" priority="3" stopIfTrue="1" operator="lessThan">
      <formula>$C$1</formula>
    </cfRule>
    <cfRule type="cellIs" dxfId="10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2"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3a9J5ZEFG/oFcw28NoXa9Pq1QMxzUHQRpKF3AdSkbvdY1r78hrs4d7SjZBrVESOYDTBiJLJ6tSIIyoascYKHWw==" saltValue="QJfSAlG/C4wb27aWlfWnZA=="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5"/>
    <col min="17" max="17" width="9.140625" style="527"/>
    <col min="18" max="18" width="37.85546875" style="525" bestFit="1" customWidth="1"/>
    <col min="19" max="19" width="9.85546875" style="525" bestFit="1" customWidth="1"/>
    <col min="20" max="20" width="21.85546875" style="525" bestFit="1" customWidth="1"/>
    <col min="21" max="21" width="14.42578125" style="525" customWidth="1"/>
    <col min="22" max="22" width="16" style="525" customWidth="1"/>
    <col min="23" max="23" width="9.140625" style="525"/>
    <col min="24" max="25" width="9.140625" style="16"/>
    <col min="26" max="16384" width="9.140625" style="8"/>
  </cols>
  <sheetData>
    <row r="1" spans="1:29" x14ac:dyDescent="0.25">
      <c r="G1" s="10" t="s">
        <v>0</v>
      </c>
      <c r="H1" s="8"/>
      <c r="I1" s="9"/>
      <c r="K1" s="8"/>
      <c r="M1" s="8" t="s">
        <v>19</v>
      </c>
      <c r="O1" s="350"/>
      <c r="R1" s="525" t="e">
        <f>IF(T1=0, 0, IF(T1 &gt; Main!G93 + (1-D19)*0.4, 1, ""))</f>
        <v>#VALUE!</v>
      </c>
      <c r="T1" s="525" t="e" cm="1">
        <f t="array" ref="T1">MAX(ABS(E10:E18))</f>
        <v>#VALUE!</v>
      </c>
      <c r="U1" s="525" t="e" cm="1">
        <f t="array" ref="U1">MAX(ABS(H10:H18))</f>
        <v>#VALUE!</v>
      </c>
      <c r="X1" s="350"/>
      <c r="Y1" s="350"/>
      <c r="Z1" s="352"/>
      <c r="AA1" s="352"/>
      <c r="AB1" s="352"/>
      <c r="AC1" s="352"/>
    </row>
    <row r="2" spans="1:29" ht="18.75" customHeight="1" x14ac:dyDescent="0.25">
      <c r="H2" s="11" t="s">
        <v>20</v>
      </c>
      <c r="I2" s="9"/>
      <c r="K2" s="8"/>
      <c r="M2" s="8" t="s">
        <v>33</v>
      </c>
      <c r="O2" s="350"/>
      <c r="R2" s="525" t="e">
        <f>IF(U1=0, 0, IF(U1 &gt; Main!G93 + (1-D31)*0.4, 1, ""))</f>
        <v>#VALUE!</v>
      </c>
      <c r="T2" s="525" t="e" cm="1">
        <f t="array" ref="T2">MAX(ABS(K10:K18))</f>
        <v>#VALUE!</v>
      </c>
      <c r="U2" s="525" t="e" cm="1">
        <f t="array" ref="U2">MAX(ABS(N10:N18))</f>
        <v>#VALUE!</v>
      </c>
      <c r="X2" s="350"/>
      <c r="Y2" s="350"/>
      <c r="Z2" s="352"/>
      <c r="AA2" s="352"/>
      <c r="AB2" s="352"/>
      <c r="AC2" s="352"/>
    </row>
    <row r="3" spans="1:29" ht="23.25" customHeight="1" x14ac:dyDescent="0.25">
      <c r="D3" s="35" t="s">
        <v>39</v>
      </c>
      <c r="E3" s="42">
        <f>Main!D3</f>
        <v>0</v>
      </c>
      <c r="G3" s="12"/>
      <c r="H3" s="8"/>
      <c r="J3" s="35" t="s">
        <v>54</v>
      </c>
      <c r="K3" s="13">
        <f>Main!D5</f>
        <v>0</v>
      </c>
      <c r="L3" s="9"/>
      <c r="O3" s="350"/>
      <c r="R3" s="525" t="e">
        <f>IF(T2=0, 0, IF(T2 &gt; Main!G93 + (1-G19)*0.4, 1, ""))</f>
        <v>#VALUE!</v>
      </c>
      <c r="T3" s="525" t="e" cm="1">
        <f t="array" ref="T3">MAX(ABS(E22:E30))</f>
        <v>#VALUE!</v>
      </c>
      <c r="U3" s="525" t="e" cm="1">
        <f t="array" ref="U3">MAX(ABS(H22:H30))</f>
        <v>#VALUE!</v>
      </c>
      <c r="X3" s="350"/>
      <c r="Y3" s="350"/>
      <c r="Z3" s="352"/>
      <c r="AA3" s="352"/>
      <c r="AB3" s="352"/>
      <c r="AC3" s="352"/>
    </row>
    <row r="4" spans="1:29" x14ac:dyDescent="0.25">
      <c r="D4" s="36" t="s">
        <v>53</v>
      </c>
      <c r="E4" s="10">
        <f>Main!D6</f>
        <v>0</v>
      </c>
      <c r="H4" s="8"/>
      <c r="J4" s="36" t="s">
        <v>55</v>
      </c>
      <c r="K4" s="14">
        <f>Main!D16</f>
        <v>0</v>
      </c>
      <c r="L4" s="9"/>
      <c r="O4" s="350"/>
      <c r="R4" s="525" t="e">
        <f>IF(U2=0, 0, IF(U2 &gt; Main!G93 + (1-G31)*0.4, 1, ""))</f>
        <v>#VALUE!</v>
      </c>
      <c r="T4" s="525" t="e" cm="1">
        <f t="array" ref="T4">MAX(ABS(K22:K30))</f>
        <v>#VALUE!</v>
      </c>
      <c r="U4" s="525" t="e" cm="1">
        <f t="array" ref="U4">MAX(ABS(N22:N30))</f>
        <v>#N/A</v>
      </c>
      <c r="X4" s="350"/>
      <c r="Y4" s="350"/>
      <c r="Z4" s="352"/>
      <c r="AA4" s="352"/>
      <c r="AB4" s="352"/>
      <c r="AC4" s="352"/>
    </row>
    <row r="5" spans="1:29" x14ac:dyDescent="0.25">
      <c r="D5" s="36" t="s">
        <v>40</v>
      </c>
      <c r="E5" s="8">
        <f>Main!D7</f>
        <v>0</v>
      </c>
      <c r="H5" s="8"/>
      <c r="J5" s="37" t="s">
        <v>21</v>
      </c>
      <c r="K5" s="48">
        <f>Main!D18</f>
        <v>0</v>
      </c>
      <c r="O5" s="350"/>
      <c r="R5" s="525" t="e">
        <f>IF(T3=0, 0, IF(T3 &gt; Main!G93 + (1-J19)*0.4, 1, ""))</f>
        <v>#VALUE!</v>
      </c>
      <c r="T5" s="527"/>
      <c r="X5" s="350"/>
      <c r="Y5" s="350"/>
      <c r="Z5" s="352"/>
      <c r="AA5" s="352"/>
      <c r="AB5" s="352"/>
      <c r="AC5" s="352"/>
    </row>
    <row r="6" spans="1:29" ht="15.75" customHeight="1" x14ac:dyDescent="0.25">
      <c r="D6" s="36" t="s">
        <v>22</v>
      </c>
      <c r="E6" s="455" t="e">
        <f>IF(ISBLANK(Main!G95),"",Main!G95)</f>
        <v>#N/A</v>
      </c>
      <c r="G6" s="15" t="e">
        <f>IF(OR(R1:R8),"CHECK READINGS!!!","")</f>
        <v>#VALUE!</v>
      </c>
      <c r="J6" s="16"/>
      <c r="L6" s="9"/>
      <c r="O6" s="350"/>
      <c r="R6" s="525" t="e">
        <f>IF(U3=0, 0, IF(U3 &gt; Main!G93 + (1-J31)*0.4, 1, ""))</f>
        <v>#VALUE!</v>
      </c>
      <c r="T6" s="527"/>
      <c r="X6" s="350"/>
      <c r="Y6" s="350"/>
      <c r="Z6" s="352"/>
      <c r="AA6" s="352"/>
      <c r="AB6" s="352"/>
      <c r="AC6" s="352"/>
    </row>
    <row r="7" spans="1:29" x14ac:dyDescent="0.25">
      <c r="E7" s="8"/>
      <c r="F7" s="34" t="s">
        <v>23</v>
      </c>
      <c r="O7" s="350"/>
      <c r="R7" s="525" t="e">
        <f>IF(T4=0, 0, IF(T4 &gt; Main!G93 + (1-M19)*0.4, 1, ""))</f>
        <v>#VALUE!</v>
      </c>
      <c r="T7" s="527"/>
      <c r="X7" s="350"/>
      <c r="Y7" s="350"/>
      <c r="Z7" s="352"/>
      <c r="AA7" s="352"/>
      <c r="AB7" s="352"/>
      <c r="AC7" s="35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0"/>
      <c r="R8" s="525" t="e">
        <f>IF(U4=0, 0, IF(U4 &gt; Main!G93 + (1-M31)*0.4, 1, ""))</f>
        <v>#N/A</v>
      </c>
      <c r="T8" s="527"/>
      <c r="X8" s="350"/>
      <c r="Y8" s="350"/>
      <c r="Z8" s="352"/>
      <c r="AA8" s="352"/>
      <c r="AB8" s="352"/>
      <c r="AC8" s="35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0"/>
      <c r="T9" s="527"/>
      <c r="X9" s="350"/>
      <c r="Y9" s="350"/>
      <c r="Z9" s="352"/>
      <c r="AA9" s="352"/>
      <c r="AB9" s="352"/>
      <c r="AC9" s="35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0" t="e">
        <f>IF(R1,D9 &amp; " IS OOT!!!","")</f>
        <v>#VALUE!</v>
      </c>
      <c r="R10" s="526"/>
      <c r="T10" s="527"/>
      <c r="X10" s="350"/>
      <c r="Y10" s="350"/>
      <c r="Z10" s="352"/>
      <c r="AA10" s="352"/>
      <c r="AB10" s="352"/>
      <c r="AC10" s="35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0" t="e">
        <f>IF(R2, G9 &amp; " IS OOT!!!","")</f>
        <v>#VALUE!</v>
      </c>
      <c r="R11" s="527"/>
      <c r="S11" s="526"/>
      <c r="T11" s="528" t="s">
        <v>5530</v>
      </c>
      <c r="U11" s="555" t="s">
        <v>5531</v>
      </c>
      <c r="V11" s="555" t="s">
        <v>5532</v>
      </c>
      <c r="X11" s="350"/>
      <c r="Y11" s="350"/>
      <c r="Z11" s="352"/>
      <c r="AA11" s="352"/>
      <c r="AB11" s="352"/>
      <c r="AC11" s="35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0" t="e">
        <f>IF(R3, J9 &amp; " IS OOT!!!","")</f>
        <v>#VALUE!</v>
      </c>
      <c r="S12" s="525" t="e" cm="1">
        <f t="array" ref="S12">LOOKUP($K$5,Table7[#Headers]+0,Table7[#This Row])</f>
        <v>#N/A</v>
      </c>
      <c r="U12" s="555">
        <v>2</v>
      </c>
      <c r="V12" s="555">
        <v>2</v>
      </c>
      <c r="X12" s="350"/>
      <c r="Y12" s="350"/>
      <c r="Z12" s="352"/>
      <c r="AA12" s="352"/>
      <c r="AB12" s="352"/>
      <c r="AC12" s="35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0" t="e">
        <f>IF(R4, M9 &amp;" IS OOT!!!","")</f>
        <v>#VALUE!</v>
      </c>
      <c r="S13" s="525" t="e" cm="1">
        <f t="array" ref="S13">LOOKUP($K$5,Table7[#Headers]+0,Table7[#This Row])</f>
        <v>#N/A</v>
      </c>
      <c r="U13" s="555">
        <v>4</v>
      </c>
      <c r="V13" s="555">
        <v>7</v>
      </c>
      <c r="X13" s="350"/>
      <c r="Y13" s="350"/>
      <c r="Z13" s="352"/>
      <c r="AA13" s="352"/>
      <c r="AB13" s="352"/>
      <c r="AC13" s="35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1"/>
      <c r="S14" s="525" t="e" cm="1">
        <f t="array" ref="S14">LOOKUP($K$5,Table7[#Headers]+0,Table7[#This Row])</f>
        <v>#N/A</v>
      </c>
      <c r="U14" s="555">
        <v>6</v>
      </c>
      <c r="V14" s="555">
        <v>12</v>
      </c>
      <c r="X14" s="350"/>
      <c r="Y14" s="350"/>
      <c r="Z14" s="352"/>
      <c r="AA14" s="352"/>
      <c r="AB14" s="352"/>
      <c r="AC14" s="35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1"/>
      <c r="S15" s="525" t="e" cm="1">
        <f t="array" ref="S15">LOOKUP($K$5,Table7[#Headers]+0,Table7[#This Row])</f>
        <v>#N/A</v>
      </c>
      <c r="U15" s="555">
        <v>8</v>
      </c>
      <c r="V15" s="555">
        <v>17</v>
      </c>
      <c r="X15" s="350"/>
      <c r="Y15" s="350"/>
      <c r="Z15" s="352"/>
      <c r="AA15" s="352"/>
      <c r="AB15" s="352"/>
      <c r="AC15" s="35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1"/>
      <c r="S16" s="525" t="e" cm="1">
        <f t="array" ref="S16">LOOKUP($K$5,Table7[#Headers]+0,Table7[#This Row])</f>
        <v>#N/A</v>
      </c>
      <c r="U16" s="555">
        <v>10</v>
      </c>
      <c r="V16" s="555">
        <v>22</v>
      </c>
      <c r="X16" s="350"/>
      <c r="Y16" s="350"/>
      <c r="Z16" s="352"/>
      <c r="AA16" s="352"/>
      <c r="AB16" s="352"/>
      <c r="AC16" s="35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5" t="e" cm="1">
        <f t="array" ref="S17">LOOKUP($K$5,Table7[#Headers]+0,Table7[#This Row])</f>
        <v>#N/A</v>
      </c>
      <c r="U17" s="555">
        <v>12</v>
      </c>
      <c r="V17" s="555"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5" t="e" cm="1">
        <f t="array" ref="S18">LOOKUP($K$5,Table7[#Headers]+0,Table7[#This Row])</f>
        <v>#N/A</v>
      </c>
      <c r="U18" s="555">
        <v>14</v>
      </c>
      <c r="V18" s="555"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5" t="e" cm="1">
        <f t="array" ref="S19">LOOKUP($K$5,Table7[#Headers]+0,Table7[#This Row])</f>
        <v>#N/A</v>
      </c>
      <c r="U19" s="555">
        <v>16</v>
      </c>
      <c r="V19" s="555" t="s">
        <v>34</v>
      </c>
    </row>
    <row r="20" spans="1:22" x14ac:dyDescent="0.25">
      <c r="C20" s="18" t="s">
        <v>24</v>
      </c>
      <c r="D20" s="18" t="s">
        <v>25</v>
      </c>
      <c r="F20" s="18" t="s">
        <v>24</v>
      </c>
      <c r="G20" s="18" t="s">
        <v>25</v>
      </c>
      <c r="H20" s="18"/>
      <c r="I20" s="18" t="s">
        <v>24</v>
      </c>
      <c r="J20" s="18" t="s">
        <v>25</v>
      </c>
      <c r="K20" s="18"/>
      <c r="L20" s="18" t="s">
        <v>24</v>
      </c>
      <c r="M20" s="18" t="s">
        <v>25</v>
      </c>
      <c r="O20" s="29"/>
      <c r="S20" s="525" t="e" cm="1">
        <f t="array" ref="S20">LOOKUP($K$5,Table7[#Headers]+0,Table7[#This Row])</f>
        <v>#N/A</v>
      </c>
      <c r="U20" s="555">
        <v>17</v>
      </c>
      <c r="V20" s="555"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5" t="e" cm="1">
        <f t="array" ref="S21">LOOKUP($K$5,Table7[#Headers]+0,Table7[#This Row])</f>
        <v>#N/A</v>
      </c>
      <c r="U21" s="555">
        <v>21</v>
      </c>
      <c r="V21" s="555"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5" t="e" cm="1">
        <f t="array" ref="S22">LOOKUP($K$5,Table7[#Headers]+0,Table7[#This Row])</f>
        <v>#N/A</v>
      </c>
      <c r="U22" s="555" t="s">
        <v>34</v>
      </c>
      <c r="V22" s="555"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5" t="s">
        <v>34</v>
      </c>
      <c r="V23" s="555"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29" t="str">
        <f>TEXT(Main!D3,"mmddyy")</f>
        <v>010000</v>
      </c>
      <c r="U24" s="555" t="s">
        <v>34</v>
      </c>
      <c r="V24" s="555"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5" t="s">
        <v>34</v>
      </c>
      <c r="V25" s="555"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ASIT9+0Kc6GV3ViqbPUxMo5ch69kCsD++ThAtVCttADn3frXaP2f9KwP47R1uvb5zwoe21qkZYGoMJkCmJ4h4Q==" saltValue="wMZjppwaVB/8LTd089Rb/w==" spinCount="100000" sheet="1" objects="1" scenarios="1" selectLockedCells="1" autoFilter="0"/>
  <mergeCells count="2">
    <mergeCell ref="D32:M34"/>
    <mergeCell ref="C37:M40"/>
  </mergeCells>
  <phoneticPr fontId="23" type="noConversion"/>
  <conditionalFormatting sqref="C45">
    <cfRule type="expression" dxfId="99" priority="33">
      <formula>ISNUMBER(SEARCH(".",C45))</formula>
    </cfRule>
    <cfRule type="expression" dxfId="98" priority="34">
      <formula>ISERROR(SEARCH(".",C45))</formula>
    </cfRule>
  </conditionalFormatting>
  <conditionalFormatting sqref="D10:D18">
    <cfRule type="expression" dxfId="97" priority="31">
      <formula>ISERROR(SEARCH(1,$D$19))</formula>
    </cfRule>
    <cfRule type="expression" dxfId="96" priority="32">
      <formula>ISNUMBER(SEARCH(1,$D$19))</formula>
    </cfRule>
  </conditionalFormatting>
  <conditionalFormatting sqref="G11:G18">
    <cfRule type="expression" dxfId="95" priority="29">
      <formula>ISERROR(SEARCH(1,$G$19))</formula>
    </cfRule>
    <cfRule type="expression" dxfId="94" priority="30">
      <formula>ISNUMBER(SEARCH(1,$G$19))</formula>
    </cfRule>
  </conditionalFormatting>
  <conditionalFormatting sqref="G10">
    <cfRule type="expression" dxfId="93" priority="27">
      <formula>ISERROR(SEARCH(1,$G$19))</formula>
    </cfRule>
    <cfRule type="expression" dxfId="92" priority="28">
      <formula>ISNUMBER(SEARCH(1,$G$19))</formula>
    </cfRule>
  </conditionalFormatting>
  <conditionalFormatting sqref="J11:J18">
    <cfRule type="expression" dxfId="91" priority="25">
      <formula>ISERROR(SEARCH(1,$J$19))</formula>
    </cfRule>
    <cfRule type="expression" dxfId="90" priority="26">
      <formula>ISNUMBER(SEARCH(1,$J$19))</formula>
    </cfRule>
  </conditionalFormatting>
  <conditionalFormatting sqref="J10">
    <cfRule type="expression" dxfId="89" priority="23">
      <formula>ISERROR(SEARCH(1,$J$19))</formula>
    </cfRule>
    <cfRule type="expression" dxfId="88" priority="24">
      <formula>ISNUMBER(SEARCH(1,$J$19))</formula>
    </cfRule>
  </conditionalFormatting>
  <conditionalFormatting sqref="M11:M18">
    <cfRule type="expression" dxfId="87" priority="21">
      <formula>ISERROR(SEARCH(1,$M$19))</formula>
    </cfRule>
    <cfRule type="expression" dxfId="86" priority="22">
      <formula>ISNUMBER(SEARCH(1,$M$19))</formula>
    </cfRule>
  </conditionalFormatting>
  <conditionalFormatting sqref="M10">
    <cfRule type="expression" dxfId="85" priority="19">
      <formula>ISERROR(SEARCH(1,$M$19))</formula>
    </cfRule>
    <cfRule type="expression" dxfId="84" priority="20">
      <formula>ISNUMBER(SEARCH(1,$M$19))</formula>
    </cfRule>
  </conditionalFormatting>
  <conditionalFormatting sqref="G23:G30">
    <cfRule type="expression" dxfId="83" priority="13">
      <formula>ISERROR(SEARCH(1,$G$31))</formula>
    </cfRule>
    <cfRule type="expression" dxfId="82" priority="14">
      <formula>ISNUMBER(SEARCH(1,$G$31))</formula>
    </cfRule>
  </conditionalFormatting>
  <conditionalFormatting sqref="G22">
    <cfRule type="expression" dxfId="81" priority="11">
      <formula>ISERROR(SEARCH(1,$G$31))</formula>
    </cfRule>
    <cfRule type="expression" dxfId="80" priority="12">
      <formula>ISNUMBER(SEARCH(1,$G$31))</formula>
    </cfRule>
  </conditionalFormatting>
  <conditionalFormatting sqref="J23:J30">
    <cfRule type="expression" dxfId="79" priority="9">
      <formula>ISERROR(SEARCH(1,$J$31))</formula>
    </cfRule>
    <cfRule type="expression" dxfId="78" priority="10">
      <formula>ISNUMBER(SEARCH(1,$J$31))</formula>
    </cfRule>
  </conditionalFormatting>
  <conditionalFormatting sqref="J22">
    <cfRule type="expression" dxfId="77" priority="7">
      <formula>ISERROR(SEARCH(1,$J$31))</formula>
    </cfRule>
    <cfRule type="expression" dxfId="76" priority="8">
      <formula>ISNUMBER(SEARCH(1,$J$31))</formula>
    </cfRule>
  </conditionalFormatting>
  <conditionalFormatting sqref="M23:M30">
    <cfRule type="expression" dxfId="75" priority="5">
      <formula>ISERROR(SEARCH(1,$M$31))</formula>
    </cfRule>
    <cfRule type="expression" dxfId="74" priority="6">
      <formula>ISNUMBER(SEARCH(1,$M$31))</formula>
    </cfRule>
  </conditionalFormatting>
  <conditionalFormatting sqref="M22">
    <cfRule type="expression" dxfId="73" priority="3">
      <formula>ISERROR(SEARCH(1,$M$31))</formula>
    </cfRule>
    <cfRule type="expression" dxfId="72" priority="4">
      <formula>ISNUMBER(SEARCH(1,$M$31))</formula>
    </cfRule>
  </conditionalFormatting>
  <conditionalFormatting sqref="D22:D30">
    <cfRule type="expression" dxfId="71" priority="1">
      <formula>ISERROR(SEARCH(1,$D$19))</formula>
    </cfRule>
    <cfRule type="expression" dxfId="7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700" t="s">
        <v>3541</v>
      </c>
      <c r="I28" s="700"/>
      <c r="J28" s="700"/>
      <c r="K28" s="700"/>
      <c r="L28" s="700"/>
      <c r="M28" s="700"/>
      <c r="N28" s="700"/>
      <c r="O28" s="700"/>
      <c r="P28" s="700"/>
      <c r="Q28" s="700"/>
      <c r="R28" s="700"/>
    </row>
    <row r="29" spans="1:20" x14ac:dyDescent="0.2">
      <c r="A29" s="689" t="s">
        <v>47</v>
      </c>
      <c r="B29" s="690"/>
      <c r="C29" s="65" t="str">
        <f>IF(Main!D48="","",Main!D48)</f>
        <v/>
      </c>
      <c r="D29" s="65" t="str">
        <f>IF(Main!E48="","",Main!E48)</f>
        <v/>
      </c>
      <c r="E29" s="65" t="str">
        <f>IF(Main!F48="","",Main!F48)</f>
        <v/>
      </c>
      <c r="F29" s="65" t="str">
        <f>IF(Main!G48="","",Main!G48)</f>
        <v/>
      </c>
      <c r="G29" s="512"/>
      <c r="H29" s="507" t="s">
        <v>3542</v>
      </c>
      <c r="I29" s="156" t="str">
        <f>IF(Main!N47="","",Main!N47)</f>
        <v>Periodic</v>
      </c>
      <c r="J29" s="708" t="s">
        <v>3543</v>
      </c>
      <c r="K29" s="709"/>
      <c r="L29" s="156" t="str">
        <f>IF(Main!R47="","",Main!R47)</f>
        <v>Air</v>
      </c>
    </row>
    <row r="30" spans="1:20" x14ac:dyDescent="0.2">
      <c r="A30" s="689" t="s">
        <v>48</v>
      </c>
      <c r="B30" s="690"/>
      <c r="C30" s="66" t="str">
        <f>IF(Main!D49="","",Main!D49)</f>
        <v/>
      </c>
      <c r="D30" s="66" t="str">
        <f>IF(Main!E49="","",Main!E49)</f>
        <v/>
      </c>
      <c r="E30" s="66" t="str">
        <f>IF(Main!F49="","",Main!F49)</f>
        <v/>
      </c>
      <c r="F30" s="66" t="str">
        <f>IF(Main!G49="","",Main!G49)</f>
        <v/>
      </c>
      <c r="G30" s="514"/>
      <c r="H30" s="701" t="s">
        <v>3529</v>
      </c>
      <c r="I30" s="701"/>
      <c r="J30" s="710" t="s">
        <v>5328</v>
      </c>
      <c r="K30" s="711"/>
      <c r="L30" s="712"/>
      <c r="M30" s="504"/>
      <c r="O30" s="702" t="s">
        <v>5331</v>
      </c>
      <c r="P30" s="703"/>
      <c r="Q30" s="704"/>
      <c r="T30" s="44"/>
    </row>
    <row r="31" spans="1:20" x14ac:dyDescent="0.2">
      <c r="A31" s="689" t="s">
        <v>49</v>
      </c>
      <c r="B31" s="690"/>
      <c r="C31" s="66" t="str">
        <f>IF(Main!D50="","",Main!D50)</f>
        <v/>
      </c>
      <c r="D31" s="66" t="str">
        <f>IF(Main!E50="","",Main!E50)</f>
        <v/>
      </c>
      <c r="E31" s="66" t="str">
        <f>IF(Main!F50="","",Main!F50)</f>
        <v/>
      </c>
      <c r="F31" s="66" t="str">
        <f>IF(Main!G50="","",Main!G50)</f>
        <v/>
      </c>
      <c r="G31" s="514"/>
      <c r="H31" s="422" t="s">
        <v>3544</v>
      </c>
      <c r="I31" s="448" t="e">
        <f>IF(Main!N49="","",Main!N49)</f>
        <v>#N/A</v>
      </c>
      <c r="J31" s="691" t="s">
        <v>5336</v>
      </c>
      <c r="K31" s="692"/>
      <c r="L31" s="693"/>
      <c r="M31" s="505" t="str">
        <f>IF(Main!S49="","",Main!S49)</f>
        <v/>
      </c>
      <c r="O31" s="705" t="s">
        <v>5338</v>
      </c>
      <c r="P31" s="706"/>
      <c r="Q31" s="707"/>
      <c r="R31" s="89" t="str">
        <f>IF(Main!X49="","",Main!X49)</f>
        <v/>
      </c>
      <c r="T31" s="44"/>
    </row>
    <row r="32" spans="1:20" ht="12.75" customHeight="1" x14ac:dyDescent="0.2">
      <c r="A32" s="689" t="s">
        <v>50</v>
      </c>
      <c r="B32" s="690"/>
      <c r="C32" s="65" t="str">
        <f>IF(Main!D51="","",Main!D51)</f>
        <v/>
      </c>
      <c r="D32" s="65" t="str">
        <f>IF(Main!E51="","",Main!E51)</f>
        <v/>
      </c>
      <c r="E32" s="65" t="str">
        <f>IF(Main!F51="","",Main!F51)</f>
        <v/>
      </c>
      <c r="F32" s="65" t="str">
        <f>IF(Main!G51="","",Main!G51)</f>
        <v/>
      </c>
      <c r="G32" s="512"/>
      <c r="H32" s="422" t="s">
        <v>4117</v>
      </c>
      <c r="I32" s="448" t="e">
        <f>IF(Main!N50="","",Main!N50)</f>
        <v>#N/A</v>
      </c>
      <c r="J32" s="694" t="s">
        <v>3532</v>
      </c>
      <c r="K32" s="695"/>
      <c r="L32" s="696"/>
      <c r="M32" s="487"/>
      <c r="O32" s="694" t="s">
        <v>3532</v>
      </c>
      <c r="P32" s="695"/>
      <c r="Q32" s="696"/>
      <c r="T32" s="44"/>
    </row>
    <row r="33" spans="1:20" ht="12.75" customHeight="1" x14ac:dyDescent="0.2">
      <c r="A33" s="689" t="s">
        <v>3545</v>
      </c>
      <c r="B33" s="690"/>
      <c r="C33" s="65" t="str">
        <f>IF(Main!D52="","",Main!D52)</f>
        <v/>
      </c>
      <c r="D33" s="65" t="str">
        <f>IF(Main!E52="","",Main!E52)</f>
        <v/>
      </c>
      <c r="E33" s="65" t="str">
        <f>IF(Main!F52="","",Main!F52)</f>
        <v/>
      </c>
      <c r="F33" s="65" t="str">
        <f>IF(Main!G52="","",Main!G52)</f>
        <v/>
      </c>
      <c r="G33" s="512"/>
      <c r="H33" s="422" t="s">
        <v>3546</v>
      </c>
      <c r="I33" s="448" t="e">
        <f>IF(Main!N51="","",Main!N51)</f>
        <v>#N/A</v>
      </c>
      <c r="J33" s="697" t="s">
        <v>5337</v>
      </c>
      <c r="K33" s="698"/>
      <c r="L33" s="699"/>
      <c r="M33" s="484" t="str">
        <f>IF(Main!S51="","",Main!S51)</f>
        <v/>
      </c>
      <c r="O33" s="697" t="s">
        <v>5339</v>
      </c>
      <c r="P33" s="698"/>
      <c r="Q33" s="699"/>
      <c r="R33" s="89" t="str">
        <f>IF(Main!X51="","",Main!X51)</f>
        <v/>
      </c>
      <c r="T33" s="44"/>
    </row>
    <row r="34" spans="1:20" ht="12.75" customHeight="1" x14ac:dyDescent="0.2">
      <c r="A34" s="689" t="s">
        <v>51</v>
      </c>
      <c r="B34" s="690"/>
      <c r="C34" s="67" t="str">
        <f>IF(Main!D53="","",Main!D53)</f>
        <v/>
      </c>
      <c r="D34" s="67" t="str">
        <f>IF(Main!E53="","",Main!E53)</f>
        <v/>
      </c>
      <c r="E34" s="67" t="str">
        <f>IF(Main!F53="","",Main!F53)</f>
        <v/>
      </c>
      <c r="F34" s="67" t="str">
        <f>IF(Main!G53="","",Main!G53)</f>
        <v/>
      </c>
      <c r="G34" s="515"/>
      <c r="H34" s="422" t="s">
        <v>3547</v>
      </c>
      <c r="I34" s="421" t="e">
        <f>IF(Main!N52="","",Main!N52)</f>
        <v>#N/A</v>
      </c>
      <c r="J34" s="694" t="s">
        <v>3532</v>
      </c>
      <c r="K34" s="695"/>
      <c r="L34" s="696"/>
      <c r="O34" s="694" t="s">
        <v>3532</v>
      </c>
      <c r="P34" s="695"/>
      <c r="Q34" s="696"/>
      <c r="T34" s="44"/>
    </row>
    <row r="35" spans="1:20" ht="12.75" customHeight="1" x14ac:dyDescent="0.2">
      <c r="A35" s="90"/>
      <c r="B35" s="92" t="s">
        <v>114</v>
      </c>
      <c r="C35" s="105" t="str">
        <f>IF(Main!D54="","",Main!D54)</f>
        <v/>
      </c>
      <c r="D35" s="105" t="str">
        <f>IF(Main!E54="","",Main!E54)</f>
        <v/>
      </c>
      <c r="E35" s="105" t="str">
        <f>IF(Main!F54="","",Main!F54)</f>
        <v/>
      </c>
      <c r="F35" s="105" t="str">
        <f>IF(Main!G54="","",Main!G54)</f>
        <v/>
      </c>
      <c r="G35" s="516"/>
      <c r="H35" s="422" t="s">
        <v>3547</v>
      </c>
      <c r="I35" s="421" t="e">
        <f>IF(Main!N53="","",Main!N53)</f>
        <v>#N/A</v>
      </c>
      <c r="J35" s="683" t="s">
        <v>5340</v>
      </c>
      <c r="K35" s="684"/>
      <c r="L35" s="685"/>
      <c r="M35" s="508" t="str">
        <f>IF(Main!S53="","",Main!S53)</f>
        <v/>
      </c>
      <c r="O35" s="683" t="s">
        <v>5341</v>
      </c>
      <c r="P35" s="684"/>
      <c r="Q35" s="685"/>
      <c r="R35" s="509" t="str">
        <f>IF(Main!X53="","",Main!X53)</f>
        <v/>
      </c>
    </row>
    <row r="36" spans="1:20" ht="13.5" thickBot="1" x14ac:dyDescent="0.25">
      <c r="B36" s="92" t="s">
        <v>3548</v>
      </c>
      <c r="C36" s="65" t="str">
        <f>IF(Main!D56="","",Main!D56)</f>
        <v/>
      </c>
      <c r="D36" s="65" t="str">
        <f>IF(Main!E56="","",Main!E56)</f>
        <v/>
      </c>
      <c r="E36" s="65" t="str">
        <f>IF(Main!F56="","",Main!F56)</f>
        <v/>
      </c>
      <c r="F36" s="65" t="str">
        <f>IF(Main!G56="","",Main!G56)</f>
        <v/>
      </c>
      <c r="G36" s="512"/>
      <c r="H36" s="513"/>
      <c r="J36" s="686"/>
      <c r="K36" s="687"/>
      <c r="L36" s="688"/>
      <c r="M36" s="503"/>
      <c r="O36" s="686"/>
      <c r="P36" s="687"/>
      <c r="Q36" s="688"/>
      <c r="T36" s="44"/>
    </row>
    <row r="37" spans="1:20" ht="13.5" thickBot="1" x14ac:dyDescent="0.25">
      <c r="B37" s="90" t="s">
        <v>3549</v>
      </c>
      <c r="C37" s="65" t="str">
        <f>IF(Main!D57="","",Main!D57)</f>
        <v/>
      </c>
      <c r="D37" s="65" t="str">
        <f>IF(Main!E57="","",Main!E57)</f>
        <v/>
      </c>
      <c r="E37" s="65" t="str">
        <f>IF(Main!F57="","",Main!F57)</f>
        <v/>
      </c>
      <c r="F37" s="65" t="str">
        <f>IF(Main!G57="","",Main!G57)</f>
        <v/>
      </c>
      <c r="G37" s="512"/>
      <c r="H37" s="513"/>
      <c r="J37" s="520" t="s">
        <v>3535</v>
      </c>
      <c r="K37" s="521" t="s">
        <v>26</v>
      </c>
      <c r="L37" s="522" t="s">
        <v>3536</v>
      </c>
      <c r="M37" s="503"/>
      <c r="O37" s="520" t="s">
        <v>3537</v>
      </c>
      <c r="P37" s="521" t="s">
        <v>26</v>
      </c>
      <c r="Q37" s="522" t="s">
        <v>3538</v>
      </c>
    </row>
    <row r="38" spans="1:20" ht="13.5" thickBot="1" x14ac:dyDescent="0.25">
      <c r="B38" s="52" t="s">
        <v>52</v>
      </c>
      <c r="J38" s="517" t="str">
        <f>IF(Main!P56="","",Main!P56)</f>
        <v/>
      </c>
      <c r="K38" s="518" t="str">
        <f>IF(Main!Q56="","",Main!Q56)</f>
        <v/>
      </c>
      <c r="L38" s="519" t="str">
        <f>IF(Main!R56="","",Main!R56)</f>
        <v/>
      </c>
      <c r="O38" s="517" t="str">
        <f>IF(Main!U56="","",Main!U56)</f>
        <v/>
      </c>
      <c r="P38" s="518" t="str">
        <f>IF(Main!V56="","",Main!V56)</f>
        <v/>
      </c>
      <c r="Q38" s="519" t="str">
        <f>IF(Main!W56="","",Main!W56)</f>
        <v/>
      </c>
    </row>
    <row r="39" spans="1:20" x14ac:dyDescent="0.2">
      <c r="B39" s="52" t="s">
        <v>4014</v>
      </c>
      <c r="M39" s="523"/>
    </row>
    <row r="40" spans="1:20" ht="15.75" x14ac:dyDescent="0.25">
      <c r="B40" s="502"/>
      <c r="C40" s="502"/>
      <c r="D40" s="502"/>
      <c r="E40" s="502"/>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2"/>
      <c r="D42" s="502"/>
      <c r="E42" s="502"/>
      <c r="F42" s="502"/>
      <c r="G42" s="502"/>
      <c r="H42" s="502"/>
      <c r="I42" s="502"/>
      <c r="J42" s="502"/>
    </row>
    <row r="44" spans="1:20" x14ac:dyDescent="0.2">
      <c r="F44" s="2"/>
      <c r="G44" s="2"/>
    </row>
    <row r="45" spans="1:20" ht="12.75" customHeight="1" x14ac:dyDescent="0.2">
      <c r="F45" s="504"/>
    </row>
    <row r="46" spans="1:20" x14ac:dyDescent="0.2">
      <c r="F46" s="169"/>
    </row>
    <row r="47" spans="1:20" ht="12.75" customHeight="1" x14ac:dyDescent="0.2">
      <c r="F47" s="487"/>
    </row>
    <row r="48" spans="1:20" ht="12.75" customHeight="1" x14ac:dyDescent="0.2">
      <c r="F48" s="503"/>
    </row>
    <row r="50" spans="6:6" ht="15.75" customHeight="1" x14ac:dyDescent="0.2">
      <c r="F50" s="487"/>
    </row>
    <row r="51" spans="6:6" x14ac:dyDescent="0.2">
      <c r="F51" s="503"/>
    </row>
    <row r="52" spans="6:6" x14ac:dyDescent="0.2">
      <c r="F52" s="503"/>
    </row>
    <row r="54" spans="6:6" x14ac:dyDescent="0.2">
      <c r="F54" s="506"/>
    </row>
  </sheetData>
  <sheetProtection algorithmName="SHA-512" hashValue="BY+UQJ67cLq+2djGBetSjjQviNppZL3F1iXdPYUMl64Pb1oG5S5nuwVGRsh3DnbMje2/OHSRh5YKanjYAbbs6g==" saltValue="2VNnsfynOiEpEOzgHh5aZ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r86Wm8T6BtmBdNVK+dyyEX2dzjLZiEqDEHOfOLpqXv18jLKKzD8FX3zbgtZjQDBK4be9eALiUI0liD0hVjATQw==" saltValue="Pk8s7++xM7lVsV3/XXbCn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RmwhXQae4LZ1Et+vu3w5FFYO4B4+Ag7l7hFcYzhPrMs3X3yFR3P+Pc9Dld9kgWeBjvfPSSEabv7ypv+lcQOo0w==" saltValue="oVm/5oc+G6D7sB5XULN++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8uazdMM0xRXEl/ZnTX88opXPxCu7g8evOs/HlOT26w8UNEExPuC62h16sj3gfgMFOed3uLA9A+ijnUfJQmk99w==" saltValue="XtAkLpHJMQnDFkYeeETOA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5"/>
      <c r="C1" s="645"/>
      <c r="D1" s="645"/>
      <c r="E1" s="40" t="s">
        <v>240</v>
      </c>
      <c r="G1" s="645" t="s">
        <v>90</v>
      </c>
      <c r="H1" s="645"/>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hWMKpRMgvsFbXq8xA/a8DkbYhnYxLTWgrQtmf1AF+J+eNsXqW75DyKtEOCEvn/KQKy6ejQgyuu0PyNseVXaDiA==" saltValue="TuzXPnz80dUN6tYltgrA4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81iQqiLCJ/9qr/y0gs0cxtuPCDhwxebsDlI4CLl5FWiWP+H4OvcFfFoxhGFHGJ5AtWSeU42CNLXxP5pYYy+TrQ==" saltValue="5XqkSX1/HIGvz3LjD2Ot2w==" spinCount="100000" sheet="1" objects="1" scenarios="1" autoFilter="0"/>
  <pageMargins left="0.7" right="0.7" top="0.75" bottom="0.75" header="0.3" footer="0.3"/>
  <customProperties>
    <customPr name="%startcell%"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akNtk6CfmmqsGx7Xf/AQJyVnITyCJXO4SCDL92YdWgA2ATbByxkQBcd3vXOdNfzFmGGoYyw12LB/zzaQMOtUdg==" saltValue="nbEMSOVfPdqO4iiPoBm+oA=="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8x8UzybtDHBOwROi9aqLRBwksIg9PvgUTzokmx7nubqgIHP46kPgd4d/woGcaWEZ6Wi1Bd/OqlE5XG4XPn/9vQ==" saltValue="jlvpcO987Vudjtv8wfH7Dg=="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23</vt:i4>
      </vt:variant>
    </vt:vector>
  </HeadingPairs>
  <TitlesOfParts>
    <vt:vector size="40"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AssetId</vt:lpstr>
      <vt:lpstr>AssetPoolId</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2025-04-18T03:44:16Z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