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ACD3A271-D204-4292-A21F-C43AC37C4FF9}" xr6:coauthVersionLast="47" xr6:coauthVersionMax="47" xr10:uidLastSave="{00000000-0000-0000-0000-000000000000}"/>
  <bookViews>
    <workbookView xWindow="28680" yWindow="855"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8" l="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G19" i="1"/>
  <c r="B10"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D3" i="20"/>
  <c r="AE17" i="20"/>
  <c r="AD36" i="20"/>
  <c r="AD40" i="20"/>
  <c r="AE6" i="20"/>
  <c r="AC30" i="20"/>
  <c r="AC3" i="20"/>
  <c r="AC27" i="20"/>
  <c r="AE41" i="20"/>
  <c r="AA9" i="20"/>
  <c r="AB16" i="20"/>
  <c r="AA13" i="20"/>
  <c r="AC41" i="20"/>
  <c r="AB29" i="20"/>
  <c r="AD41" i="20"/>
  <c r="AA24" i="20"/>
  <c r="AE14" i="20"/>
  <c r="AE38" i="20"/>
  <c r="AD31" i="20"/>
  <c r="AE40" i="20"/>
  <c r="AA29" i="20"/>
  <c r="AD6" i="20"/>
  <c r="AB24" i="20"/>
  <c r="AD16" i="20"/>
  <c r="AB6" i="20"/>
  <c r="AA5" i="20"/>
  <c r="AB18" i="20"/>
  <c r="AE3" i="20"/>
  <c r="AA25" i="20"/>
  <c r="AC40" i="20"/>
  <c r="AB37" i="20"/>
  <c r="AC11" i="20"/>
  <c r="AA18" i="20"/>
  <c r="AC38" i="20"/>
  <c r="AD30" i="20"/>
  <c r="AA26" i="20"/>
  <c r="AC37" i="20"/>
  <c r="AD32" i="20"/>
  <c r="AA3" i="20"/>
  <c r="AD28" i="20"/>
  <c r="AA30" i="20"/>
  <c r="AB36" i="20"/>
  <c r="AE11" i="20"/>
  <c r="AB8" i="20"/>
  <c r="AB20" i="20"/>
  <c r="AC29" i="20"/>
  <c r="AD22" i="20"/>
  <c r="AB17" i="20"/>
  <c r="AD34" i="20"/>
  <c r="AC6" i="20"/>
  <c r="AC20" i="20"/>
  <c r="AB15" i="20"/>
  <c r="AE16" i="20"/>
  <c r="AB34" i="20"/>
  <c r="AE19" i="20"/>
  <c r="AD12" i="20"/>
  <c r="AD8" i="20"/>
  <c r="AD29" i="20"/>
  <c r="AE9" i="20"/>
  <c r="AA37" i="20"/>
  <c r="AC35" i="20"/>
  <c r="AD13" i="20"/>
  <c r="AC32" i="20"/>
  <c r="AD19" i="20"/>
  <c r="AB11" i="20"/>
  <c r="AB38" i="20"/>
  <c r="AC7" i="20"/>
  <c r="AE37" i="20"/>
  <c r="AE10" i="20"/>
  <c r="AE7" i="20"/>
  <c r="AB5" i="20"/>
  <c r="AC17" i="20"/>
  <c r="AD26" i="20"/>
  <c r="AB21" i="20"/>
  <c r="AC8" i="20"/>
  <c r="AC24" i="20"/>
  <c r="AB31" i="20"/>
  <c r="AA35" i="20"/>
  <c r="AD9" i="20"/>
  <c r="AC16" i="20"/>
  <c r="AB33" i="20"/>
  <c r="AB26" i="20"/>
  <c r="AB9" i="20"/>
  <c r="AB4" i="20"/>
  <c r="AB25" i="20"/>
  <c r="AC21" i="20"/>
  <c r="AE29" i="20"/>
  <c r="AD24" i="20"/>
  <c r="AB3" i="20"/>
  <c r="AB7" i="20"/>
  <c r="AB27" i="20"/>
  <c r="AA21" i="20"/>
  <c r="AD33" i="20"/>
  <c r="AE8" i="20"/>
  <c r="AC19" i="20"/>
  <c r="AE15" i="20"/>
  <c r="AB40" i="20"/>
  <c r="AA32" i="20"/>
  <c r="AE24" i="20"/>
  <c r="AE2" i="20"/>
  <c r="AD4" i="20"/>
  <c r="AD21" i="20"/>
  <c r="AE18" i="20"/>
  <c r="AB39" i="20"/>
  <c r="AE5" i="20"/>
  <c r="AC18" i="20"/>
  <c r="AE20" i="20"/>
  <c r="AC25" i="20"/>
  <c r="AD17" i="20"/>
  <c r="AC26" i="20"/>
  <c r="AC31" i="20"/>
  <c r="AE28" i="20"/>
  <c r="AE23" i="20"/>
  <c r="AC15" i="20"/>
  <c r="AE31" i="20"/>
  <c r="AA39" i="20"/>
  <c r="AC22" i="20"/>
  <c r="AA10" i="20"/>
  <c r="AA15" i="20"/>
  <c r="AA6" i="20"/>
  <c r="AD15" i="20"/>
  <c r="AC23" i="20"/>
  <c r="AE25" i="20"/>
  <c r="AC28" i="20"/>
  <c r="AD7" i="20"/>
  <c r="AD35" i="20"/>
  <c r="AB12" i="20"/>
  <c r="AA34" i="20"/>
  <c r="AA33" i="20"/>
  <c r="AB10" i="20"/>
  <c r="AE21" i="20"/>
  <c r="AB22" i="20"/>
  <c r="AB19" i="20"/>
  <c r="AD27" i="20"/>
  <c r="AE22" i="20"/>
  <c r="AC2" i="20"/>
  <c r="AC36" i="20"/>
  <c r="AE36" i="20"/>
  <c r="AC5" i="20"/>
  <c r="AC9" i="20"/>
  <c r="AE39" i="20"/>
  <c r="AA4" i="20"/>
  <c r="AA27" i="20"/>
  <c r="AA41" i="20"/>
  <c r="AB41" i="20"/>
  <c r="AC39" i="20"/>
  <c r="AC34" i="20"/>
  <c r="AB28" i="20"/>
  <c r="AA31" i="20"/>
  <c r="AA19" i="20"/>
  <c r="AE13" i="20"/>
  <c r="AD10" i="20"/>
  <c r="AC4" i="20"/>
  <c r="AC10" i="20"/>
  <c r="AA12" i="20"/>
  <c r="AC12" i="20"/>
  <c r="AA11" i="20"/>
  <c r="AD14" i="20"/>
  <c r="AA8" i="20"/>
  <c r="AB23" i="20"/>
  <c r="AD5" i="20"/>
  <c r="AE34" i="20"/>
  <c r="AE32" i="20"/>
  <c r="AD2" i="20"/>
  <c r="AD38" i="20"/>
  <c r="AB14" i="20"/>
  <c r="AD39" i="20"/>
  <c r="AB13" i="20"/>
  <c r="AA20" i="20"/>
  <c r="AE4" i="20"/>
  <c r="AA40" i="20"/>
  <c r="AE12" i="20"/>
  <c r="AA14" i="20"/>
  <c r="AE27" i="20"/>
  <c r="AC33" i="20"/>
  <c r="AA22" i="20"/>
  <c r="AD11" i="20"/>
  <c r="AD18" i="20"/>
  <c r="AE35" i="20"/>
  <c r="AE30" i="20"/>
  <c r="AA36" i="20"/>
  <c r="AD37" i="20"/>
  <c r="AD20" i="20"/>
  <c r="AB32" i="20"/>
  <c r="AC13" i="20"/>
  <c r="AA7" i="20"/>
  <c r="AA17" i="20"/>
  <c r="AD25" i="20"/>
  <c r="AA28" i="20"/>
  <c r="AC14" i="20"/>
  <c r="AE26" i="20"/>
  <c r="AD23" i="20"/>
  <c r="AB30" i="20"/>
  <c r="AB2" i="20"/>
  <c r="AA23" i="20"/>
  <c r="AB35" i="20"/>
  <c r="AA16" i="20"/>
  <c r="AE33"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N13" i="1"/>
  <c r="H14" i="1"/>
  <c r="A23" i="1"/>
  <c r="J18" i="1"/>
  <c r="I19" i="1"/>
  <c r="J24" i="1"/>
  <c r="O15" i="1"/>
  <c r="M21" i="1"/>
  <c r="A24" i="1"/>
  <c r="K21" i="1"/>
  <c r="F11" i="1"/>
  <c r="C16" i="1"/>
  <c r="K22" i="1"/>
  <c r="N11" i="1"/>
  <c r="K17" i="1"/>
  <c r="H10" i="1"/>
  <c r="H23" i="1"/>
  <c r="G15" i="1"/>
  <c r="E19" i="1"/>
  <c r="L24" i="1"/>
  <c r="B19" i="1"/>
  <c r="A14" i="1"/>
  <c r="D21" i="1"/>
  <c r="A25" i="1"/>
  <c r="A22" i="1"/>
  <c r="L14" i="1"/>
  <c r="M20" i="1"/>
  <c r="F13" i="1"/>
  <c r="F23" i="1"/>
  <c r="F24" i="1"/>
  <c r="O17" i="1"/>
  <c r="J15" i="1"/>
  <c r="C20" i="1"/>
  <c r="O18" i="1"/>
  <c r="O16" i="1"/>
  <c r="J22" i="1"/>
  <c r="O23" i="1"/>
  <c r="E18" i="1"/>
  <c r="N17" i="1"/>
  <c r="I17" i="1"/>
  <c r="G12" i="1"/>
  <c r="B23" i="1"/>
  <c r="I14" i="1"/>
  <c r="E20" i="1"/>
  <c r="N18" i="1"/>
  <c r="E15" i="1"/>
  <c r="J12" i="1"/>
  <c r="F10" i="1"/>
  <c r="M14" i="1"/>
  <c r="K18" i="1"/>
  <c r="I18" i="1"/>
  <c r="M25" i="1"/>
  <c r="B18" i="1"/>
  <c r="C10" i="1"/>
  <c r="A11" i="1"/>
  <c r="D19" i="1"/>
  <c r="F12" i="1"/>
  <c r="J19" i="1"/>
  <c r="B13" i="1"/>
  <c r="D18" i="1"/>
  <c r="E14" i="1"/>
  <c r="O12" i="1"/>
  <c r="E25" i="1"/>
  <c r="F17" i="1"/>
  <c r="G17" i="1"/>
  <c r="D22" i="1"/>
  <c r="N10" i="1"/>
  <c r="B25" i="1"/>
  <c r="F25" i="1"/>
  <c r="C19" i="1"/>
  <c r="K25" i="1"/>
  <c r="N23" i="1"/>
  <c r="K24" i="1"/>
  <c r="L18" i="1"/>
  <c r="A15" i="1"/>
  <c r="K16" i="1"/>
  <c r="F18" i="1"/>
  <c r="N20" i="1"/>
  <c r="E12" i="1"/>
  <c r="A12" i="1"/>
  <c r="G16" i="1"/>
  <c r="C24" i="1"/>
  <c r="F22" i="1"/>
  <c r="J21" i="1"/>
  <c r="J23" i="1"/>
  <c r="G22" i="1"/>
  <c r="A19" i="1"/>
  <c r="D11" i="1"/>
  <c r="J25" i="1"/>
  <c r="H18" i="1"/>
  <c r="J10" i="1"/>
  <c r="D12" i="1"/>
  <c r="A13" i="1"/>
  <c r="K10" i="1"/>
  <c r="G11" i="1"/>
  <c r="K20" i="1"/>
  <c r="E23" i="1"/>
  <c r="M22" i="1"/>
  <c r="F19" i="1"/>
  <c r="N22" i="1"/>
  <c r="H11" i="1"/>
  <c r="G13" i="1"/>
  <c r="H24" i="1"/>
  <c r="J14" i="1"/>
  <c r="J11" i="1"/>
  <c r="L19" i="1"/>
  <c r="I15" i="1"/>
  <c r="L23" i="1"/>
  <c r="L16" i="1"/>
  <c r="H17" i="1"/>
  <c r="E11" i="1"/>
  <c r="O13" i="1"/>
  <c r="C14" i="1"/>
  <c r="O10" i="1"/>
  <c r="B20" i="1"/>
  <c r="H12" i="1"/>
  <c r="H16" i="1"/>
  <c r="K12" i="1"/>
  <c r="A17" i="1"/>
  <c r="D13" i="1"/>
  <c r="I21" i="1"/>
  <c r="C22" i="1"/>
  <c r="M12" i="1"/>
  <c r="H20" i="1"/>
  <c r="B15" i="1"/>
  <c r="O19" i="1"/>
  <c r="N21" i="1"/>
  <c r="L25" i="1"/>
  <c r="L22" i="1"/>
  <c r="F16" i="1"/>
  <c r="G25" i="1"/>
  <c r="B21" i="1"/>
  <c r="J20" i="1"/>
  <c r="H21" i="1"/>
  <c r="K11" i="1"/>
  <c r="J17" i="1"/>
  <c r="B22" i="1"/>
  <c r="M11" i="1"/>
  <c r="I20" i="1"/>
  <c r="F14" i="1"/>
  <c r="M16" i="1"/>
  <c r="I13" i="1"/>
  <c r="A16" i="1"/>
  <c r="K14" i="1"/>
  <c r="G21" i="1"/>
  <c r="I10" i="1"/>
  <c r="A10" i="1"/>
  <c r="D20" i="1"/>
  <c r="K13" i="1"/>
  <c r="D14" i="1"/>
  <c r="H25" i="1"/>
  <c r="J16" i="1"/>
  <c r="O14" i="1"/>
  <c r="I25" i="1"/>
  <c r="B17" i="1"/>
  <c r="O24" i="1"/>
  <c r="O22" i="1"/>
  <c r="G24" i="1"/>
  <c r="K15" i="1"/>
  <c r="D16" i="1"/>
  <c r="C18" i="1"/>
  <c r="C15" i="1"/>
  <c r="I23" i="1"/>
  <c r="L20" i="1"/>
  <c r="H13" i="1"/>
  <c r="L15" i="1"/>
  <c r="E13" i="1"/>
  <c r="M17" i="1"/>
  <c r="O20" i="1"/>
  <c r="O25" i="1"/>
  <c r="E16" i="1"/>
  <c r="B16" i="1"/>
  <c r="I11" i="1"/>
  <c r="O11" i="1"/>
  <c r="N24" i="1"/>
  <c r="C23" i="1"/>
  <c r="I24" i="1"/>
  <c r="M23" i="1"/>
  <c r="F21" i="1"/>
  <c r="I22" i="1"/>
  <c r="D23" i="1"/>
  <c r="D10" i="1"/>
  <c r="E10" i="1"/>
  <c r="M10" i="1"/>
  <c r="N25" i="1"/>
  <c r="A20" i="1"/>
  <c r="A21" i="1"/>
  <c r="E22" i="1"/>
  <c r="N12" i="1"/>
  <c r="G14" i="1"/>
  <c r="I12" i="1"/>
  <c r="C12" i="1"/>
  <c r="K23" i="1"/>
  <c r="L17" i="1"/>
  <c r="M24" i="1"/>
  <c r="G20" i="1"/>
  <c r="M13" i="1"/>
  <c r="N14" i="1"/>
  <c r="E21" i="1"/>
  <c r="C17" i="1"/>
  <c r="L10" i="1"/>
  <c r="B24" i="1"/>
  <c r="D24" i="1"/>
  <c r="D17" i="1"/>
  <c r="G18" i="1"/>
  <c r="K19" i="1"/>
  <c r="C13" i="1"/>
  <c r="H19" i="1"/>
  <c r="I16" i="1"/>
  <c r="L13" i="1"/>
  <c r="C21" i="1"/>
  <c r="F15" i="1"/>
  <c r="C11" i="1"/>
  <c r="F20" i="1"/>
  <c r="N15" i="1"/>
  <c r="N19" i="1"/>
  <c r="H15" i="1"/>
  <c r="G23" i="1"/>
  <c r="D25" i="1"/>
  <c r="H22" i="1"/>
  <c r="C25" i="1"/>
  <c r="N16" i="1"/>
  <c r="J13" i="1"/>
  <c r="L21" i="1"/>
  <c r="M19" i="1"/>
  <c r="G10" i="1"/>
  <c r="L12" i="1"/>
  <c r="E24" i="1"/>
  <c r="A18" i="1"/>
  <c r="M15" i="1"/>
  <c r="M18" i="1"/>
  <c r="O21" i="1"/>
  <c r="B14" i="1"/>
  <c r="L11" i="1"/>
  <c r="E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AT10" i="1"/>
  <c r="W12" i="1"/>
  <c r="AP13" i="1"/>
  <c r="AV15" i="1"/>
  <c r="BA12" i="1"/>
  <c r="AV18" i="1"/>
  <c r="AX10" i="1"/>
  <c r="Z14" i="1"/>
  <c r="AA21" i="1"/>
  <c r="V24" i="1"/>
  <c r="AB14" i="1"/>
  <c r="AI24" i="1"/>
  <c r="X12" i="1"/>
  <c r="AB12" i="1"/>
  <c r="AQ22" i="1"/>
  <c r="AU19" i="1"/>
  <c r="Z19" i="1"/>
  <c r="AO13" i="1"/>
  <c r="AI17" i="1"/>
  <c r="W23" i="1"/>
  <c r="AA12" i="1"/>
  <c r="AI12" i="1"/>
  <c r="U15" i="1"/>
  <c r="AV17" i="1"/>
  <c r="AR17" i="1"/>
  <c r="U19" i="1"/>
  <c r="AB21" i="1"/>
  <c r="U23" i="1"/>
  <c r="AR25" i="1"/>
  <c r="AI25" i="1"/>
  <c r="AX25" i="1"/>
  <c r="AX23" i="1"/>
  <c r="AX18" i="1"/>
  <c r="AG14" i="1"/>
  <c r="AE16" i="1"/>
  <c r="AY12" i="1"/>
  <c r="AV23" i="1"/>
  <c r="AX20" i="1"/>
  <c r="AB16" i="1"/>
  <c r="Y16" i="1"/>
  <c r="AZ14" i="1"/>
  <c r="AS22" i="1"/>
  <c r="Y11" i="1"/>
  <c r="AD22" i="1"/>
  <c r="AA24" i="1"/>
  <c r="AW13" i="1"/>
  <c r="AG20" i="1"/>
  <c r="AB18" i="1"/>
  <c r="BA10" i="1"/>
  <c r="W11" i="1"/>
  <c r="AU22" i="1"/>
  <c r="AQ19" i="1"/>
  <c r="Z22" i="1"/>
  <c r="AG17" i="1"/>
  <c r="W22" i="1"/>
  <c r="AQ17" i="1"/>
  <c r="AT25" i="1"/>
  <c r="AE20" i="1"/>
  <c r="V19" i="1"/>
  <c r="AC13" i="1"/>
  <c r="AR10" i="1"/>
  <c r="AT21" i="1"/>
  <c r="W20" i="1"/>
  <c r="W25" i="1"/>
  <c r="AD23" i="1"/>
  <c r="AX13" i="1"/>
  <c r="AE17" i="1"/>
  <c r="AP18" i="1"/>
  <c r="AI20" i="1"/>
  <c r="AQ24" i="1"/>
  <c r="AW18" i="1"/>
  <c r="V18" i="1"/>
  <c r="AQ11" i="1"/>
  <c r="Y12" i="1"/>
  <c r="AE24" i="1"/>
  <c r="AG23" i="1"/>
  <c r="AP25" i="1"/>
  <c r="AO15" i="1"/>
  <c r="AP20" i="1"/>
  <c r="BA14" i="1"/>
  <c r="AP17" i="1"/>
  <c r="AP11" i="1"/>
  <c r="AT18" i="1"/>
  <c r="AY20" i="1"/>
  <c r="AC17" i="1"/>
  <c r="AP22" i="1"/>
  <c r="AT15" i="1"/>
  <c r="AU11" i="1"/>
  <c r="AC16" i="1"/>
  <c r="W21" i="1"/>
  <c r="AB24" i="1"/>
  <c r="AY17" i="1"/>
  <c r="X22" i="1"/>
  <c r="AY22" i="1"/>
  <c r="AV13" i="1"/>
  <c r="AV20" i="1"/>
  <c r="AI11" i="1"/>
  <c r="AA11" i="1"/>
  <c r="AT20" i="1"/>
  <c r="AS14" i="1"/>
  <c r="AV11" i="1"/>
  <c r="AS23" i="1"/>
  <c r="AU14" i="1"/>
  <c r="AI10" i="1"/>
  <c r="AD10" i="1"/>
  <c r="X10" i="1"/>
  <c r="AB15" i="1"/>
  <c r="AI22" i="1"/>
  <c r="Y21" i="1"/>
  <c r="AE25" i="1"/>
  <c r="AW16" i="1"/>
  <c r="AH18" i="1"/>
  <c r="AD20" i="1"/>
  <c r="AO19" i="1"/>
  <c r="AF21" i="1"/>
  <c r="AX22" i="1"/>
  <c r="AW10" i="1"/>
  <c r="BA23" i="1"/>
  <c r="AU12" i="1"/>
  <c r="AV24" i="1"/>
  <c r="AS16" i="1"/>
  <c r="Y22" i="1"/>
  <c r="AQ16" i="1"/>
  <c r="Z15" i="1"/>
  <c r="AG10" i="1"/>
  <c r="AC23" i="1"/>
  <c r="AV22" i="1"/>
  <c r="AB10" i="1"/>
  <c r="AR23" i="1"/>
  <c r="AW14" i="1"/>
  <c r="Z18" i="1"/>
  <c r="W19" i="1"/>
  <c r="AC12" i="1"/>
  <c r="Z17" i="1"/>
  <c r="Y19" i="1"/>
  <c r="V10" i="1"/>
  <c r="AB23" i="1"/>
  <c r="AR19" i="1"/>
  <c r="X17" i="1"/>
  <c r="AE14" i="1"/>
  <c r="Y14" i="1"/>
  <c r="W15" i="1"/>
  <c r="BA24" i="1"/>
  <c r="AS15" i="1"/>
  <c r="BA25" i="1"/>
  <c r="X18" i="1"/>
  <c r="U25" i="1"/>
  <c r="AW15" i="1"/>
  <c r="BA21" i="1"/>
  <c r="U13" i="1"/>
  <c r="AS25" i="1"/>
  <c r="AG19" i="1"/>
  <c r="W17" i="1"/>
  <c r="AS10" i="1"/>
  <c r="AE19" i="1"/>
  <c r="AS13" i="1"/>
  <c r="AP23" i="1"/>
  <c r="AE15" i="1"/>
  <c r="Y20" i="1"/>
  <c r="AT23" i="1"/>
  <c r="AB20" i="1"/>
  <c r="BA13" i="1"/>
  <c r="AV16" i="1"/>
  <c r="BA20" i="1"/>
  <c r="AE11" i="1"/>
  <c r="W18" i="1"/>
  <c r="AH13" i="1"/>
  <c r="AO22" i="1"/>
  <c r="AZ12" i="1"/>
  <c r="AU18" i="1"/>
  <c r="BA11" i="1"/>
  <c r="AA17" i="1"/>
  <c r="AB11" i="1"/>
  <c r="AU20" i="1"/>
  <c r="BA17" i="1"/>
  <c r="AW24" i="1"/>
  <c r="AZ19" i="1"/>
  <c r="AY21" i="1"/>
  <c r="AT24" i="1"/>
  <c r="AW11" i="1"/>
  <c r="AT16" i="1"/>
  <c r="AD15" i="1"/>
  <c r="AQ18" i="1"/>
  <c r="AU17" i="1"/>
  <c r="AY25" i="1"/>
  <c r="AA25" i="1"/>
  <c r="AQ14" i="1"/>
  <c r="AA15" i="1"/>
  <c r="AD19" i="1"/>
  <c r="AU23" i="1"/>
  <c r="AD17" i="1"/>
  <c r="AO25" i="1"/>
  <c r="U12" i="1"/>
  <c r="AU10" i="1"/>
  <c r="AD21" i="1"/>
  <c r="AP19" i="1"/>
  <c r="AQ23" i="1"/>
  <c r="AZ21" i="1"/>
  <c r="U17" i="1"/>
  <c r="Y10" i="1"/>
  <c r="AV10" i="1"/>
  <c r="V11" i="1"/>
  <c r="AX24" i="1"/>
  <c r="X16" i="1"/>
  <c r="AC18" i="1"/>
  <c r="V15" i="1"/>
  <c r="AE18" i="1"/>
  <c r="AC24" i="1"/>
  <c r="Z16" i="1"/>
  <c r="AW25" i="1"/>
  <c r="AU24" i="1"/>
  <c r="AI23" i="1"/>
  <c r="AW17" i="1"/>
  <c r="AE21" i="1"/>
  <c r="AD24" i="1"/>
  <c r="AR13" i="1"/>
  <c r="AA10" i="1"/>
  <c r="BA22" i="1"/>
  <c r="AR21" i="1"/>
  <c r="V17" i="1"/>
  <c r="AQ13" i="1"/>
  <c r="AF24" i="1"/>
  <c r="AW21" i="1"/>
  <c r="AV19" i="1"/>
  <c r="AT13" i="1"/>
  <c r="AU15" i="1"/>
  <c r="AC10" i="1"/>
  <c r="AU25" i="1"/>
  <c r="AA16" i="1"/>
  <c r="AS20" i="1"/>
  <c r="V21" i="1"/>
  <c r="AC19" i="1"/>
  <c r="AA20" i="1"/>
  <c r="AD12" i="1"/>
  <c r="X21" i="1"/>
  <c r="AX21" i="1"/>
  <c r="AF20" i="1"/>
  <c r="AD13" i="1"/>
  <c r="AZ11" i="1"/>
  <c r="Y24" i="1"/>
  <c r="AY10" i="1"/>
  <c r="AF11" i="1"/>
  <c r="V13" i="1"/>
  <c r="X24" i="1"/>
  <c r="X19" i="1"/>
  <c r="AZ20" i="1"/>
  <c r="W16" i="1"/>
  <c r="AP24" i="1"/>
  <c r="AO18" i="1"/>
  <c r="AZ24" i="1"/>
  <c r="V22" i="1"/>
  <c r="AR20" i="1"/>
  <c r="AP14" i="1"/>
  <c r="U11" i="1"/>
  <c r="AB17" i="1"/>
  <c r="AQ25" i="1"/>
  <c r="Z12" i="1"/>
  <c r="AF22" i="1"/>
  <c r="AB22" i="1"/>
  <c r="AW19" i="1"/>
  <c r="AC25" i="1"/>
  <c r="AI16" i="1"/>
  <c r="AH17" i="1"/>
  <c r="AH25" i="1"/>
  <c r="V16" i="1"/>
  <c r="W10" i="1"/>
  <c r="AP15" i="1"/>
  <c r="AW12" i="1"/>
  <c r="AQ15" i="1"/>
  <c r="AE13" i="1"/>
  <c r="BA19" i="1"/>
  <c r="BA18" i="1"/>
  <c r="BA15" i="1"/>
  <c r="AR24" i="1"/>
  <c r="Z10" i="1"/>
  <c r="V12" i="1"/>
  <c r="AC20" i="1"/>
  <c r="AF10" i="1"/>
  <c r="AT14" i="1"/>
  <c r="AX12" i="1"/>
  <c r="AG11" i="1"/>
  <c r="AY16" i="1"/>
  <c r="AU21" i="1"/>
  <c r="X25" i="1"/>
  <c r="AH12" i="1"/>
  <c r="AX16" i="1"/>
  <c r="AZ25" i="1"/>
  <c r="AY18" i="1"/>
  <c r="AV14" i="1"/>
  <c r="W14" i="1"/>
  <c r="AZ13" i="1"/>
  <c r="AY13" i="1"/>
  <c r="AQ10" i="1"/>
  <c r="AV12" i="1"/>
  <c r="Y15" i="1"/>
  <c r="AV21" i="1"/>
  <c r="AF16" i="1"/>
  <c r="AF19" i="1"/>
  <c r="AG22" i="1"/>
  <c r="AF12" i="1"/>
  <c r="AR22" i="1"/>
  <c r="AO10" i="1"/>
  <c r="AG12" i="1"/>
  <c r="AC22" i="1"/>
  <c r="AP12" i="1"/>
  <c r="AE23" i="1"/>
  <c r="AG15" i="1"/>
  <c r="AS12" i="1"/>
  <c r="AC15" i="1"/>
  <c r="AZ10" i="1"/>
  <c r="V20" i="1"/>
  <c r="AC11" i="1"/>
  <c r="AT17" i="1"/>
  <c r="AS11" i="1"/>
  <c r="AB25" i="1"/>
  <c r="AH23" i="1"/>
  <c r="V14" i="1"/>
  <c r="AX15" i="1"/>
  <c r="AI18" i="1"/>
  <c r="AY14" i="1"/>
  <c r="X13" i="1"/>
  <c r="AO17" i="1"/>
  <c r="AU16" i="1"/>
  <c r="AT22" i="1"/>
  <c r="AZ22" i="1"/>
  <c r="AW23" i="1"/>
  <c r="Z23" i="1"/>
  <c r="AZ23" i="1"/>
  <c r="AI19" i="1"/>
  <c r="U16" i="1"/>
  <c r="AI14" i="1"/>
  <c r="AO14" i="1"/>
  <c r="AE22" i="1"/>
  <c r="Z25" i="1"/>
  <c r="X15" i="1"/>
  <c r="AX17" i="1"/>
  <c r="U18" i="1"/>
  <c r="AG16" i="1"/>
  <c r="AZ17" i="1"/>
  <c r="U24" i="1"/>
  <c r="X20" i="1"/>
  <c r="AR11" i="1"/>
  <c r="AD14" i="1"/>
  <c r="AC14" i="1"/>
  <c r="AF14" i="1"/>
  <c r="AO11" i="1"/>
  <c r="U10" i="1"/>
  <c r="AH16" i="1"/>
  <c r="AT19" i="1"/>
  <c r="AA22" i="1"/>
  <c r="AA18" i="1"/>
  <c r="AX11" i="1"/>
  <c r="AS21" i="1"/>
  <c r="AH19" i="1"/>
  <c r="Y13" i="1"/>
  <c r="AP10" i="1"/>
  <c r="X23" i="1"/>
  <c r="AQ21" i="1"/>
  <c r="Z13" i="1"/>
  <c r="AH20" i="1"/>
  <c r="AH21" i="1"/>
  <c r="AS24" i="1"/>
  <c r="AH10" i="1"/>
  <c r="Z11" i="1"/>
  <c r="AW22" i="1"/>
  <c r="Y18" i="1"/>
  <c r="AI13" i="1"/>
  <c r="AA13" i="1"/>
  <c r="AF15" i="1"/>
  <c r="AR14" i="1"/>
  <c r="U22" i="1"/>
  <c r="AQ20" i="1"/>
  <c r="AA19" i="1"/>
  <c r="AT12" i="1"/>
  <c r="W13" i="1"/>
  <c r="AX14" i="1"/>
  <c r="AE12" i="1"/>
  <c r="Z21" i="1"/>
  <c r="AR16" i="1"/>
  <c r="AG24" i="1"/>
  <c r="AG13" i="1"/>
  <c r="AG25" i="1"/>
  <c r="AH15" i="1"/>
  <c r="AS18" i="1"/>
  <c r="U20" i="1"/>
  <c r="Y23" i="1"/>
  <c r="AZ15" i="1"/>
  <c r="AR18" i="1"/>
  <c r="BA16" i="1"/>
  <c r="AZ16" i="1"/>
  <c r="AR12" i="1"/>
  <c r="AH14" i="1"/>
  <c r="AO24" i="1"/>
  <c r="AP21" i="1"/>
  <c r="Z24" i="1"/>
  <c r="AY24" i="1"/>
  <c r="AO20" i="1"/>
  <c r="AY23" i="1"/>
  <c r="AD11" i="1"/>
  <c r="AH11" i="1"/>
  <c r="U21" i="1"/>
  <c r="AT11" i="1"/>
  <c r="AF13" i="1"/>
  <c r="AX19" i="1"/>
  <c r="AP16" i="1"/>
  <c r="V25" i="1"/>
  <c r="AQ12" i="1"/>
  <c r="AA14" i="1"/>
  <c r="AF25" i="1"/>
  <c r="AS17" i="1"/>
  <c r="Z20" i="1"/>
  <c r="AU13" i="1"/>
  <c r="V23" i="1"/>
  <c r="AO16" i="1"/>
  <c r="X14" i="1"/>
  <c r="X11" i="1"/>
  <c r="AD16" i="1"/>
  <c r="AF23" i="1"/>
  <c r="W24" i="1"/>
  <c r="AD25" i="1"/>
  <c r="AY11" i="1"/>
  <c r="AI15" i="1"/>
  <c r="AY15" i="1"/>
  <c r="AH22" i="1"/>
  <c r="AS19" i="1"/>
  <c r="AO21" i="1"/>
  <c r="AV25" i="1"/>
  <c r="AY19" i="1"/>
  <c r="AA23" i="1"/>
  <c r="AZ18" i="1"/>
  <c r="AG18" i="1"/>
  <c r="AO12" i="1"/>
  <c r="AW20" i="1"/>
  <c r="Y17" i="1"/>
  <c r="AO23" i="1"/>
  <c r="AH24" i="1"/>
  <c r="AD18" i="1"/>
  <c r="AF17" i="1"/>
  <c r="AB19" i="1"/>
  <c r="AC21" i="1"/>
  <c r="AG21" i="1"/>
  <c r="AB13" i="1"/>
  <c r="Y25" i="1"/>
  <c r="AE10" i="1"/>
  <c r="AR15" i="1"/>
  <c r="AF18" i="1"/>
  <c r="AI21" i="1"/>
  <c r="U14" i="1"/>
  <c r="AH30" i="1" l="1"/>
  <c r="AH27" i="1" s="1"/>
  <c r="AH29" i="1" s="1"/>
  <c r="O98" i="8" s="1"/>
  <c r="AH31" i="1"/>
  <c r="P98" i="8" s="1"/>
  <c r="AU31" i="1"/>
  <c r="P105" i="8" s="1"/>
  <c r="AU30" i="1"/>
  <c r="AU27" i="1" s="1"/>
  <c r="AU29" i="1" s="1"/>
  <c r="M46" i="26" s="1"/>
  <c r="AC30" i="1"/>
  <c r="AC27" i="1" s="1"/>
  <c r="AC29" i="1" s="1"/>
  <c r="M34" i="26" s="1"/>
  <c r="AC31" i="1"/>
  <c r="P93" i="8" s="1"/>
  <c r="V31" i="1"/>
  <c r="F47" i="26" s="1"/>
  <c r="V30" i="1"/>
  <c r="V27" i="1" s="1"/>
  <c r="V28" i="1" s="1"/>
  <c r="AE31" i="1"/>
  <c r="P95" i="8" s="1"/>
  <c r="AE30" i="1"/>
  <c r="AE27" i="1" s="1"/>
  <c r="AE28" i="1" s="1"/>
  <c r="AZ30" i="1"/>
  <c r="AZ27" i="1" s="1"/>
  <c r="AZ29" i="1" s="1"/>
  <c r="M51" i="26" s="1"/>
  <c r="AZ31" i="1"/>
  <c r="P110" i="8" s="1"/>
  <c r="X31" i="1"/>
  <c r="F49" i="26" s="1"/>
  <c r="X30" i="1"/>
  <c r="X27" i="1" s="1"/>
  <c r="X28" i="1" s="1"/>
  <c r="AD31" i="1"/>
  <c r="P94" i="8" s="1"/>
  <c r="AD30" i="1"/>
  <c r="AD27" i="1" s="1"/>
  <c r="AD28" i="1" s="1"/>
  <c r="AA30" i="1"/>
  <c r="AA27" i="1" s="1"/>
  <c r="AA29" i="1" s="1"/>
  <c r="O91" i="8" s="1"/>
  <c r="AA31" i="1"/>
  <c r="F52" i="26" s="1"/>
  <c r="AI30" i="1"/>
  <c r="AI27" i="1" s="1"/>
  <c r="AI29" i="1" s="1"/>
  <c r="M40" i="26" s="1"/>
  <c r="AI31" i="1"/>
  <c r="P99" i="8" s="1"/>
  <c r="BA30" i="1"/>
  <c r="BA27" i="1" s="1"/>
  <c r="BA28" i="1" s="1"/>
  <c r="BA31" i="1"/>
  <c r="P111" i="8" s="1"/>
  <c r="AP31" i="1"/>
  <c r="N41" i="26" s="1"/>
  <c r="AP30" i="1"/>
  <c r="AP27" i="1" s="1"/>
  <c r="N100" i="8" s="1"/>
  <c r="AF31" i="1"/>
  <c r="P96" i="8" s="1"/>
  <c r="AF30" i="1"/>
  <c r="AF27" i="1" s="1"/>
  <c r="L37" i="26" s="1"/>
  <c r="AB31" i="1"/>
  <c r="P92" i="8" s="1"/>
  <c r="AB30" i="1"/>
  <c r="AB27" i="1" s="1"/>
  <c r="AB29" i="1" s="1"/>
  <c r="O92" i="8" s="1"/>
  <c r="Z31" i="1"/>
  <c r="F51" i="26" s="1"/>
  <c r="Z30" i="1"/>
  <c r="Z27" i="1" s="1"/>
  <c r="Z28" i="1" s="1"/>
  <c r="AG30" i="1"/>
  <c r="AG27" i="1" s="1"/>
  <c r="AG28" i="1" s="1"/>
  <c r="AG31" i="1"/>
  <c r="P97" i="8" s="1"/>
  <c r="AS30" i="1"/>
  <c r="AS27" i="1" s="1"/>
  <c r="AS28" i="1" s="1"/>
  <c r="AS31" i="1"/>
  <c r="P103" i="8" s="1"/>
  <c r="AY31" i="1"/>
  <c r="P109" i="8" s="1"/>
  <c r="AY30" i="1"/>
  <c r="AY27" i="1" s="1"/>
  <c r="AY28" i="1" s="1"/>
  <c r="AX30" i="1"/>
  <c r="AX27" i="1" s="1"/>
  <c r="AX28" i="1" s="1"/>
  <c r="AX31" i="1"/>
  <c r="N49" i="26" s="1"/>
  <c r="AQ31" i="1"/>
  <c r="P101" i="8" s="1"/>
  <c r="AQ30" i="1"/>
  <c r="AQ27" i="1" s="1"/>
  <c r="N101" i="8" s="1"/>
  <c r="W30" i="1"/>
  <c r="W27" i="1" s="1"/>
  <c r="W28" i="1" s="1"/>
  <c r="W31" i="1"/>
  <c r="F48" i="26" s="1"/>
  <c r="AV30" i="1"/>
  <c r="AV27" i="1" s="1"/>
  <c r="AV28" i="1" s="1"/>
  <c r="AV31" i="1"/>
  <c r="N47" i="26" s="1"/>
  <c r="AW30" i="1"/>
  <c r="AW27" i="1" s="1"/>
  <c r="N107" i="8" s="1"/>
  <c r="AW31" i="1"/>
  <c r="P107" i="8" s="1"/>
  <c r="AR30" i="1"/>
  <c r="AR27" i="1" s="1"/>
  <c r="N102" i="8" s="1"/>
  <c r="AR31" i="1"/>
  <c r="N43" i="26" s="1"/>
  <c r="Y31" i="1"/>
  <c r="F50" i="26" s="1"/>
  <c r="Y30" i="1"/>
  <c r="Y27" i="1" s="1"/>
  <c r="Y28" i="1" s="1"/>
  <c r="AT31" i="1"/>
  <c r="P104" i="8" s="1"/>
  <c r="AT30" i="1"/>
  <c r="AT27" i="1" s="1"/>
  <c r="AT29" i="1" s="1"/>
  <c r="O104" i="8" s="1"/>
  <c r="N111" i="8"/>
  <c r="AC28" i="1"/>
  <c r="N93" i="8"/>
  <c r="L39" i="26"/>
  <c r="M39" i="26"/>
  <c r="AH28" i="1"/>
  <c r="O93" i="8"/>
  <c r="L51" i="26"/>
  <c r="N98" i="8"/>
  <c r="F32" i="8"/>
  <c r="L34" i="26" l="1"/>
  <c r="P88" i="8"/>
  <c r="E52" i="26"/>
  <c r="N37" i="26"/>
  <c r="N36" i="26"/>
  <c r="BA29" i="1"/>
  <c r="O111" i="8" s="1"/>
  <c r="D52" i="26"/>
  <c r="AX29" i="1"/>
  <c r="O108" i="8" s="1"/>
  <c r="X29" i="1"/>
  <c r="O88" i="8" s="1"/>
  <c r="P86" i="8"/>
  <c r="P90" i="8"/>
  <c r="AF29" i="1"/>
  <c r="O96" i="8" s="1"/>
  <c r="N108" i="8"/>
  <c r="AA28" i="1"/>
  <c r="AS29" i="1"/>
  <c r="O103" i="8" s="1"/>
  <c r="N45" i="26"/>
  <c r="N106" i="8"/>
  <c r="N48" i="26"/>
  <c r="N39" i="26"/>
  <c r="AE29" i="1"/>
  <c r="M36" i="26" s="1"/>
  <c r="N95" i="8"/>
  <c r="D49" i="26"/>
  <c r="N34" i="26"/>
  <c r="N52" i="26"/>
  <c r="N44" i="26"/>
  <c r="N90" i="8"/>
  <c r="N96" i="8"/>
  <c r="L36" i="26"/>
  <c r="P91" i="8"/>
  <c r="AF28" i="1"/>
  <c r="Z29" i="1"/>
  <c r="O90" i="8" s="1"/>
  <c r="P100" i="8"/>
  <c r="AI28" i="1"/>
  <c r="L40" i="26"/>
  <c r="P108" i="8"/>
  <c r="L44" i="26"/>
  <c r="N103" i="8"/>
  <c r="D48" i="26"/>
  <c r="L35" i="26"/>
  <c r="AW29" i="1"/>
  <c r="O107" i="8" s="1"/>
  <c r="L48" i="26"/>
  <c r="P89" i="8"/>
  <c r="N89" i="8"/>
  <c r="L49" i="26"/>
  <c r="D50" i="26"/>
  <c r="P87" i="8"/>
  <c r="Y29" i="1"/>
  <c r="E50" i="26" s="1"/>
  <c r="AW28" i="1"/>
  <c r="W29" i="1"/>
  <c r="O87" i="8" s="1"/>
  <c r="N87" i="8"/>
  <c r="N88" i="8"/>
  <c r="N91" i="8"/>
  <c r="D51" i="26"/>
  <c r="L52" i="26"/>
  <c r="AP28" i="1"/>
  <c r="N40" i="26"/>
  <c r="P102" i="8"/>
  <c r="O94" i="8"/>
  <c r="V29" i="1"/>
  <c r="O86" i="8" s="1"/>
  <c r="AR29" i="1"/>
  <c r="M43" i="26" s="1"/>
  <c r="M33" i="26"/>
  <c r="AD29" i="1"/>
  <c r="M35" i="26" s="1"/>
  <c r="L46" i="26"/>
  <c r="L41" i="26"/>
  <c r="AO34" i="1"/>
  <c r="N92" i="8"/>
  <c r="N109" i="8"/>
  <c r="N110" i="8"/>
  <c r="O110" i="8"/>
  <c r="L38" i="26"/>
  <c r="N33" i="26"/>
  <c r="AQ28" i="1"/>
  <c r="O99" i="8"/>
  <c r="N35" i="26"/>
  <c r="N86" i="8"/>
  <c r="N46" i="26"/>
  <c r="N99" i="8"/>
  <c r="AR28" i="1"/>
  <c r="AT28" i="1"/>
  <c r="AV29" i="1"/>
  <c r="M47" i="26" s="1"/>
  <c r="N38" i="26"/>
  <c r="L33" i="26"/>
  <c r="U34" i="1"/>
  <c r="J34" i="1" s="1"/>
  <c r="L51" i="1" a="1"/>
  <c r="L51" i="1" s="1"/>
  <c r="L65" i="1" a="1"/>
  <c r="L65" i="1" s="1"/>
  <c r="AQ29" i="1"/>
  <c r="M42" i="26" s="1"/>
  <c r="L42" i="26"/>
  <c r="N105" i="8"/>
  <c r="AU28" i="1"/>
  <c r="O105" i="8"/>
  <c r="AB28" i="1"/>
  <c r="AY29" i="1"/>
  <c r="O109" i="8" s="1"/>
  <c r="L50" i="26"/>
  <c r="AP29" i="1"/>
  <c r="M41" i="26" s="1"/>
  <c r="N50" i="26"/>
  <c r="N42" i="26"/>
  <c r="N97" i="8"/>
  <c r="AG29" i="1"/>
  <c r="M38" i="26" s="1"/>
  <c r="N94" i="8"/>
  <c r="D47" i="26"/>
  <c r="L43" i="26"/>
  <c r="N51" i="26"/>
  <c r="AZ28" i="1"/>
  <c r="M45" i="26"/>
  <c r="L45" i="26"/>
  <c r="N104" i="8"/>
  <c r="P106" i="8"/>
  <c r="L47" i="26"/>
  <c r="E49" i="26"/>
  <c r="M52" i="26"/>
  <c r="M48" i="26" l="1"/>
  <c r="M49" i="26"/>
  <c r="M44" i="26"/>
  <c r="M37" i="26"/>
  <c r="O95" i="8"/>
  <c r="E47" i="26"/>
  <c r="E51" i="26"/>
  <c r="E48" i="26"/>
  <c r="O89" i="8"/>
  <c r="U33" i="1"/>
  <c r="O102" i="8"/>
  <c r="O106" i="8"/>
  <c r="H33" i="1"/>
  <c r="K34" i="1"/>
  <c r="AO33" i="1"/>
  <c r="M50" i="26"/>
  <c r="J51" i="1" a="1"/>
  <c r="J51" i="1" s="1"/>
  <c r="O97" i="8"/>
  <c r="J65" i="1" a="1"/>
  <c r="J65" i="1" s="1"/>
  <c r="O101" i="8"/>
  <c r="O100" i="8"/>
  <c r="F34" i="1" l="1"/>
  <c r="D33" i="1"/>
  <c r="G10" i="8" s="1"/>
  <c r="N24" i="26" l="1"/>
  <c r="L4"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background="1" saveData="1">
    <dbPr connection="Provider=Microsoft.Mashup.OleDb.1;Data Source=$Workbook$;Location=ClientAssetAttributes_GetAssetAttributesByAssetId;Extended Properties=&quot;&quot;" command="SELECT * FROM [ClientAssetAttributes_GetAssetAttributesByAssetId]"/>
  </connection>
  <connection id="4"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5"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<sst xmlns="http://schemas.openxmlformats.org/spreadsheetml/2006/main" count="21209" uniqueCount="5539">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</sst>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5"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4"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connectionId="3"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92"/>
    <tableColumn id="18" xr3:uid="{5DE66976-8962-4778-9F2F-F1825B5EABCC}" uniqueName="18" name="Address1" queryTableFieldId="18" dataDxfId="91"/>
    <tableColumn id="19" xr3:uid="{31D68568-B5E1-4705-9496-19F08F967786}" uniqueName="19" name="Address2" queryTableFieldId="19" dataDxfId="90"/>
    <tableColumn id="20" xr3:uid="{5AE80B19-572A-40D3-B26F-1A4C57286083}" uniqueName="20" name="Merged" queryTableFieldId="20" dataDxfId="89"/>
    <tableColumn id="1" xr3:uid="{937E5B89-42F7-4DEC-A227-75548CDE4F9D}" uniqueName="1" name="CompanyId" queryTableFieldId="21" dataDxfId="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insertRow="1" totalsRowShown="0" headerRowDxfId="192" dataDxfId="191">
  <autoFilter ref="A1:AT2" xr:uid="{A274804B-99F1-44FB-92BC-D164E6289DDA}"/>
  <tableColumns count="46">
    <tableColumn id="1" xr3:uid="{EAC6D7E4-B2A3-4627-933E-DD71D842A917}" uniqueName="1" name="CompanyId" queryTableFieldId="1" dataDxfId="87"/>
    <tableColumn id="2" xr3:uid="{0FA75F58-4125-42EC-BD14-294977DA97DB}" uniqueName="2" name="AssetId" queryTableFieldId="2" dataDxfId="86"/>
    <tableColumn id="3" xr3:uid="{5BF963B6-E4BC-43DF-9164-EDA2E9AC7AD6}" uniqueName="3" name="SerialNumber" queryTableFieldId="3" dataDxfId="85"/>
    <tableColumn id="4" xr3:uid="{BEEE5E7F-780E-44E4-B31B-A8B2E6F4D03A}" uniqueName="4" name="AssetUser" queryTableFieldId="4" dataDxfId="84"/>
    <tableColumn id="5" xr3:uid="{055872E1-81FE-453F-AE3C-5E38534B84CC}" uniqueName="5" name="AssetTag" queryTableFieldId="5" dataDxfId="83"/>
    <tableColumn id="6" xr3:uid="{32476223-99F8-4CF0-8127-EED9E48AB6A8}" uniqueName="6" name="EquipmentId" queryTableFieldId="6" dataDxfId="82"/>
    <tableColumn id="7" xr3:uid="{FAEBBB13-B142-46A2-A2EB-A8587FA90C6D}" uniqueName="7" name="AssetStatus" queryTableFieldId="7" dataDxfId="81"/>
    <tableColumn id="8" xr3:uid="{E828F966-F867-410A-9DBF-BE4FFECD5AD2}" uniqueName="8" name="AssetName" queryTableFieldId="8" dataDxfId="80"/>
    <tableColumn id="9" xr3:uid="{CC78C0E1-BA0A-4C89-81EF-BB8F73DFC9C9}" uniqueName="9" name="AssetDescription" queryTableFieldId="9" dataDxfId="79"/>
    <tableColumn id="10" xr3:uid="{3C8F8836-2E87-4A5B-9CE9-563693E168A5}" uniqueName="10" name="AssetMaker" queryTableFieldId="10" dataDxfId="78"/>
    <tableColumn id="11" xr3:uid="{EEE724E0-0EDE-42B6-B2EF-9797866CE681}" uniqueName="11" name="Location" queryTableFieldId="11" dataDxfId="77"/>
    <tableColumn id="12" xr3:uid="{6D0E696C-CE3A-4076-AD88-EC1B1F19759A}" uniqueName="12" name="RoomNumber" queryTableFieldId="12" dataDxfId="76"/>
    <tableColumn id="13" xr3:uid="{F04E50C8-4A7E-4819-A240-7889E58D9C1B}" uniqueName="13" name="Barcode" queryTableFieldId="13" dataDxfId="75"/>
    <tableColumn id="14" xr3:uid="{56E8DC7F-7C2A-4104-9854-E0F399D52451}" uniqueName="14" name="LegacyIdentifier" queryTableFieldId="14" dataDxfId="74"/>
    <tableColumn id="15" xr3:uid="{046B296C-51A8-4E7F-9A58-50DC86D95E3B}" uniqueName="15" name="RootCategoryName" queryTableFieldId="15" dataDxfId="73"/>
    <tableColumn id="16" xr3:uid="{C32A3E0A-B8D8-4B03-8961-AA02841CF8AF}" uniqueName="16" name="CategoryName" queryTableFieldId="16" dataDxfId="72"/>
    <tableColumn id="17" xr3:uid="{6192A3E9-AC70-4349-9CEC-D6DB3ADAC88F}" uniqueName="17" name="Class" queryTableFieldId="17" dataDxfId="71"/>
    <tableColumn id="18" xr3:uid="{D3EF1C70-5537-4EB7-B6B3-8A174DC6544B}" uniqueName="18" name="CustodianEmail" queryTableFieldId="18" dataDxfId="70"/>
    <tableColumn id="19" xr3:uid="{B60E35CA-133A-4104-8F11-57F27B773030}" uniqueName="19" name="CustodianName" queryTableFieldId="19" dataDxfId="69"/>
    <tableColumn id="20" xr3:uid="{3B956444-3999-45C8-99C3-A643D84A396E}" uniqueName="20" name="Department" queryTableFieldId="20" dataDxfId="68"/>
    <tableColumn id="21" xr3:uid="{60B40141-2419-493C-B805-7BB962095222}" uniqueName="21" name="Station" queryTableFieldId="21" dataDxfId="67"/>
    <tableColumn id="22" xr3:uid="{6BA61444-F7CF-42D1-BA65-3AC9D09C39DE}" uniqueName="22" name="Notes" queryTableFieldId="22" dataDxfId="66"/>
    <tableColumn id="23" xr3:uid="{6412C1F7-B5E9-4762-9E3C-9B38F8EE7063}" uniqueName="23" name="DocumentNumber" queryTableFieldId="23" dataDxfId="65"/>
    <tableColumn id="24" xr3:uid="{ECDF6478-DDFC-4D2E-981C-341622008055}" uniqueName="24" name="DocumentSection" queryTableFieldId="24" dataDxfId="64"/>
    <tableColumn id="25" xr3:uid="{5428022D-956B-4351-BD25-CB9314F716F8}" uniqueName="25" name="CumulativeServiceCost" queryTableFieldId="25" dataDxfId="63"/>
    <tableColumn id="26" xr3:uid="{AE7A9F61-F597-4253-8900-7C03E8ACA6F3}" uniqueName="26" name="ProductId" queryTableFieldId="26" dataDxfId="62"/>
    <tableColumn id="27" xr3:uid="{55C07B81-61A2-438A-A9EA-45A7E802A515}" uniqueName="27" name="ManufacturerPartNumber" queryTableFieldId="27" dataDxfId="61"/>
    <tableColumn id="28" xr3:uid="{655B483B-C8A4-4DE9-8ED9-3840C9805A01}" uniqueName="28" name="ProductName" queryTableFieldId="28" dataDxfId="60"/>
    <tableColumn id="29" xr3:uid="{286E59E8-5B27-47B5-998D-9CCBA4BE286C}" uniqueName="29" name="ProductDescription" queryTableFieldId="29" dataDxfId="59"/>
    <tableColumn id="30" xr3:uid="{CDBAC17E-3BFC-441E-A59B-DB9717B9A5DA}" uniqueName="30" name="ProductManufacturer" queryTableFieldId="30" dataDxfId="58"/>
    <tableColumn id="31" xr3:uid="{BA252CAA-3B94-4D72-98DA-67E2829231E8}" uniqueName="31" name="SiteName" queryTableFieldId="31" dataDxfId="57"/>
    <tableColumn id="32" xr3:uid="{22E77385-E664-4424-8D74-BDDE114D8E88}" uniqueName="32" name="SiteId" queryTableFieldId="32" dataDxfId="56"/>
    <tableColumn id="33" xr3:uid="{0E0C43F5-821A-4428-B22F-0DB564727CAB}" uniqueName="33" name="Condition" queryTableFieldId="33" dataDxfId="55"/>
    <tableColumn id="34" xr3:uid="{2861F3EA-9D52-4062-88E1-FE35E1F516CF}" uniqueName="34" name="Criticality" queryTableFieldId="34" dataDxfId="54"/>
    <tableColumn id="35" xr3:uid="{A2373E19-71F0-49A1-928C-822D24D31FCB}" uniqueName="35" name="Pool" queryTableFieldId="35" dataDxfId="53"/>
    <tableColumn id="36" xr3:uid="{E97B7E33-8A19-47B3-BEAA-63572B41F8C7}" uniqueName="36" name="PurchaseDate" queryTableFieldId="36" dataDxfId="52"/>
    <tableColumn id="37" xr3:uid="{442EB070-7D7C-4CFC-B9CD-A9D2E0BA9298}" uniqueName="37" name="PurchaseCost" queryTableFieldId="37" dataDxfId="51"/>
    <tableColumn id="38" xr3:uid="{2AE61D1A-1049-491C-9842-9AFA4C49BE64}" uniqueName="38" name="LifeSpanMonths" queryTableFieldId="38" dataDxfId="50"/>
    <tableColumn id="39" xr3:uid="{A9F24BC4-FEC8-485A-9061-E4095C5A52E1}" uniqueName="39" name="ActivationDate" queryTableFieldId="39" dataDxfId="49"/>
    <tableColumn id="40" xr3:uid="{ABFEF8D6-DF64-42C7-A2B5-157EC270C59E}" uniqueName="40" name="DepreciationBasis" queryTableFieldId="40" dataDxfId="48"/>
    <tableColumn id="41" xr3:uid="{852FFFB2-9B18-4BD9-BE95-B5CC31685BC3}" uniqueName="41" name="DepreciationMethod" queryTableFieldId="41" dataDxfId="47"/>
    <tableColumn id="42" xr3:uid="{A353548E-EA44-448F-8038-2B256209051B}" uniqueName="42" name="RetirementDate" queryTableFieldId="42" dataDxfId="46"/>
    <tableColumn id="43" xr3:uid="{82917293-1921-4B4D-874B-3205B2701EDE}" uniqueName="43" name="SalvageValue" queryTableFieldId="43" dataDxfId="45"/>
    <tableColumn id="44" xr3:uid="{20A565C4-DE21-47E9-B58F-FB885284512F}" uniqueName="44" name="RetirmentReason" queryTableFieldId="44" dataDxfId="44"/>
    <tableColumn id="45" xr3:uid="{3BA82FF8-9D2C-4E77-BF8E-73E8E3125339}" uniqueName="45" name="CompositeParentId" queryTableFieldId="45" dataDxfId="43"/>
    <tableColumn id="46" xr3:uid="{2D48C41D-5217-4FD7-9034-7F6E792D8081}" uniqueName="46" name="CompositeChildCount" queryTableFieldId="46"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0" dataDxfId="189">
  <autoFilter ref="A1:O71" xr:uid="{B7DAA5D0-88EA-445C-9A72-D29C019D034E}"/>
  <tableColumns count="15">
    <tableColumn id="1" xr3:uid="{12283C1A-6994-47F7-AF4D-C43742C4D014}" uniqueName="1" name="AssetId" queryTableFieldId="1" dataDxfId="107"/>
    <tableColumn id="2" xr3:uid="{CB5573B6-B28A-4716-B652-26F10985AEB3}" uniqueName="2" name="SerialNumber" queryTableFieldId="2" dataDxfId="106"/>
    <tableColumn id="3" xr3:uid="{432AC706-5812-46FA-AB87-43CD0D547CD9}" uniqueName="3" name="AssetUser" queryTableFieldId="3" dataDxfId="105"/>
    <tableColumn id="4" xr3:uid="{7272864B-CAB3-4C23-9FCC-93F1E22EEC23}" uniqueName="4" name="AssetTag" queryTableFieldId="4" dataDxfId="104"/>
    <tableColumn id="5" xr3:uid="{7FFF2583-ECEA-4DE3-A5D5-B1E209DA3322}" uniqueName="5" name="AssetName" queryTableFieldId="5" dataDxfId="103"/>
    <tableColumn id="6" xr3:uid="{299D4E0C-13E8-406E-9D83-23A2515A3BBC}" uniqueName="6" name="AssetDescription" queryTableFieldId="6" dataDxfId="102"/>
    <tableColumn id="7" xr3:uid="{91B08AF0-372F-45DD-956B-C22EF90F587D}" uniqueName="7" name="AssetMaker" queryTableFieldId="7" dataDxfId="101"/>
    <tableColumn id="8" xr3:uid="{40701A37-7265-47E9-AA2D-AEA5D4F82866}" uniqueName="8" name="RootCategoryName" queryTableFieldId="8" dataDxfId="100"/>
    <tableColumn id="9" xr3:uid="{79BFA242-2CA8-4FE5-B23B-EA1BC49C229B}" uniqueName="9" name="CategoryName" queryTableFieldId="9" dataDxfId="99"/>
    <tableColumn id="10" xr3:uid="{D1669272-0806-4D59-87F6-1DB49CA0B0C1}" uniqueName="10" name="Department" queryTableFieldId="10" dataDxfId="98"/>
    <tableColumn id="11" xr3:uid="{48BC425D-225D-4DB3-A151-D583A73AA082}" uniqueName="11" name="Notes" queryTableFieldId="11" dataDxfId="97"/>
    <tableColumn id="12" xr3:uid="{FC54C917-CD88-4717-9F41-614EEFC8EF62}" uniqueName="12" name="ManufacturerPartNumber" queryTableFieldId="12" dataDxfId="96"/>
    <tableColumn id="13" xr3:uid="{962AAB86-70A9-44B7-B3C0-B860881B5B57}" uniqueName="13" name="ProductName" queryTableFieldId="13" dataDxfId="95"/>
    <tableColumn id="14" xr3:uid="{1E573EC1-2B26-4E5E-9B95-83541F3BA1E8}" uniqueName="14" name="ProductDescription" queryTableFieldId="14" dataDxfId="94"/>
    <tableColumn id="15" xr3:uid="{145A72CA-E9E9-4531-9C9D-FAC6CE82F904}" uniqueName="15" name="ProductManufacturer" queryTableFieldId="15" dataDxfId="9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 tableType="queryTable" insertRow="1" totalsRowShown="0">
  <autoFilter ref="A1:B2" xr:uid="{E66AE8D2-C5EA-4915-9EB3-7EE28CE94B9A}"/>
  <tableColumns count="2">
    <tableColumn id="1" xr3:uid="{F8540D2E-D56E-49F9-8628-429417BEA77D}" uniqueName="1" name="Name" queryTableFieldId="1"/>
    <tableColumn id="2" xr3:uid="{58B0ADE0-21C5-4B22-9614-3800AE602A12}"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88" dataDxfId="187">
  <autoFilter ref="B1:E524" xr:uid="{00000000-0009-0000-0100-000001000000}"/>
  <tableColumns count="4">
    <tableColumn id="1" xr3:uid="{00000000-0010-0000-0000-000001000000}" name="account__r.name" dataDxfId="186"/>
    <tableColumn id="2" xr3:uid="{00000000-0010-0000-0000-000002000000}" name="account__c" dataDxfId="185"/>
    <tableColumn id="3" xr3:uid="{00000000-0010-0000-0000-000003000000}" name="name" dataDxfId="184"/>
    <tableColumn id="4" xr3:uid="{00000000-0010-0000-0000-000004000000}" name="id" dataDxfId="18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2" dataDxfId="181">
  <autoFilter ref="N1:O14" xr:uid="{00000000-0009-0000-0100-000002000000}"/>
  <tableColumns count="2">
    <tableColumn id="1" xr3:uid="{00000000-0010-0000-0100-000001000000}" name="id" dataDxfId="180"/>
    <tableColumn id="2" xr3:uid="{00000000-0010-0000-0100-000002000000}" name="Inspectors_Name__c" dataDxfId="179"/>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78" dataDxfId="177">
  <autoFilter ref="Q1:V81" xr:uid="{00000000-0009-0000-0100-000003000000}"/>
  <tableColumns count="6">
    <tableColumn id="1" xr3:uid="{00000000-0010-0000-0200-000001000000}" name="id" dataDxfId="176"/>
    <tableColumn id="2" xr3:uid="{00000000-0010-0000-0200-000002000000}" name="name" dataDxfId="175"/>
    <tableColumn id="3" xr3:uid="{00000000-0010-0000-0200-000003000000}" name="model_number__c" dataDxfId="174"/>
    <tableColumn id="4" xr3:uid="{00000000-0010-0000-0200-000004000000}" name="CategoryName" dataDxfId="173"/>
    <tableColumn id="5" xr3:uid="{00000000-0010-0000-0200-000005000000}" name="AssetTag" dataDxfId="172"/>
    <tableColumn id="6" xr3:uid="{00000000-0010-0000-0200-000006000000}" name="SerialNumber" dataDxfId="17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0" dataDxfId="169">
  <autoFilter ref="X1:Y3" xr:uid="{00000000-0009-0000-0100-000004000000}"/>
  <tableColumns count="2">
    <tableColumn id="1" xr3:uid="{00000000-0010-0000-0300-000001000000}" name="id" dataDxfId="168"/>
    <tableColumn id="2" xr3:uid="{00000000-0010-0000-0300-000002000000}" name="name" dataDxfId="16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6" dataDxfId="165">
  <autoFilter ref="AA1:AB2" xr:uid="{00000000-0009-0000-0100-000005000000}"/>
  <tableColumns count="2">
    <tableColumn id="1" xr3:uid="{00000000-0010-0000-0400-000001000000}" name="id" dataDxfId="164"/>
    <tableColumn id="2" xr3:uid="{00000000-0010-0000-0400-000002000000}" name="name" dataDxfId="16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2" dataDxfId="161">
  <autoFilter ref="AD1:AH2" xr:uid="{00000000-0009-0000-0100-000006000000}"/>
  <tableColumns count="5">
    <tableColumn id="1" xr3:uid="{00000000-0010-0000-0500-000001000000}" name="id" dataDxfId="160"/>
    <tableColumn id="2" xr3:uid="{00000000-0010-0000-0500-000002000000}" name="name" dataDxfId="159"/>
    <tableColumn id="3" xr3:uid="{00000000-0010-0000-0500-000003000000}" name="Revision_Date__c" dataDxfId="158"/>
    <tableColumn id="4" xr3:uid="{00000000-0010-0000-0500-000004000000}" name="Current_Revision__c" dataDxfId="157"/>
    <tableColumn id="5" xr3:uid="{00000000-0010-0000-0500-000005000000}" name="Tool__c" dataDxfId="15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5" dataDxfId="154">
  <autoFilter ref="A1:AP524" xr:uid="{52283BBB-F64D-40EC-A855-EA187553BDB5}"/>
  <tableColumns count="42">
    <tableColumn id="1" xr3:uid="{A987BB49-0CAD-4504-840A-C5054006E8B1}" name="Column1" dataDxfId="153"/>
    <tableColumn id="2" xr3:uid="{9B49AB3A-BA03-441C-973E-37C13FD71EDA}" name="Customer" dataDxfId="152"/>
    <tableColumn id="3" xr3:uid="{8F8D5C19-E6F3-4A6A-85B6-2737B3806A69}" name="Furnace" dataDxfId="151"/>
    <tableColumn id="4" xr3:uid="{37536E97-8FAD-42E5-B467-C028EBF1FD67}" name="Concatenated Reference" dataDxfId="150"/>
    <tableColumn id="5" xr3:uid="{5CC99D59-066B-4C4B-948B-95B9C27DE3C7}" name="Address Line 1" dataDxfId="149"/>
    <tableColumn id="6" xr3:uid="{E67099E9-4051-42BB-B63D-500A1D2B560A}" name="Address Line 2" dataDxfId="148"/>
    <tableColumn id="7" xr3:uid="{61A93EEF-0CE9-4D8E-95C5-FD32A5A4BC8E}" name="Address Line 3" dataDxfId="147"/>
    <tableColumn id="8" xr3:uid="{2F0DB7F6-3B08-4390-9DF6-540465A65961}" name="Form Number:" dataDxfId="146"/>
    <tableColumn id="9" xr3:uid="{5AF32C11-B524-4825-A4C3-76B8A2FF1C94}" name="Calibration Method" dataDxfId="145"/>
    <tableColumn id="10" xr3:uid="{526EA414-CA16-4AF3-9117-A7DE7D6BC013}" name="Tolerance Source" dataDxfId="144"/>
    <tableColumn id="11" xr3:uid="{D502D306-59C0-4D92-B0C8-AAFB6632A667}" name="Item" dataDxfId="143"/>
    <tableColumn id="12" xr3:uid="{797754D1-931C-4C52-A2C4-612FF381BC48}" name="Model Number" dataDxfId="142"/>
    <tableColumn id="13" xr3:uid="{BBEB7322-B09B-4208-966B-8DE9D7F2CFC0}" name="Serial Number" dataDxfId="141"/>
    <tableColumn id="14" xr3:uid="{696AC0B4-7919-4B5D-B714-F63A8070B923}" name="Unit Number" dataDxfId="140"/>
    <tableColumn id="15" xr3:uid="{70D21DFD-588A-4161-B95E-EBE5B34A50E3}" name="Class" dataDxfId="139"/>
    <tableColumn id="16" xr3:uid="{0EBE7F60-1E92-4DD1-94E4-EB9813385557}" name="Range" dataDxfId="138"/>
    <tableColumn id="17" xr3:uid="{C67F2B6F-1AE4-4EF5-ACDB-079D17A3EC54}" name="Tolerance" dataDxfId="137"/>
    <tableColumn id="18" xr3:uid="{21A0C815-9D2F-4301-B7A4-53F0C7B9E691}" name="Heating Method" dataDxfId="136"/>
    <tableColumn id="19" xr3:uid="{91B76172-A766-495D-91B5-57968753A0A6}" name="Working Zone Size" dataDxfId="135"/>
    <tableColumn id="20" xr3:uid="{29FA2FFE-23F0-4B31-824B-25B30CE5D087}" name="Cubic Feet" dataDxfId="134"/>
    <tableColumn id="21" xr3:uid="{2A0866BE-9774-4AA4-BABB-7F13A689062E}" name="Cal. Interval" dataDxfId="133"/>
    <tableColumn id="22" xr3:uid="{62C65A52-85A6-4762-A05A-C38EAF3E3228}" name="Controller" dataDxfId="132"/>
    <tableColumn id="23" xr3:uid="{4FED36EA-F57D-4588-B504-B403675027AC}" name="Cont S/N" dataDxfId="131"/>
    <tableColumn id="24" xr3:uid="{3CA0C733-7C4A-4224-881D-3922A674A378}" name="Cont Tol." dataDxfId="130"/>
    <tableColumn id="25" xr3:uid="{0A968E33-8069-42C6-8632-634E7C7E055C}" name="Recorder" dataDxfId="129"/>
    <tableColumn id="26" xr3:uid="{935D9B22-9631-4B0A-AD26-E313F61FD100}" name="Rec S/N" dataDxfId="128"/>
    <tableColumn id="27" xr3:uid="{4852C9B9-5C1E-414B-A725-9D9E5FBE1880}" name="Rec Tol." dataDxfId="127"/>
    <tableColumn id="28" xr3:uid="{F0744C7D-E7C1-4117-9DCF-C011CC116BEF}" name="Furnace Specific Comments" dataDxfId="126"/>
    <tableColumn id="29" xr3:uid="{1D4C4ABD-093F-4012-BB97-849B89CCF511}" name="Test Location" dataDxfId="125"/>
    <tableColumn id="30" xr3:uid="{B17CEE47-005B-4C5E-97FF-7817C982F050}" name="Oven Location" dataDxfId="124"/>
    <tableColumn id="31" xr3:uid="{A3FB0B73-6760-4F45-A7BD-98BDBEC512C3}" name="Condition" dataDxfId="123"/>
    <tableColumn id="32" xr3:uid="{980EF1C5-9BCB-48F8-A39F-07D3430296B9}" name="PB" dataDxfId="122"/>
    <tableColumn id="33" xr3:uid="{2F436CAE-1E97-4231-9DA4-B673A4CB7F4E}" name="Intergral" dataDxfId="121"/>
    <tableColumn id="34" xr3:uid="{D1AABE92-4EC2-4ECF-8027-B0AABE469674}" name="Derivative" dataDxfId="120"/>
    <tableColumn id="35" xr3:uid="{B2F598DB-FD0C-4ABA-8C48-8E99BFBE1788}" name="Other 1" dataDxfId="119"/>
    <tableColumn id="36" xr3:uid="{273FF7AF-5D95-48B4-933B-32309F5AF9FE}" name="Other 2" dataDxfId="118"/>
    <tableColumn id="37" xr3:uid="{01D307CC-841C-4BD5-B290-2A3BE09DE96C}" name="Fine Print" dataDxfId="117"/>
    <tableColumn id="38" xr3:uid="{13AEA69B-7C28-4D2C-9925-580CB4591308}" name="Check Rec" dataDxfId="116"/>
    <tableColumn id="39" xr3:uid="{5F4A1A72-54D4-4A82-AA84-D8715EC24190}" name="Load" dataDxfId="115"/>
    <tableColumn id="40" xr3:uid="{A292DE76-023E-4C51-BC22-BC36C0020C5F}" name="Lag Limit" dataDxfId="114"/>
    <tableColumn id="41" xr3:uid="{2CF6E803-8BAB-4910-82F4-97A52950BA71}" name="Recovery Limit" dataDxfId="113"/>
    <tableColumn id="42" xr3:uid="{966CA662-2FAA-45E6-885F-89DA490C05D6}" name="Furnace Lookup" dataDxfId="11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1" dataDxfId="110" headerRowCellStyle="Normal 2" dataCellStyle="Normal 2">
  <autoFilter ref="U11:V25" xr:uid="{DCCFF26E-EC5C-4962-98DB-A7DA1F3C8CE2}"/>
  <tableColumns count="2">
    <tableColumn id="1" xr3:uid="{DFC40837-B092-4826-9847-4A23BE22020F}" name="4" dataDxfId="109" dataCellStyle="Normal 2"/>
    <tableColumn id="2" xr3:uid="{0711DB07-19DA-4D5E-A417-C242A0304453}" name="10" dataDxfId="10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f>_xlfn.XLOOKUP(D6,ClientAssets[AssetName],ClientAssets[AssetId],NA())</f>
        <v>0</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POj1TTqdJAOLKJHw58FMlYS7Ndix7mwvuIpqqDBMFcS+30hj02xaTFwlMuByrKbp5lY18Z8mbkV2FFAdWi0Y3A==" saltValue="cuQvfKlOJsiNHy0/1k9wKg=="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e">
        <f>IF('Header Info'!AU2=0,"",'Header Info'!AU2)</f>
        <v>#N/A</v>
      </c>
      <c r="J10" s="117"/>
      <c r="K10" s="383"/>
      <c r="L10" s="649"/>
      <c r="M10" s="649"/>
      <c r="N10" s="649"/>
      <c r="O10" s="649"/>
    </row>
    <row r="11" spans="1:18" ht="18" customHeight="1" x14ac:dyDescent="0.25">
      <c r="A11" s="129"/>
      <c r="B11" s="378" t="e">
        <f>IF('Header Info'!AV2=0,"",'Header Info'!AV2)</f>
        <v>#N/A</v>
      </c>
      <c r="J11" s="117"/>
      <c r="K11" s="383" t="s">
        <v>1876</v>
      </c>
      <c r="L11" s="378" t="e">
        <f>'Header Info'!AZ2</f>
        <v>#N/A</v>
      </c>
      <c r="M11" s="378"/>
      <c r="N11" s="378"/>
      <c r="O11" s="378"/>
    </row>
    <row r="12" spans="1:18" ht="18" customHeight="1" x14ac:dyDescent="0.25">
      <c r="A12" s="129"/>
      <c r="B12" s="378" t="e">
        <f>IF('Header Info'!AW2=0,"",'Header Info'!AW2)</f>
        <v>#N/A</v>
      </c>
      <c r="J12" s="117"/>
      <c r="K12" s="383"/>
      <c r="L12" s="384"/>
      <c r="M12" s="384"/>
      <c r="N12" s="384"/>
      <c r="O12" s="384"/>
    </row>
    <row r="13" spans="1:18" ht="8.1" customHeight="1" x14ac:dyDescent="0.2">
      <c r="A13" s="129"/>
      <c r="K13" s="371"/>
    </row>
    <row r="14" spans="1:18" ht="18" customHeight="1" x14ac:dyDescent="0.25">
      <c r="A14" s="388" t="s">
        <v>1827</v>
      </c>
      <c r="B14" s="385" t="e">
        <f>'Header Info'!BA2</f>
        <v>#N/A</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e">
        <f>'Header Info'!BB2</f>
        <v>#N/A</v>
      </c>
      <c r="C15" s="378"/>
      <c r="D15" s="378"/>
      <c r="E15" s="378"/>
      <c r="G15" s="383" t="s">
        <v>1833</v>
      </c>
      <c r="H15" s="387" t="e">
        <f>'Header Info'!BG2</f>
        <v>#N/A</v>
      </c>
      <c r="M15" s="383" t="s">
        <v>1838</v>
      </c>
      <c r="N15" s="391">
        <f>Main!D3</f>
        <v>0</v>
      </c>
      <c r="O15" s="362"/>
    </row>
    <row r="16" spans="1:18" ht="18" customHeight="1" x14ac:dyDescent="0.25">
      <c r="A16" s="389" t="s">
        <v>1829</v>
      </c>
      <c r="B16" s="650" t="e">
        <f>'Header Info'!BC2</f>
        <v>#N/A</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e">
        <f>'Header Info'!BD2</f>
        <v>#N/A</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e">
        <f>'Header Info'!BE2</f>
        <v>#N/A</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mmFu5CPzVdAomqO54OnrTe/m5iv4wDo8H/eM02e5WmlXYFk1BE+kZhhv8GE0r97+xdpwV4ah8///OlmQYY7wYA==" saltValue="ZY8HTiSPTIq/u11hgqHjc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O5sFTDfnFaMBOh2fbrw6umhL/0R/aBfduh290YMpvDm9MesAMpe3ssmY0UEHsp+2dma/oGXSPJFZvzCSmYV7Qg==" saltValue="erJ8iO+XStLvwhZKR14ys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o8QVPd7vKgeMBN3pRCFjWjVVYpF5viERNt68CCEg+y25f2gclswHucCp1dYznFhXkSEkT75kwlJWSl4eqoeNmw==" saltValue="1biigm69HO06BXGkJROqF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J1" zoomScale="80" zoomScaleNormal="80" workbookViewId="0">
      <selection activeCell="CC22" sqref="CC2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2" t="e">
        <f>VLOOKUP($AP2,$D2:$AO977,37,FALSE)</f>
        <v>#N/A</v>
      </c>
      <c r="CE2" s="462" t="e">
        <f>VLOOKUP($AP2,$D2:$AO977,38,FALSE)</f>
        <v>#N/A</v>
      </c>
      <c r="CF2" t="e">
        <f>MATCH(Main!D$5,B$2:B$500,1)</f>
        <v>#N/A</v>
      </c>
      <c r="CG2" s="446" t="str" cm="1">
        <f t="array" ref="CG2:CG1644">customers[CompanyName]</f>
        <v>1 VISION AVIATION</v>
      </c>
      <c r="CH2" cm="1">
        <f t="array" ref="CH2">ClientAssets[AssetName]</f>
        <v>0</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e1xEgg4xXpQVrjb5LeSGhvTIFES5ooqnmD1ShUkypFjDn1dVOPblYzNO2YGsByq7DHpY6JR6RYAuPBLGU2cvSw==" saltValue="k1nG0Q1zp1kxSOYUcpbVy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BiC87UTQfqeZvHYtz6MieVMrNR9MIkH1yPCuhAtk2fdIU7lz7eyt1cK3LueusSQ+/9TsRucusGWi7wrsqm9KAQ==" saltValue="EYt2MnP0004NYTAzwtR1Z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J/1s7HhM0DGKyZlvpDunGMHZ0tChoupB8I5XEioV6C1KTjfEYB0MtCKjsHKs7us8E1y2A7mkFRurGxdv0gol5g==" saltValue="l+t2txlvoQnFPtSoloDyu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3iWFMQVFP4LXrE9CFLto2A8s9AeMdbV0CHdcZSQf3Git1w8tkSJldfGUFnmqDoKCNy8smsuF4w0/4LvihGVSHA==" saltValue="mdxust/pe3CJX1sH7r63H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zWfk+FNc8rOyJ7XixohJw+iln2KWdoiNNmxJV+CS9mNiG+4yGt6/Wso+AIOfBJtmIKRGpKC9rxR+1RzdDCh28A==" saltValue="jmSQpDAIdM+H7b+z9sDTOQ=="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ALKg8bJzdstCEqcipcEWNBM5hFMsjLnJhfpn+02fBmfKuWw0ueKKSxpJDuLFte49jJWTdgCxfwQrtgSk5DXcxw==" saltValue="+Pix8s46OjVp7DGOL5Ke5Q=="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j3zru3e3MIejk7aDEQ1s2dkTWEKzMSksGj4QpUCEnE606QGpT+Pek3rOMIaL5ETB6SYITwxpwVh5KnN3cmvsiQ==" saltValue="7vuQaV2t/vDgOkTrh27ZR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3phHWukATrqpT7KMLZISgM39oq2m7jnXIJtJgUPHZbBxnjzJ2R6ji5W0IJu50ZWaPC3lQGW5QOqzOPdZlrx58g==" saltValue="cEDj48M34mjWmTqskhHCB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sC2kCM3trjCtdnvsyYd4orRdL6deEMqEjTmCTF4FqJnZ38y7tDzni3Pw51IpMf46X/v135DMzYBtd3DPUhmHBA==" saltValue="1jUxcQUrC6HoqwbNl6v/i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svf0QjrhHMBWzTYplQeG/9RnvioZlHa5xVNZEpCUfZBECw2L7znsY+a9qJpoSgxh0HUulgrf7RjXVPLhfHvu3A==" saltValue="Xv7fOX6WEOa0x2H3zroa8w=="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gvqM+u09KRyy0G6Sv0Eb3JGIqhzWDTdW5UxgPL6VUbQaUrry2+CxwESELT1N5IGDhT7EaI22axQwd78305qZaQ==" saltValue="cqKcE64AAku4z7Y+VWn+I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q+H7sVoET09fzQ5GpqC7z0dNBGskpryRWuYbkJtvmpIW5lxsNyKA5Psu+ykwW/Fayy8Rk5wlchbYwBb0kpSz5w==" saltValue="CJ7ph+jcR3vadw90GrKusg=="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Oyg1WlBwC/ijX9iaocPNK9/Peoq52tJ0I5xO1SPJ86QbP2wbjIJveOYW4PlXFMQYj0Kq2VXlnVohpfWkg5f0A==" saltValue="mQwcfvfAjNg/HQzrPaJNa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9iFP3XQcLvpmiB7EAPUneXLt2Bse7UrUGKopZYraHUpOERzDmqR92JB4+fBeABaSXzutpcOa1x9pcA9mcMYjVg==" saltValue="ila5+nooqPzb5v48CJvfD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2025-04-17T03:13:02Z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