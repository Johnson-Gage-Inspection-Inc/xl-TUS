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tables/table15.xml" ContentType="application/vnd.openxmlformats-officedocument.spreadsheetml.table+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6.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C0E36B5-A0CB-4C7C-A87C-A042C06BDE10}"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Standards_Info" sheetId="12"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B11" i="26"/>
  <c r="B10" i="26"/>
  <c r="K13" i="8"/>
  <c r="F62" i="26" a="1"/>
  <c r="F62" i="26" s="1"/>
  <c r="E9" i="8" a="1"/>
  <c r="E9" i="8" s="1"/>
  <c r="Q2" i="29" a="1"/>
  <c r="Q2" i="29" s="1"/>
  <c r="Q1" i="29" a="1"/>
  <c r="Q1" i="29" s="1"/>
  <c r="AQ1" i="77" a="1"/>
  <c r="AQ1" i="77" s="1"/>
  <c r="D6" i="8"/>
  <c r="B6" i="5" s="1"/>
  <c r="D5" i="8" l="1"/>
  <c r="J5" i="5" s="1"/>
  <c r="B17" i="26"/>
  <c r="B16" i="26"/>
  <c r="B18" i="26"/>
  <c r="B14" i="26"/>
  <c r="B15" i="26"/>
  <c r="B12"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2" i="1"/>
  <c r="G19" i="1"/>
  <c r="D15" i="1"/>
  <c r="B10" i="1"/>
  <c r="B11"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A25" i="1"/>
  <c r="A22" i="1"/>
  <c r="C10" i="1"/>
  <c r="D12" i="1"/>
  <c r="G12" i="1"/>
  <c r="C25" i="1"/>
  <c r="L13" i="1"/>
  <c r="K14" i="1"/>
  <c r="H15" i="1"/>
  <c r="C19" i="1"/>
  <c r="L20" i="1"/>
  <c r="I16" i="1"/>
  <c r="H24" i="1"/>
  <c r="A20" i="1"/>
  <c r="I18" i="1"/>
  <c r="K13" i="1"/>
  <c r="D14" i="1"/>
  <c r="E24" i="1"/>
  <c r="M14" i="1"/>
  <c r="G13" i="1"/>
  <c r="H11" i="1"/>
  <c r="I22" i="1"/>
  <c r="H21" i="1"/>
  <c r="A23" i="1"/>
  <c r="A18" i="1"/>
  <c r="M18" i="1"/>
  <c r="N10" i="1"/>
  <c r="C21" i="1"/>
  <c r="I15" i="1"/>
  <c r="E17" i="1"/>
  <c r="H23" i="1"/>
  <c r="B22" i="1"/>
  <c r="J19" i="1"/>
  <c r="M19" i="1"/>
  <c r="D20" i="1"/>
  <c r="O21" i="1"/>
  <c r="M12" i="1"/>
  <c r="G10" i="1"/>
  <c r="O15" i="1"/>
  <c r="O24" i="1"/>
  <c r="O23" i="1"/>
  <c r="M11" i="1"/>
  <c r="F18" i="1"/>
  <c r="E15" i="1"/>
  <c r="L23" i="1"/>
  <c r="I11" i="1"/>
  <c r="O19" i="1"/>
  <c r="M13" i="1"/>
  <c r="N13" i="1"/>
  <c r="N25" i="1"/>
  <c r="G20" i="1"/>
  <c r="M23" i="1"/>
  <c r="C18" i="1"/>
  <c r="E19" i="1"/>
  <c r="F15" i="1"/>
  <c r="C15" i="1"/>
  <c r="H16" i="1"/>
  <c r="A19" i="1"/>
  <c r="L25" i="1"/>
  <c r="K12" i="1"/>
  <c r="B13" i="1"/>
  <c r="B16" i="1"/>
  <c r="K23" i="1"/>
  <c r="J15" i="1"/>
  <c r="D18" i="1"/>
  <c r="K17" i="1"/>
  <c r="M10" i="1"/>
  <c r="E20" i="1"/>
  <c r="K22" i="1"/>
  <c r="N24" i="1"/>
  <c r="O13" i="1"/>
  <c r="H18" i="1"/>
  <c r="O22" i="1"/>
  <c r="L15" i="1"/>
  <c r="N18" i="1"/>
  <c r="K21" i="1"/>
  <c r="E13" i="1"/>
  <c r="E10" i="1"/>
  <c r="G24" i="1"/>
  <c r="E12" i="1"/>
  <c r="M17" i="1"/>
  <c r="G11" i="1"/>
  <c r="A12" i="1"/>
  <c r="F19" i="1"/>
  <c r="L18" i="1"/>
  <c r="I14" i="1"/>
  <c r="N17" i="1"/>
  <c r="G16" i="1"/>
  <c r="K20" i="1"/>
  <c r="F20" i="1"/>
  <c r="F22" i="1"/>
  <c r="I13" i="1"/>
  <c r="F17" i="1"/>
  <c r="B23" i="1"/>
  <c r="H10" i="1"/>
  <c r="C24" i="1"/>
  <c r="O18" i="1"/>
  <c r="B19" i="1"/>
  <c r="C17" i="1"/>
  <c r="N20" i="1"/>
  <c r="B24" i="1"/>
  <c r="N19" i="1"/>
  <c r="C16" i="1"/>
  <c r="H19" i="1"/>
  <c r="G21" i="1"/>
  <c r="L19" i="1"/>
  <c r="H13" i="1"/>
  <c r="K10" i="1"/>
  <c r="L11" i="1"/>
  <c r="I23" i="1"/>
  <c r="B25" i="1"/>
  <c r="G15" i="1"/>
  <c r="K24" i="1"/>
  <c r="E18" i="1"/>
  <c r="N12" i="1"/>
  <c r="G22" i="1"/>
  <c r="K15" i="1"/>
  <c r="C23" i="1"/>
  <c r="D13" i="1"/>
  <c r="D21" i="1"/>
  <c r="N16" i="1"/>
  <c r="F14" i="1"/>
  <c r="J11" i="1"/>
  <c r="F21" i="1"/>
  <c r="A24" i="1"/>
  <c r="G17" i="1"/>
  <c r="B21" i="1"/>
  <c r="N23" i="1"/>
  <c r="E22" i="1"/>
  <c r="N21" i="1"/>
  <c r="M20" i="1"/>
  <c r="I20" i="1"/>
  <c r="L22" i="1"/>
  <c r="N14" i="1"/>
  <c r="I19" i="1"/>
  <c r="M24" i="1"/>
  <c r="A15" i="1"/>
  <c r="B18" i="1"/>
  <c r="F24" i="1"/>
  <c r="I10" i="1"/>
  <c r="N11" i="1"/>
  <c r="O12" i="1"/>
  <c r="B15" i="1"/>
  <c r="J12" i="1"/>
  <c r="L21" i="1"/>
  <c r="H12" i="1"/>
  <c r="D10" i="1"/>
  <c r="E21" i="1"/>
  <c r="J23" i="1"/>
  <c r="O25" i="1"/>
  <c r="D22" i="1"/>
  <c r="M15" i="1"/>
  <c r="F10" i="1"/>
  <c r="E25" i="1"/>
  <c r="A16" i="1"/>
  <c r="B17" i="1"/>
  <c r="A11" i="1"/>
  <c r="N22" i="1"/>
  <c r="A21" i="1"/>
  <c r="L14" i="1"/>
  <c r="J16" i="1"/>
  <c r="C20" i="1"/>
  <c r="G18" i="1"/>
  <c r="B20" i="1"/>
  <c r="A14" i="1"/>
  <c r="D24" i="1"/>
  <c r="F13" i="1"/>
  <c r="A10" i="1"/>
  <c r="C13" i="1"/>
  <c r="J10" i="1"/>
  <c r="K25" i="1"/>
  <c r="M25" i="1"/>
  <c r="D25" i="1"/>
  <c r="I25" i="1"/>
  <c r="C11" i="1"/>
  <c r="I21" i="1"/>
  <c r="O11" i="1"/>
  <c r="H22" i="1"/>
  <c r="F16" i="1"/>
  <c r="J13" i="1"/>
  <c r="E11" i="1"/>
  <c r="M16" i="1"/>
  <c r="F25" i="1"/>
  <c r="O14" i="1"/>
  <c r="K18" i="1"/>
  <c r="C22" i="1"/>
  <c r="L16" i="1"/>
  <c r="D17" i="1"/>
  <c r="D11" i="1"/>
  <c r="G14" i="1"/>
  <c r="I12" i="1"/>
  <c r="D23" i="1"/>
  <c r="E14" i="1"/>
  <c r="H14" i="1"/>
  <c r="F23" i="1"/>
  <c r="O17" i="1"/>
  <c r="L17" i="1"/>
  <c r="D16" i="1"/>
  <c r="M22" i="1"/>
  <c r="E16" i="1"/>
  <c r="J21" i="1"/>
  <c r="L24" i="1"/>
  <c r="L12" i="1"/>
  <c r="A13" i="1"/>
  <c r="G25" i="1"/>
  <c r="H17" i="1"/>
  <c r="J22" i="1"/>
  <c r="B14" i="1"/>
  <c r="A17" i="1"/>
  <c r="C12" i="1"/>
  <c r="H20" i="1"/>
  <c r="E23" i="1"/>
  <c r="N15" i="1"/>
  <c r="K11" i="1"/>
  <c r="O10" i="1"/>
  <c r="O20" i="1"/>
  <c r="I24" i="1"/>
  <c r="F11" i="1"/>
  <c r="J24" i="1"/>
  <c r="J18" i="1"/>
  <c r="D19" i="1"/>
  <c r="K19" i="1"/>
  <c r="G23" i="1"/>
  <c r="K16" i="1"/>
  <c r="I17" i="1"/>
  <c r="H25" i="1"/>
  <c r="M21" i="1"/>
  <c r="C14" i="1"/>
  <c r="J14" i="1"/>
  <c r="J17" i="1"/>
  <c r="O16" i="1"/>
  <c r="L10" i="1"/>
  <c r="F12" i="1"/>
  <c r="J20" i="1"/>
  <c r="J25"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40" i="1" l="1"/>
  <c r="K33" i="1" s="1"/>
  <c r="N26" i="26" s="1"/>
  <c r="R12" i="8"/>
  <c r="R13" i="8"/>
  <c r="L37" i="1"/>
  <c r="R5" i="8" s="1"/>
  <c r="R7" i="8"/>
  <c r="R6" i="8"/>
  <c r="O10" i="4"/>
  <c r="G6" i="4"/>
  <c r="R2" i="4"/>
  <c r="O11" i="4" s="1"/>
  <c r="E19" i="4"/>
  <c r="O72" i="8"/>
  <c r="J37" i="1" a="1"/>
  <c r="O73" i="8"/>
  <c r="A33" i="1"/>
  <c r="E33" i="26"/>
  <c r="S5" i="8"/>
  <c r="E39" i="26"/>
  <c r="O78" i="8"/>
  <c r="F32" i="8" l="1"/>
  <c r="J37" i="1"/>
  <c r="R8" i="8"/>
  <c r="AR15" i="1"/>
  <c r="AR10" i="1"/>
  <c r="AH25" i="1"/>
  <c r="AD25" i="1"/>
  <c r="AI22" i="1"/>
  <c r="AO25" i="1"/>
  <c r="Z15" i="1"/>
  <c r="U11" i="1"/>
  <c r="AB18" i="1"/>
  <c r="BA11" i="1"/>
  <c r="U17" i="1"/>
  <c r="AA23" i="1"/>
  <c r="AR23" i="1"/>
  <c r="AT22" i="1"/>
  <c r="BA13" i="1"/>
  <c r="AH16" i="1"/>
  <c r="AZ17" i="1"/>
  <c r="AC12" i="1"/>
  <c r="Y11" i="1"/>
  <c r="AC18" i="1"/>
  <c r="W25" i="1"/>
  <c r="AR19" i="1"/>
  <c r="V23" i="1"/>
  <c r="AA15" i="1"/>
  <c r="BA18" i="1"/>
  <c r="AO16" i="1"/>
  <c r="AX16" i="1"/>
  <c r="AE21" i="1"/>
  <c r="AH12" i="1"/>
  <c r="AP19" i="1"/>
  <c r="AU18" i="1"/>
  <c r="AQ10" i="1"/>
  <c r="AA16" i="1"/>
  <c r="X19" i="1"/>
  <c r="AH22" i="1"/>
  <c r="AY23" i="1"/>
  <c r="AV14" i="1"/>
  <c r="AX14" i="1"/>
  <c r="AG24" i="1"/>
  <c r="BA22" i="1"/>
  <c r="AE17" i="1"/>
  <c r="AP11" i="1"/>
  <c r="AG21" i="1"/>
  <c r="AF11" i="1"/>
  <c r="Y22" i="1"/>
  <c r="AH19" i="1"/>
  <c r="BA24" i="1"/>
  <c r="AP23" i="1"/>
  <c r="AU22" i="1"/>
  <c r="AS22" i="1"/>
  <c r="AT24" i="1"/>
  <c r="AV23" i="1"/>
  <c r="AW21" i="1"/>
  <c r="BA19" i="1"/>
  <c r="AU21" i="1"/>
  <c r="Y15" i="1"/>
  <c r="X20" i="1"/>
  <c r="AO12" i="1"/>
  <c r="W18" i="1"/>
  <c r="X21" i="1"/>
  <c r="AY19" i="1"/>
  <c r="V13" i="1"/>
  <c r="AI10" i="1"/>
  <c r="AO19" i="1"/>
  <c r="AP18" i="1"/>
  <c r="AE19" i="1"/>
  <c r="AS12" i="1"/>
  <c r="AT12" i="1"/>
  <c r="AZ25" i="1"/>
  <c r="Z17" i="1"/>
  <c r="AS24" i="1"/>
  <c r="AR11" i="1"/>
  <c r="AI17" i="1"/>
  <c r="AA11" i="1"/>
  <c r="AH17" i="1"/>
  <c r="AA10" i="1"/>
  <c r="AO22" i="1"/>
  <c r="AW20" i="1"/>
  <c r="Y19" i="1"/>
  <c r="AZ12" i="1"/>
  <c r="AP21" i="1"/>
  <c r="AU11" i="1"/>
  <c r="AI14" i="1"/>
  <c r="AB22" i="1"/>
  <c r="AE11" i="1"/>
  <c r="AI24" i="1"/>
  <c r="V18" i="1"/>
  <c r="AP13" i="1"/>
  <c r="AV12" i="1"/>
  <c r="W22" i="1"/>
  <c r="AX10" i="1"/>
  <c r="AY14" i="1"/>
  <c r="AF21" i="1"/>
  <c r="AR12" i="1"/>
  <c r="W21" i="1"/>
  <c r="V11" i="1"/>
  <c r="AF15" i="1"/>
  <c r="AT13" i="1"/>
  <c r="Z12" i="1"/>
  <c r="AI15" i="1"/>
  <c r="BA15" i="1"/>
  <c r="AC11" i="1"/>
  <c r="AP20" i="1"/>
  <c r="AI21" i="1"/>
  <c r="AR14" i="1"/>
  <c r="AU20" i="1"/>
  <c r="AC20" i="1"/>
  <c r="AY24" i="1"/>
  <c r="AU10" i="1"/>
  <c r="W12" i="1"/>
  <c r="AF25" i="1"/>
  <c r="Y10" i="1"/>
  <c r="AT17" i="1"/>
  <c r="AZ22" i="1"/>
  <c r="AC19" i="1"/>
  <c r="AT14" i="1"/>
  <c r="AI13" i="1"/>
  <c r="BA21" i="1"/>
  <c r="AA14" i="1"/>
  <c r="AZ19" i="1"/>
  <c r="AA20" i="1"/>
  <c r="AU24" i="1"/>
  <c r="AH23" i="1"/>
  <c r="AQ11" i="1"/>
  <c r="W20" i="1"/>
  <c r="Y21" i="1"/>
  <c r="W13" i="1"/>
  <c r="U15" i="1"/>
  <c r="AV10" i="1"/>
  <c r="AR17" i="1"/>
  <c r="AY18" i="1"/>
  <c r="AR21" i="1"/>
  <c r="AU14" i="1"/>
  <c r="AI18" i="1"/>
  <c r="Z22" i="1"/>
  <c r="AV24" i="1"/>
  <c r="Z10" i="1"/>
  <c r="AE22" i="1"/>
  <c r="AV11" i="1"/>
  <c r="AD19" i="1"/>
  <c r="AV15" i="1"/>
  <c r="AB23" i="1"/>
  <c r="AD15" i="1"/>
  <c r="AG20" i="1"/>
  <c r="AR25" i="1"/>
  <c r="AY16" i="1"/>
  <c r="AW24" i="1"/>
  <c r="V15" i="1"/>
  <c r="AO11" i="1"/>
  <c r="AU16" i="1"/>
  <c r="AH14" i="1"/>
  <c r="AH18" i="1"/>
  <c r="AS16" i="1"/>
  <c r="AC15" i="1"/>
  <c r="AD24" i="1"/>
  <c r="Y18" i="1"/>
  <c r="AY25" i="1"/>
  <c r="AH20" i="1"/>
  <c r="Y20" i="1"/>
  <c r="AR16" i="1"/>
  <c r="AB11" i="1"/>
  <c r="AD17" i="1"/>
  <c r="AQ20" i="1"/>
  <c r="AI20" i="1"/>
  <c r="AS23" i="1"/>
  <c r="AT11" i="1"/>
  <c r="AB13" i="1"/>
  <c r="AG16" i="1"/>
  <c r="AB14" i="1"/>
  <c r="AE23" i="1"/>
  <c r="AP16" i="1"/>
  <c r="U10" i="1"/>
  <c r="AB21" i="1"/>
  <c r="AD23" i="1"/>
  <c r="U23" i="1"/>
  <c r="AC13" i="1"/>
  <c r="AI25" i="1"/>
  <c r="AZ13" i="1"/>
  <c r="W17" i="1"/>
  <c r="X25" i="1"/>
  <c r="AQ18" i="1"/>
  <c r="AT15" i="1"/>
  <c r="AX22" i="1"/>
  <c r="AS21" i="1"/>
  <c r="AD18" i="1"/>
  <c r="U16" i="1"/>
  <c r="X12" i="1"/>
  <c r="AF16" i="1"/>
  <c r="V17" i="1"/>
  <c r="V14" i="1"/>
  <c r="AO13" i="1"/>
  <c r="AQ13" i="1"/>
  <c r="AX13" i="1"/>
  <c r="AF20" i="1"/>
  <c r="AD20" i="1"/>
  <c r="AW25" i="1"/>
  <c r="Y14" i="1"/>
  <c r="AE20" i="1"/>
  <c r="AE15" i="1"/>
  <c r="AV17" i="1"/>
  <c r="AF17" i="1"/>
  <c r="AX11" i="1"/>
  <c r="BA23" i="1"/>
  <c r="AQ23" i="1"/>
  <c r="U13" i="1"/>
  <c r="AS14" i="1"/>
  <c r="AP24" i="1"/>
  <c r="AF19" i="1"/>
  <c r="AX15" i="1"/>
  <c r="AV18" i="1"/>
  <c r="W16" i="1"/>
  <c r="AU19" i="1"/>
  <c r="AZ14" i="1"/>
  <c r="AY17" i="1"/>
  <c r="V22" i="1"/>
  <c r="AB25" i="1"/>
  <c r="AC22" i="1"/>
  <c r="Y24" i="1"/>
  <c r="AX25" i="1"/>
  <c r="Z20" i="1"/>
  <c r="AX21" i="1"/>
  <c r="AX23" i="1"/>
  <c r="Z11" i="1"/>
  <c r="Y12" i="1"/>
  <c r="AR24" i="1"/>
  <c r="AT21" i="1"/>
  <c r="AE18" i="1"/>
  <c r="AD11" i="1"/>
  <c r="U25" i="1"/>
  <c r="Y13" i="1"/>
  <c r="AQ25" i="1"/>
  <c r="AZ18" i="1"/>
  <c r="Y16" i="1"/>
  <c r="U21" i="1"/>
  <c r="AC16" i="1"/>
  <c r="AS17" i="1"/>
  <c r="AP12" i="1"/>
  <c r="AU17" i="1"/>
  <c r="AE12" i="1"/>
  <c r="AQ12" i="1"/>
  <c r="X13" i="1"/>
  <c r="AW19" i="1"/>
  <c r="AB19" i="1"/>
  <c r="AH24" i="1"/>
  <c r="AY20" i="1"/>
  <c r="W19" i="1"/>
  <c r="AT23" i="1"/>
  <c r="AO21" i="1"/>
  <c r="BA10" i="1"/>
  <c r="V19" i="1"/>
  <c r="AR13" i="1"/>
  <c r="AY13" i="1"/>
  <c r="AG19" i="1"/>
  <c r="AA17" i="1"/>
  <c r="V10" i="1"/>
  <c r="BA12" i="1"/>
  <c r="AS25" i="1"/>
  <c r="AE16" i="1"/>
  <c r="AW23" i="1"/>
  <c r="AS11" i="1"/>
  <c r="U19" i="1"/>
  <c r="V25" i="1"/>
  <c r="AD10" i="1"/>
  <c r="V24" i="1"/>
  <c r="BA16" i="1"/>
  <c r="AI16" i="1"/>
  <c r="Y25" i="1"/>
  <c r="AQ17" i="1"/>
  <c r="AA21" i="1"/>
  <c r="AO24" i="1"/>
  <c r="AV19" i="1"/>
  <c r="Z25" i="1"/>
  <c r="AT16" i="1"/>
  <c r="AV21" i="1"/>
  <c r="W10" i="1"/>
  <c r="Y17" i="1"/>
  <c r="AY21" i="1"/>
  <c r="AH15" i="1"/>
  <c r="AO15" i="1"/>
  <c r="AA13" i="1"/>
  <c r="BA20" i="1"/>
  <c r="AP17" i="1"/>
  <c r="AF14" i="1"/>
  <c r="AT19" i="1"/>
  <c r="AO20" i="1"/>
  <c r="AG25" i="1"/>
  <c r="V16" i="1"/>
  <c r="AZ10" i="1"/>
  <c r="U14" i="1"/>
  <c r="AI12" i="1"/>
  <c r="X23" i="1"/>
  <c r="AC23" i="1"/>
  <c r="AC21" i="1"/>
  <c r="AQ14" i="1"/>
  <c r="AG15" i="1"/>
  <c r="Z21" i="1"/>
  <c r="U24" i="1"/>
  <c r="AW12" i="1"/>
  <c r="AD14" i="1"/>
  <c r="AZ11" i="1"/>
  <c r="AQ19" i="1"/>
  <c r="AW14" i="1"/>
  <c r="AG23" i="1"/>
  <c r="AT20" i="1"/>
  <c r="W14" i="1"/>
  <c r="V12" i="1"/>
  <c r="AG17" i="1"/>
  <c r="X15" i="1"/>
  <c r="V21" i="1"/>
  <c r="X10" i="1"/>
  <c r="AR22" i="1"/>
  <c r="Y23" i="1"/>
  <c r="AB10" i="1"/>
  <c r="AC24" i="1"/>
  <c r="AF24" i="1"/>
  <c r="AT25" i="1"/>
  <c r="X22" i="1"/>
  <c r="Z13" i="1"/>
  <c r="X18" i="1"/>
  <c r="AV22" i="1"/>
  <c r="AQ15" i="1"/>
  <c r="X24" i="1"/>
  <c r="U20" i="1"/>
  <c r="AX20" i="1"/>
  <c r="AA25" i="1"/>
  <c r="X11" i="1"/>
  <c r="AG14" i="1"/>
  <c r="AX24" i="1"/>
  <c r="Z18" i="1"/>
  <c r="AU23" i="1"/>
  <c r="BA17" i="1"/>
  <c r="X17" i="1"/>
  <c r="AG13" i="1"/>
  <c r="AP15" i="1"/>
  <c r="AP14" i="1"/>
  <c r="AQ21" i="1"/>
  <c r="BA14" i="1"/>
  <c r="Z16" i="1"/>
  <c r="AD22" i="1"/>
  <c r="AB24" i="1"/>
  <c r="AB17" i="1"/>
  <c r="AT18" i="1"/>
  <c r="AD12" i="1"/>
  <c r="Z19" i="1"/>
  <c r="AG11" i="1"/>
  <c r="AS19" i="1"/>
  <c r="AV20" i="1"/>
  <c r="Z14" i="1"/>
  <c r="AU15" i="1"/>
  <c r="AY15" i="1"/>
  <c r="AY11" i="1"/>
  <c r="AH21" i="1"/>
  <c r="AG10" i="1"/>
  <c r="AP22" i="1"/>
  <c r="AY12" i="1"/>
  <c r="AX19" i="1"/>
  <c r="AF10" i="1"/>
  <c r="AD16" i="1"/>
  <c r="AE10" i="1"/>
  <c r="AG22" i="1"/>
  <c r="AO23" i="1"/>
  <c r="AW13" i="1"/>
  <c r="U22" i="1"/>
  <c r="AP25" i="1"/>
  <c r="AE24" i="1"/>
  <c r="AG18" i="1"/>
  <c r="X16" i="1"/>
  <c r="AC17" i="1"/>
  <c r="AQ22" i="1"/>
  <c r="AI11" i="1"/>
  <c r="AI23" i="1"/>
  <c r="AX18" i="1"/>
  <c r="AZ15" i="1"/>
  <c r="AG12" i="1"/>
  <c r="AF23" i="1"/>
  <c r="AT10" i="1"/>
  <c r="AS15" i="1"/>
  <c r="W15" i="1"/>
  <c r="AI19" i="1"/>
  <c r="AZ23" i="1"/>
  <c r="AS13" i="1"/>
  <c r="Z24" i="1"/>
  <c r="AH10" i="1"/>
  <c r="AW17" i="1"/>
  <c r="W23" i="1"/>
  <c r="AU12" i="1"/>
  <c r="AV13" i="1"/>
  <c r="AQ24" i="1"/>
  <c r="AZ21" i="1"/>
  <c r="AW15" i="1"/>
  <c r="AS20" i="1"/>
  <c r="BA25" i="1"/>
  <c r="W11" i="1"/>
  <c r="AO10" i="1"/>
  <c r="AW11" i="1"/>
  <c r="AA12" i="1"/>
  <c r="AB12" i="1"/>
  <c r="AR20" i="1"/>
  <c r="AR18" i="1"/>
  <c r="AA24" i="1"/>
  <c r="AB20" i="1"/>
  <c r="X14" i="1"/>
  <c r="U12" i="1"/>
  <c r="AX12" i="1"/>
  <c r="AQ16" i="1"/>
  <c r="AO14" i="1"/>
  <c r="AP10" i="1"/>
  <c r="AE25" i="1"/>
  <c r="AF22" i="1"/>
  <c r="AY22" i="1"/>
  <c r="AH13" i="1"/>
  <c r="AU13" i="1"/>
  <c r="AA22" i="1"/>
  <c r="V20" i="1"/>
  <c r="AO18" i="1"/>
  <c r="AB15" i="1"/>
  <c r="AW10" i="1"/>
  <c r="AU25" i="1"/>
  <c r="AC14" i="1"/>
  <c r="AO17" i="1"/>
  <c r="AF18" i="1"/>
  <c r="AE14" i="1"/>
  <c r="AD13" i="1"/>
  <c r="AW16" i="1"/>
  <c r="AB16" i="1"/>
  <c r="AV25" i="1"/>
  <c r="AW18" i="1"/>
  <c r="AC10" i="1"/>
  <c r="AF13" i="1"/>
  <c r="AZ20" i="1"/>
  <c r="W24" i="1"/>
  <c r="Z23" i="1"/>
  <c r="AA19" i="1"/>
  <c r="AS10" i="1"/>
  <c r="AW22" i="1"/>
  <c r="AZ16" i="1"/>
  <c r="AS18" i="1"/>
  <c r="AX17" i="1"/>
  <c r="AD21" i="1"/>
  <c r="AE13" i="1"/>
  <c r="AZ24" i="1"/>
  <c r="AA18" i="1"/>
  <c r="AV16" i="1"/>
  <c r="U18" i="1"/>
  <c r="AH11" i="1"/>
  <c r="AF12" i="1"/>
  <c r="AC25" i="1"/>
  <c r="AY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<sst xmlns="http://schemas.openxmlformats.org/spreadsheetml/2006/main" count="1954" uniqueCount="927">
  <si>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</si>
  <si>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</si>
  <si>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</si>
  <si>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</si>
  <si>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</si>
  <si>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</si>
  <si>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</si>
  <si>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</si>
  <si>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</si>
  <si>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</si>
  <si>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</si>
  <si>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</si>
  <si>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</si>
  <si>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</si>
  <si>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</si>
  <si>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</si>
  <si>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</si>
  <si>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</si>
  <si>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</si>
  <si>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</si>
  <si>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</si>
  <si>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</si>
  <si>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</si>
  <si>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</si>
  <si>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</si>
  <si>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</si>
  <si>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</si>
  <si>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</si>
  <si>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</si>
  <si>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</si>
  <si>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</si>
  <si>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</si>
  <si>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</si>
  <si>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</si>
  <si>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</si>
  <si>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</si>
  <si>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</si>
  <si>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</si>
  <si>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</si>
  <si>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</si>
  <si>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</si>
  <si>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</si>
  <si>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</si>
  <si>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</si>
  <si>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</si>
  <si>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</si>
  <si>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</si>
  <si>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</si>
  <si>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</si>
  <si>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</si>
  <si>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</si>
  <si>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</si>
  <si>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</si>
  <si>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</si>
  <si>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</si>
  <si>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</si>
  <si>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</si>
  <si>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</si>
  <si>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</si>
  <si>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</si>
  <si>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</si>
  <si>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</si>
  <si>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</si>
  <si>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</si>
  <si>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</si>
  <si>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</si>
  <si>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</si>
  <si>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</si>
  <si>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</si>
  <si>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</si>
  <si>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</si>
  <si>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</si>
  <si>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</si>
  <si>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</si>
  <si>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</si>
  <si>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</si>
  <si>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</si>
  <si>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</si>
  <si>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</si>
  <si>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</si>
  <si>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</si>
  <si>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</si>
  <si>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</si>
  <si>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</si>
  <si>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</si>
  <si>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</si>
  <si>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</si>
  <si>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</si>
  <si>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</si>
  <si>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</si>
  <si>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</si>
  <si>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</si>
  <si>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</si>
  <si>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</si>
  <si>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</si>
  <si>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</si>
  <si>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</si>
  <si>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</si>
  <si>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</si>
  <si>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</si>
  <si>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</si>
  <si>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</si>
  <si>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</si>
  <si>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</si>
  <si>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</si>
  <si>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</si>
  <si>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</si>
  <si>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</si>
  <si>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</si>
  <si>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</si>
  <si>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</si>
  <si>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</si>
  <si>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</si>
  <si>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</si>
  <si>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</si>
  <si>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</si>
  <si>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</si>
  <si>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</si>
  <si>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</si>
  <si>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</si>
  <si>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</si>
  <si>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</si>
  <si>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</si>
  <si>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</si>
  <si>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</si>
  <si>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</si>
  <si>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</si>
  <si>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</si>
  <si>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</si>
  <si>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</si>
  <si>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</si>
  <si>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</si>
  <si>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</si>
  <si>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</si>
  <si>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</si>
  <si>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</si>
  <si>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</si>
  <si>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</si>
  <si>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</si>
  <si>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</si>
  <si>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</si>
  <si>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</si>
  <si>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</si>
  <si>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</si>
  <si>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</si>
  <si>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</si>
  <si>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</si>
  <si>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</si>
  <si>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</si>
  <si>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</si>
  <si>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</si>
  <si>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</si>
  <si>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</si>
  <si>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</si>
  <si>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</si>
  <si>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</si>
  <si>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</si>
  <si>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</si>
  <si>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</si>
  <si>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</si>
  <si>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</si>
  <si>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</si>
  <si>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</si>
  <si>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</si>
  <si>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</si>
  <si>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</si>
  <si>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</si>
  <si>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</si>
  <si>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</si>
  <si>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</si>
  <si>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</si>
  <si>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</si>
  <si>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</si>
  <si>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</si>
  <si>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</si>
  <si>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</si>
  <si>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</si>
  <si>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</si>
  <si>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</si>
  <si>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</si>
  <si>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</si>
  <si>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</si>
  <si>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</si>
  <si>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</si>
  <si>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</si>
  <si>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</si>
  <si>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</si>
  <si>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</si>
  <si>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</si>
  <si>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</si>
  <si>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</si>
  <si>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</si>
  <si>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</si>
  <si>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</si>
  <si>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</si>
  <si>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</si>
  <si>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</si>
  <si>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</si>
  <si>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</si>
  <si>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</si>
  <si>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</si>
  <si>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</si>
  <si>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</si>
  <si>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</si>
  <si>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</si>
  <si>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</si>
  <si>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</si>
  <si>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</si>
  <si>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</si>
  <si>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</si>
  <si>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</si>
  <si>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</si>
  <si>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</si>
  <si>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</si>
  <si>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</si>
  <si>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</si>
  <si>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</si>
  <si>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</si>
  <si>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</si>
  <si>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</si>
  <si>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</si>
  <si>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</si>
  <si>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</si>
  <si>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</si>
  <si>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</si>
  <si>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</si>
  <si>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</si>
  <si>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</si>
  <si>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</si>
  <si>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</si>
  <si>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</si>
  <si>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</si>
  <si>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</si>
  <si>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</si>
  <si>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</si>
  <si>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</si>
  <si>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</si>
  <si>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</si>
  <si>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</si>
  <si>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</si>
  <si>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</si>
  <si>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</si>
  <si>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</si>
  <si>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</si>
  <si>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</si>
  <si>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</si>
  <si>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</si>
  <si>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</si>
  <si>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</si>
  <si>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</si>
  <si>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</si>
  <si>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</si>
  <si>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</si>
  <si>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</si>
  <si>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</si>
  <si>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</si>
  <si>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</si>
  <si>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</si>
  <si>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</si>
  <si>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</si>
  <si>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</si>
  <si>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</si>
  <si>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</si>
  <si>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</si>
  <si>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</si>
  <si>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</si>
  <si>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</si>
  <si>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</si>
  <si>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</si>
  <si>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</si>
  <si>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</si>
  <si>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</si>
  <si>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</si>
  <si>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</si>
  <si>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</si>
  <si>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</si>
  <si>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</si>
  <si>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</si>
  <si>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</si>
  <si>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</si>
  <si>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</si>
  <si>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</si>
  <si>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</si>
  <si>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</si>
  <si>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</si>
  <si>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</si>
  <si>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</si>
  <si>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</si>
  <si>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</si>
  <si>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</si>
  <si>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</si>
  <si>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</si>
  <si>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</si>
  <si>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</si>
  <si>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</si>
  <si>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</si>
  <si>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</si>
  <si>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</si>
  <si>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</si>
  <si>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</si>
  <si>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</si>
  <si>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</si>
  <si>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</si>
  <si>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</si>
  <si>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</si>
  <si>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</si>
  <si>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</si>
  <si>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</si>
  <si>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</si>
  <si>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</si>
  <si>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</si>
  <si>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</si>
  <si>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</si>
  <si>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</si>
  <si>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</si>
  <si>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</si>
  <si>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</si>
  <si>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</si>
  <si>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</si>
  <si>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</si>
  <si>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</si>
  <si>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</si>
  <si>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</si>
  <si>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</si>
  <si>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</si>
  <si>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</si>
  <si>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</si>
  <si>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</si>
  <si>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</si>
  <si>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</si>
  <si>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</si>
  <si>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</si>
  <si>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</si>
  <si>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</si>
  <si>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</si>
  <si>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</si>
  <si>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</si>
  <si>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</si>
  <si>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</si>
  <si>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</si>
  <si>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</si>
  <si>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</si>
  <si>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</si>
  <si>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</si>
  <si>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</si>
  <si>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</si>
  <si>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</si>
  <si>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</si>
  <si>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</si>
  <si>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</si>
  <si>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</si>
  <si>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</si>
  <si>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</si>
  <si>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</si>
  <si>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</si>
  <si>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</si>
  <si>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</si>
  <si>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</si>
  <si>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</si>
  <si>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</si>
  <si>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</si>
  <si>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</si>
  <si>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</si>
  <si>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</si>
  <si>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</si>
  <si>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</si>
  <si>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</si>
  <si>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</si>
  <si>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</si>
  <si>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</si>
  <si>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</si>
  <si>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</si>
  <si>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</si>
  <si>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</si>
  <si>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</si>
  <si>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</si>
  <si>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</si>
  <si>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</si>
  <si>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</si>
  <si>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</si>
  <si>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</si>
  <si>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</si>
  <si>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</si>
  <si>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</si>
  <si>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</si>
  <si>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</si>
  <si>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</si>
  <si>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</si>
  <si>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</si>
  <si>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</si>
  <si>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</si>
  <si>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</si>
  <si>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</si>
  <si>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</si>
  <si>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</si>
  <si>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</si>
  <si>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</si>
  <si>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</si>
  <si>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</si>
  <si>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</si>
  <si>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</si>
  <si>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</si>
  <si>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</si>
  <si>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</si>
  <si>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</si>
  <si>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</si>
  <si>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</si>
  <si>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</si>
  <si>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</si>
  <si>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</si>
  <si>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</si>
  <si>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</si>
  <si>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</si>
  <si>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</si>
  <si>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</si>
  <si>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</si>
  <si>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</si>
  <si>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</si>
  <si>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</si>
  <si>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</si>
  <si>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</si>
  <si>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</si>
  <si>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</si>
  <si>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</si>
  <si>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</si>
  <si>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</si>
  <si>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</si>
  <si>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</si>
  <si>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</si>
  <si>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</si>
  <si>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</si>
  <si>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</si>
  <si>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</si>
  <si>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</si>
  <si>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</si>
  <si>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</si>
  <si>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</si>
  <si>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</si>
  <si>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</si>
  <si>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</si>
  <si>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</si>
  <si>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</si>
  <si>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</si>
  <si>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</si>
  <si>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</si>
  <si>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</si>
  <si>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</si>
  <si>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</si>
  <si>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</si>
  <si>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</si>
  <si>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</si>
  <si>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</si>
  <si>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</si>
  <si>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</si>
  <si>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</si>
  <si>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</si>
  <si>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</si>
  <si>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</si>
  <si>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</si>
  <si>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</si>
  <si>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</si>
  <si>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</si>
  <si>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</si>
  <si>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</si>
  <si>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</si>
  <si>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</si>
  <si>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</si>
  <si>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</si>
  <si>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</si>
  <si>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</si>
  <si>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</si>
  <si>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</si>
  <si>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</si>
  <si>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</si>
  <si>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</si>
  <si>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</si>
  <si>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</si>
  <si>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</si>
  <si>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</si>
  <si>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</si>
  <si>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</si>
  <si>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</si>
  <si>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</si>
  <si>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</si>
  <si>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</si>
  <si>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</si>
  <si>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</si>
  <si>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</si>
  <si>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</si>
  <si>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</si>
  <si>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</si>
  <si>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</si>
  <si>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</si>
  <si>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</si>
  <si>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</si>
  <si>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</si>
  <si>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</si>
  <si>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</si>
  <si>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</si>
  <si>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</si>
  <si>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</si>
  <si>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</si>
  <si>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</si>
  <si>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</si>
  <si>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</si>
  <si>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</si>
  <si>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</si>
  <si>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</si>
  <si>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</si>
  <si>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</si>
  <si>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</si>
  <si>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</si>
  <si>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</si>
  <si>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</si>
  <si>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</si>
  <si>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</si>
  <si>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</si>
  <si>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</si>
  <si>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</si>
  <si>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</si>
  <si>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</si>
  <si>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</si>
  <si>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</si>
  <si>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</si>
  <si>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</si>
  <si>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</si>
  <si>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</si>
  <si>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</si>
  <si>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</si>
  <si>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</si>
  <si>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</si>
  <si>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</si>
  <si>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</si>
  <si>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</si>
  <si>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</si>
  <si>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</si>
  <si>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</si>
  <si>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</si>
  <si>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</si>
  <si>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</si>
  <si>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</si>
  <si>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</si>
  <si>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</si>
  <si>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</si>
  <si>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</si>
  <si>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</si>
  <si>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</si>
  <si>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</si>
  <si>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</si>
  <si>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</si>
  <si>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</si>
  <si>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</si>
  <si>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</si>
  <si>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</si>
  <si>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</si>
  <si>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</si>
  <si>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</si>
  <si>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</si>
  <si>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</si>
  <si>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</si>
  <si>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</si>
  <si>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</si>
  <si>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</si>
  <si>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</si>
  <si>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</si>
  <si>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</si>
  <si>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</si>
  <si>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</si>
  <si>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</si>
  <si>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</si>
  <si>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</si>
  <si>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</si>
  <si>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</si>
  <si>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</si>
  <si>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</si>
  <si>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</si>
  <si>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</si>
  <si>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</si>
  <si>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</si>
  <si>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</si>
  <si>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</si>
  <si>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</si>
  <si>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</si>
  <si>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</si>
  <si>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</si>
  <si>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</si>
  <si>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</si>
  <si>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</si>
  <si>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</si>
  <si>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</si>
  <si>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</si>
  <si>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</si>
  <si>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</si>
  <si>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</si>
  <si>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</si>
  <si>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</si>
  <si>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</si>
  <si>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</si>
  <si>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</si>
  <si>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</si>
  <si>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</si>
  <si>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</si>
  <si>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</si>
  <si>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</si>
  <si>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</si>
  <si>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</si>
  <si>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</si>
  <si>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</si>
  <si>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</si>
  <si>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</si>
  <si>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</si>
  <si>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</si>
  <si>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</si>
  <si>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</si>
  <si>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</si>
  <si>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</si>
  <si>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</si>
  <si>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</si>
  <si>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</si>
  <si>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</si>
  <si>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</si>
  <si>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</si>
  <si>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</si>
  <si>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</si>
  <si>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</si>
  <si>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</si>
  <si>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</si>
  <si>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</si>
  <si>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</si>
  <si>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</si>
  <si>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</si>
  <si>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</si>
  <si>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</si>
  <si>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</si>
  <si>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</si>
  <si>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</si>
  <si>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</si>
  <si>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</si>
  <si>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</si>
  <si>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</si>
  <si>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</si>
  <si>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</si>
  <si>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</si>
  <si>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</si>
  <si>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</si>
  <si>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</si>
  <si>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</si>
  <si>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</si>
  <si>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</si>
  <si>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</si>
  <si>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</si>
  <si>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</si>
  <si>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</si>
  <si>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</si>
  <si>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</si>
  <si>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</si>
  <si>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</si>
  <si>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</si>
  <si>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</si>
  <si>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</si>
  <si>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</si>
  <si>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</si>
  <si>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</si>
  <si>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</si>
  <si>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</si>
  <si>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</si>
  <si>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</si>
  <si>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</si>
  <si>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</si>
  <si>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</si>
  <si>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</si>
  <si>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</si>
  <si>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</si>
  <si>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</si>
  <si>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</si>
  <si>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</si>
  <si>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</si>
  <si>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</si>
  <si>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</si>
  <si>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</si>
  <si>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</si>
  <si>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</si>
  <si>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</si>
  <si>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</si>
  <si>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</si>
  <si>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</si>
  <si>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</si>
  <si>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</si>
  <si>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</si>
  <si>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</si>
  <si>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</si>
  <si>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</si>
  <si>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</si>
  <si>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</si>
  <si>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</si>
  <si>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</si>
  <si>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</si>
  <si>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</si>
  <si>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</si>
  <si>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</si>
  <si>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</si>
  <si>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</si>
  <si>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</si>
  <si>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</si>
  <si>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</si>
  <si>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</si>
  <si>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</si>
  <si>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</si>
  <si>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</si>
  <si>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</si>
  <si>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</si>
  <si>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</si>
  <si>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</si>
  <si>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</si>
  <si>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</si>
  <si>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</si>
  <si>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</si>
  <si>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</si>
  <si>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</si>
  <si>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</si>
  <si>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</si>
  <si>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</si>
  <si>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</si>
  <si>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</si>
  <si>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</si>
  <si>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</si>
  <si>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</si>
  <si>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</si>
  <si>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</si>
  <si>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</si>
  <si>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</si>
  <si>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</si>
  <si>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</si>
  <si>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</si>
  <si>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</si>
  <si>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</si>
  <si>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</si>
  <si>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</si>
  <si>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</si>
  <si>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</si>
  <si>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</si>
  <si>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</si>
  <si>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</si>
  <si>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</si>
  <si>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</si>
  <si>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</si>
  <si>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</si>
  <si>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</si>
  <si>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</si>
  <si>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</si>
  <si>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</si>
  <si>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</si>
  <si>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</si>
  <si>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</si>
  <si>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</si>
  <si>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</si>
  <si>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</si>
  <si>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</si>
  <si>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</si>
  <si>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</si>
  <si>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</si>
  <si>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</si>
  <si>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</si>
  <si>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</si>
  <si>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</si>
  <si>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</si>
  <si>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</si>
  <si>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</si>
  <si>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</si>
  <si>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</si>
  <si>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</si>
  <si>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</si>
  <si>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</si>
  <si>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</si>
  <si>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</si>
  <si>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</si>
  <si>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</si>
  <si>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</si>
  <si>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</si>
  <si>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</si>
  <si>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</si>
  <si>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</si>
  <si>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</si>
  <si>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</si>
  <si>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</si>
  <si>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</si>
  <si>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</si>
  <si>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</si>
  <si>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</si>
  <si>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</si>
  <si>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</si>
  <si>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</si>
  <si>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</si>
  <si>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</si>
  <si>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</si>
  <si>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</si>
  <si>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</si>
  <si>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</si>
  <si>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</si>
  <si>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</si>
  <si>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</si>
  <si>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</si>
  <si>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</si>
  <si>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</si>
  <si>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</si>
  <si>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</si>
  <si>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</si>
  <si>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</si>
  <si>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</si>
  <si>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</si>
  <si>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</si>
  <si>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</si>
  <si>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</si>
  <si>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</si>
  <si>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</si>
  <si>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</si>
  <si>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</si>
  <si>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</si>
  <si>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</si>
  <si>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</si>
  <si>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</si>
  <si>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</si>
  <si>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</si>
  <si>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</si>
  <si>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</si>
  <si>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</si>
  <si>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</si>
  <si>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</si>
  <si>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</si>
  <si>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</si>
  <si>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</si>
  <si>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</si>
  <si>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</si>
  <si>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</si>
  <si>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</si>
  <si>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</si>
  <si>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</si>
  <si>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</si>
  <si>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</si>
  <si>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</si>
  <si>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</si>
  <si>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</si>
  <si>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</si>
  <si>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</si>
  <si>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</si>
  <si>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</si>
  <si>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</si>
  <si>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</si>
  <si>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</si>
  <si>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</si>
  <si>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</si>
  <si>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</si>
  <si>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</si>
  <si>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</si>
  <si>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</si>
  <si>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</si>
  <si>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</si>
  <si>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</si>
  <si>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</si>
  <si>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</si>
  <si>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</si>
  <si>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</si>
  <si>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</si>
  <si>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</si>
  <si>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</si>
  <si>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</si>
  <si>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</si>
  <si>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</si>
  <si>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</si>
  <si>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</si>
  <si>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</si>
  <si>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</si>
  <si>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</si>
  <si>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</si>
  <si>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</si>
  <si>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</si>
  <si>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</si>
  <si>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</si>
  <si>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</si>
  <si>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</si>
  <si>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</si>
  <si>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</si>
  <si>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</si>
  <si>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</si>
  <si>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</si>
  <si>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</si>
  <si>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</si>
  <si>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</si>
  <si>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</si>
  <si>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</si>
  <si>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</si>
  <si>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</si>
  <si>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</si>
  <si>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</si>
  <si>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</si>
  <si>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</si>
  <si>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</si>
  <si>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</si>
  <si>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</si>
  <si>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</si>
  <si>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</si>
  <si>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</si>
  <si>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</si>
  <si>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</si>
  <si>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</si>
  <si>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</si>
  <si>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</si>
  <si>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</si>
  <si>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</si>
  <si>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</si>
  <si>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</si>
  <si>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</si>
  <si>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</si>
  <si>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</si>
  <si>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</si>
  <si>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</si>
  <si>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</si>
  <si>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</si>
  <si>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</si>
  <si>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</si>
  <si>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</si>
  <si>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</si>
  <si>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</si>
  <si>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</si>
  <si>
    <t>Source:</t>
  </si>
  <si>
    <t>(A2LA Cert. No. 2820.01) Revised 06/03/2025</t>
  </si>
  <si>
    <t>CMC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</si>
</sst>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169" fontId="93" fillId="9" borderId="4" xfId="0" applyNumberFormat="1" applyFont="1" applyFill="1" applyBorder="1" applyAlignment="1">
      <alignment horizontal="left"/>
    </xf>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0" fillId="0" borderId="0" xfId="0" applyNumberFormat="1"/>
    <xf numFmtId="165" fontId="0" fillId="0" borderId="0" xfId="0" applyNumberFormat="1"/>
    <xf numFmtId="166" fontId="0" fillId="0" borderId="0" xfId="0" applyNumberFormat="1"/>
    <xf numFmtId="0" fontId="114" fillId="0" borderId="0" xfId="6"/>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3">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numFmt numFmtId="165" formatCode="0.0\°\F"/>
    </dxf>
    <dxf>
      <numFmt numFmtId="166" formatCode="0\°\F"/>
    </dxf>
    <dxf>
      <numFmt numFmtId="166" formatCode="0\°\F"/>
    </dxf>
    <dxf>
      <numFmt numFmtId="166" formatCode="0\°\F"/>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254">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61"/>
    <tableColumn id="2" xr3:uid="{D07D770F-21F7-425E-8CCA-AA85FFD513A3}" uniqueName="2" name="serial_number" queryTableFieldId="2" dataDxfId="60"/>
    <tableColumn id="3" xr3:uid="{D963BD5C-EE98-4CDD-ABAE-5315BBDA1135}" uniqueName="3" name="asset_tag" queryTableFieldId="3" dataDxfId="59"/>
    <tableColumn id="4" xr3:uid="{44F03B5B-6C09-4D5C-B2E2-D809B4EDF2B0}" uniqueName="4" name="custom_order_number" queryTableFieldId="4" dataDxfId="58"/>
    <tableColumn id="5" xr3:uid="{412A70E1-7452-417E-A3A9-BD3499EBD33C}" uniqueName="5" name="service_date" queryTableFieldId="5" dataDxfId="57"/>
    <tableColumn id="6" xr3:uid="{B359FFDA-2633-4F67-9E7E-BA0BB88ADA64}" uniqueName="6" name="next_service_date" queryTableFieldId="6" dataDxfId="56"/>
    <tableColumn id="7" xr3:uid="{297A4F29-F6E9-4BD3-A7A2-5F1039480BAE}" uniqueName="7" name="certificate_number" queryTableFieldId="7" dataDxfId="55"/>
    <tableColumn id="8" xr3:uid="{7C740CB9-37DA-435E-A87E-AF050E31623C}" uniqueName="8" name="wire_roll_cert_number" queryTableFieldId="8" dataDxfId="54"/>
    <tableColumn id="9" xr3:uid="{5B17E9FC-0D68-4EA9-9145-B5DC8FAF5A93}" uniqueName="9" name="type" queryTableFieldId="9" dataDxfId="53"/>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92"/>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91">
  <autoFilter ref="A1:C9" xr:uid="{8AF992F3-27EF-4265-960D-70EC6F74FAFA}"/>
  <sortState xmlns:xlrd2="http://schemas.microsoft.com/office/spreadsheetml/2017/richdata2" ref="A2:C9">
    <sortCondition ref="B1:B9"/>
  </sortState>
  <tableColumns count="3">
    <tableColumn id="1" xr3:uid="{1F7D0D09-7152-4679-B25C-65CF0E0AB2D4}" name="Type" dataDxfId="90"/>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9"/>
    <tableColumn id="7" xr3:uid="{3E130632-D63E-485B-AA7F-FF01BB115CD8}" uniqueName="7" name="AddressLine2" queryTableFieldId="7" dataDxfId="88"/>
    <tableColumn id="8" xr3:uid="{B07B805E-B475-4FEF-A83E-C870164F0C1C}" uniqueName="8" name="AddressLine3" queryTableFieldId="8" dataDxfId="87"/>
    <tableColumn id="9" xr3:uid="{3603DEDD-08A6-4233-A5D5-79D5A1A0055E}" uniqueName="9" name="FormNumber" queryTableFieldId="9" dataDxfId="86"/>
    <tableColumn id="10" xr3:uid="{B63B6E05-D199-4BCD-9A28-28B5F5832CE0}" uniqueName="10" name="CalibrationMethod" queryTableFieldId="10" dataDxfId="85"/>
    <tableColumn id="11" xr3:uid="{EC51B02C-FD97-492B-BF24-15D683C6ED4C}" uniqueName="11" name="ToleranceSource" queryTableFieldId="11" dataDxfId="84"/>
    <tableColumn id="12" xr3:uid="{706BF144-B069-4B3F-AFB9-7848E93D758C}" uniqueName="12" name="Item" queryTableFieldId="12" dataDxfId="83"/>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2"/>
    <tableColumn id="18" xr3:uid="{2B4941C4-9755-4A0D-86C3-2C668815DEF2}" uniqueName="18" name="Tolerance" queryTableFieldId="18" dataDxfId="81"/>
    <tableColumn id="19" xr3:uid="{756D3CB6-E1A4-4B24-93A7-8AB4732E9BE6}" uniqueName="19" name="HeatingMethod" queryTableFieldId="19" dataDxfId="80"/>
    <tableColumn id="20" xr3:uid="{A46E5597-E3E9-444B-8D64-D35898DCC2B4}" uniqueName="20" name="WorkingZoneSize" queryTableFieldId="20" dataDxfId="79"/>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8"/>
    <tableColumn id="32" xr3:uid="{1852EB3E-F034-42EA-8A35-98DDD1845F7B}" uniqueName="32" name="TestLocation" queryTableFieldId="32" dataDxfId="77"/>
    <tableColumn id="33" xr3:uid="{15129CDA-47B3-4B02-8524-3F9672DC4216}" uniqueName="33" name="OvenLocation" queryTableFieldId="33" dataDxfId="76"/>
    <tableColumn id="34" xr3:uid="{F4A9D00F-E54E-4736-976C-15166BF81AEF}" uniqueName="34" name="Condition" queryTableFieldId="34" dataDxfId="75"/>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4"/>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3" dataDxfId="72">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4"/>
    <tableColumn id="19" xr3:uid="{31D68568-B5E1-4705-9496-19F08F967786}" uniqueName="19" name="Address2" queryTableFieldId="19" dataDxfId="6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62"/>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1" dataDxfId="70">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2"/>
    <tableColumn id="12" xr3:uid="{C13B0E02-FD03-4438-B98A-E6A8ED8A9F13}" uniqueName="12" name="manufacturer_part_number" queryTableFieldId="25"/>
    <tableColumn id="11" xr3:uid="{48BC425D-225D-4DB3-A151-D583A73AA082}" uniqueName="11" name="notes" queryTableFieldId="11" dataDxfId="51"/>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69"/>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8" dataDxfId="67" headerRowCellStyle="Normal 2" dataCellStyle="Normal 2">
  <autoFilter ref="U11:V25" xr:uid="{DCCFF26E-EC5C-4962-98DB-A7DA1F3C8CE2}"/>
  <tableColumns count="2">
    <tableColumn id="1" xr3:uid="{DFC40837-B092-4826-9847-4A23BE22020F}" name="4" dataDxfId="66" dataCellStyle="Normal 2"/>
    <tableColumn id="2" xr3:uid="{0711DB07-19DA-4D5E-A417-C242A0304453}" name="10" dataDxfId="65"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50">
  <autoFilter ref="A3:C8" xr:uid="{5AC13131-9A1C-4C12-B4F9-A393708ED370}"/>
  <tableColumns count="3">
    <tableColumn id="1" xr3:uid="{97181276-3609-45C8-AD82-B2880A7AEDE4}" name="Min" dataDxfId="49"/>
    <tableColumn id="2" xr3:uid="{FCA9B2A8-03BC-4152-9483-74D5E30011E8}" name="Max" dataDxfId="48"/>
    <tableColumn id="3" xr3:uid="{53EFB432-094F-4AB8-B706-DACB84CFAD58}" name="CMC" dataDxfId="47"/>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7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4" customWidth="1"/>
    <col min="2" max="2" width="12.85546875" style="228" customWidth="1"/>
    <col min="3" max="3" width="16.5703125" style="233"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409" customWidth="1"/>
    <col min="21" max="21" width="15.85546875" style="409" customWidth="1"/>
    <col min="22" max="22" width="13.5703125" style="409" customWidth="1"/>
    <col min="23" max="23" width="11.140625" style="409" customWidth="1"/>
    <col min="24" max="16384" width="9.140625" style="409"/>
  </cols>
  <sheetData>
    <row r="1" spans="1:26" ht="23.25" x14ac:dyDescent="0.35">
      <c r="A1" s="426" t="s">
        <v>923</v>
      </c>
      <c r="B1" s="427"/>
      <c r="C1" s="538" t="s">
        <v>62</v>
      </c>
      <c r="D1" s="539"/>
      <c r="E1" s="539"/>
      <c r="F1" s="539"/>
      <c r="G1" s="176" t="e" cm="1">
        <f t="array" ref="G1">GetFormattedWorkItemNumber(K14, D24)</f>
        <v>#VALUE!</v>
      </c>
      <c r="H1" s="176"/>
      <c r="I1" s="177"/>
      <c r="J1" s="409"/>
      <c r="K1" s="409"/>
      <c r="L1" s="409"/>
      <c r="M1" s="409"/>
      <c r="N1" s="409"/>
      <c r="O1" s="409"/>
      <c r="P1" s="409"/>
      <c r="Q1" s="409"/>
      <c r="R1" s="409"/>
      <c r="S1" s="409"/>
    </row>
    <row r="2" spans="1:26" ht="12.75" customHeight="1" x14ac:dyDescent="0.2">
      <c r="A2" s="428"/>
      <c r="B2" s="429"/>
      <c r="C2" s="409"/>
      <c r="D2" s="409"/>
      <c r="E2" s="430"/>
      <c r="F2" s="430"/>
      <c r="G2" s="429"/>
      <c r="H2" s="409"/>
      <c r="I2" s="409"/>
      <c r="J2" s="409"/>
      <c r="K2" s="409"/>
      <c r="L2" s="410"/>
      <c r="M2" s="410"/>
      <c r="N2" s="410"/>
      <c r="O2" s="410"/>
      <c r="P2" s="410"/>
      <c r="Q2" s="410"/>
      <c r="R2" s="410"/>
      <c r="S2" s="410"/>
      <c r="T2" s="410"/>
      <c r="U2" s="410"/>
      <c r="V2" s="410"/>
    </row>
    <row r="3" spans="1:26" x14ac:dyDescent="0.2">
      <c r="A3" s="428"/>
      <c r="B3" s="179"/>
      <c r="C3" s="180" t="s">
        <v>92</v>
      </c>
      <c r="D3" s="374"/>
      <c r="E3" s="409"/>
      <c r="F3" s="409"/>
      <c r="G3" s="409"/>
      <c r="H3" s="409"/>
      <c r="I3" s="409"/>
      <c r="J3" s="540" t="s">
        <v>126</v>
      </c>
      <c r="K3" s="541"/>
      <c r="L3" s="542"/>
      <c r="M3" s="409"/>
      <c r="N3" s="557" t="s">
        <v>115</v>
      </c>
      <c r="O3" s="557"/>
      <c r="P3" s="557"/>
      <c r="Q3" s="557"/>
      <c r="R3" s="557"/>
      <c r="S3" s="557"/>
      <c r="T3" s="410"/>
      <c r="U3" s="410"/>
      <c r="V3" s="410"/>
      <c r="W3" s="411"/>
      <c r="X3" s="411"/>
      <c r="Y3" s="411"/>
      <c r="Z3" s="411"/>
    </row>
    <row r="4" spans="1:26" x14ac:dyDescent="0.2">
      <c r="A4" s="428"/>
      <c r="B4" s="179"/>
      <c r="C4" s="180" t="s">
        <v>262</v>
      </c>
      <c r="D4" s="379" t="str">
        <f>IF(Condition,Condition,"")</f>
        <v/>
      </c>
      <c r="E4" s="409"/>
      <c r="F4" s="409"/>
      <c r="G4" s="409"/>
      <c r="H4" s="409"/>
      <c r="I4" s="409"/>
      <c r="J4" s="545" t="s">
        <v>4</v>
      </c>
      <c r="K4" s="546"/>
      <c r="L4" s="181">
        <f ca="1">IF(ISERROR(Access_Data!$D$33),0,Access_Data!$D$33)</f>
        <v>0</v>
      </c>
      <c r="M4" s="409"/>
      <c r="N4" s="182" t="s">
        <v>114</v>
      </c>
      <c r="O4" s="183" t="s">
        <v>113</v>
      </c>
      <c r="P4" s="543" t="s">
        <v>124</v>
      </c>
      <c r="Q4" s="544"/>
      <c r="R4" s="182" t="s">
        <v>161</v>
      </c>
      <c r="S4" s="182" t="s">
        <v>165</v>
      </c>
      <c r="T4" s="410"/>
      <c r="U4" s="412"/>
      <c r="V4" s="412"/>
      <c r="W4" s="412"/>
      <c r="X4" s="412"/>
      <c r="Y4" s="412"/>
      <c r="Z4" s="412"/>
    </row>
    <row r="5" spans="1:26" x14ac:dyDescent="0.2">
      <c r="A5" s="428"/>
      <c r="B5" s="179"/>
      <c r="C5" s="180" t="s">
        <v>53</v>
      </c>
      <c r="D5" s="561" t="e">
        <f>IFERROR(companyName,NA())</f>
        <v>#N/A</v>
      </c>
      <c r="E5" s="562"/>
      <c r="F5" s="562"/>
      <c r="G5" s="562"/>
      <c r="H5" s="563"/>
      <c r="I5" s="380"/>
      <c r="J5" s="545" t="s">
        <v>5</v>
      </c>
      <c r="K5" s="546"/>
      <c r="L5" s="181">
        <f ca="1">IF(ISERROR(Access_Data!$D$33),0,Access_Data!$H$33)</f>
        <v>0</v>
      </c>
      <c r="M5" s="409"/>
      <c r="N5" s="182">
        <v>1</v>
      </c>
      <c r="O5" s="184"/>
      <c r="P5" s="185" t="str">
        <f>IF(Access_Data!$K37=0,"",Access_Data!$K37)</f>
        <v/>
      </c>
      <c r="Q5" s="186"/>
      <c r="R5" s="187" t="str">
        <f>IF(Access_Data!$K37&lt;&gt;0,IF(RIGHT($P5,3)="Low",Access_Data!$L37,IF(RIGHT($P5,4)="High",Access_Data!$J37,"")),"")</f>
        <v/>
      </c>
      <c r="S5" s="188" t="str">
        <f>IF(Access_Data!$M37&lt;&gt;0,Access_Data!$M37,"")</f>
        <v/>
      </c>
      <c r="T5" s="410"/>
      <c r="U5" s="412"/>
      <c r="V5" s="412"/>
      <c r="W5" s="412"/>
      <c r="X5" s="412" t="str">
        <f>IF(O5,1,"")</f>
        <v/>
      </c>
      <c r="Y5" s="412"/>
      <c r="Z5" s="412"/>
    </row>
    <row r="6" spans="1:26" x14ac:dyDescent="0.2">
      <c r="A6" s="428"/>
      <c r="B6" s="179"/>
      <c r="C6" s="180" t="s">
        <v>52</v>
      </c>
      <c r="D6" s="558" t="e">
        <f>VLOOKUP("assetName",WorkItemDetails[],2,FALSE)</f>
        <v>#N/A</v>
      </c>
      <c r="E6" s="559"/>
      <c r="F6" s="559"/>
      <c r="G6" s="559"/>
      <c r="H6" s="560"/>
      <c r="I6" s="360"/>
      <c r="J6" s="545" t="s">
        <v>125</v>
      </c>
      <c r="K6" s="546"/>
      <c r="L6" s="181">
        <f>IF(ISERROR(Access_Data!$A$52),0,Access_Data!$A$52)</f>
        <v>0</v>
      </c>
      <c r="M6" s="409"/>
      <c r="N6" s="182">
        <v>2</v>
      </c>
      <c r="O6" s="184"/>
      <c r="P6" s="185" t="str">
        <f>IF(Access_Data!$K38=0,"",Access_Data!$K38)</f>
        <v/>
      </c>
      <c r="Q6" s="189"/>
      <c r="R6" s="187" t="str">
        <f>IF(Access_Data!$K38&lt;&gt;0,IF(RIGHT($P6,3)="Low",Access_Data!$L38,IF(RIGHT($P6,4)="High",Access_Data!$J38,"")),"")</f>
        <v/>
      </c>
      <c r="S6" s="188" t="str">
        <f>IF(Access_Data!$M38&lt;&gt;0,Access_Data!$M38,"")</f>
        <v/>
      </c>
      <c r="T6" s="410"/>
      <c r="U6" s="412"/>
      <c r="V6" s="412"/>
      <c r="W6" s="412"/>
      <c r="X6" s="412" t="str">
        <f t="shared" ref="X6:X44" si="0">IF(O6,1,"")</f>
        <v/>
      </c>
      <c r="Y6" s="412"/>
      <c r="Z6" s="412"/>
    </row>
    <row r="7" spans="1:26" x14ac:dyDescent="0.2">
      <c r="A7" s="428"/>
      <c r="B7" s="190"/>
      <c r="C7" s="191" t="s">
        <v>39</v>
      </c>
      <c r="D7" s="399" t="str" cm="1">
        <f t="array" ref="D7">Employee[Name]</f>
        <v>Jeff Hall</v>
      </c>
      <c r="E7" s="409"/>
      <c r="F7" s="409"/>
      <c r="G7" s="409"/>
      <c r="H7" s="409"/>
      <c r="I7" s="409"/>
      <c r="J7" s="431"/>
      <c r="K7" s="431"/>
      <c r="L7" s="431"/>
      <c r="M7" s="409"/>
      <c r="N7" s="182">
        <v>3</v>
      </c>
      <c r="O7" s="184"/>
      <c r="P7" s="185" t="str">
        <f>IF(Access_Data!$K39=0,"",Access_Data!$K39)</f>
        <v/>
      </c>
      <c r="Q7" s="186"/>
      <c r="R7" s="187" t="str">
        <f>IF(Access_Data!$K39&lt;&gt;0,IF(RIGHT($P7,3)="Low",Access_Data!$L39,IF(RIGHT($P7,4)="High",Access_Data!$J39,"")),"")</f>
        <v/>
      </c>
      <c r="S7" s="188" t="str">
        <f>IF(Access_Data!$M39&lt;&gt;0,Access_Data!$M39,"")</f>
        <v/>
      </c>
      <c r="T7" s="410"/>
      <c r="U7" s="412"/>
      <c r="V7" s="412"/>
      <c r="W7" s="412"/>
      <c r="X7" s="412" t="str">
        <f t="shared" si="0"/>
        <v/>
      </c>
      <c r="Y7" s="412"/>
      <c r="Z7" s="412"/>
    </row>
    <row r="8" spans="1:26" x14ac:dyDescent="0.2">
      <c r="A8" s="428"/>
      <c r="B8" s="424"/>
      <c r="C8" s="432"/>
      <c r="D8" s="433"/>
      <c r="E8" s="409"/>
      <c r="F8" s="434" t="str">
        <f>IF(N49="","CHECK TUNING CONSTANTS","")</f>
        <v>CHECK TUNING CONSTANTS</v>
      </c>
      <c r="G8" s="409"/>
      <c r="H8" s="409"/>
      <c r="I8" s="409"/>
      <c r="J8" s="409"/>
      <c r="K8" s="409"/>
      <c r="L8" s="409"/>
      <c r="M8" s="409"/>
      <c r="N8" s="182">
        <v>4</v>
      </c>
      <c r="O8" s="184"/>
      <c r="P8" s="185" t="str">
        <f>IF(Access_Data!$K40=0,"",Access_Data!$K40)</f>
        <v/>
      </c>
      <c r="Q8" s="189"/>
      <c r="R8" s="187" t="str">
        <f>IF(Access_Data!$K40&lt;&gt;0,IF(RIGHT($P8,3)="Low",Access_Data!$L40,IF(RIGHT($P8,4)="High",Access_Data!$J40,"")),"")</f>
        <v/>
      </c>
      <c r="S8" s="188" t="str">
        <f>IF(Access_Data!$M40&lt;&gt;0,Access_Data!$M40,"")</f>
        <v/>
      </c>
      <c r="T8" s="410"/>
      <c r="U8" s="412"/>
      <c r="V8" s="412"/>
      <c r="W8" s="412"/>
      <c r="X8" s="412" t="str">
        <f t="shared" si="0"/>
        <v/>
      </c>
      <c r="Y8" s="412"/>
      <c r="Z8" s="412"/>
    </row>
    <row r="9" spans="1:26" ht="12.75" customHeight="1" x14ac:dyDescent="0.2">
      <c r="A9" s="428"/>
      <c r="B9" s="179"/>
      <c r="C9" s="192" t="s">
        <v>82</v>
      </c>
      <c r="D9" s="376"/>
      <c r="E9" s="380" t="str" cm="1">
        <f t="array" ref="E9">IFERROR(
  _xlfn.XLOOKUP(
    Main!$D$9,
    _xlfn._xlws.FILTER(AssetPool[asset_tag], AssetPool[root_category_name]="DAQ Modules"),
    _xlfn._xlws.FILTER(AssetPool[asset_id], AssetPool[root_category_name]="DAQ Modules")
  ),
  ""
)</f>
        <v/>
      </c>
      <c r="F9" s="409"/>
      <c r="G9" s="409"/>
      <c r="H9" s="409"/>
      <c r="I9" s="409"/>
      <c r="J9" s="409"/>
      <c r="K9" s="409"/>
      <c r="L9" s="409"/>
      <c r="M9" s="409"/>
      <c r="N9" s="182">
        <v>5</v>
      </c>
      <c r="O9" s="184"/>
      <c r="P9" s="185" t="str">
        <f>IF(Access_Data!$K41=0,"",Access_Data!$K41)</f>
        <v/>
      </c>
      <c r="Q9" s="186"/>
      <c r="R9" s="187" t="str">
        <f>IF(Access_Data!$K41&lt;&gt;0,IF(RIGHT($P9,3)="Low",Access_Data!$L41,IF(RIGHT($P9,4)="High",Access_Data!$J41,"")),"")</f>
        <v/>
      </c>
      <c r="S9" s="188" t="str">
        <f>IF(Access_Data!$M41&lt;&gt;0,Access_Data!$M41,"")</f>
        <v/>
      </c>
      <c r="T9" s="410"/>
      <c r="U9" s="412"/>
      <c r="V9" s="412"/>
      <c r="W9" s="412"/>
      <c r="X9" s="412" t="str">
        <f t="shared" si="0"/>
        <v/>
      </c>
      <c r="Y9" s="412"/>
      <c r="Z9" s="412"/>
    </row>
    <row r="10" spans="1:26" x14ac:dyDescent="0.2">
      <c r="A10" s="428"/>
      <c r="B10" s="424"/>
      <c r="C10" s="425"/>
      <c r="D10" s="409"/>
      <c r="E10" s="409"/>
      <c r="F10" s="409"/>
      <c r="G10" s="410" t="str">
        <f ca="1">IF(OR(ISNA(Access_Data!D33),ISBLANK(D19),ISBLANK(D16)),"",IF(OR(ABS(Access_Data!D33)&gt;D19,ABS(Access_Data!H33)&gt;D19),"!!!!! OVEN IS OOT !!!!!",""))</f>
        <v/>
      </c>
      <c r="H10" s="409"/>
      <c r="I10" s="409"/>
      <c r="J10" s="409"/>
      <c r="K10" s="409"/>
      <c r="L10" s="409"/>
      <c r="M10" s="409"/>
      <c r="N10" s="182">
        <v>6</v>
      </c>
      <c r="O10" s="184"/>
      <c r="P10" s="185" t="str">
        <f>IF(Access_Data!$K42=0,"",Access_Data!$K42)</f>
        <v/>
      </c>
      <c r="Q10" s="189"/>
      <c r="R10" s="187" t="str">
        <f>IF(Access_Data!$K42&lt;&gt;0,IF(RIGHT($P10,3)="Low",Access_Data!$L42,IF(RIGHT($P10,4)="High",Access_Data!$J42,"")),"")</f>
        <v/>
      </c>
      <c r="S10" s="188" t="str">
        <f>IF(Access_Data!$M42&lt;&gt;0,Access_Data!$M42,"")</f>
        <v/>
      </c>
      <c r="T10" s="410"/>
      <c r="U10" s="412"/>
      <c r="V10" s="412"/>
      <c r="W10" s="412"/>
      <c r="X10" s="412" t="str">
        <f t="shared" si="0"/>
        <v/>
      </c>
      <c r="Y10" s="412"/>
      <c r="Z10" s="412"/>
    </row>
    <row r="11" spans="1:26" x14ac:dyDescent="0.2">
      <c r="A11" s="428"/>
      <c r="B11" s="179"/>
      <c r="C11" s="192" t="s">
        <v>69</v>
      </c>
      <c r="D11" s="373" t="e">
        <f>VLOOKUP("serial_number",DaqbookServiceRecord[], 2, FALSE)</f>
        <v>#N/A</v>
      </c>
      <c r="E11" s="409"/>
      <c r="F11" s="409"/>
      <c r="G11" s="410" t="str">
        <f>IF(OR(ISBLANK(D3),ISBLANK(D13)),"",IF(D13&lt;D3,"!!!!! DAQBOOK IS OUT OF CERTIFICATION !!!!!",""))</f>
        <v/>
      </c>
      <c r="H11" s="409"/>
      <c r="I11" s="409"/>
      <c r="J11" s="409"/>
      <c r="K11" s="409"/>
      <c r="L11" s="409"/>
      <c r="M11" s="409"/>
      <c r="N11" s="182">
        <v>7</v>
      </c>
      <c r="O11" s="184"/>
      <c r="P11" s="185" t="str">
        <f>IF(Access_Data!$K43=0,"",Access_Data!$K43)</f>
        <v/>
      </c>
      <c r="Q11" s="189"/>
      <c r="R11" s="187" t="str">
        <f>IF(Access_Data!$K43&lt;&gt;0,IF(RIGHT($P11,3)="Low",Access_Data!$L43,IF(RIGHT($P11,4)="High",Access_Data!$J43,"")),"")</f>
        <v/>
      </c>
      <c r="S11" s="188" t="str">
        <f>IF(Access_Data!$M43&lt;&gt;0,Access_Data!$M43,"")</f>
        <v/>
      </c>
      <c r="T11" s="410"/>
      <c r="U11" s="412"/>
      <c r="V11" s="412"/>
      <c r="W11" s="412"/>
      <c r="X11" s="412" t="str">
        <f t="shared" si="0"/>
        <v/>
      </c>
      <c r="Y11" s="412"/>
      <c r="Z11" s="412"/>
    </row>
    <row r="12" spans="1:26" x14ac:dyDescent="0.2">
      <c r="A12" s="428"/>
      <c r="B12" s="179"/>
      <c r="C12" s="192" t="s">
        <v>111</v>
      </c>
      <c r="D12" s="372" t="e">
        <f>VLOOKUP("service_date",DaqbookServiceRecord[], 2, FALSE)</f>
        <v>#N/A</v>
      </c>
      <c r="E12" s="409"/>
      <c r="F12" s="409"/>
      <c r="G12" s="410" t="str">
        <f>IF(Access_Data!$B$52=1,"!!!!! OVEN OVERSHOT IN POINTS 1-14 !!!!!","")</f>
        <v/>
      </c>
      <c r="H12" s="409"/>
      <c r="I12" s="409"/>
      <c r="J12" s="431"/>
      <c r="K12" s="413"/>
      <c r="L12" s="431"/>
      <c r="M12" s="413"/>
      <c r="N12" s="182">
        <v>8</v>
      </c>
      <c r="O12" s="184"/>
      <c r="P12" s="185" t="str">
        <f>IF(Access_Data!$K44=0,"",Access_Data!$K44)</f>
        <v/>
      </c>
      <c r="Q12" s="189"/>
      <c r="R12" s="187" t="str">
        <f>IF(Access_Data!$K44&lt;&gt;0,IF(RIGHT($P12,3)="Low",Access_Data!$L44,IF(RIGHT($P12,4)="High",Access_Data!$J44,"")),"")</f>
        <v/>
      </c>
      <c r="S12" s="188" t="str">
        <f>IF(Access_Data!$M44&lt;&gt;0,Access_Data!$M44,"")</f>
        <v/>
      </c>
      <c r="T12" s="410"/>
      <c r="U12" s="412"/>
      <c r="V12" s="412"/>
      <c r="W12" s="412"/>
      <c r="X12" s="412" t="str">
        <f t="shared" si="0"/>
        <v/>
      </c>
      <c r="Y12" s="412"/>
      <c r="Z12" s="412"/>
    </row>
    <row r="13" spans="1:26" x14ac:dyDescent="0.2">
      <c r="A13" s="428"/>
      <c r="B13" s="193"/>
      <c r="C13" s="194" t="s">
        <v>110</v>
      </c>
      <c r="D13" s="372" t="e">
        <f>VLOOKUP("next_service_date",DaqbookServiceRecord[], 2, FALSE)</f>
        <v>#N/A</v>
      </c>
      <c r="E13" s="409"/>
      <c r="F13" s="435"/>
      <c r="G13" s="425" t="str">
        <f>IF(Access_Data!$C$52=1,"!!!!! OVEN OVERSHOT IN POINTS 15-28 !!!!!","")</f>
        <v/>
      </c>
      <c r="H13" s="409"/>
      <c r="I13" s="409"/>
      <c r="J13" s="295" t="s">
        <v>358</v>
      </c>
      <c r="K13" s="555" t="str">
        <f>IFERROR(VLOOKUP("PoNumber",WorkItemDetails[],2,FALSE),"")</f>
        <v/>
      </c>
      <c r="L13" s="556"/>
      <c r="M13" s="409"/>
      <c r="N13" s="182">
        <v>9</v>
      </c>
      <c r="O13" s="184"/>
      <c r="P13" s="185" t="str">
        <f>IF(Access_Data!$K45=0,"",Access_Data!$K45)</f>
        <v/>
      </c>
      <c r="Q13" s="186"/>
      <c r="R13" s="187" t="str">
        <f>IF(Access_Data!$K45&lt;&gt;0,IF(RIGHT($P13,3)="Low",Access_Data!$L45,IF(RIGHT($P13,4)="High",Access_Data!$J45,"")),"")</f>
        <v/>
      </c>
      <c r="S13" s="188" t="str">
        <f>IF(Access_Data!$M45&lt;&gt;0,Access_Data!$M45,"")</f>
        <v/>
      </c>
      <c r="T13" s="410"/>
      <c r="U13" s="412"/>
      <c r="V13" s="412"/>
      <c r="W13" s="412"/>
      <c r="X13" s="412" t="str">
        <f t="shared" si="0"/>
        <v/>
      </c>
      <c r="Y13" s="412"/>
      <c r="Z13" s="412"/>
    </row>
    <row r="14" spans="1:26" x14ac:dyDescent="0.2">
      <c r="A14" s="428"/>
      <c r="B14" s="179"/>
      <c r="C14" s="192" t="s">
        <v>112</v>
      </c>
      <c r="D14" s="373" t="e">
        <f>VLOOKUP("certificate_number",DaqbookServiceRecord[], 2, FALSE)</f>
        <v>#N/A</v>
      </c>
      <c r="E14" s="409"/>
      <c r="F14" s="409"/>
      <c r="G14" s="410" t="str">
        <f>IF(Access_Data!$D$52=1,"!!!!! OVEN OVERSHOT IN POINTS 29-40","")</f>
        <v/>
      </c>
      <c r="H14" s="409"/>
      <c r="I14" s="409"/>
      <c r="J14" s="195" t="s">
        <v>160</v>
      </c>
      <c r="K14" s="505"/>
      <c r="L14" s="506"/>
      <c r="M14" s="409"/>
      <c r="N14" s="182">
        <v>10</v>
      </c>
      <c r="O14" s="184"/>
      <c r="P14" s="185" t="str">
        <f>IF(Access_Data!$K46=0,"",Access_Data!$K46)</f>
        <v/>
      </c>
      <c r="Q14" s="189"/>
      <c r="R14" s="187" t="str">
        <f>IF(Access_Data!$K46&lt;&gt;0,IF(RIGHT($P14,3)="Low",Access_Data!$L46,IF(RIGHT($P14,4)="High",Access_Data!$J46,"")),"")</f>
        <v/>
      </c>
      <c r="S14" s="188" t="str">
        <f>IF(Access_Data!$M46&lt;&gt;0,Access_Data!$M46,"")</f>
        <v/>
      </c>
      <c r="T14" s="410"/>
      <c r="U14" s="412"/>
      <c r="V14" s="412"/>
      <c r="W14" s="412"/>
      <c r="X14" s="412" t="str">
        <f t="shared" si="0"/>
        <v/>
      </c>
      <c r="Y14" s="412"/>
      <c r="Z14" s="412"/>
    </row>
    <row r="15" spans="1:26" x14ac:dyDescent="0.2">
      <c r="A15" s="428"/>
      <c r="B15" s="240"/>
      <c r="C15" s="238" t="s">
        <v>81</v>
      </c>
      <c r="D15" s="402"/>
      <c r="E15" s="409"/>
      <c r="F15" s="409"/>
      <c r="G15" s="409"/>
      <c r="H15" s="431" t="b">
        <v>1</v>
      </c>
      <c r="I15" s="409"/>
      <c r="J15" s="196" t="s">
        <v>155</v>
      </c>
      <c r="K15" s="549"/>
      <c r="L15" s="550"/>
      <c r="M15" s="409"/>
      <c r="N15" s="182">
        <v>11</v>
      </c>
      <c r="O15" s="184"/>
      <c r="P15" s="185" t="str">
        <f>IF(Access_Data!$K47=0,"",Access_Data!$K47)</f>
        <v/>
      </c>
      <c r="Q15" s="186"/>
      <c r="R15" s="187" t="str">
        <f>IF(Access_Data!$K47&lt;&gt;0,IF(RIGHT($P15,3)="Low",Access_Data!$L47,IF(RIGHT($P15,4)="High",Access_Data!$J47,"")),"")</f>
        <v/>
      </c>
      <c r="S15" s="188" t="str">
        <f>IF(Access_Data!$M47&lt;&gt;0,Access_Data!$M47,"")</f>
        <v/>
      </c>
      <c r="T15" s="410"/>
      <c r="U15" s="412"/>
      <c r="V15" s="412"/>
      <c r="W15" s="412"/>
      <c r="X15" s="412" t="str">
        <f t="shared" si="0"/>
        <v/>
      </c>
      <c r="Y15" s="412"/>
      <c r="Z15" s="412"/>
    </row>
    <row r="16" spans="1:26" x14ac:dyDescent="0.2">
      <c r="A16" s="428"/>
      <c r="B16" s="197"/>
      <c r="C16" s="239" t="s">
        <v>296</v>
      </c>
      <c r="D16" s="402"/>
      <c r="E16" s="409"/>
      <c r="F16" s="195" t="s">
        <v>101</v>
      </c>
      <c r="G16" s="235" t="s">
        <v>301</v>
      </c>
      <c r="H16" s="199"/>
      <c r="I16" s="409"/>
      <c r="J16" s="511" t="s">
        <v>191</v>
      </c>
      <c r="K16" s="512"/>
      <c r="L16" s="378"/>
      <c r="M16" s="409"/>
      <c r="N16" s="182">
        <v>12</v>
      </c>
      <c r="O16" s="184"/>
      <c r="P16" s="185" t="str">
        <f>IF(Access_Data!$K48=0,"",Access_Data!$K48)</f>
        <v/>
      </c>
      <c r="Q16" s="189"/>
      <c r="R16" s="187" t="str">
        <f>IF(Access_Data!$K48&lt;&gt;0,IF(RIGHT($P16,3)="Low",Access_Data!$L48,IF(RIGHT($P16,4)="High",Access_Data!$J48,"")),"")</f>
        <v/>
      </c>
      <c r="S16" s="188" t="str">
        <f>IF(Access_Data!$M48&lt;&gt;0,Access_Data!$M48,"")</f>
        <v/>
      </c>
      <c r="T16" s="410"/>
      <c r="U16" s="412"/>
      <c r="V16" s="412"/>
      <c r="W16" s="412"/>
      <c r="X16" s="412" t="str">
        <f t="shared" si="0"/>
        <v/>
      </c>
      <c r="Y16" s="412"/>
      <c r="Z16" s="412"/>
    </row>
    <row r="17" spans="1:26" x14ac:dyDescent="0.2">
      <c r="A17" s="428"/>
      <c r="B17" s="179"/>
      <c r="C17" s="180" t="s">
        <v>80</v>
      </c>
      <c r="D17" s="403"/>
      <c r="E17" s="409"/>
      <c r="F17" s="196" t="s">
        <v>120</v>
      </c>
      <c r="G17" s="311" t="str">
        <f>IF(ISBLANK(Load),"",Load)</f>
        <v/>
      </c>
      <c r="H17" s="409"/>
      <c r="I17" s="410"/>
      <c r="J17" s="511" t="s">
        <v>192</v>
      </c>
      <c r="K17" s="512"/>
      <c r="L17" s="200" t="str">
        <f>IF(K15="SIM Load Hot",TEXT(D26,"hh:mm"),"")</f>
        <v/>
      </c>
      <c r="M17" s="409"/>
      <c r="N17" s="182">
        <v>13</v>
      </c>
      <c r="O17" s="184"/>
      <c r="P17" s="185" t="str">
        <f>IF(Access_Data!$K49=0,"",Access_Data!$K49)</f>
        <v/>
      </c>
      <c r="Q17" s="186"/>
      <c r="R17" s="187" t="str">
        <f>IF(Access_Data!$K49&lt;&gt;0,IF(RIGHT($P17,3)="Low",Access_Data!$L49,IF(RIGHT($P17,4)="High",Access_Data!$J49,"")),"")</f>
        <v/>
      </c>
      <c r="S17" s="188" t="str">
        <f>IF(Access_Data!$M49&lt;&gt;0,Access_Data!$M49,"")</f>
        <v/>
      </c>
      <c r="T17" s="410"/>
      <c r="U17" s="412"/>
      <c r="V17" s="412"/>
      <c r="W17" s="412"/>
      <c r="X17" s="412" t="str">
        <f t="shared" si="0"/>
        <v/>
      </c>
      <c r="Y17" s="412"/>
      <c r="Z17" s="412"/>
    </row>
    <row r="18" spans="1:26" x14ac:dyDescent="0.2">
      <c r="A18" s="428"/>
      <c r="B18" s="193"/>
      <c r="C18" s="201" t="s">
        <v>83</v>
      </c>
      <c r="D18" s="376"/>
      <c r="E18" s="409"/>
      <c r="F18" s="202" t="s">
        <v>102</v>
      </c>
      <c r="G18" s="235" t="s">
        <v>31</v>
      </c>
      <c r="H18" s="203"/>
      <c r="I18" s="410"/>
      <c r="J18" s="436"/>
      <c r="K18" s="409"/>
      <c r="L18" s="410"/>
      <c r="M18" s="409"/>
      <c r="N18" s="182">
        <v>14</v>
      </c>
      <c r="O18" s="184"/>
      <c r="P18" s="185" t="str">
        <f>IF(Access_Data!$K50=0,"",Access_Data!$K50)</f>
        <v/>
      </c>
      <c r="Q18" s="189"/>
      <c r="R18" s="187" t="str">
        <f>IF(Access_Data!$K50&lt;&gt;0,IF(RIGHT($P18,3)="Low",Access_Data!$L50,IF(RIGHT($P18,4)="High",Access_Data!$J50,"")),"")</f>
        <v/>
      </c>
      <c r="S18" s="188" t="str">
        <f>IF(Access_Data!$M50&lt;&gt;0,Access_Data!$M50,"")</f>
        <v/>
      </c>
      <c r="T18" s="410"/>
      <c r="U18" s="412"/>
      <c r="V18" s="412"/>
      <c r="W18" s="412"/>
      <c r="X18" s="412" t="str">
        <f t="shared" si="0"/>
        <v/>
      </c>
      <c r="Y18" s="412"/>
      <c r="Z18" s="412"/>
    </row>
    <row r="19" spans="1:26" x14ac:dyDescent="0.2">
      <c r="A19" s="428"/>
      <c r="B19" s="179"/>
      <c r="C19" s="180" t="s">
        <v>22</v>
      </c>
      <c r="D19" s="401"/>
      <c r="E19" s="409"/>
      <c r="F19" s="196" t="s">
        <v>103</v>
      </c>
      <c r="G19" s="547" t="str">
        <f>IF(K15="Salt",0, IF(OR(K15="Hot",K15="SIM Load Hot"),IF(OR(D26="",D28=""),"N/A",IF(ISBLANK(D26),"N/A",D28-D26)),"N/A"))</f>
        <v>N/A</v>
      </c>
      <c r="H19" s="548"/>
      <c r="I19" s="437" t="str">
        <f>IF(G19="N/A","N/A",IF(G19=0,"&lt;2",ROUND(IF(LEN(G19)&gt;3,G19*1440,RIGHT(TEXT(G19,"hh:mm"),2)),0))&amp;" MINUTES")</f>
        <v>N/A</v>
      </c>
      <c r="J19" s="436"/>
      <c r="K19" s="409"/>
      <c r="L19" s="410"/>
      <c r="M19" s="409"/>
      <c r="N19" s="182">
        <v>15</v>
      </c>
      <c r="O19" s="184"/>
      <c r="P19" s="185" t="str">
        <f>IF(Access_Data!$K51=0,"",Access_Data!$K51)</f>
        <v/>
      </c>
      <c r="Q19" s="186"/>
      <c r="R19" s="187" t="str">
        <f>IF(Access_Data!$K51&lt;&gt;0,IF(RIGHT($P19,3)="Low",Access_Data!$L51,IF(RIGHT($P19,4)="High",Access_Data!$J51,"")),"")</f>
        <v/>
      </c>
      <c r="S19" s="188" t="str">
        <f>IF(Access_Data!$M51&lt;&gt;0,Access_Data!$M51,"")</f>
        <v/>
      </c>
      <c r="T19" s="410"/>
      <c r="U19" s="412"/>
      <c r="V19" s="412"/>
      <c r="W19" s="412"/>
      <c r="X19" s="412" t="str">
        <f t="shared" si="0"/>
        <v/>
      </c>
      <c r="Y19" s="412"/>
      <c r="Z19" s="412"/>
    </row>
    <row r="20" spans="1:26" ht="13.7" customHeight="1" x14ac:dyDescent="0.2">
      <c r="A20" s="428"/>
      <c r="B20" s="551" t="str">
        <f>IF(I94=TRUE,"SAT Tolerance (per AMS2750):","SAT Tolerance (per BAC5621):")</f>
        <v>SAT Tolerance (per AMS2750):</v>
      </c>
      <c r="C20" s="552"/>
      <c r="D20" s="204" t="e">
        <f>G94</f>
        <v>#N/A</v>
      </c>
      <c r="E20" s="410"/>
      <c r="F20" s="409"/>
      <c r="G20" s="409"/>
      <c r="H20" s="409"/>
      <c r="I20" s="410"/>
      <c r="J20" s="409"/>
      <c r="K20" s="409"/>
      <c r="L20" s="410"/>
      <c r="M20" s="409"/>
      <c r="N20" s="182">
        <v>16</v>
      </c>
      <c r="O20" s="184"/>
      <c r="P20" s="185" t="str">
        <f>IF(Access_Data!$K52=0,"",Access_Data!$K52)</f>
        <v/>
      </c>
      <c r="Q20" s="189"/>
      <c r="R20" s="187" t="str">
        <f>IF(Access_Data!$K52&lt;&gt;0,IF(RIGHT($P20,3)="Low",Access_Data!$L52,IF(RIGHT($P20,4)="High",Access_Data!$J52,"")),"")</f>
        <v/>
      </c>
      <c r="S20" s="188" t="str">
        <f>IF(Access_Data!$M52&lt;&gt;0,Access_Data!$M52,"")</f>
        <v/>
      </c>
      <c r="T20" s="410"/>
      <c r="U20" s="412"/>
      <c r="V20" s="412"/>
      <c r="W20" s="412"/>
      <c r="X20" s="412" t="str">
        <f t="shared" si="0"/>
        <v/>
      </c>
      <c r="Y20" s="412"/>
      <c r="Z20" s="412"/>
    </row>
    <row r="21" spans="1:26" x14ac:dyDescent="0.2">
      <c r="A21" s="428"/>
      <c r="B21" s="424"/>
      <c r="C21" s="438"/>
      <c r="D21" s="433"/>
      <c r="E21" s="409"/>
      <c r="F21" s="409"/>
      <c r="G21" s="409"/>
      <c r="H21" s="409"/>
      <c r="I21" s="410"/>
      <c r="J21" s="409"/>
      <c r="K21" s="409"/>
      <c r="L21" s="410"/>
      <c r="M21" s="409"/>
      <c r="N21" s="182">
        <v>17</v>
      </c>
      <c r="O21" s="184"/>
      <c r="P21" s="185" t="str">
        <f>IF(Access_Data!$K53=0,"",Access_Data!$K53)</f>
        <v/>
      </c>
      <c r="Q21" s="186"/>
      <c r="R21" s="187" t="str">
        <f>IF(Access_Data!$K53&lt;&gt;0,IF(RIGHT($P21,3)="Low",Access_Data!$L53,IF(RIGHT($P21,4)="High",Access_Data!$J53,"")),"")</f>
        <v/>
      </c>
      <c r="S21" s="188" t="str">
        <f>IF(Access_Data!$M53&lt;&gt;0,Access_Data!$M53,"")</f>
        <v/>
      </c>
      <c r="T21" s="410"/>
      <c r="U21" s="412"/>
      <c r="V21" s="412"/>
      <c r="W21" s="412"/>
      <c r="X21" s="412" t="str">
        <f t="shared" si="0"/>
        <v/>
      </c>
      <c r="Y21" s="412"/>
      <c r="Z21" s="412"/>
    </row>
    <row r="22" spans="1:26" x14ac:dyDescent="0.2">
      <c r="A22" s="428"/>
      <c r="B22" s="197"/>
      <c r="C22" s="198" t="s">
        <v>54</v>
      </c>
      <c r="D22" s="375"/>
      <c r="E22" s="409"/>
      <c r="F22" s="439"/>
      <c r="G22" s="409"/>
      <c r="H22" s="409"/>
      <c r="I22" s="410"/>
      <c r="J22" s="409"/>
      <c r="K22" s="409"/>
      <c r="L22" s="410"/>
      <c r="M22" s="409"/>
      <c r="N22" s="182">
        <v>18</v>
      </c>
      <c r="O22" s="184"/>
      <c r="P22" s="185" t="str">
        <f>IF(Access_Data!$K54=0,"",Access_Data!$K54)</f>
        <v/>
      </c>
      <c r="Q22" s="189"/>
      <c r="R22" s="187" t="str">
        <f>IF(Access_Data!$K54&lt;&gt;0,IF(RIGHT($P22,3)="Low",Access_Data!$L54,IF(RIGHT($P22,4)="High",Access_Data!$J54,"")),"")</f>
        <v/>
      </c>
      <c r="S22" s="188" t="str">
        <f>IF(Access_Data!$M54&lt;&gt;0,Access_Data!$M54,"")</f>
        <v/>
      </c>
      <c r="T22" s="410"/>
      <c r="U22" s="412"/>
      <c r="V22" s="412"/>
      <c r="W22" s="412"/>
      <c r="X22" s="412" t="str">
        <f t="shared" si="0"/>
        <v/>
      </c>
      <c r="Y22" s="412"/>
      <c r="Z22" s="412"/>
    </row>
    <row r="23" spans="1:26" x14ac:dyDescent="0.2">
      <c r="A23" s="428"/>
      <c r="B23" s="179"/>
      <c r="C23" s="180" t="s">
        <v>84</v>
      </c>
      <c r="D23" s="376"/>
      <c r="E23" s="409"/>
      <c r="F23" s="205" t="s">
        <v>121</v>
      </c>
      <c r="G23" s="528" t="s">
        <v>412</v>
      </c>
      <c r="H23" s="529"/>
      <c r="I23" s="529"/>
      <c r="J23" s="529"/>
      <c r="K23" s="530"/>
      <c r="L23" s="410"/>
      <c r="M23" s="409"/>
      <c r="N23" s="182">
        <v>19</v>
      </c>
      <c r="O23" s="184"/>
      <c r="P23" s="185" t="str">
        <f>IF(Access_Data!$K55=0,"",Access_Data!$K55)</f>
        <v/>
      </c>
      <c r="Q23" s="186"/>
      <c r="R23" s="187" t="str">
        <f>IF(Access_Data!$K55&lt;&gt;0,IF(RIGHT($P23,3)="Low",Access_Data!$L55,IF(RIGHT($P23,4)="High",Access_Data!$J55,"")),"")</f>
        <v/>
      </c>
      <c r="S23" s="188" t="str">
        <f>IF(Access_Data!$M55&lt;&gt;0,Access_Data!$M55,"")</f>
        <v/>
      </c>
      <c r="T23" s="410"/>
      <c r="U23" s="412"/>
      <c r="V23" s="412"/>
      <c r="W23" s="412"/>
      <c r="X23" s="412" t="str">
        <f t="shared" si="0"/>
        <v/>
      </c>
      <c r="Y23" s="412">
        <v>10</v>
      </c>
      <c r="Z23" s="412" t="s">
        <v>407</v>
      </c>
    </row>
    <row r="24" spans="1:26" x14ac:dyDescent="0.2">
      <c r="A24" s="428"/>
      <c r="B24" s="553" t="s">
        <v>596</v>
      </c>
      <c r="C24" s="554"/>
      <c r="D24" s="376">
        <v>1</v>
      </c>
      <c r="E24" s="409"/>
      <c r="F24" s="205" t="s">
        <v>122</v>
      </c>
      <c r="G24" s="531"/>
      <c r="H24" s="532"/>
      <c r="I24" s="532"/>
      <c r="J24" s="532"/>
      <c r="K24" s="533"/>
      <c r="L24" s="410"/>
      <c r="M24" s="409"/>
      <c r="N24" s="182">
        <v>20</v>
      </c>
      <c r="O24" s="184"/>
      <c r="P24" s="185" t="str">
        <f>IF(Access_Data!$K56=0,"",Access_Data!$K56)</f>
        <v/>
      </c>
      <c r="Q24" s="189"/>
      <c r="R24" s="187" t="str">
        <f>IF(Access_Data!$K56&lt;&gt;0,IF(RIGHT($P24,3)="Low",Access_Data!$L56,IF(RIGHT($P24,4)="High",Access_Data!$J56,"")),"")</f>
        <v/>
      </c>
      <c r="S24" s="188" t="str">
        <f>IF(Access_Data!$M56&lt;&gt;0,Access_Data!$M56,"")</f>
        <v/>
      </c>
      <c r="T24" s="410"/>
      <c r="U24" s="412"/>
      <c r="V24" s="412"/>
      <c r="W24" s="412"/>
      <c r="X24" s="412" t="str">
        <f t="shared" si="0"/>
        <v/>
      </c>
      <c r="Y24" s="412">
        <v>11</v>
      </c>
      <c r="Z24" s="412" t="s">
        <v>408</v>
      </c>
    </row>
    <row r="25" spans="1:26" x14ac:dyDescent="0.2">
      <c r="A25" s="428"/>
      <c r="B25" s="424"/>
      <c r="C25" s="425"/>
      <c r="D25" s="433"/>
      <c r="E25" s="409"/>
      <c r="F25" s="205" t="s">
        <v>123</v>
      </c>
      <c r="G25" s="531"/>
      <c r="H25" s="532"/>
      <c r="I25" s="532"/>
      <c r="J25" s="532"/>
      <c r="K25" s="533"/>
      <c r="L25" s="410"/>
      <c r="M25" s="409"/>
      <c r="N25" s="182">
        <v>21</v>
      </c>
      <c r="O25" s="184"/>
      <c r="P25" s="185" t="str">
        <f>IF(Access_Data!$K57=0,"",Access_Data!$K57)</f>
        <v/>
      </c>
      <c r="Q25" s="186"/>
      <c r="R25" s="187" t="str">
        <f>IF(Access_Data!$K57&lt;&gt;0,IF(RIGHT($P25,3)="Low",Access_Data!$L57,IF(RIGHT($P25,4)="High",Access_Data!$J57,"")),"")</f>
        <v/>
      </c>
      <c r="S25" s="188" t="str">
        <f>IF(Access_Data!$M57&lt;&gt;0,Access_Data!$M57,"")</f>
        <v/>
      </c>
      <c r="T25" s="410"/>
      <c r="U25" s="412"/>
      <c r="V25" s="412"/>
      <c r="W25" s="412"/>
      <c r="X25" s="412" t="str">
        <f t="shared" si="0"/>
        <v/>
      </c>
      <c r="Y25" s="412">
        <v>12</v>
      </c>
      <c r="Z25" s="412" t="s">
        <v>409</v>
      </c>
    </row>
    <row r="26" spans="1:26" x14ac:dyDescent="0.2">
      <c r="A26" s="428"/>
      <c r="B26" s="197"/>
      <c r="C26" s="198" t="s">
        <v>76</v>
      </c>
      <c r="D26" s="392"/>
      <c r="E26" s="411" t="str">
        <f>TEXT(D26,"hh:mm")</f>
        <v>00:00</v>
      </c>
      <c r="F26" s="410"/>
      <c r="G26" s="410"/>
      <c r="H26" s="410"/>
      <c r="I26" s="410"/>
      <c r="J26" s="410"/>
      <c r="K26" s="410"/>
      <c r="L26" s="410"/>
      <c r="M26" s="409"/>
      <c r="N26" s="182">
        <v>22</v>
      </c>
      <c r="O26" s="184"/>
      <c r="P26" s="185" t="str">
        <f>IF(Access_Data!$K58=0,"",Access_Data!$K58)</f>
        <v/>
      </c>
      <c r="Q26" s="189"/>
      <c r="R26" s="187" t="str">
        <f>IF(Access_Data!$K58&lt;&gt;0,IF(RIGHT($P26,3)="Low",Access_Data!$L58,IF(RIGHT($P26,4)="High",Access_Data!$J58,"")),"")</f>
        <v/>
      </c>
      <c r="S26" s="188" t="str">
        <f>IF(Access_Data!$M58&lt;&gt;0,Access_Data!$M58,"")</f>
        <v/>
      </c>
      <c r="T26" s="410"/>
      <c r="U26" s="412"/>
      <c r="V26" s="412"/>
      <c r="W26" s="412"/>
      <c r="X26" s="412" t="str">
        <f t="shared" si="0"/>
        <v/>
      </c>
      <c r="Y26" s="412">
        <v>13</v>
      </c>
      <c r="Z26" s="412" t="s">
        <v>410</v>
      </c>
    </row>
    <row r="27" spans="1:26" x14ac:dyDescent="0.2">
      <c r="A27" s="428"/>
      <c r="B27" s="206">
        <v>10</v>
      </c>
      <c r="C27" s="180" t="s">
        <v>77</v>
      </c>
      <c r="D27" s="392"/>
      <c r="E27" s="411"/>
      <c r="F27" s="295" t="s">
        <v>304</v>
      </c>
      <c r="G27" s="294" t="str">
        <f>G28</f>
        <v/>
      </c>
      <c r="H27" s="526" t="str">
        <f>IF(ISBLANK(D6),"",IF(CheckRec="x","CHECK INSTRUMENT CAL DATES!!!!             CHECK INSTRUMENT CAL DATES!!!!",""))</f>
        <v/>
      </c>
      <c r="I27" s="527"/>
      <c r="J27" s="527"/>
      <c r="K27" s="527"/>
      <c r="L27" s="410"/>
      <c r="M27" s="409"/>
      <c r="N27" s="182">
        <v>23</v>
      </c>
      <c r="O27" s="184"/>
      <c r="P27" s="185" t="str">
        <f>IF(Access_Data!$K59=0,"",Access_Data!$K59)</f>
        <v/>
      </c>
      <c r="Q27" s="186"/>
      <c r="R27" s="187" t="str">
        <f>IF(Access_Data!$K59&lt;&gt;0,IF(RIGHT($P27,3)="Low",Access_Data!$L59,IF(RIGHT($P27,4)="High",Access_Data!$J59,"")),"")</f>
        <v/>
      </c>
      <c r="S27" s="188" t="str">
        <f>IF(Access_Data!$M59&lt;&gt;0,Access_Data!$M59,"")</f>
        <v/>
      </c>
      <c r="T27" s="410"/>
      <c r="U27" s="412"/>
      <c r="V27" s="412"/>
      <c r="W27" s="412"/>
      <c r="X27" s="412" t="str">
        <f t="shared" si="0"/>
        <v/>
      </c>
      <c r="Y27" s="412">
        <v>14</v>
      </c>
      <c r="Z27" s="412" t="s">
        <v>411</v>
      </c>
    </row>
    <row r="28" spans="1:26" x14ac:dyDescent="0.2">
      <c r="A28" s="428"/>
      <c r="B28" s="207">
        <v>30</v>
      </c>
      <c r="C28" s="201" t="s">
        <v>78</v>
      </c>
      <c r="D28" s="392"/>
      <c r="E28" s="411"/>
      <c r="F28" s="295" t="s">
        <v>305</v>
      </c>
      <c r="G28" s="294" t="str">
        <f>IF(CheckRec="y","Cal by Customer",IF(D$3,D$3,""))</f>
        <v/>
      </c>
      <c r="H28" s="526"/>
      <c r="I28" s="527"/>
      <c r="J28" s="527"/>
      <c r="K28" s="527"/>
      <c r="L28" s="410"/>
      <c r="M28" s="409"/>
      <c r="N28" s="182">
        <v>24</v>
      </c>
      <c r="O28" s="184"/>
      <c r="P28" s="185" t="str">
        <f>IF(Access_Data!$K60=0,"",Access_Data!$K60)</f>
        <v/>
      </c>
      <c r="Q28" s="189"/>
      <c r="R28" s="187" t="str">
        <f>IF(Access_Data!$K60&lt;&gt;0,IF(RIGHT($P28,3)="Low",Access_Data!$L60,IF(RIGHT($P28,4)="High",Access_Data!$J60,"")),"")</f>
        <v/>
      </c>
      <c r="S28" s="188" t="str">
        <f>IF(Access_Data!$M60&lt;&gt;0,Access_Data!$M60,"")</f>
        <v/>
      </c>
      <c r="T28" s="410"/>
      <c r="U28" s="412"/>
      <c r="V28" s="412"/>
      <c r="W28" s="412"/>
      <c r="X28" s="412" t="str">
        <f t="shared" si="0"/>
        <v/>
      </c>
      <c r="Y28" s="412"/>
      <c r="Z28" s="412"/>
    </row>
    <row r="29" spans="1:26" x14ac:dyDescent="0.2">
      <c r="A29" s="428"/>
      <c r="B29" s="206">
        <v>40</v>
      </c>
      <c r="C29" s="180" t="s">
        <v>97</v>
      </c>
      <c r="D29" s="208" t="str">
        <f>(IF(OR(D27="",D28=""),"",IF(ISBLANK(D27),"",D28-D27)))</f>
        <v/>
      </c>
      <c r="E29" s="440" t="str">
        <f>IFERROR(IF(D29=0,"&lt;2",ROUND(IF(LEN(D29)&gt;3,D29*1440,TEXT(D29,"hh:mm")),0)) &amp;" MINUTES","")</f>
        <v/>
      </c>
      <c r="F29" s="413" t="s">
        <v>306</v>
      </c>
      <c r="G29" s="410"/>
      <c r="H29" s="410"/>
      <c r="I29" s="410"/>
      <c r="J29" s="410"/>
      <c r="K29" s="410"/>
      <c r="L29" s="410"/>
      <c r="M29" s="409"/>
      <c r="N29" s="182">
        <v>25</v>
      </c>
      <c r="O29" s="184"/>
      <c r="P29" s="185" t="str">
        <f>IF(Access_Data!$K61=0,"",Access_Data!$K61)</f>
        <v/>
      </c>
      <c r="Q29" s="186"/>
      <c r="R29" s="187" t="str">
        <f>IF(Access_Data!$K61&lt;&gt;0,IF(RIGHT($P29,3)="Low",Access_Data!$L61,IF(RIGHT($P29,4)="High",Access_Data!$J61,"")),"")</f>
        <v/>
      </c>
      <c r="S29" s="188" t="str">
        <f>IF(Access_Data!$M61&lt;&gt;0,Access_Data!$M61,"")</f>
        <v/>
      </c>
      <c r="T29" s="410"/>
      <c r="U29" s="412"/>
      <c r="V29" s="412"/>
      <c r="W29" s="412"/>
      <c r="X29" s="412" t="str">
        <f t="shared" si="0"/>
        <v/>
      </c>
      <c r="Y29" s="412">
        <v>10</v>
      </c>
      <c r="Z29" s="412" t="s">
        <v>413</v>
      </c>
    </row>
    <row r="30" spans="1:26" x14ac:dyDescent="0.2">
      <c r="A30" s="428"/>
      <c r="B30" s="325">
        <v>45</v>
      </c>
      <c r="C30" s="201" t="s">
        <v>79</v>
      </c>
      <c r="D30" s="507"/>
      <c r="E30" s="441" t="str">
        <f>IF(ISBLANK(D30), "", TEXT(D30, "H:mm"))</f>
        <v/>
      </c>
      <c r="F30" s="409"/>
      <c r="G30" s="412">
        <f>IF(D29="",0,D29)</f>
        <v>0</v>
      </c>
      <c r="H30" s="442">
        <f>D28-D26</f>
        <v>0</v>
      </c>
      <c r="I30" s="410"/>
      <c r="J30" s="410"/>
      <c r="K30" s="410"/>
      <c r="L30" s="443"/>
      <c r="M30" s="409"/>
      <c r="N30" s="182">
        <v>26</v>
      </c>
      <c r="O30" s="184"/>
      <c r="P30" s="185" t="str">
        <f>IF(Access_Data!$K62=0,"",Access_Data!$K62)</f>
        <v/>
      </c>
      <c r="Q30" s="189"/>
      <c r="R30" s="187" t="str">
        <f>IF(Access_Data!$K62&lt;&gt;0,IF(RIGHT($P30,3)="Low",Access_Data!$L62,IF(RIGHT($P30,4)="High",Access_Data!$J62,"")),"")</f>
        <v/>
      </c>
      <c r="S30" s="188" t="str">
        <f>IF(Access_Data!$M62&lt;&gt;0,Access_Data!$M62,"")</f>
        <v/>
      </c>
      <c r="T30" s="410"/>
      <c r="U30" s="412" t="b">
        <v>0</v>
      </c>
      <c r="V30" s="412"/>
      <c r="W30" s="412"/>
      <c r="X30" s="412" t="str">
        <f t="shared" si="0"/>
        <v/>
      </c>
      <c r="Y30" s="412">
        <v>11</v>
      </c>
      <c r="Z30" s="412" t="s">
        <v>414</v>
      </c>
    </row>
    <row r="31" spans="1:26" x14ac:dyDescent="0.2">
      <c r="A31" s="428"/>
      <c r="B31" s="179"/>
      <c r="C31" s="180" t="s">
        <v>68</v>
      </c>
      <c r="D31" s="358">
        <f>D30+TIME(0,D32,0)</f>
        <v>0</v>
      </c>
      <c r="E31" s="409"/>
      <c r="F31" s="444" t="str">
        <f>IF(AND(LagLimit&gt;0,G30&gt;LagLimit),"LAG TIME TOO HIGH!!!","")</f>
        <v/>
      </c>
      <c r="G31" s="410"/>
      <c r="H31" s="445" t="str">
        <f>IF(AND(RecoveryLimit&gt;0,H30&gt;RecoveryLimit),"RECOVERY TIME TOO HIGH!!!!","")</f>
        <v/>
      </c>
      <c r="I31" s="410"/>
      <c r="J31" s="410"/>
      <c r="K31" s="410"/>
      <c r="L31" s="446"/>
      <c r="M31" s="446"/>
      <c r="N31" s="182">
        <v>27</v>
      </c>
      <c r="O31" s="184"/>
      <c r="P31" s="185" t="str">
        <f>IF(Access_Data!$K63=0,"",Access_Data!$K63)</f>
        <v/>
      </c>
      <c r="Q31" s="186"/>
      <c r="R31" s="187" t="str">
        <f>IF(Access_Data!$K63&lt;&gt;0,IF(RIGHT($P31,3)="Low",Access_Data!$L63,IF(RIGHT($P31,4)="High",Access_Data!$J63,"")),"")</f>
        <v/>
      </c>
      <c r="S31" s="188" t="str">
        <f>IF(Access_Data!$M63&lt;&gt;0,Access_Data!$M63,"")</f>
        <v/>
      </c>
      <c r="T31" s="410"/>
      <c r="U31" s="412"/>
      <c r="V31" s="412"/>
      <c r="W31" s="412"/>
      <c r="X31" s="412" t="str">
        <f t="shared" si="0"/>
        <v/>
      </c>
      <c r="Y31" s="412">
        <v>12</v>
      </c>
      <c r="Z31" s="412" t="s">
        <v>415</v>
      </c>
    </row>
    <row r="32" spans="1:26" x14ac:dyDescent="0.2">
      <c r="A32" s="438"/>
      <c r="B32" s="209"/>
      <c r="C32" s="210" t="s">
        <v>105</v>
      </c>
      <c r="D32" s="377"/>
      <c r="E32" s="409"/>
      <c r="F32" s="410" t="str">
        <f>IF(COUNTIF(Comparison_Report!R1:R8, 1) &gt; 0, "CHECK COMPARISON REPORT!!!", "")</f>
        <v/>
      </c>
      <c r="G32" s="410"/>
      <c r="H32" s="410"/>
      <c r="I32" s="410"/>
      <c r="J32" s="410"/>
      <c r="K32" s="410"/>
      <c r="L32" s="410"/>
      <c r="M32" s="409"/>
      <c r="N32" s="182">
        <v>28</v>
      </c>
      <c r="O32" s="184"/>
      <c r="P32" s="185" t="str">
        <f>IF(Access_Data!$K64=0,"",Access_Data!$K64)</f>
        <v/>
      </c>
      <c r="Q32" s="189"/>
      <c r="R32" s="187" t="str">
        <f>IF(Access_Data!$K64&lt;&gt;0,IF(RIGHT($P32,3)="Low",Access_Data!$L64,IF(RIGHT($P32,4)="High",Access_Data!$J64,"")),"")</f>
        <v/>
      </c>
      <c r="S32" s="188" t="str">
        <f>IF(Access_Data!$M64&lt;&gt;0,Access_Data!$M64,"")</f>
        <v/>
      </c>
      <c r="T32" s="410"/>
      <c r="U32" s="412"/>
      <c r="V32" s="412"/>
      <c r="W32" s="412"/>
      <c r="X32" s="412" t="str">
        <f t="shared" si="0"/>
        <v/>
      </c>
      <c r="Y32" s="412"/>
      <c r="Z32" s="412"/>
    </row>
    <row r="33" spans="1:26" x14ac:dyDescent="0.2">
      <c r="A33" s="428"/>
      <c r="B33" s="424"/>
      <c r="C33" s="447"/>
      <c r="D33" s="448"/>
      <c r="E33" s="448"/>
      <c r="F33" s="410"/>
      <c r="G33" s="410"/>
      <c r="H33" s="410"/>
      <c r="I33" s="410"/>
      <c r="J33" s="410"/>
      <c r="K33" s="410"/>
      <c r="L33" s="410"/>
      <c r="M33" s="409"/>
      <c r="N33" s="182">
        <v>29</v>
      </c>
      <c r="O33" s="184"/>
      <c r="P33" s="185" t="str">
        <f>IF(Access_Data!$K65=0,"",Access_Data!$K65)</f>
        <v/>
      </c>
      <c r="Q33" s="186"/>
      <c r="R33" s="187" t="str">
        <f>IF(Access_Data!$K65&lt;&gt;0,IF(RIGHT($P33,3)="Low",Access_Data!$L65,IF(RIGHT($P33,4)="High",Access_Data!$J65,"")),"")</f>
        <v/>
      </c>
      <c r="S33" s="188" t="str">
        <f>IF(Access_Data!$M65&lt;&gt;0,Access_Data!$M65,"")</f>
        <v/>
      </c>
      <c r="T33" s="410"/>
      <c r="U33" s="412"/>
      <c r="V33" s="412"/>
      <c r="W33" s="412"/>
      <c r="X33" s="412" t="str">
        <f t="shared" si="0"/>
        <v/>
      </c>
      <c r="Y33" s="412"/>
      <c r="Z33" s="412"/>
    </row>
    <row r="34" spans="1:26" ht="12.75" customHeight="1" x14ac:dyDescent="0.2">
      <c r="A34" s="428"/>
      <c r="B34" s="540" t="s">
        <v>61</v>
      </c>
      <c r="C34" s="541"/>
      <c r="D34" s="541"/>
      <c r="E34" s="541"/>
      <c r="F34" s="541"/>
      <c r="G34" s="541"/>
      <c r="H34" s="541"/>
      <c r="I34" s="541"/>
      <c r="J34" s="541"/>
      <c r="K34" s="541"/>
      <c r="L34" s="542"/>
      <c r="M34" s="409"/>
      <c r="N34" s="182">
        <v>30</v>
      </c>
      <c r="O34" s="184"/>
      <c r="P34" s="185" t="str">
        <f>IF(Access_Data!$K66=0,"",Access_Data!$K66)</f>
        <v/>
      </c>
      <c r="Q34" s="189"/>
      <c r="R34" s="187" t="str">
        <f>IF(Access_Data!$K66&lt;&gt;0,IF(RIGHT($P34,3)="Low",Access_Data!$L66,IF(RIGHT($P34,4)="High",Access_Data!$J66,"")),"")</f>
        <v/>
      </c>
      <c r="S34" s="188" t="str">
        <f>IF(Access_Data!$M66&lt;&gt;0,Access_Data!$M66,"")</f>
        <v/>
      </c>
      <c r="T34" s="411"/>
      <c r="U34" s="412"/>
      <c r="V34" s="412"/>
      <c r="W34" s="412"/>
      <c r="X34" s="412" t="str">
        <f t="shared" si="0"/>
        <v/>
      </c>
      <c r="Y34" s="412"/>
      <c r="Z34" s="412"/>
    </row>
    <row r="35" spans="1:26" ht="12.75" customHeight="1" x14ac:dyDescent="0.2">
      <c r="A35" s="428"/>
      <c r="B35" s="211"/>
      <c r="C35" s="212"/>
      <c r="D35" s="213" t="str">
        <f>IF($D$30,D30,"")</f>
        <v/>
      </c>
      <c r="E35" s="214" t="str">
        <f>IF($D$30,IF($D$18=4,D35+TIME(0,4,0),D35+TIME(0,10,0)),"")</f>
        <v/>
      </c>
      <c r="F35" s="214" t="str">
        <f>IF($D$30,IF($D$18=4,E35+TIME(0,4,0),E35+TIME(0,10,0)),"")</f>
        <v/>
      </c>
      <c r="G35" s="214" t="str">
        <f>IF($D$30,IF($D$18=4,F35+TIME(0,4,0),F35+TIME(0,10,0)),"")</f>
        <v/>
      </c>
      <c r="H35" s="214" t="str">
        <f>IF($D$30,IF($D$18=4,G35+TIME(0,4,0),""),"")</f>
        <v/>
      </c>
      <c r="I35" s="214" t="str">
        <f>IF($D$30,IF($D$18=4,H35+TIME(0,4,0),""),"")</f>
        <v/>
      </c>
      <c r="J35" s="214" t="str">
        <f>IF($D$30,IF($D$18=4,I35+TIME(0,4,0),""),"")</f>
        <v/>
      </c>
      <c r="K35" s="214" t="str">
        <f>IF($D$30,IF($D$18=4,J35+TIME(0,4,0),""),"")</f>
        <v/>
      </c>
      <c r="L35" s="214" t="str">
        <f>IF($D$30,IF($D$18=4,K35+TIME(0,2,0),""),"")</f>
        <v/>
      </c>
      <c r="M35" s="409"/>
      <c r="N35" s="182">
        <v>31</v>
      </c>
      <c r="O35" s="184"/>
      <c r="P35" s="185" t="str">
        <f>IF(Access_Data!$K67=0,"",Access_Data!$K67)</f>
        <v/>
      </c>
      <c r="Q35" s="186"/>
      <c r="R35" s="187" t="str">
        <f>IF(Access_Data!$K67&lt;&gt;0,IF(RIGHT($P35,3)="Low",Access_Data!$L67,IF(RIGHT($P35,4)="High",Access_Data!$J67,"")),"")</f>
        <v/>
      </c>
      <c r="S35" s="188" t="str">
        <f>IF(Access_Data!$M67&lt;&gt;0,Access_Data!$M67,"")</f>
        <v/>
      </c>
      <c r="T35" s="411"/>
      <c r="U35" s="412"/>
      <c r="V35" s="412"/>
      <c r="W35" s="412"/>
      <c r="X35" s="412" t="str">
        <f t="shared" si="0"/>
        <v/>
      </c>
      <c r="Y35" s="412"/>
      <c r="Z35" s="412"/>
    </row>
    <row r="36" spans="1:26" ht="13.5" thickBot="1" x14ac:dyDescent="0.25">
      <c r="A36" s="449"/>
      <c r="B36" s="215" t="s">
        <v>24</v>
      </c>
      <c r="C36" s="216" t="s">
        <v>60</v>
      </c>
      <c r="D36" s="217" t="s">
        <v>55</v>
      </c>
      <c r="E36" s="217" t="s">
        <v>56</v>
      </c>
      <c r="F36" s="217" t="s">
        <v>57</v>
      </c>
      <c r="G36" s="217" t="s">
        <v>58</v>
      </c>
      <c r="H36" s="217" t="str">
        <f>IF(D18=4,"Reading 5","")</f>
        <v/>
      </c>
      <c r="I36" s="217" t="str">
        <f>IF(D18=4,"Reading 6","")</f>
        <v/>
      </c>
      <c r="J36" s="217" t="str">
        <f>IF(D18=4,"Reading 7","")</f>
        <v/>
      </c>
      <c r="K36" s="217" t="str">
        <f>IF(D18=4,"Reading 8","")</f>
        <v/>
      </c>
      <c r="L36" s="217" t="str">
        <f>IF(D18=4,"Reading 9","")</f>
        <v/>
      </c>
      <c r="M36" s="409"/>
      <c r="N36" s="182">
        <v>32</v>
      </c>
      <c r="O36" s="184"/>
      <c r="P36" s="185" t="str">
        <f>IF(Access_Data!$K68=0,"",Access_Data!$K68)</f>
        <v/>
      </c>
      <c r="Q36" s="189"/>
      <c r="R36" s="187" t="str">
        <f>IF(Access_Data!$K68&lt;&gt;0,IF(RIGHT($P36,3)="Low",Access_Data!$L68,IF(RIGHT($P36,4)="High",Access_Data!$J68,"")),"")</f>
        <v/>
      </c>
      <c r="S36" s="188" t="str">
        <f>IF(Access_Data!$M68&lt;&gt;0,Access_Data!$M68,"")</f>
        <v/>
      </c>
      <c r="T36" s="411"/>
      <c r="U36" s="412"/>
      <c r="V36" s="412"/>
      <c r="W36" s="412"/>
      <c r="X36" s="412" t="str">
        <f t="shared" si="0"/>
        <v/>
      </c>
      <c r="Y36" s="412"/>
      <c r="Z36" s="412"/>
    </row>
    <row r="37" spans="1:26" x14ac:dyDescent="0.2">
      <c r="A37" s="428"/>
      <c r="B37" s="245"/>
      <c r="C37" s="236"/>
      <c r="D37" s="246"/>
      <c r="E37" s="246"/>
      <c r="F37" s="246"/>
      <c r="G37" s="246"/>
      <c r="H37" s="246"/>
      <c r="I37" s="218"/>
      <c r="J37" s="218"/>
      <c r="K37" s="218"/>
      <c r="L37" s="218"/>
      <c r="M37" s="409"/>
      <c r="N37" s="182">
        <v>33</v>
      </c>
      <c r="O37" s="184"/>
      <c r="P37" s="185" t="str">
        <f>IF(Access_Data!$K69=0,"",Access_Data!$K69)</f>
        <v/>
      </c>
      <c r="Q37" s="186"/>
      <c r="R37" s="187" t="str">
        <f>IF(Access_Data!$K69&lt;&gt;0,IF(RIGHT($P37,3)="Low",Access_Data!$L69,IF(RIGHT($P37,4)="High",Access_Data!$J69,"")),"")</f>
        <v/>
      </c>
      <c r="S37" s="188" t="str">
        <f>IF(Access_Data!$M69&lt;&gt;0,Access_Data!$M69,"")</f>
        <v/>
      </c>
      <c r="T37" s="411"/>
      <c r="U37" s="412"/>
      <c r="V37" s="412"/>
      <c r="W37" s="412"/>
      <c r="X37" s="412" t="str">
        <f t="shared" si="0"/>
        <v/>
      </c>
      <c r="Y37" s="412"/>
      <c r="Z37" s="412"/>
    </row>
    <row r="38" spans="1:26" x14ac:dyDescent="0.2">
      <c r="A38" s="428"/>
      <c r="B38" s="247"/>
      <c r="C38" s="237"/>
      <c r="D38" s="246"/>
      <c r="E38" s="246"/>
      <c r="F38" s="246"/>
      <c r="G38" s="246"/>
      <c r="H38" s="246"/>
      <c r="I38" s="218"/>
      <c r="J38" s="218"/>
      <c r="K38" s="218"/>
      <c r="L38" s="218"/>
      <c r="M38" s="409"/>
      <c r="N38" s="182">
        <v>34</v>
      </c>
      <c r="O38" s="184"/>
      <c r="P38" s="185" t="str">
        <f>IF(Access_Data!$K70=0,"",Access_Data!$K70)</f>
        <v/>
      </c>
      <c r="Q38" s="189"/>
      <c r="R38" s="187" t="str">
        <f>IF(Access_Data!$K70&lt;&gt;0,IF(RIGHT($P38,3)="Low",Access_Data!$L70,IF(RIGHT($P38,4)="High",Access_Data!$J70,"")),"")</f>
        <v/>
      </c>
      <c r="S38" s="188" t="str">
        <f>IF(Access_Data!$M70&lt;&gt;0,Access_Data!$M70,"")</f>
        <v/>
      </c>
      <c r="T38" s="411"/>
      <c r="U38" s="412"/>
      <c r="V38" s="412"/>
      <c r="W38" s="412"/>
      <c r="X38" s="412" t="str">
        <f t="shared" si="0"/>
        <v/>
      </c>
      <c r="Y38" s="412"/>
      <c r="Z38" s="412"/>
    </row>
    <row r="39" spans="1:26" x14ac:dyDescent="0.2">
      <c r="A39" s="428"/>
      <c r="B39" s="247"/>
      <c r="C39" s="237"/>
      <c r="D39" s="246"/>
      <c r="E39" s="246"/>
      <c r="F39" s="246"/>
      <c r="G39" s="246"/>
      <c r="H39" s="218"/>
      <c r="I39" s="218"/>
      <c r="J39" s="218"/>
      <c r="K39" s="218"/>
      <c r="L39" s="218"/>
      <c r="M39" s="409"/>
      <c r="N39" s="182">
        <v>35</v>
      </c>
      <c r="O39" s="184"/>
      <c r="P39" s="185" t="str">
        <f>IF(Access_Data!$K71=0,"",Access_Data!$K71)</f>
        <v/>
      </c>
      <c r="Q39" s="186"/>
      <c r="R39" s="187" t="str">
        <f>IF(Access_Data!$K71&lt;&gt;0,IF(RIGHT($P39,3)="Low",Access_Data!$L71,IF(RIGHT($P39,4)="High",Access_Data!$J71,"")),"")</f>
        <v/>
      </c>
      <c r="S39" s="188" t="str">
        <f>IF(Access_Data!$M71&lt;&gt;0,Access_Data!$M71,"")</f>
        <v/>
      </c>
      <c r="T39" s="411"/>
      <c r="U39" s="412"/>
      <c r="V39" s="412"/>
      <c r="W39" s="412"/>
      <c r="X39" s="412" t="str">
        <f t="shared" si="0"/>
        <v/>
      </c>
      <c r="Y39" s="412"/>
      <c r="Z39" s="412"/>
    </row>
    <row r="40" spans="1:26" x14ac:dyDescent="0.2">
      <c r="A40" s="428"/>
      <c r="B40" s="247"/>
      <c r="C40" s="237"/>
      <c r="D40" s="246"/>
      <c r="E40" s="246"/>
      <c r="F40" s="246"/>
      <c r="G40" s="246"/>
      <c r="H40" s="218"/>
      <c r="I40" s="218"/>
      <c r="J40" s="218"/>
      <c r="K40" s="218"/>
      <c r="L40" s="218"/>
      <c r="M40" s="409"/>
      <c r="N40" s="182">
        <v>36</v>
      </c>
      <c r="O40" s="184"/>
      <c r="P40" s="185" t="str">
        <f>IF(Access_Data!$K72=0,"",Access_Data!$K72)</f>
        <v/>
      </c>
      <c r="Q40" s="189"/>
      <c r="R40" s="187" t="str">
        <f>IF(Access_Data!$K72&lt;&gt;0,IF(RIGHT($P40,3)="Low",Access_Data!$L72,IF(RIGHT($P40,4)="High",Access_Data!$J72,"")),"")</f>
        <v/>
      </c>
      <c r="S40" s="188" t="str">
        <f>IF(Access_Data!$M72&lt;&gt;0,Access_Data!$M72,"")</f>
        <v/>
      </c>
      <c r="T40" s="411"/>
      <c r="U40" s="412"/>
      <c r="V40" s="412"/>
      <c r="W40" s="412"/>
      <c r="X40" s="412" t="str">
        <f t="shared" si="0"/>
        <v/>
      </c>
      <c r="Y40" s="412"/>
      <c r="Z40" s="412"/>
    </row>
    <row r="41" spans="1:26" x14ac:dyDescent="0.2">
      <c r="A41" s="428"/>
      <c r="B41" s="219"/>
      <c r="C41" s="220"/>
      <c r="D41" s="221"/>
      <c r="E41" s="221"/>
      <c r="F41" s="221"/>
      <c r="G41" s="221"/>
      <c r="H41" s="221"/>
      <c r="I41" s="221"/>
      <c r="J41" s="221"/>
      <c r="K41" s="221"/>
      <c r="L41" s="221"/>
      <c r="M41" s="409"/>
      <c r="N41" s="182">
        <v>37</v>
      </c>
      <c r="O41" s="184"/>
      <c r="P41" s="185" t="str">
        <f>IF(Access_Data!$K73=0,"",Access_Data!$K73)</f>
        <v/>
      </c>
      <c r="Q41" s="186"/>
      <c r="R41" s="187" t="str">
        <f>IF(Access_Data!$K73&lt;&gt;0,IF(RIGHT($P41,3)="Low",Access_Data!$L73,IF(RIGHT($P41,4)="High",Access_Data!$J73,"")),"")</f>
        <v/>
      </c>
      <c r="S41" s="188" t="str">
        <f>IF(Access_Data!$M73&lt;&gt;0,Access_Data!$M73,"")</f>
        <v/>
      </c>
      <c r="T41" s="411"/>
      <c r="U41" s="412"/>
      <c r="V41" s="412"/>
      <c r="W41" s="412"/>
      <c r="X41" s="412" t="str">
        <f t="shared" si="0"/>
        <v/>
      </c>
      <c r="Y41" s="412"/>
      <c r="Z41" s="412"/>
    </row>
    <row r="42" spans="1:26" x14ac:dyDescent="0.2">
      <c r="A42" s="428"/>
      <c r="B42" s="219"/>
      <c r="C42" s="220"/>
      <c r="D42" s="221"/>
      <c r="E42" s="221"/>
      <c r="F42" s="221"/>
      <c r="G42" s="221"/>
      <c r="H42" s="221"/>
      <c r="I42" s="221"/>
      <c r="J42" s="221"/>
      <c r="K42" s="221"/>
      <c r="L42" s="221"/>
      <c r="M42" s="409"/>
      <c r="N42" s="182">
        <v>38</v>
      </c>
      <c r="O42" s="184"/>
      <c r="P42" s="185" t="str">
        <f>IF(Access_Data!$K74=0,"",Access_Data!$K74)</f>
        <v/>
      </c>
      <c r="Q42" s="189"/>
      <c r="R42" s="187" t="str">
        <f>IF(Access_Data!$K74&lt;&gt;0,IF(RIGHT($P42,3)="Low",Access_Data!$L74,IF(RIGHT($P42,4)="High",Access_Data!$J74,"")),"")</f>
        <v/>
      </c>
      <c r="S42" s="188" t="str">
        <f>IF(Access_Data!$M74&lt;&gt;0,Access_Data!$M74,"")</f>
        <v/>
      </c>
      <c r="T42" s="411"/>
      <c r="U42" s="412"/>
      <c r="V42" s="412"/>
      <c r="W42" s="412"/>
      <c r="X42" s="412" t="str">
        <f t="shared" si="0"/>
        <v/>
      </c>
      <c r="Y42" s="412"/>
      <c r="Z42" s="412"/>
    </row>
    <row r="43" spans="1:26" x14ac:dyDescent="0.2">
      <c r="A43" s="428"/>
      <c r="B43" s="219"/>
      <c r="C43" s="220"/>
      <c r="D43" s="221"/>
      <c r="E43" s="221"/>
      <c r="F43" s="221"/>
      <c r="G43" s="221"/>
      <c r="H43" s="221"/>
      <c r="I43" s="221"/>
      <c r="J43" s="221"/>
      <c r="K43" s="221"/>
      <c r="L43" s="221"/>
      <c r="M43" s="409"/>
      <c r="N43" s="182">
        <v>39</v>
      </c>
      <c r="O43" s="184"/>
      <c r="P43" s="185" t="str">
        <f>IF(Access_Data!$K75=0,"",Access_Data!$K75)</f>
        <v/>
      </c>
      <c r="Q43" s="186"/>
      <c r="R43" s="187" t="str">
        <f>IF(Access_Data!$K75&lt;&gt;0,IF(RIGHT($P43,3)="Low",Access_Data!$L75,IF(RIGHT($P43,4)="High",Access_Data!$J75,"")),"")</f>
        <v/>
      </c>
      <c r="S43" s="188" t="str">
        <f>IF(Access_Data!$M75&lt;&gt;0,Access_Data!$M75,"")</f>
        <v/>
      </c>
      <c r="T43" s="411"/>
      <c r="U43" s="412"/>
      <c r="V43" s="412"/>
      <c r="W43" s="412"/>
      <c r="X43" s="412" t="str">
        <f t="shared" si="0"/>
        <v/>
      </c>
      <c r="Y43" s="412"/>
      <c r="Z43" s="412"/>
    </row>
    <row r="44" spans="1:26" x14ac:dyDescent="0.2">
      <c r="A44" s="428"/>
      <c r="B44" s="219"/>
      <c r="C44" s="220"/>
      <c r="D44" s="221"/>
      <c r="E44" s="221"/>
      <c r="F44" s="221"/>
      <c r="G44" s="221"/>
      <c r="H44" s="221"/>
      <c r="I44" s="221"/>
      <c r="J44" s="221"/>
      <c r="K44" s="221"/>
      <c r="L44" s="221"/>
      <c r="M44" s="409"/>
      <c r="N44" s="182">
        <v>40</v>
      </c>
      <c r="O44" s="184"/>
      <c r="P44" s="185" t="str">
        <f>IF(Access_Data!$K76=0,"",Access_Data!$K76)</f>
        <v/>
      </c>
      <c r="Q44" s="189"/>
      <c r="R44" s="187" t="str">
        <f>IF(Access_Data!$K76&lt;&gt;0,IF(RIGHT($P44,3)="Low",Access_Data!$L76,IF(RIGHT($P44,4)="High",Access_Data!$J76,"")),"")</f>
        <v/>
      </c>
      <c r="S44" s="188" t="str">
        <f>IF(Access_Data!$M76&lt;&gt;0,Access_Data!$M76,"")</f>
        <v/>
      </c>
      <c r="T44" s="411"/>
      <c r="U44" s="412"/>
      <c r="V44" s="412"/>
      <c r="W44" s="412"/>
      <c r="X44" s="412" t="str">
        <f t="shared" si="0"/>
        <v/>
      </c>
      <c r="Y44" s="412"/>
      <c r="Z44" s="412"/>
    </row>
    <row r="45" spans="1:26" x14ac:dyDescent="0.2">
      <c r="A45" s="428"/>
      <c r="B45" s="450"/>
      <c r="C45" s="451"/>
      <c r="D45" s="409"/>
      <c r="E45" s="409"/>
      <c r="F45" s="409"/>
      <c r="G45" s="409"/>
      <c r="H45" s="409"/>
      <c r="I45" s="409"/>
      <c r="J45" s="409"/>
      <c r="K45" s="452"/>
      <c r="L45" s="409"/>
      <c r="M45" s="409"/>
      <c r="N45" s="411"/>
      <c r="O45" s="411"/>
      <c r="P45" s="411"/>
      <c r="Q45" s="411"/>
      <c r="R45" s="411"/>
      <c r="S45" s="411"/>
      <c r="T45" s="411"/>
      <c r="U45" s="412"/>
      <c r="V45" s="412"/>
      <c r="W45" s="412"/>
      <c r="X45" s="412" t="str">
        <f>IF(O45,1,"")</f>
        <v/>
      </c>
      <c r="Y45" s="412"/>
      <c r="Z45" s="412"/>
    </row>
    <row r="46" spans="1:26" x14ac:dyDescent="0.2">
      <c r="A46" s="432"/>
      <c r="B46" s="453"/>
      <c r="C46" s="454"/>
      <c r="D46" s="508" t="s">
        <v>45</v>
      </c>
      <c r="E46" s="509"/>
      <c r="F46" s="509"/>
      <c r="G46" s="509"/>
      <c r="H46" s="509"/>
      <c r="I46" s="510"/>
      <c r="J46" s="455"/>
      <c r="K46" s="455"/>
      <c r="L46" s="455"/>
      <c r="M46" s="534" t="s">
        <v>363</v>
      </c>
      <c r="N46" s="535"/>
      <c r="O46" s="536"/>
      <c r="P46" s="537"/>
      <c r="Q46" s="413"/>
      <c r="R46" s="413"/>
      <c r="S46" s="413"/>
      <c r="T46" s="413"/>
      <c r="U46" s="413"/>
    </row>
    <row r="47" spans="1:26" x14ac:dyDescent="0.2">
      <c r="A47" s="432"/>
      <c r="B47" s="453"/>
      <c r="C47" s="299" t="s">
        <v>75</v>
      </c>
      <c r="D47" s="387" t="str">
        <f>IF(D48="","",""""&amp;_xlfn.XLOOKUP(D$48,WireSets[serial_number],WireSets[type],"",0)&amp;"""")</f>
        <v/>
      </c>
      <c r="E47" s="387" t="str">
        <f>IF(E48="","",""""&amp;_xlfn.XLOOKUP(E$48,WireSets[serial_number],WireSets[type],"",0)&amp;"""")</f>
        <v/>
      </c>
      <c r="F47" s="387" t="str">
        <f>IF(F48="","",""""&amp;_xlfn.XLOOKUP(F$48,WireSets[serial_number],WireSets[type],"",0)&amp;"""")</f>
        <v/>
      </c>
      <c r="G47" s="387" t="str">
        <f>IF(G48="","",""""&amp;_xlfn.XLOOKUP(G$48,WireSets[serial_number],WireSets[type],"",0)&amp;"""")</f>
        <v/>
      </c>
      <c r="H47" s="387" t="str">
        <f>IF(H48="","",""""&amp;_xlfn.XLOOKUP(H$48,WireSets[serial_number],WireSets[type],"",0)&amp;"""")</f>
        <v/>
      </c>
      <c r="I47" s="387" t="str">
        <f>IF(I48="","",""""&amp;_xlfn.XLOOKUP(I$48,WireSets[serial_number],WireSets[type],"",0)&amp;"""")</f>
        <v/>
      </c>
      <c r="J47" s="455"/>
      <c r="K47" s="455"/>
      <c r="L47" s="409"/>
      <c r="M47" s="296" t="s">
        <v>364</v>
      </c>
      <c r="N47" s="407" t="s">
        <v>365</v>
      </c>
      <c r="O47" s="456"/>
      <c r="P47" s="515" t="s">
        <v>366</v>
      </c>
      <c r="Q47" s="515"/>
      <c r="R47" s="297" t="s">
        <v>367</v>
      </c>
      <c r="S47" s="413"/>
      <c r="T47" s="413"/>
      <c r="U47" s="413"/>
    </row>
    <row r="48" spans="1:26" x14ac:dyDescent="0.2">
      <c r="A48" s="428"/>
      <c r="B48" s="453"/>
      <c r="C48" s="389" t="s">
        <v>46</v>
      </c>
      <c r="D48" s="388"/>
      <c r="E48" s="388"/>
      <c r="F48" s="388"/>
      <c r="G48" s="388"/>
      <c r="H48" s="388"/>
      <c r="I48" s="388"/>
      <c r="J48" s="455"/>
      <c r="K48" s="455"/>
      <c r="L48" s="455"/>
      <c r="M48" s="516" t="s">
        <v>368</v>
      </c>
      <c r="N48" s="516"/>
      <c r="O48" s="457"/>
      <c r="P48" s="517" t="s">
        <v>424</v>
      </c>
      <c r="Q48" s="518"/>
      <c r="R48" s="519"/>
      <c r="S48" s="458"/>
      <c r="T48" s="414"/>
      <c r="U48" s="517" t="s">
        <v>427</v>
      </c>
      <c r="V48" s="518"/>
      <c r="W48" s="519"/>
    </row>
    <row r="49" spans="1:24" x14ac:dyDescent="0.2">
      <c r="A49" s="428"/>
      <c r="B49" s="459"/>
      <c r="C49" s="299" t="s">
        <v>47</v>
      </c>
      <c r="D49" s="386" t="str">
        <f>_xlfn.XLOOKUP(D$48,WireSets[serial_number],WireSets[service_date],"",0)</f>
        <v/>
      </c>
      <c r="E49" s="386" t="str">
        <f>_xlfn.XLOOKUP(E$48,WireSets[serial_number],WireSets[service_date],"",0)</f>
        <v/>
      </c>
      <c r="F49" s="386" t="str">
        <f>_xlfn.XLOOKUP(F$48,WireSets[serial_number],WireSets[service_date],"",0)</f>
        <v/>
      </c>
      <c r="G49" s="386" t="str">
        <f>_xlfn.XLOOKUP(G$48,WireSets[serial_number],WireSets[service_date],"",0)</f>
        <v/>
      </c>
      <c r="H49" s="386" t="str">
        <f>_xlfn.XLOOKUP(H$48,WireSets[serial_number],WireSets[service_date],"",0)</f>
        <v/>
      </c>
      <c r="I49" s="386" t="str">
        <f>_xlfn.XLOOKUP(I$48,WireSets[serial_number],WireSets[service_date],"",0)</f>
        <v/>
      </c>
      <c r="J49" s="455"/>
      <c r="K49" s="455" t="s">
        <v>921</v>
      </c>
      <c r="L49" s="455"/>
      <c r="M49" s="296" t="s">
        <v>369</v>
      </c>
      <c r="N49" s="406" t="str">
        <f>IF(PB,PB,"")</f>
        <v/>
      </c>
      <c r="O49" s="423"/>
      <c r="P49" s="520" t="s">
        <v>429</v>
      </c>
      <c r="Q49" s="521"/>
      <c r="R49" s="522"/>
      <c r="S49" s="339"/>
      <c r="T49" s="415"/>
      <c r="U49" s="520" t="s">
        <v>428</v>
      </c>
      <c r="V49" s="521"/>
      <c r="W49" s="522"/>
      <c r="X49" s="303"/>
    </row>
    <row r="50" spans="1:24" x14ac:dyDescent="0.2">
      <c r="A50" s="428"/>
      <c r="B50" s="460"/>
      <c r="C50" s="299" t="s">
        <v>48</v>
      </c>
      <c r="D50" s="386" t="str">
        <f>_xlfn.XLOOKUP(D$48,WireSets[serial_number],WireSets[next_service_date],"",0)</f>
        <v/>
      </c>
      <c r="E50" s="386" t="str">
        <f>_xlfn.XLOOKUP(E$48,WireSets[serial_number],WireSets[next_service_date],"",0)</f>
        <v/>
      </c>
      <c r="F50" s="386" t="str">
        <f>_xlfn.XLOOKUP(F$48,WireSets[serial_number],WireSets[next_service_date],"",0)</f>
        <v/>
      </c>
      <c r="G50" s="386" t="str">
        <f>_xlfn.XLOOKUP(G$48,WireSets[serial_number],WireSets[next_service_date],"",0)</f>
        <v/>
      </c>
      <c r="H50" s="386" t="str">
        <f>_xlfn.XLOOKUP(H$48,WireSets[serial_number],WireSets[next_service_date],"",0)</f>
        <v/>
      </c>
      <c r="I50" s="386" t="str">
        <f>_xlfn.XLOOKUP(I$48,WireSets[serial_number],WireSets[next_service_date],"",0)</f>
        <v/>
      </c>
      <c r="J50" s="455"/>
      <c r="K50" s="455"/>
      <c r="L50" s="455"/>
      <c r="M50" s="296" t="s">
        <v>370</v>
      </c>
      <c r="N50" s="406" t="str">
        <f>IF(Integral,Integral,"")</f>
        <v/>
      </c>
      <c r="O50" s="423"/>
      <c r="P50" s="523" t="s">
        <v>371</v>
      </c>
      <c r="Q50" s="524"/>
      <c r="R50" s="525"/>
      <c r="S50" s="461"/>
      <c r="T50" s="416"/>
      <c r="U50" s="523" t="s">
        <v>371</v>
      </c>
      <c r="V50" s="524"/>
      <c r="W50" s="525"/>
      <c r="X50" s="413"/>
    </row>
    <row r="51" spans="1:24" x14ac:dyDescent="0.2">
      <c r="A51" s="428"/>
      <c r="B51" s="462"/>
      <c r="C51" s="299" t="s">
        <v>73</v>
      </c>
      <c r="D51" s="388"/>
      <c r="E51" s="388"/>
      <c r="F51" s="388"/>
      <c r="G51" s="388"/>
      <c r="H51" s="388"/>
      <c r="I51" s="388"/>
      <c r="J51" s="455"/>
      <c r="K51" s="463"/>
      <c r="L51" s="455"/>
      <c r="M51" s="298" t="s">
        <v>372</v>
      </c>
      <c r="N51" s="406" t="str">
        <f>IF(Derivative,Derivative,"")</f>
        <v/>
      </c>
      <c r="O51" s="409"/>
      <c r="P51" s="520" t="s">
        <v>425</v>
      </c>
      <c r="Q51" s="521"/>
      <c r="R51" s="522"/>
      <c r="S51" s="339"/>
      <c r="T51" s="417"/>
      <c r="U51" s="520" t="s">
        <v>430</v>
      </c>
      <c r="V51" s="521"/>
      <c r="W51" s="522"/>
      <c r="X51" s="303"/>
    </row>
    <row r="52" spans="1:24" x14ac:dyDescent="0.2">
      <c r="A52" s="428"/>
      <c r="B52" s="453"/>
      <c r="C52" s="299" t="s">
        <v>378</v>
      </c>
      <c r="D52" s="388"/>
      <c r="E52" s="388"/>
      <c r="F52" s="388"/>
      <c r="G52" s="388"/>
      <c r="H52" s="388"/>
      <c r="I52" s="388"/>
      <c r="J52" s="455"/>
      <c r="K52" s="463"/>
      <c r="L52" s="455"/>
      <c r="M52" s="298" t="s">
        <v>373</v>
      </c>
      <c r="N52" s="406" t="str">
        <f>IF(Other1,Other1,"")</f>
        <v/>
      </c>
      <c r="O52" s="423"/>
      <c r="P52" s="523" t="s">
        <v>371</v>
      </c>
      <c r="Q52" s="524"/>
      <c r="R52" s="525"/>
      <c r="S52" s="461"/>
      <c r="T52" s="418"/>
      <c r="U52" s="523" t="s">
        <v>371</v>
      </c>
      <c r="V52" s="524"/>
      <c r="W52" s="525"/>
      <c r="X52" s="413"/>
    </row>
    <row r="53" spans="1:24" ht="12.75" customHeight="1" x14ac:dyDescent="0.2">
      <c r="A53" s="428"/>
      <c r="B53" s="453"/>
      <c r="C53" s="299" t="s">
        <v>74</v>
      </c>
      <c r="D53" s="400"/>
      <c r="E53" s="400"/>
      <c r="F53" s="400"/>
      <c r="G53" s="400"/>
      <c r="H53" s="400"/>
      <c r="I53" s="400"/>
      <c r="J53" s="455"/>
      <c r="K53" s="464"/>
      <c r="L53" s="464"/>
      <c r="M53" s="313" t="s">
        <v>373</v>
      </c>
      <c r="N53" s="406" t="str">
        <f>IF(Other2,Other2,"")</f>
        <v/>
      </c>
      <c r="O53" s="423"/>
      <c r="P53" s="564" t="s">
        <v>426</v>
      </c>
      <c r="Q53" s="565"/>
      <c r="R53" s="566"/>
      <c r="S53" s="340"/>
      <c r="T53" s="419"/>
      <c r="U53" s="564" t="s">
        <v>431</v>
      </c>
      <c r="V53" s="565"/>
      <c r="W53" s="566"/>
      <c r="X53" s="304"/>
    </row>
    <row r="54" spans="1:24" x14ac:dyDescent="0.2">
      <c r="A54" s="428"/>
      <c r="B54" s="453"/>
      <c r="C54" s="300" t="s">
        <v>106</v>
      </c>
      <c r="D54" s="398" t="str">
        <f>_xlfn.XLOOKUP(D$48,WireSets[serial_number],WireSets[certificate_number],"",0)</f>
        <v/>
      </c>
      <c r="E54" s="398" t="str">
        <f>_xlfn.XLOOKUP(E$48,WireSets[serial_number],WireSets[certificate_number],"",0)</f>
        <v/>
      </c>
      <c r="F54" s="398" t="str">
        <f>_xlfn.XLOOKUP(F$48,WireSets[serial_number],WireSets[certificate_number],"",0)</f>
        <v/>
      </c>
      <c r="G54" s="398" t="str">
        <f>_xlfn.XLOOKUP(G$48,WireSets[serial_number],WireSets[certificate_number],"",0)</f>
        <v/>
      </c>
      <c r="H54" s="398" t="str">
        <f>_xlfn.XLOOKUP(H$48,WireSets[serial_number],WireSets[certificate_number],"",0)</f>
        <v/>
      </c>
      <c r="I54" s="398" t="str">
        <f>_xlfn.XLOOKUP(I$48,WireSets[serial_number],WireSets[certificate_number],"",0)</f>
        <v/>
      </c>
      <c r="J54" s="465"/>
      <c r="K54" s="314"/>
      <c r="L54" s="315"/>
      <c r="M54" s="316" t="s">
        <v>401</v>
      </c>
      <c r="N54" s="405">
        <v>0</v>
      </c>
      <c r="O54" s="411"/>
      <c r="P54" s="567"/>
      <c r="Q54" s="568"/>
      <c r="R54" s="569"/>
      <c r="S54" s="466"/>
      <c r="T54" s="420"/>
      <c r="U54" s="567"/>
      <c r="V54" s="568"/>
      <c r="W54" s="569"/>
    </row>
    <row r="55" spans="1:24" x14ac:dyDescent="0.2">
      <c r="A55" s="428"/>
      <c r="B55" s="453"/>
      <c r="C55" s="300" t="s">
        <v>178</v>
      </c>
      <c r="D55" s="390" t="str">
        <f>_xlfn.XLOOKUP(D$48,WireSets[serial_number],WireSets[wire_roll_cert_number],"",0)</f>
        <v/>
      </c>
      <c r="E55" s="390" t="str">
        <f>_xlfn.XLOOKUP(E$48,WireSets[serial_number],WireSets[wire_roll_cert_number],"",0)</f>
        <v/>
      </c>
      <c r="F55" s="390" t="str">
        <f>_xlfn.XLOOKUP(F$48,WireSets[serial_number],WireSets[wire_roll_cert_number],"",0)</f>
        <v/>
      </c>
      <c r="G55" s="390" t="str">
        <f>_xlfn.XLOOKUP(G$48,WireSets[serial_number],WireSets[wire_roll_cert_number],"",0)</f>
        <v/>
      </c>
      <c r="H55" s="390" t="str">
        <f>_xlfn.XLOOKUP(H$48,WireSets[serial_number],WireSets[wire_roll_cert_number],"",0)</f>
        <v/>
      </c>
      <c r="I55" s="390" t="str">
        <f>_xlfn.XLOOKUP(I$48,WireSets[serial_number],WireSets[wire_roll_cert_number],"",0)</f>
        <v/>
      </c>
      <c r="J55" s="467"/>
      <c r="K55" s="317"/>
      <c r="L55" s="318"/>
      <c r="M55" s="319" t="s">
        <v>402</v>
      </c>
      <c r="N55" s="405">
        <v>0</v>
      </c>
      <c r="O55" s="411"/>
      <c r="P55" s="305" t="s">
        <v>374</v>
      </c>
      <c r="Q55" s="305" t="s">
        <v>26</v>
      </c>
      <c r="R55" s="329" t="s">
        <v>375</v>
      </c>
      <c r="S55" s="468"/>
      <c r="T55" s="421"/>
      <c r="U55" s="408" t="s">
        <v>376</v>
      </c>
      <c r="V55" s="305" t="s">
        <v>26</v>
      </c>
      <c r="W55" s="305" t="s">
        <v>377</v>
      </c>
    </row>
    <row r="56" spans="1:24" x14ac:dyDescent="0.2">
      <c r="A56" s="428"/>
      <c r="B56" s="469"/>
      <c r="C56" s="300" t="s">
        <v>179</v>
      </c>
      <c r="D56" s="388"/>
      <c r="E56" s="388"/>
      <c r="F56" s="388"/>
      <c r="G56" s="388"/>
      <c r="H56" s="388"/>
      <c r="I56" s="388"/>
      <c r="J56" s="470"/>
      <c r="K56" s="320"/>
      <c r="L56" s="321"/>
      <c r="M56" s="319" t="s">
        <v>403</v>
      </c>
      <c r="N56" s="405">
        <v>0</v>
      </c>
      <c r="O56" s="411"/>
      <c r="P56" s="306"/>
      <c r="Q56" s="307"/>
      <c r="R56" s="330"/>
      <c r="S56" s="471"/>
      <c r="T56" s="422"/>
      <c r="U56" s="308"/>
      <c r="V56" s="307"/>
      <c r="W56" s="306"/>
    </row>
    <row r="57" spans="1:24" x14ac:dyDescent="0.2">
      <c r="A57" s="428"/>
      <c r="B57" s="450"/>
      <c r="C57" s="295" t="s">
        <v>379</v>
      </c>
      <c r="D57" s="391"/>
      <c r="E57" s="391"/>
      <c r="F57" s="391"/>
      <c r="G57" s="391"/>
      <c r="H57" s="391"/>
      <c r="I57" s="391"/>
      <c r="J57" s="409"/>
      <c r="K57" s="322"/>
      <c r="L57" s="323"/>
      <c r="M57" s="324" t="s">
        <v>404</v>
      </c>
      <c r="N57" s="405">
        <v>0</v>
      </c>
      <c r="O57" s="411"/>
      <c r="P57" s="409"/>
      <c r="Q57" s="409"/>
      <c r="R57" s="409"/>
      <c r="S57" s="409"/>
    </row>
    <row r="58" spans="1:24" x14ac:dyDescent="0.2">
      <c r="A58" s="428"/>
      <c r="B58" s="450"/>
      <c r="C58" s="508" t="s">
        <v>184</v>
      </c>
      <c r="D58" s="509"/>
      <c r="E58" s="509"/>
      <c r="F58" s="509"/>
      <c r="G58" s="509"/>
      <c r="H58" s="509"/>
      <c r="I58" s="509"/>
      <c r="J58" s="509"/>
      <c r="K58" s="513"/>
      <c r="L58" s="514"/>
      <c r="M58" s="413"/>
      <c r="N58" s="413"/>
      <c r="O58" s="413"/>
      <c r="P58" s="413"/>
      <c r="Q58" s="413"/>
      <c r="R58" s="413"/>
      <c r="S58" s="413"/>
      <c r="T58" s="413"/>
      <c r="U58" s="413"/>
    </row>
    <row r="59" spans="1:24" x14ac:dyDescent="0.2">
      <c r="A59" s="428"/>
      <c r="B59" s="450"/>
      <c r="C59" s="508" t="s">
        <v>189</v>
      </c>
      <c r="D59" s="509"/>
      <c r="E59" s="509"/>
      <c r="F59" s="509"/>
      <c r="G59" s="509"/>
      <c r="H59" s="509"/>
      <c r="I59" s="509"/>
      <c r="J59" s="509"/>
      <c r="K59" s="509"/>
      <c r="L59" s="510"/>
      <c r="M59" s="413"/>
      <c r="N59" s="423" t="str">
        <f>"DOORS OPENED FOR " &amp;L16&amp; " SECONDS TO SIMULATE LOAD ENTRY AT " &amp;L17&amp; "."</f>
        <v>DOORS OPENED FOR  SECONDS TO SIMULATE LOAD ENTRY AT .</v>
      </c>
      <c r="O59" s="423"/>
      <c r="P59" s="423"/>
      <c r="Q59" s="423"/>
      <c r="R59" s="423"/>
      <c r="S59" s="423"/>
      <c r="T59" s="423"/>
      <c r="U59" s="423"/>
      <c r="V59" s="423"/>
    </row>
    <row r="60" spans="1:24" x14ac:dyDescent="0.2">
      <c r="A60" s="472"/>
      <c r="B60" s="459"/>
      <c r="C60" s="222"/>
      <c r="D60" s="223" t="s">
        <v>187</v>
      </c>
      <c r="E60" s="404"/>
      <c r="F60" s="224" t="s">
        <v>185</v>
      </c>
      <c r="G60" s="225"/>
      <c r="H60" s="225"/>
      <c r="I60" s="225"/>
      <c r="J60" s="226"/>
      <c r="K60" s="404"/>
      <c r="L60" s="227" t="s">
        <v>186</v>
      </c>
      <c r="M60" s="455"/>
      <c r="N60" s="473" t="str">
        <f>"AFTER TUS, HIGH LIMIT SET AT " &amp;E60&amp; "°F AND OVEN SETPOINT RAISED UNTIL HIGH LIMIT SYSTEM ACTIVATED AT " &amp;K60&amp; "°F."</f>
        <v>AFTER TUS, HIGH LIMIT SET AT °F AND OVEN SETPOINT RAISED UNTIL HIGH LIMIT SYSTEM ACTIVATED AT °F.</v>
      </c>
      <c r="O60" s="473"/>
      <c r="P60" s="423"/>
      <c r="Q60" s="423"/>
      <c r="R60" s="423"/>
      <c r="S60" s="423"/>
      <c r="T60" s="423"/>
      <c r="U60" s="423"/>
      <c r="V60" s="423"/>
    </row>
    <row r="61" spans="1:24" x14ac:dyDescent="0.2">
      <c r="A61" s="432"/>
      <c r="B61" s="424"/>
      <c r="C61" s="223"/>
      <c r="D61" s="223" t="s">
        <v>188</v>
      </c>
      <c r="E61" s="404"/>
      <c r="F61" s="229" t="s">
        <v>190</v>
      </c>
      <c r="G61" s="230"/>
      <c r="H61" s="230"/>
      <c r="I61" s="231"/>
      <c r="J61" s="404"/>
      <c r="K61" s="232" t="s">
        <v>186</v>
      </c>
      <c r="L61" s="409"/>
      <c r="M61" s="413"/>
      <c r="N61" s="473" t="str">
        <f>"AFTER TUS, HIGH LIMIT READING " &amp;E61&amp; "°F AND HIGH LIMIT SETPOINT LOWERED UNTIL ACTIVATION AT " &amp;J61&amp; "°F."</f>
        <v>AFTER TUS, HIGH LIMIT READING °F AND HIGH LIMIT SETPOINT LOWERED UNTIL ACTIVATION AT °F.</v>
      </c>
      <c r="O61" s="474"/>
      <c r="P61" s="423"/>
      <c r="Q61" s="423"/>
      <c r="R61" s="423"/>
      <c r="S61" s="423"/>
      <c r="T61" s="423"/>
      <c r="U61" s="423"/>
      <c r="V61" s="423"/>
    </row>
    <row r="62" spans="1:24" x14ac:dyDescent="0.2">
      <c r="A62" s="432"/>
      <c r="B62" s="424"/>
      <c r="C62" s="425"/>
      <c r="D62" s="409"/>
      <c r="E62" s="409"/>
      <c r="F62" s="413" t="s">
        <v>398</v>
      </c>
      <c r="G62" s="448"/>
      <c r="H62" s="448"/>
      <c r="I62" s="448"/>
      <c r="J62" s="409"/>
      <c r="K62" s="409"/>
      <c r="L62" s="409"/>
      <c r="M62" s="475"/>
      <c r="N62" s="474"/>
      <c r="O62" s="474"/>
      <c r="P62" s="423"/>
      <c r="Q62" s="423"/>
      <c r="R62" s="423"/>
      <c r="S62" s="423"/>
      <c r="T62" s="423"/>
      <c r="U62" s="423"/>
      <c r="V62" s="423"/>
    </row>
    <row r="63" spans="1:24" x14ac:dyDescent="0.2">
      <c r="A63" s="432"/>
      <c r="B63" s="424"/>
      <c r="C63" s="447"/>
      <c r="D63" s="448"/>
      <c r="E63" s="448"/>
      <c r="F63" s="448"/>
      <c r="G63" s="448"/>
      <c r="H63" s="448"/>
      <c r="I63" s="448"/>
      <c r="J63" s="409"/>
      <c r="K63" s="409"/>
      <c r="L63" s="409"/>
      <c r="M63" s="413"/>
      <c r="N63" s="455"/>
      <c r="O63" s="455"/>
      <c r="P63" s="413"/>
      <c r="Q63" s="413"/>
      <c r="R63" s="413"/>
      <c r="S63" s="413"/>
      <c r="T63" s="413"/>
      <c r="U63" s="413"/>
    </row>
    <row r="64" spans="1:24" x14ac:dyDescent="0.2">
      <c r="A64" s="476"/>
      <c r="B64" s="424"/>
      <c r="C64" s="447"/>
      <c r="D64" s="448"/>
      <c r="E64" s="448"/>
      <c r="F64" s="448"/>
      <c r="G64" s="448"/>
      <c r="H64" s="448"/>
      <c r="I64" s="448"/>
      <c r="J64" s="409"/>
      <c r="K64" s="409"/>
      <c r="L64" s="409"/>
      <c r="M64" s="413"/>
      <c r="N64" s="455"/>
      <c r="O64" s="455"/>
      <c r="P64" s="413"/>
      <c r="Q64" s="413"/>
      <c r="R64" s="413"/>
      <c r="S64" s="413"/>
      <c r="T64" s="413"/>
      <c r="U64" s="413"/>
    </row>
    <row r="65" spans="1:19" x14ac:dyDescent="0.2">
      <c r="A65" s="477"/>
      <c r="B65" s="424"/>
      <c r="C65" s="447"/>
      <c r="D65" s="448"/>
      <c r="E65" s="448"/>
      <c r="F65" s="448"/>
      <c r="G65" s="448"/>
      <c r="H65" s="448"/>
      <c r="I65" s="448"/>
      <c r="J65" s="409"/>
      <c r="K65" s="409"/>
      <c r="L65" s="409"/>
      <c r="M65" s="409"/>
      <c r="N65" s="478"/>
      <c r="O65" s="478"/>
      <c r="P65" s="409"/>
      <c r="Q65" s="409"/>
      <c r="R65" s="409"/>
      <c r="S65" s="409"/>
    </row>
    <row r="66" spans="1:19" x14ac:dyDescent="0.2">
      <c r="A66" s="479"/>
      <c r="B66" s="424"/>
      <c r="C66" s="447"/>
      <c r="D66" s="448"/>
      <c r="E66" s="448"/>
      <c r="F66" s="448"/>
      <c r="G66" s="448"/>
      <c r="H66" s="448"/>
      <c r="I66" s="448"/>
      <c r="J66" s="409"/>
      <c r="K66" s="409"/>
      <c r="L66" s="409"/>
      <c r="M66" s="409"/>
      <c r="N66" s="480"/>
      <c r="O66" s="480"/>
      <c r="P66" s="409"/>
      <c r="Q66" s="409"/>
      <c r="R66" s="409"/>
      <c r="S66" s="409"/>
    </row>
    <row r="67" spans="1:19" x14ac:dyDescent="0.2">
      <c r="A67" s="432"/>
      <c r="B67" s="424"/>
      <c r="C67" s="447"/>
      <c r="D67" s="448"/>
      <c r="E67" s="448"/>
      <c r="F67" s="448"/>
      <c r="G67" s="448"/>
      <c r="H67" s="448"/>
      <c r="I67" s="448"/>
      <c r="J67" s="409"/>
      <c r="K67" s="409"/>
      <c r="L67" s="409"/>
      <c r="M67" s="409"/>
      <c r="N67" s="480"/>
      <c r="O67" s="480"/>
      <c r="P67" s="409"/>
      <c r="Q67" s="409"/>
      <c r="R67" s="409"/>
      <c r="S67" s="409"/>
    </row>
    <row r="68" spans="1:19" x14ac:dyDescent="0.2">
      <c r="A68" s="432"/>
      <c r="B68" s="424"/>
      <c r="C68" s="447"/>
      <c r="D68" s="448"/>
      <c r="E68" s="448"/>
      <c r="F68" s="448"/>
      <c r="G68" s="448"/>
      <c r="H68" s="448"/>
      <c r="I68" s="448"/>
      <c r="J68" s="409"/>
      <c r="K68" s="409"/>
      <c r="L68" s="409"/>
      <c r="M68" s="409"/>
      <c r="N68" s="480"/>
      <c r="O68" s="480"/>
      <c r="P68" s="409"/>
      <c r="Q68" s="409"/>
      <c r="R68" s="409"/>
      <c r="S68" s="409"/>
    </row>
    <row r="69" spans="1:19" ht="24.75" customHeight="1" x14ac:dyDescent="0.2">
      <c r="A69" s="432"/>
      <c r="B69" s="424"/>
      <c r="C69" s="447"/>
      <c r="D69" s="448"/>
      <c r="E69" s="448"/>
      <c r="F69" s="448"/>
      <c r="G69" s="448"/>
      <c r="H69" s="448"/>
      <c r="I69" s="448"/>
      <c r="J69" s="409"/>
      <c r="K69" s="409"/>
      <c r="L69" s="409"/>
      <c r="M69" s="409"/>
      <c r="N69" s="480"/>
      <c r="O69" s="480"/>
      <c r="P69" s="409"/>
      <c r="Q69" s="409"/>
      <c r="R69" s="409"/>
      <c r="S69" s="409"/>
    </row>
    <row r="70" spans="1:19" x14ac:dyDescent="0.2">
      <c r="A70" s="432"/>
      <c r="B70" s="424"/>
      <c r="C70" s="425"/>
      <c r="D70" s="409"/>
      <c r="E70" s="409"/>
      <c r="F70" s="409"/>
      <c r="G70" s="409"/>
      <c r="H70" s="409"/>
      <c r="I70" s="409"/>
      <c r="J70" s="409"/>
      <c r="K70" s="409"/>
      <c r="L70" s="409"/>
      <c r="M70" s="409"/>
      <c r="N70" s="454"/>
      <c r="O70" s="454"/>
      <c r="P70" s="409"/>
      <c r="Q70" s="409"/>
      <c r="R70" s="409"/>
      <c r="S70" s="409"/>
    </row>
    <row r="71" spans="1:19" x14ac:dyDescent="0.2">
      <c r="A71" s="481"/>
      <c r="B71" s="424"/>
      <c r="C71" s="425"/>
      <c r="D71" s="409"/>
      <c r="E71" s="409"/>
      <c r="F71" s="409"/>
      <c r="G71" s="409"/>
      <c r="H71" s="409"/>
      <c r="I71" s="409"/>
      <c r="J71" s="409"/>
      <c r="K71" s="409"/>
      <c r="L71" s="409"/>
      <c r="M71" s="409"/>
      <c r="N71" s="409"/>
      <c r="O71" s="454"/>
      <c r="P71" s="409"/>
      <c r="Q71" s="409"/>
      <c r="R71" s="409"/>
      <c r="S71" s="409"/>
    </row>
    <row r="72" spans="1:19" x14ac:dyDescent="0.2">
      <c r="A72" s="482"/>
      <c r="B72" s="483" t="str" cm="1">
        <f t="array" ref="B72:B85">TRANSPOSE(TUS_Worksheet!C$13:P$13)</f>
        <v/>
      </c>
      <c r="C72" s="484">
        <v>1</v>
      </c>
      <c r="D72" s="485" t="str" cm="1">
        <f t="array" ref="D72:D111">IF(B72:B111="","",C72:C111)</f>
        <v/>
      </c>
      <c r="E72" s="485"/>
      <c r="F72" s="485"/>
      <c r="G72" s="485"/>
      <c r="H72" s="485"/>
      <c r="I72" s="485"/>
      <c r="J72" s="485"/>
      <c r="K72" s="485"/>
      <c r="L72" s="485"/>
      <c r="M72" s="485"/>
      <c r="N72" s="486">
        <f ca="1">IF(Access_Data!B$27="",0,Access_Data!B$27)</f>
        <v>0</v>
      </c>
      <c r="O72" s="486">
        <f ca="1">IF(Access_Data!$B$29="",0,Access_Data!$B$29)</f>
        <v>0</v>
      </c>
      <c r="P72" s="486" t="str">
        <f ca="1">IFERROR(Access_Data!$B$31,0)</f>
        <v/>
      </c>
      <c r="Q72" s="485"/>
      <c r="R72" s="409"/>
      <c r="S72" s="409"/>
    </row>
    <row r="73" spans="1:19" x14ac:dyDescent="0.2">
      <c r="A73" s="482"/>
      <c r="B73" s="483" t="str">
        <v/>
      </c>
      <c r="C73" s="484">
        <v>2</v>
      </c>
      <c r="D73" s="485" t="str">
        <v/>
      </c>
      <c r="E73" s="485"/>
      <c r="F73" s="485"/>
      <c r="G73" s="485"/>
      <c r="H73" s="485"/>
      <c r="I73" s="485"/>
      <c r="J73" s="485"/>
      <c r="K73" s="485"/>
      <c r="L73" s="485"/>
      <c r="M73" s="485"/>
      <c r="N73" s="486">
        <f ca="1">IF(Access_Data!C$27="",0,Access_Data!C$27)</f>
        <v>0</v>
      </c>
      <c r="O73" s="486">
        <f ca="1">IF(Access_Data!$C$29="",0,Access_Data!$C$29)</f>
        <v>0</v>
      </c>
      <c r="P73" s="486" t="str">
        <f ca="1">IF(ISERROR(Access_Data!$C$31),0,Access_Data!$C$31)</f>
        <v/>
      </c>
      <c r="Q73" s="485"/>
      <c r="R73" s="409"/>
      <c r="S73" s="409"/>
    </row>
    <row r="74" spans="1:19" x14ac:dyDescent="0.2">
      <c r="A74" s="482"/>
      <c r="B74" s="483" t="str">
        <v/>
      </c>
      <c r="C74" s="484">
        <v>3</v>
      </c>
      <c r="D74" s="485" t="str">
        <v/>
      </c>
      <c r="E74" s="485"/>
      <c r="F74" s="485"/>
      <c r="G74" s="485"/>
      <c r="H74" s="485"/>
      <c r="I74" s="485"/>
      <c r="J74" s="485"/>
      <c r="K74" s="485"/>
      <c r="L74" s="485"/>
      <c r="M74" s="485"/>
      <c r="N74" s="486">
        <f ca="1">IF(Access_Data!D$27="",0,Access_Data!D$27)</f>
        <v>0</v>
      </c>
      <c r="O74" s="486">
        <f ca="1">IF(Access_Data!$D$29="",0,Access_Data!$D$29)</f>
        <v>0</v>
      </c>
      <c r="P74" s="486" t="str">
        <f ca="1">IF(ISERROR(Access_Data!$D$31),0,Access_Data!$D$31)</f>
        <v/>
      </c>
      <c r="Q74" s="485"/>
      <c r="R74" s="409"/>
      <c r="S74" s="409"/>
    </row>
    <row r="75" spans="1:19" x14ac:dyDescent="0.2">
      <c r="A75" s="482"/>
      <c r="B75" s="483" t="str">
        <v/>
      </c>
      <c r="C75" s="484">
        <v>4</v>
      </c>
      <c r="D75" s="485" t="str">
        <v/>
      </c>
      <c r="E75" s="485"/>
      <c r="F75" s="485"/>
      <c r="G75" s="485"/>
      <c r="H75" s="485"/>
      <c r="I75" s="485"/>
      <c r="J75" s="485"/>
      <c r="K75" s="485"/>
      <c r="L75" s="485"/>
      <c r="M75" s="485"/>
      <c r="N75" s="486">
        <f ca="1">IF(Access_Data!E$27="",0,Access_Data!E$27)</f>
        <v>0</v>
      </c>
      <c r="O75" s="486">
        <f ca="1">IF(Access_Data!$E$29="",0,Access_Data!$E$29)</f>
        <v>0</v>
      </c>
      <c r="P75" s="486" t="str">
        <f ca="1">IF(ISERROR(Access_Data!$E$31),0,Access_Data!$E$31)</f>
        <v/>
      </c>
      <c r="Q75" s="485"/>
      <c r="R75" s="409"/>
      <c r="S75" s="409"/>
    </row>
    <row r="76" spans="1:19" x14ac:dyDescent="0.2">
      <c r="A76" s="482"/>
      <c r="B76" s="483" t="str">
        <v/>
      </c>
      <c r="C76" s="484">
        <v>5</v>
      </c>
      <c r="D76" s="485" t="str">
        <v/>
      </c>
      <c r="E76" s="485"/>
      <c r="F76" s="485"/>
      <c r="G76" s="485"/>
      <c r="H76" s="485"/>
      <c r="I76" s="485"/>
      <c r="J76" s="485"/>
      <c r="K76" s="485"/>
      <c r="L76" s="485"/>
      <c r="M76" s="485"/>
      <c r="N76" s="486">
        <f ca="1">IF(Access_Data!F$27="",0,Access_Data!F$27)</f>
        <v>0</v>
      </c>
      <c r="O76" s="486">
        <f ca="1">IF(Access_Data!$F$29="",0,Access_Data!$F$29)</f>
        <v>0</v>
      </c>
      <c r="P76" s="486" t="str">
        <f ca="1">IF(ISERROR(Access_Data!$F$31),0,Access_Data!$F$31)</f>
        <v/>
      </c>
      <c r="Q76" s="485"/>
      <c r="R76" s="409"/>
      <c r="S76" s="409"/>
    </row>
    <row r="77" spans="1:19" x14ac:dyDescent="0.2">
      <c r="A77" s="482"/>
      <c r="B77" s="483" t="str">
        <v/>
      </c>
      <c r="C77" s="484">
        <v>6</v>
      </c>
      <c r="D77" s="485" t="str">
        <v/>
      </c>
      <c r="E77" s="485"/>
      <c r="F77" s="485"/>
      <c r="G77" s="485"/>
      <c r="H77" s="485"/>
      <c r="I77" s="485"/>
      <c r="J77" s="485"/>
      <c r="K77" s="485"/>
      <c r="L77" s="485"/>
      <c r="M77" s="485"/>
      <c r="N77" s="486">
        <f ca="1">IF(Access_Data!G$27="",0,Access_Data!G$27)</f>
        <v>0</v>
      </c>
      <c r="O77" s="486">
        <f ca="1">IF(Access_Data!$G$29="",0,Access_Data!$G$29)</f>
        <v>0</v>
      </c>
      <c r="P77" s="486" t="str">
        <f ca="1">IF(ISERROR(Access_Data!$G$31),0,Access_Data!$G$31)</f>
        <v/>
      </c>
      <c r="Q77" s="485"/>
      <c r="R77" s="409"/>
      <c r="S77" s="409"/>
    </row>
    <row r="78" spans="1:19" x14ac:dyDescent="0.2">
      <c r="A78" s="482"/>
      <c r="B78" s="483" t="str">
        <v/>
      </c>
      <c r="C78" s="484">
        <v>7</v>
      </c>
      <c r="D78" s="485" t="str">
        <v/>
      </c>
      <c r="E78" s="485"/>
      <c r="F78" s="485"/>
      <c r="G78" s="485"/>
      <c r="H78" s="485"/>
      <c r="I78" s="485"/>
      <c r="J78" s="485"/>
      <c r="K78" s="485"/>
      <c r="L78" s="485"/>
      <c r="M78" s="485"/>
      <c r="N78" s="486">
        <f ca="1">IF(Access_Data!H$27="",0,Access_Data!H$27)</f>
        <v>0</v>
      </c>
      <c r="O78" s="486">
        <f ca="1">IF(Access_Data!$H$29="",0,Access_Data!$H$29)</f>
        <v>0</v>
      </c>
      <c r="P78" s="486" t="str">
        <f ca="1">IF(ISERROR(Access_Data!$H$31),0,Access_Data!$H$31)</f>
        <v/>
      </c>
      <c r="Q78" s="485"/>
      <c r="R78" s="409"/>
      <c r="S78" s="409"/>
    </row>
    <row r="79" spans="1:19" x14ac:dyDescent="0.2">
      <c r="A79" s="482"/>
      <c r="B79" s="483" t="str">
        <v/>
      </c>
      <c r="C79" s="484">
        <v>8</v>
      </c>
      <c r="D79" s="485" t="str">
        <v/>
      </c>
      <c r="E79" s="485"/>
      <c r="F79" s="485"/>
      <c r="G79" s="485"/>
      <c r="H79" s="485"/>
      <c r="I79" s="485"/>
      <c r="J79" s="485"/>
      <c r="K79" s="485"/>
      <c r="L79" s="485"/>
      <c r="M79" s="485"/>
      <c r="N79" s="486">
        <f ca="1">IF(Access_Data!I$27="",0,Access_Data!I$27)</f>
        <v>0</v>
      </c>
      <c r="O79" s="486">
        <f ca="1">IF(Access_Data!$I$29="",0,Access_Data!$I$29)</f>
        <v>0</v>
      </c>
      <c r="P79" s="486" t="str">
        <f ca="1">IF(ISERROR(Access_Data!$I$31),0,Access_Data!$I$31)</f>
        <v/>
      </c>
      <c r="Q79" s="485"/>
      <c r="R79" s="409"/>
      <c r="S79" s="409"/>
    </row>
    <row r="80" spans="1:19" x14ac:dyDescent="0.2">
      <c r="A80" s="482"/>
      <c r="B80" s="483" t="str">
        <v/>
      </c>
      <c r="C80" s="484">
        <v>9</v>
      </c>
      <c r="D80" s="485" t="str">
        <v/>
      </c>
      <c r="E80" s="485"/>
      <c r="F80" s="485"/>
      <c r="G80" s="485"/>
      <c r="H80" s="485"/>
      <c r="I80" s="485"/>
      <c r="J80" s="485"/>
      <c r="K80" s="485"/>
      <c r="L80" s="485"/>
      <c r="M80" s="485"/>
      <c r="N80" s="486">
        <f ca="1">IF(Access_Data!J$27="",0,Access_Data!J$27)</f>
        <v>0</v>
      </c>
      <c r="O80" s="486">
        <f ca="1">IF(Access_Data!$J$29="",0,Access_Data!$J$29)</f>
        <v>0</v>
      </c>
      <c r="P80" s="486" t="str">
        <f ca="1">IF(ISERROR(Access_Data!$J$31),0,Access_Data!$J$31)</f>
        <v/>
      </c>
      <c r="Q80" s="485"/>
      <c r="R80" s="409"/>
      <c r="S80" s="409"/>
    </row>
    <row r="81" spans="1:19" x14ac:dyDescent="0.2">
      <c r="A81" s="482"/>
      <c r="B81" s="483" t="str">
        <v/>
      </c>
      <c r="C81" s="484">
        <v>10</v>
      </c>
      <c r="D81" s="485" t="str">
        <v/>
      </c>
      <c r="E81" s="485"/>
      <c r="F81" s="485"/>
      <c r="G81" s="485"/>
      <c r="H81" s="485"/>
      <c r="I81" s="485"/>
      <c r="J81" s="485"/>
      <c r="K81" s="485"/>
      <c r="L81" s="485"/>
      <c r="M81" s="485"/>
      <c r="N81" s="486">
        <f ca="1">IF(Access_Data!K$27="",0,Access_Data!K$27)</f>
        <v>0</v>
      </c>
      <c r="O81" s="486">
        <f ca="1">IF(Access_Data!$K$29="",0,Access_Data!$K$29)</f>
        <v>0</v>
      </c>
      <c r="P81" s="486" t="str">
        <f ca="1">IF(ISERROR(Access_Data!$K$31),0,Access_Data!$K$31)</f>
        <v/>
      </c>
      <c r="Q81" s="485"/>
      <c r="R81" s="409"/>
      <c r="S81" s="409"/>
    </row>
    <row r="82" spans="1:19" x14ac:dyDescent="0.2">
      <c r="A82" s="482"/>
      <c r="B82" s="483" t="str">
        <v/>
      </c>
      <c r="C82" s="484">
        <v>11</v>
      </c>
      <c r="D82" s="485" t="str">
        <v/>
      </c>
      <c r="E82" s="485"/>
      <c r="F82" s="485"/>
      <c r="G82" s="485"/>
      <c r="H82" s="485"/>
      <c r="I82" s="485"/>
      <c r="J82" s="485"/>
      <c r="K82" s="485"/>
      <c r="L82" s="485"/>
      <c r="M82" s="485"/>
      <c r="N82" s="486">
        <f ca="1">IF(Access_Data!L$27="",0,Access_Data!L$27)</f>
        <v>0</v>
      </c>
      <c r="O82" s="486">
        <f ca="1">IF(Access_Data!$L$29="",0,Access_Data!$L$29)</f>
        <v>0</v>
      </c>
      <c r="P82" s="486" t="str">
        <f ca="1">IF(ISERROR(Access_Data!$L$31),0,Access_Data!$L$31)</f>
        <v/>
      </c>
      <c r="Q82" s="485"/>
      <c r="R82" s="409"/>
      <c r="S82" s="409"/>
    </row>
    <row r="83" spans="1:19" x14ac:dyDescent="0.2">
      <c r="A83" s="482"/>
      <c r="B83" s="483" t="str">
        <v/>
      </c>
      <c r="C83" s="484">
        <v>12</v>
      </c>
      <c r="D83" s="485" t="str">
        <v/>
      </c>
      <c r="E83" s="487"/>
      <c r="F83" s="488"/>
      <c r="G83" s="489"/>
      <c r="H83" s="490"/>
      <c r="I83" s="487"/>
      <c r="J83" s="488"/>
      <c r="K83" s="489"/>
      <c r="L83" s="490"/>
      <c r="M83" s="485"/>
      <c r="N83" s="486">
        <f ca="1">IF(Access_Data!M$27="",0,Access_Data!M$27)</f>
        <v>0</v>
      </c>
      <c r="O83" s="486">
        <f ca="1">IF(Access_Data!$M$29="",0,Access_Data!$M$29)</f>
        <v>0</v>
      </c>
      <c r="P83" s="486" t="str">
        <f ca="1">IF(ISERROR(Access_Data!$M$31),0,Access_Data!$M$31)</f>
        <v/>
      </c>
      <c r="Q83" s="485"/>
      <c r="R83" s="409"/>
      <c r="S83" s="409"/>
    </row>
    <row r="84" spans="1:19" x14ac:dyDescent="0.2">
      <c r="A84" s="482"/>
      <c r="B84" s="483" t="str">
        <v/>
      </c>
      <c r="C84" s="484">
        <v>13</v>
      </c>
      <c r="D84" s="485" t="str">
        <v/>
      </c>
      <c r="E84" s="491"/>
      <c r="F84" s="492" t="s">
        <v>176</v>
      </c>
      <c r="G84" s="493"/>
      <c r="H84" s="494"/>
      <c r="I84" s="495"/>
      <c r="J84" s="488"/>
      <c r="K84" s="489"/>
      <c r="L84" s="490"/>
      <c r="M84" s="485"/>
      <c r="N84" s="486">
        <f ca="1">IF(Access_Data!N$27="",0,Access_Data!N$27)</f>
        <v>0</v>
      </c>
      <c r="O84" s="486">
        <f ca="1">IF(Access_Data!$N$29="",0,Access_Data!$N$29)</f>
        <v>0</v>
      </c>
      <c r="P84" s="486" t="str">
        <f ca="1">IF(ISERROR(Access_Data!$N$31),0,Access_Data!$N$31)</f>
        <v/>
      </c>
      <c r="Q84" s="485"/>
      <c r="R84" s="409"/>
      <c r="S84" s="409"/>
    </row>
    <row r="85" spans="1:19" x14ac:dyDescent="0.2">
      <c r="A85" s="482"/>
      <c r="B85" s="483" t="str">
        <v/>
      </c>
      <c r="C85" s="484">
        <v>14</v>
      </c>
      <c r="D85" s="485" t="str">
        <v/>
      </c>
      <c r="E85" s="491"/>
      <c r="F85" s="492" t="s">
        <v>177</v>
      </c>
      <c r="G85" s="493" t="s">
        <v>175</v>
      </c>
      <c r="H85" s="494" t="s">
        <v>174</v>
      </c>
      <c r="I85" s="495"/>
      <c r="J85" s="488"/>
      <c r="K85" s="489"/>
      <c r="L85" s="490"/>
      <c r="M85" s="485"/>
      <c r="N85" s="486">
        <f ca="1">IF(Access_Data!O$27="",0,Access_Data!O$27)</f>
        <v>0</v>
      </c>
      <c r="O85" s="486">
        <f ca="1">IF(Access_Data!$O$29="",0,Access_Data!$O$29)</f>
        <v>0</v>
      </c>
      <c r="P85" s="486" t="str">
        <f ca="1">IF(ISERROR(Access_Data!$O$31),0,Access_Data!$O$31)</f>
        <v/>
      </c>
      <c r="Q85" s="485"/>
      <c r="R85" s="409"/>
      <c r="S85" s="409"/>
    </row>
    <row r="86" spans="1:19" x14ac:dyDescent="0.2">
      <c r="A86" s="482"/>
      <c r="B86" s="483" t="str" cm="1">
        <f t="array" ref="B86:B99">TRANSPOSE(TUS_Worksheet!C$19:P$19)</f>
        <v/>
      </c>
      <c r="C86" s="484">
        <v>15</v>
      </c>
      <c r="D86" s="485" t="str">
        <v/>
      </c>
      <c r="E86" s="491"/>
      <c r="F86" s="492">
        <v>1</v>
      </c>
      <c r="G86" s="493">
        <v>5</v>
      </c>
      <c r="H86" s="496">
        <f>MAX(I86:J86)</f>
        <v>2</v>
      </c>
      <c r="I86" s="495">
        <f>D16*0.002</f>
        <v>0</v>
      </c>
      <c r="J86" s="497">
        <v>2</v>
      </c>
      <c r="K86" s="489"/>
      <c r="L86" s="490"/>
      <c r="M86" s="485"/>
      <c r="N86" s="486">
        <f ca="1">IF(Access_Data!V$27="",0,Access_Data!V$27)</f>
        <v>0</v>
      </c>
      <c r="O86" s="486">
        <f ca="1">IF(Access_Data!$V$29="",0,Access_Data!$V$29)</f>
        <v>0</v>
      </c>
      <c r="P86" s="486" t="str">
        <f ca="1">IF(ISERROR(Access_Data!$V$31),0,Access_Data!$V$31)</f>
        <v/>
      </c>
      <c r="Q86" s="485"/>
      <c r="R86" s="409"/>
      <c r="S86" s="409"/>
    </row>
    <row r="87" spans="1:19" x14ac:dyDescent="0.2">
      <c r="A87" s="482"/>
      <c r="B87" s="483" t="str">
        <v/>
      </c>
      <c r="C87" s="484">
        <v>16</v>
      </c>
      <c r="D87" s="485" t="str">
        <v/>
      </c>
      <c r="E87" s="491"/>
      <c r="F87" s="492">
        <v>2</v>
      </c>
      <c r="G87" s="493">
        <v>10</v>
      </c>
      <c r="H87" s="496">
        <f t="shared" ref="H87:H91" si="1">MAX(I87:J87)</f>
        <v>3</v>
      </c>
      <c r="I87" s="495">
        <f>D16*0.003</f>
        <v>0</v>
      </c>
      <c r="J87" s="497">
        <v>3</v>
      </c>
      <c r="K87" s="489"/>
      <c r="L87" s="490"/>
      <c r="M87" s="485"/>
      <c r="N87" s="486">
        <f ca="1">IF(Access_Data!W$27="",0,Access_Data!W$27)</f>
        <v>0</v>
      </c>
      <c r="O87" s="486">
        <f ca="1">IF(Access_Data!$W$29="",0,Access_Data!$W$29)</f>
        <v>0</v>
      </c>
      <c r="P87" s="486" t="str">
        <f ca="1">IF(ISERROR(Access_Data!$W$31),0,Access_Data!$W$31)</f>
        <v/>
      </c>
      <c r="Q87" s="485"/>
      <c r="R87" s="409"/>
      <c r="S87" s="409"/>
    </row>
    <row r="88" spans="1:19" x14ac:dyDescent="0.2">
      <c r="A88" s="482"/>
      <c r="B88" s="483" t="str">
        <v/>
      </c>
      <c r="C88" s="484">
        <v>17</v>
      </c>
      <c r="D88" s="485" t="str">
        <v/>
      </c>
      <c r="E88" s="491"/>
      <c r="F88" s="492">
        <v>3</v>
      </c>
      <c r="G88" s="493">
        <v>15</v>
      </c>
      <c r="H88" s="496">
        <f t="shared" si="1"/>
        <v>4</v>
      </c>
      <c r="I88" s="495">
        <f>D16*0.004</f>
        <v>0</v>
      </c>
      <c r="J88" s="497">
        <v>4</v>
      </c>
      <c r="K88" s="489"/>
      <c r="L88" s="490"/>
      <c r="M88" s="485"/>
      <c r="N88" s="486">
        <f ca="1">IF(Access_Data!X$27="",0,Access_Data!X$27)</f>
        <v>0</v>
      </c>
      <c r="O88" s="486">
        <f ca="1">IF(Access_Data!$X$29="",0,Access_Data!$X$29)</f>
        <v>0</v>
      </c>
      <c r="P88" s="486" t="str">
        <f ca="1">IF(ISERROR(Access_Data!$X$31),0,Access_Data!$X$31)</f>
        <v/>
      </c>
      <c r="Q88" s="485"/>
      <c r="R88" s="409"/>
      <c r="S88" s="409"/>
    </row>
    <row r="89" spans="1:19" x14ac:dyDescent="0.2">
      <c r="A89" s="482"/>
      <c r="B89" s="483" t="str">
        <v/>
      </c>
      <c r="C89" s="484">
        <v>18</v>
      </c>
      <c r="D89" s="485" t="str">
        <v/>
      </c>
      <c r="E89" s="491"/>
      <c r="F89" s="492">
        <v>4</v>
      </c>
      <c r="G89" s="493">
        <v>20</v>
      </c>
      <c r="H89" s="496">
        <f t="shared" si="1"/>
        <v>4</v>
      </c>
      <c r="I89" s="495">
        <f>D16*0.004</f>
        <v>0</v>
      </c>
      <c r="J89" s="497">
        <v>4</v>
      </c>
      <c r="K89" s="489"/>
      <c r="L89" s="490"/>
      <c r="M89" s="485"/>
      <c r="N89" s="486">
        <f ca="1">IF(Access_Data!Y$27="",0,Access_Data!Y$27)</f>
        <v>0</v>
      </c>
      <c r="O89" s="486">
        <f ca="1">IF(Access_Data!$Y$29="",0,Access_Data!$Y$29)</f>
        <v>0</v>
      </c>
      <c r="P89" s="486" t="str">
        <f ca="1">IF(ISERROR(Access_Data!$Y$31),0,Access_Data!$Y$31)</f>
        <v/>
      </c>
      <c r="Q89" s="485"/>
      <c r="R89" s="409"/>
      <c r="S89" s="409"/>
    </row>
    <row r="90" spans="1:19" x14ac:dyDescent="0.2">
      <c r="A90" s="482"/>
      <c r="B90" s="483" t="str">
        <v/>
      </c>
      <c r="C90" s="484">
        <v>19</v>
      </c>
      <c r="D90" s="485" t="str">
        <v/>
      </c>
      <c r="E90" s="491"/>
      <c r="F90" s="492">
        <v>5</v>
      </c>
      <c r="G90" s="493">
        <v>25</v>
      </c>
      <c r="H90" s="496">
        <f t="shared" si="1"/>
        <v>5</v>
      </c>
      <c r="I90" s="495">
        <f>D16*0.005</f>
        <v>0</v>
      </c>
      <c r="J90" s="497">
        <v>5</v>
      </c>
      <c r="K90" s="489"/>
      <c r="L90" s="490"/>
      <c r="M90" s="485"/>
      <c r="N90" s="486">
        <f ca="1">IF(Access_Data!Z$27="",0,Access_Data!Z$27)</f>
        <v>0</v>
      </c>
      <c r="O90" s="486">
        <f ca="1">IF(Access_Data!$Z$29="",0,Access_Data!$Z$29)</f>
        <v>0</v>
      </c>
      <c r="P90" s="486" t="str">
        <f ca="1">IF(ISERROR(Access_Data!$Z$31),0,Access_Data!$Z$31)</f>
        <v/>
      </c>
      <c r="Q90" s="485"/>
      <c r="R90" s="409"/>
      <c r="S90" s="409"/>
    </row>
    <row r="91" spans="1:19" x14ac:dyDescent="0.2">
      <c r="A91" s="482"/>
      <c r="B91" s="483" t="str">
        <v/>
      </c>
      <c r="C91" s="484">
        <v>20</v>
      </c>
      <c r="D91" s="485" t="str">
        <v/>
      </c>
      <c r="E91" s="491"/>
      <c r="F91" s="492">
        <v>6</v>
      </c>
      <c r="G91" s="493">
        <v>50</v>
      </c>
      <c r="H91" s="496">
        <f t="shared" si="1"/>
        <v>10</v>
      </c>
      <c r="I91" s="495">
        <f>D16*0.01</f>
        <v>0</v>
      </c>
      <c r="J91" s="497">
        <v>10</v>
      </c>
      <c r="K91" s="489"/>
      <c r="L91" s="490"/>
      <c r="M91" s="485"/>
      <c r="N91" s="486">
        <f ca="1">IF(Access_Data!AA$27="",0,Access_Data!AA$27)</f>
        <v>0</v>
      </c>
      <c r="O91" s="486">
        <f ca="1">IF(Access_Data!$AA$29="",0,Access_Data!$AA$29)</f>
        <v>0</v>
      </c>
      <c r="P91" s="486" t="str">
        <f ca="1">IF(ISERROR(Access_Data!$AA$31),0,Access_Data!$AA$31)</f>
        <v/>
      </c>
      <c r="Q91" s="485"/>
      <c r="R91" s="409"/>
      <c r="S91" s="409"/>
    </row>
    <row r="92" spans="1:19" x14ac:dyDescent="0.2">
      <c r="A92" s="482"/>
      <c r="B92" s="483" t="str">
        <v/>
      </c>
      <c r="C92" s="484">
        <v>21</v>
      </c>
      <c r="D92" s="485" t="str">
        <v/>
      </c>
      <c r="E92" s="491"/>
      <c r="F92" s="492"/>
      <c r="G92" s="493"/>
      <c r="H92" s="494"/>
      <c r="I92" s="495"/>
      <c r="J92" s="488"/>
      <c r="K92" s="489"/>
      <c r="L92" s="490"/>
      <c r="M92" s="485"/>
      <c r="N92" s="486">
        <f ca="1">IF(Access_Data!AB$27="",0,Access_Data!AB$27)</f>
        <v>0</v>
      </c>
      <c r="O92" s="486">
        <f ca="1">IF(Access_Data!$AB$29="",0,Access_Data!$AB$29)</f>
        <v>0</v>
      </c>
      <c r="P92" s="486" t="str">
        <f ca="1">IF(ISERROR(Access_Data!$AB$31),0,Access_Data!$AB$31)</f>
        <v/>
      </c>
      <c r="Q92" s="485"/>
      <c r="R92" s="409"/>
      <c r="S92" s="409"/>
    </row>
    <row r="93" spans="1:19" x14ac:dyDescent="0.2">
      <c r="A93" s="482"/>
      <c r="B93" s="483" t="str">
        <v/>
      </c>
      <c r="C93" s="484">
        <v>22</v>
      </c>
      <c r="D93" s="485" t="str">
        <v/>
      </c>
      <c r="E93" s="491"/>
      <c r="F93" s="492" t="s">
        <v>297</v>
      </c>
      <c r="G93" s="493" t="e">
        <f>VLOOKUP(D19,G86:H91,2,FALSE)</f>
        <v>#N/A</v>
      </c>
      <c r="H93" s="494" t="s">
        <v>298</v>
      </c>
      <c r="I93" s="495"/>
      <c r="J93" s="488"/>
      <c r="K93" s="489"/>
      <c r="L93" s="490"/>
      <c r="M93" s="485"/>
      <c r="N93" s="486">
        <f ca="1">IF(Access_Data!AC$27="",0,Access_Data!AC$27)</f>
        <v>0</v>
      </c>
      <c r="O93" s="486">
        <f ca="1">IF(Access_Data!$AC$29="",0,Access_Data!$AC$29)</f>
        <v>0</v>
      </c>
      <c r="P93" s="486" t="str">
        <f ca="1">IF(ISERROR(Access_Data!$AC$31),0,Access_Data!$AC$31)</f>
        <v/>
      </c>
      <c r="Q93" s="485"/>
      <c r="R93" s="409"/>
      <c r="S93" s="409"/>
    </row>
    <row r="94" spans="1:19" x14ac:dyDescent="0.2">
      <c r="A94" s="482"/>
      <c r="B94" s="483" t="str">
        <v/>
      </c>
      <c r="C94" s="484">
        <v>23</v>
      </c>
      <c r="D94" s="485" t="str">
        <v/>
      </c>
      <c r="E94" s="491"/>
      <c r="F94" s="498"/>
      <c r="G94" s="499" t="e">
        <f>CONCATENATE(F93,G93,H93)</f>
        <v>#N/A</v>
      </c>
      <c r="H94" s="500"/>
      <c r="I94" s="491" t="b">
        <v>1</v>
      </c>
      <c r="J94" s="488"/>
      <c r="K94" s="489"/>
      <c r="L94" s="490"/>
      <c r="M94" s="485"/>
      <c r="N94" s="486">
        <f ca="1">IF(Access_Data!AD$27="",0,Access_Data!AD$27)</f>
        <v>0</v>
      </c>
      <c r="O94" s="486">
        <f ca="1">IF(Access_Data!$AD27="",0,Access_Data!$AD$29)</f>
        <v>0</v>
      </c>
      <c r="P94" s="486" t="str">
        <f ca="1">IF(ISERROR(Access_Data!$AD31),0,Access_Data!$AD$31)</f>
        <v/>
      </c>
      <c r="Q94" s="485"/>
      <c r="R94" s="409"/>
      <c r="S94" s="409"/>
    </row>
    <row r="95" spans="1:19" x14ac:dyDescent="0.2">
      <c r="A95" s="482"/>
      <c r="B95" s="483" t="str">
        <v/>
      </c>
      <c r="C95" s="484">
        <v>24</v>
      </c>
      <c r="D95" s="485" t="str">
        <v/>
      </c>
      <c r="E95" s="487"/>
      <c r="F95" s="488"/>
      <c r="G95" s="489" t="e">
        <f>ROUNDDOWN(G93,2-(1+INT(LOG10(ABS(G93)))))</f>
        <v>#N/A</v>
      </c>
      <c r="H95" s="490"/>
      <c r="I95" s="487"/>
      <c r="J95" s="488"/>
      <c r="K95" s="489"/>
      <c r="L95" s="490"/>
      <c r="M95" s="485"/>
      <c r="N95" s="486">
        <f ca="1">IF(Access_Data!AE$27="",0,Access_Data!AE$27)</f>
        <v>0</v>
      </c>
      <c r="O95" s="486">
        <f ca="1">IF(Access_Data!$AE$29="",0,Access_Data!$AE$29)</f>
        <v>0</v>
      </c>
      <c r="P95" s="486" t="str">
        <f ca="1">IF(ISERROR(Access_Data!$AE$31),0,Access_Data!$AE$31)</f>
        <v/>
      </c>
      <c r="Q95" s="485"/>
      <c r="R95" s="409"/>
      <c r="S95" s="409"/>
    </row>
    <row r="96" spans="1:19" x14ac:dyDescent="0.2">
      <c r="A96" s="482"/>
      <c r="B96" s="483" t="str">
        <v/>
      </c>
      <c r="C96" s="484">
        <v>25</v>
      </c>
      <c r="D96" s="485" t="str">
        <v/>
      </c>
      <c r="E96" s="482"/>
      <c r="F96" s="483"/>
      <c r="G96" s="484"/>
      <c r="H96" s="485"/>
      <c r="I96" s="482"/>
      <c r="J96" s="483"/>
      <c r="K96" s="484"/>
      <c r="L96" s="485"/>
      <c r="M96" s="485"/>
      <c r="N96" s="486">
        <f ca="1">IF(Access_Data!AF$27="",0,Access_Data!AF$27)</f>
        <v>0</v>
      </c>
      <c r="O96" s="486">
        <f ca="1">IF(Access_Data!$AF$29="",0,Access_Data!$AF$29)</f>
        <v>0</v>
      </c>
      <c r="P96" s="486" t="str">
        <f ca="1">IF(ISERROR(Access_Data!$AF$31),0,Access_Data!$AF$31)</f>
        <v/>
      </c>
      <c r="Q96" s="485"/>
      <c r="R96" s="409"/>
      <c r="S96" s="409"/>
    </row>
    <row r="97" spans="1:19" x14ac:dyDescent="0.2">
      <c r="A97" s="482"/>
      <c r="B97" s="483" t="str">
        <v/>
      </c>
      <c r="C97" s="484">
        <v>26</v>
      </c>
      <c r="D97" s="485" t="str">
        <v/>
      </c>
      <c r="E97" s="482"/>
      <c r="F97" s="483"/>
      <c r="G97" s="484"/>
      <c r="H97" s="485"/>
      <c r="I97" s="482"/>
      <c r="J97" s="483"/>
      <c r="K97" s="484"/>
      <c r="L97" s="485"/>
      <c r="M97" s="485"/>
      <c r="N97" s="486">
        <f ca="1">IF(Access_Data!AG$27="",0,Access_Data!AG$27)</f>
        <v>0</v>
      </c>
      <c r="O97" s="486">
        <f ca="1">IF(Access_Data!$AG$29="",0,Access_Data!$AG$29)</f>
        <v>0</v>
      </c>
      <c r="P97" s="486" t="str">
        <f ca="1">IF(ISERROR(Access_Data!$AG$31),0,Access_Data!$AG$31)</f>
        <v/>
      </c>
      <c r="Q97" s="485"/>
      <c r="R97" s="409"/>
      <c r="S97" s="409"/>
    </row>
    <row r="98" spans="1:19" x14ac:dyDescent="0.2">
      <c r="A98" s="482"/>
      <c r="B98" s="483" t="str">
        <v/>
      </c>
      <c r="C98" s="484">
        <v>27</v>
      </c>
      <c r="D98" s="485" t="str">
        <v/>
      </c>
      <c r="E98" s="485"/>
      <c r="F98" s="485"/>
      <c r="G98" s="485"/>
      <c r="H98" s="485"/>
      <c r="I98" s="485"/>
      <c r="J98" s="485"/>
      <c r="K98" s="485"/>
      <c r="L98" s="485"/>
      <c r="M98" s="485"/>
      <c r="N98" s="486">
        <f ca="1">IF(Access_Data!AH$27="",0,Access_Data!AH$27)</f>
        <v>0</v>
      </c>
      <c r="O98" s="486">
        <f ca="1">IF(Access_Data!$AH$29="",0,Access_Data!$AH$29)</f>
        <v>0</v>
      </c>
      <c r="P98" s="486" t="str">
        <f ca="1">IF(ISERROR(Access_Data!$AH$31),0,Access_Data!$AH$31)</f>
        <v/>
      </c>
      <c r="Q98" s="485"/>
      <c r="R98" s="409"/>
      <c r="S98" s="409"/>
    </row>
    <row r="99" spans="1:19" x14ac:dyDescent="0.2">
      <c r="A99" s="482"/>
      <c r="B99" s="483" t="str">
        <v/>
      </c>
      <c r="C99" s="484">
        <v>28</v>
      </c>
      <c r="D99" s="485" t="str">
        <v/>
      </c>
      <c r="E99" s="485"/>
      <c r="F99" s="485"/>
      <c r="G99" s="485"/>
      <c r="H99" s="485"/>
      <c r="I99" s="485"/>
      <c r="J99" s="485"/>
      <c r="K99" s="485"/>
      <c r="L99" s="485"/>
      <c r="M99" s="485"/>
      <c r="N99" s="486">
        <f ca="1">IF(Access_Data!AI$27="",0,Access_Data!AI$27)</f>
        <v>0</v>
      </c>
      <c r="O99" s="486">
        <f ca="1">IF(Access_Data!$AI$29="",0,Access_Data!$AI$29)</f>
        <v>0</v>
      </c>
      <c r="P99" s="486" t="str">
        <f ca="1">IF(ISERROR(Access_Data!$AI$31),0,Access_Data!$AI$31)</f>
        <v/>
      </c>
      <c r="Q99" s="485"/>
      <c r="R99" s="409"/>
      <c r="S99" s="409"/>
    </row>
    <row r="100" spans="1:19" x14ac:dyDescent="0.2">
      <c r="A100" s="482"/>
      <c r="B100" s="483" t="str" cm="1">
        <f t="array" ref="B100:B111">TRANSPOSE(TUS_Worksheet!C$25:N$25)</f>
        <v/>
      </c>
      <c r="C100" s="484">
        <v>29</v>
      </c>
      <c r="D100" s="485" t="str">
        <v/>
      </c>
      <c r="E100" s="485"/>
      <c r="F100" s="485"/>
      <c r="G100" s="485"/>
      <c r="H100" s="485"/>
      <c r="I100" s="485"/>
      <c r="J100" s="485"/>
      <c r="K100" s="485"/>
      <c r="L100" s="485"/>
      <c r="M100" s="485"/>
      <c r="N100" s="486">
        <f ca="1">IF(Access_Data!AP$27="",0,Access_Data!AP$27)</f>
        <v>0</v>
      </c>
      <c r="O100" s="486">
        <f ca="1">IF(Access_Data!$AP$29="",0,Access_Data!$AP$29)</f>
        <v>0</v>
      </c>
      <c r="P100" s="486" t="str">
        <f ca="1">IF(ISERROR(Access_Data!$AP$31),0,Access_Data!$AP$31)</f>
        <v/>
      </c>
      <c r="Q100" s="485"/>
      <c r="R100" s="409"/>
      <c r="S100" s="409"/>
    </row>
    <row r="101" spans="1:19" x14ac:dyDescent="0.2">
      <c r="A101" s="482"/>
      <c r="B101" s="483" t="str">
        <v/>
      </c>
      <c r="C101" s="484">
        <v>30</v>
      </c>
      <c r="D101" s="485" t="str">
        <v/>
      </c>
      <c r="E101" s="485"/>
      <c r="F101" s="485"/>
      <c r="G101" s="485"/>
      <c r="H101" s="485"/>
      <c r="I101" s="485"/>
      <c r="J101" s="485"/>
      <c r="K101" s="485"/>
      <c r="L101" s="485"/>
      <c r="M101" s="485"/>
      <c r="N101" s="486">
        <f ca="1">IF(Access_Data!AQ$27="",0,Access_Data!AQ$27)</f>
        <v>0</v>
      </c>
      <c r="O101" s="486">
        <f ca="1">IF(Access_Data!$AQ$29="",0,Access_Data!$AQ$29)</f>
        <v>0</v>
      </c>
      <c r="P101" s="486">
        <f ca="1">IF(ISERROR(Access_Data!$AQ$31),0,Access_Data!$AQ$31)</f>
        <v>0</v>
      </c>
      <c r="Q101" s="485"/>
      <c r="R101" s="409"/>
      <c r="S101" s="409"/>
    </row>
    <row r="102" spans="1:19" x14ac:dyDescent="0.2">
      <c r="A102" s="482"/>
      <c r="B102" s="483" t="str">
        <v/>
      </c>
      <c r="C102" s="484">
        <v>31</v>
      </c>
      <c r="D102" s="485" t="str">
        <v/>
      </c>
      <c r="E102" s="485"/>
      <c r="F102" s="485"/>
      <c r="G102" s="485"/>
      <c r="H102" s="485"/>
      <c r="I102" s="485"/>
      <c r="J102" s="485"/>
      <c r="K102" s="485"/>
      <c r="L102" s="485"/>
      <c r="M102" s="485"/>
      <c r="N102" s="486">
        <f ca="1">IF(Access_Data!AR$27="",0,Access_Data!AR$27)</f>
        <v>0</v>
      </c>
      <c r="O102" s="486">
        <f ca="1">IF(Access_Data!$AR$29="",0,Access_Data!$AR$29)</f>
        <v>0</v>
      </c>
      <c r="P102" s="486">
        <f ca="1">IF(ISERROR(Access_Data!$AR$31),0,Access_Data!$AR$31)</f>
        <v>0</v>
      </c>
      <c r="Q102" s="485"/>
      <c r="R102" s="409"/>
      <c r="S102" s="409"/>
    </row>
    <row r="103" spans="1:19" x14ac:dyDescent="0.2">
      <c r="A103" s="482"/>
      <c r="B103" s="483" t="str">
        <v/>
      </c>
      <c r="C103" s="484">
        <v>32</v>
      </c>
      <c r="D103" s="485" t="str">
        <v/>
      </c>
      <c r="E103" s="485"/>
      <c r="F103" s="485"/>
      <c r="G103" s="485"/>
      <c r="H103" s="485"/>
      <c r="I103" s="485"/>
      <c r="J103" s="485"/>
      <c r="K103" s="485"/>
      <c r="L103" s="485"/>
      <c r="M103" s="485"/>
      <c r="N103" s="486">
        <f ca="1">IF(Access_Data!AS$27="",0,Access_Data!AS$27)</f>
        <v>0</v>
      </c>
      <c r="O103" s="486">
        <f ca="1">IF(Access_Data!$AS$29="",0,Access_Data!$AS$29)</f>
        <v>0</v>
      </c>
      <c r="P103" s="486">
        <f ca="1">IF(ISERROR(Access_Data!$AS$31),0,Access_Data!$AS$31)</f>
        <v>0</v>
      </c>
      <c r="Q103" s="485"/>
      <c r="R103" s="409"/>
      <c r="S103" s="409"/>
    </row>
    <row r="104" spans="1:19" x14ac:dyDescent="0.2">
      <c r="A104" s="482"/>
      <c r="B104" s="483" t="str">
        <v/>
      </c>
      <c r="C104" s="484">
        <v>33</v>
      </c>
      <c r="D104" s="485" t="str">
        <v/>
      </c>
      <c r="E104" s="485"/>
      <c r="F104" s="485"/>
      <c r="G104" s="485"/>
      <c r="H104" s="485"/>
      <c r="I104" s="485"/>
      <c r="J104" s="485"/>
      <c r="K104" s="485"/>
      <c r="L104" s="485"/>
      <c r="M104" s="485"/>
      <c r="N104" s="486">
        <f ca="1">IF(Access_Data!AT$27="",0,Access_Data!AT$27)</f>
        <v>0</v>
      </c>
      <c r="O104" s="486">
        <f ca="1">IF(Access_Data!$AT$29="",0,Access_Data!$AT$29)</f>
        <v>0</v>
      </c>
      <c r="P104" s="486">
        <f ca="1">IF(ISERROR(Access_Data!$AT$31),0,Access_Data!$AT$31)</f>
        <v>0</v>
      </c>
      <c r="Q104" s="485"/>
      <c r="R104" s="409"/>
      <c r="S104" s="409"/>
    </row>
    <row r="105" spans="1:19" x14ac:dyDescent="0.2">
      <c r="A105" s="482"/>
      <c r="B105" s="483" t="str">
        <v/>
      </c>
      <c r="C105" s="484">
        <v>34</v>
      </c>
      <c r="D105" s="485" t="str">
        <v/>
      </c>
      <c r="E105" s="485"/>
      <c r="F105" s="485"/>
      <c r="G105" s="485"/>
      <c r="H105" s="485"/>
      <c r="I105" s="485"/>
      <c r="J105" s="485"/>
      <c r="K105" s="485"/>
      <c r="L105" s="485"/>
      <c r="M105" s="485"/>
      <c r="N105" s="486">
        <f ca="1">IF(Access_Data!AU$27="",0,Access_Data!AU$27)</f>
        <v>0</v>
      </c>
      <c r="O105" s="486">
        <f ca="1">IF(Access_Data!$AU$29="",0,Access_Data!$AU$29)</f>
        <v>0</v>
      </c>
      <c r="P105" s="486">
        <f ca="1">IF(ISERROR(Access_Data!$AU$31),0,Access_Data!$AU$31)</f>
        <v>0</v>
      </c>
      <c r="Q105" s="485"/>
      <c r="R105" s="409"/>
      <c r="S105" s="409"/>
    </row>
    <row r="106" spans="1:19" x14ac:dyDescent="0.2">
      <c r="A106" s="482"/>
      <c r="B106" s="483" t="str">
        <v/>
      </c>
      <c r="C106" s="484">
        <v>35</v>
      </c>
      <c r="D106" s="485" t="str">
        <v/>
      </c>
      <c r="E106" s="485"/>
      <c r="F106" s="485"/>
      <c r="G106" s="485"/>
      <c r="H106" s="485"/>
      <c r="I106" s="485"/>
      <c r="J106" s="485"/>
      <c r="K106" s="485"/>
      <c r="L106" s="485"/>
      <c r="M106" s="485"/>
      <c r="N106" s="486">
        <f ca="1">IF(Access_Data!AV$27="",0,Access_Data!AV$27)</f>
        <v>0</v>
      </c>
      <c r="O106" s="486">
        <f ca="1">IF(Access_Data!$AV$29="",0,Access_Data!$AV$29)</f>
        <v>0</v>
      </c>
      <c r="P106" s="486">
        <f ca="1">IF(ISERROR(Access_Data!$AV$31),0,Access_Data!$AV$31)</f>
        <v>0</v>
      </c>
      <c r="Q106" s="485"/>
      <c r="R106" s="409"/>
      <c r="S106" s="409"/>
    </row>
    <row r="107" spans="1:19" x14ac:dyDescent="0.2">
      <c r="A107" s="482"/>
      <c r="B107" s="483" t="str">
        <v/>
      </c>
      <c r="C107" s="484">
        <v>36</v>
      </c>
      <c r="D107" s="485" t="str">
        <v/>
      </c>
      <c r="E107" s="485"/>
      <c r="F107" s="485"/>
      <c r="G107" s="485"/>
      <c r="H107" s="485"/>
      <c r="I107" s="485"/>
      <c r="J107" s="485"/>
      <c r="K107" s="485"/>
      <c r="L107" s="485"/>
      <c r="M107" s="485"/>
      <c r="N107" s="486">
        <f ca="1">IF(Access_Data!AW$27="",0,Access_Data!AW$27)</f>
        <v>0</v>
      </c>
      <c r="O107" s="486">
        <f ca="1">IF(Access_Data!$AW$29="",0,Access_Data!$AW$29)</f>
        <v>0</v>
      </c>
      <c r="P107" s="486">
        <f ca="1">IF(ISERROR(Access_Data!$AW$31),0,Access_Data!$AW$31)</f>
        <v>0</v>
      </c>
      <c r="Q107" s="485"/>
      <c r="R107" s="409"/>
      <c r="S107" s="409"/>
    </row>
    <row r="108" spans="1:19" x14ac:dyDescent="0.2">
      <c r="A108" s="482"/>
      <c r="B108" s="483" t="str">
        <v/>
      </c>
      <c r="C108" s="484">
        <v>37</v>
      </c>
      <c r="D108" s="485" t="str">
        <v/>
      </c>
      <c r="E108" s="485"/>
      <c r="F108" s="485"/>
      <c r="G108" s="485"/>
      <c r="H108" s="485"/>
      <c r="I108" s="485"/>
      <c r="J108" s="485"/>
      <c r="K108" s="485"/>
      <c r="L108" s="485"/>
      <c r="M108" s="485"/>
      <c r="N108" s="486">
        <f ca="1">IF(Access_Data!AX$27="",0,Access_Data!AX$27)</f>
        <v>0</v>
      </c>
      <c r="O108" s="486">
        <f ca="1">IF(Access_Data!$AX$29="",0,Access_Data!$AX$29)</f>
        <v>0</v>
      </c>
      <c r="P108" s="486">
        <f ca="1">IF(ISERROR(Access_Data!$AX$31),0,Access_Data!$AX$31)</f>
        <v>0</v>
      </c>
      <c r="Q108" s="485"/>
      <c r="R108" s="409"/>
      <c r="S108" s="409"/>
    </row>
    <row r="109" spans="1:19" x14ac:dyDescent="0.2">
      <c r="A109" s="482"/>
      <c r="B109" s="483" t="str">
        <v/>
      </c>
      <c r="C109" s="484">
        <v>38</v>
      </c>
      <c r="D109" s="485" t="str">
        <v/>
      </c>
      <c r="E109" s="485"/>
      <c r="F109" s="485"/>
      <c r="G109" s="485"/>
      <c r="H109" s="485"/>
      <c r="I109" s="485"/>
      <c r="J109" s="485"/>
      <c r="K109" s="485"/>
      <c r="L109" s="485"/>
      <c r="M109" s="485"/>
      <c r="N109" s="486">
        <f ca="1">IF(Access_Data!AY$27="",0,Access_Data!AY$27)</f>
        <v>0</v>
      </c>
      <c r="O109" s="486">
        <f ca="1">IF(Access_Data!$AY$29="",0,Access_Data!$AY$29)</f>
        <v>0</v>
      </c>
      <c r="P109" s="486">
        <f ca="1">IF(ISERROR(Access_Data!$AY$31),0,Access_Data!$AY$31)</f>
        <v>0</v>
      </c>
      <c r="Q109" s="485"/>
      <c r="R109" s="409"/>
      <c r="S109" s="409"/>
    </row>
    <row r="110" spans="1:19" x14ac:dyDescent="0.2">
      <c r="A110" s="482"/>
      <c r="B110" s="483" t="str">
        <v/>
      </c>
      <c r="C110" s="484">
        <v>39</v>
      </c>
      <c r="D110" s="485" t="str">
        <v/>
      </c>
      <c r="E110" s="485"/>
      <c r="F110" s="485"/>
      <c r="G110" s="485"/>
      <c r="H110" s="485"/>
      <c r="I110" s="485"/>
      <c r="J110" s="485"/>
      <c r="K110" s="485"/>
      <c r="L110" s="485"/>
      <c r="M110" s="485"/>
      <c r="N110" s="486">
        <f ca="1">IF(Access_Data!AZ$27="",0,Access_Data!AZ$27)</f>
        <v>0</v>
      </c>
      <c r="O110" s="486">
        <f ca="1">IF(Access_Data!$AZ$29="",0,Access_Data!$AZ$29)</f>
        <v>0</v>
      </c>
      <c r="P110" s="486">
        <f ca="1">IF(ISERROR(Access_Data!$AZ$31),0,Access_Data!$AZ$31)</f>
        <v>0</v>
      </c>
      <c r="Q110" s="485"/>
      <c r="R110" s="409"/>
      <c r="S110" s="409"/>
    </row>
    <row r="111" spans="1:19" x14ac:dyDescent="0.2">
      <c r="A111" s="482"/>
      <c r="B111" s="483" t="str">
        <v/>
      </c>
      <c r="C111" s="484">
        <v>40</v>
      </c>
      <c r="D111" s="485" t="str">
        <v/>
      </c>
      <c r="E111" s="485"/>
      <c r="F111" s="485"/>
      <c r="G111" s="485"/>
      <c r="H111" s="485"/>
      <c r="I111" s="485"/>
      <c r="J111" s="485"/>
      <c r="K111" s="485"/>
      <c r="L111" s="485"/>
      <c r="M111" s="485"/>
      <c r="N111" s="486">
        <f ca="1">IF(Access_Data!BA$27="",0,Access_Data!BA$27)</f>
        <v>0</v>
      </c>
      <c r="O111" s="486">
        <f ca="1">IF(Access_Data!$BA$29="",0,Access_Data!$BA$29)</f>
        <v>0</v>
      </c>
      <c r="P111" s="486">
        <f ca="1">IF(ISERROR(Access_Data!$BA$31),0,Access_Data!$BA$31)</f>
        <v>0</v>
      </c>
      <c r="Q111" s="485"/>
      <c r="R111" s="409"/>
      <c r="S111" s="409"/>
    </row>
    <row r="112" spans="1:19" x14ac:dyDescent="0.2">
      <c r="A112" s="482"/>
      <c r="B112" s="483"/>
      <c r="C112" s="484"/>
      <c r="D112" s="485"/>
      <c r="E112" s="485"/>
      <c r="F112" s="485"/>
      <c r="G112" s="485"/>
      <c r="H112" s="485"/>
      <c r="I112" s="485"/>
      <c r="J112" s="485"/>
      <c r="K112" s="485"/>
      <c r="L112" s="485"/>
      <c r="M112" s="485"/>
      <c r="N112" s="501"/>
      <c r="O112" s="501"/>
      <c r="P112" s="501"/>
      <c r="Q112" s="485"/>
      <c r="R112" s="409"/>
      <c r="S112" s="409"/>
    </row>
    <row r="113" spans="1:19" x14ac:dyDescent="0.2">
      <c r="A113" s="482"/>
      <c r="B113" s="483"/>
      <c r="C113" s="484"/>
      <c r="D113" s="485"/>
      <c r="E113" s="485"/>
      <c r="F113" s="485"/>
      <c r="G113" s="485"/>
      <c r="H113" s="485"/>
      <c r="I113" s="485"/>
      <c r="J113" s="485"/>
      <c r="K113" s="485"/>
      <c r="L113" s="485"/>
      <c r="M113" s="485"/>
      <c r="N113" s="501"/>
      <c r="O113" s="501"/>
      <c r="P113" s="501"/>
      <c r="Q113" s="485"/>
      <c r="R113" s="409"/>
      <c r="S113" s="409"/>
    </row>
    <row r="114" spans="1:19" x14ac:dyDescent="0.2">
      <c r="A114" s="482"/>
      <c r="B114" s="483"/>
      <c r="C114" s="484"/>
      <c r="D114" s="485"/>
      <c r="E114" s="485"/>
      <c r="F114" s="485"/>
      <c r="G114" s="485"/>
      <c r="H114" s="485"/>
      <c r="I114" s="485"/>
      <c r="J114" s="485"/>
      <c r="K114" s="485"/>
      <c r="L114" s="485"/>
      <c r="M114" s="485"/>
      <c r="N114" s="501"/>
      <c r="O114" s="501"/>
      <c r="P114" s="501"/>
      <c r="Q114" s="485"/>
      <c r="R114" s="409"/>
      <c r="S114" s="409"/>
    </row>
    <row r="115" spans="1:19" x14ac:dyDescent="0.2">
      <c r="A115" s="482"/>
      <c r="B115" s="483"/>
      <c r="C115" s="484"/>
      <c r="D115" s="485"/>
      <c r="E115" s="485"/>
      <c r="F115" s="485"/>
      <c r="G115" s="485"/>
      <c r="H115" s="485"/>
      <c r="I115" s="485"/>
      <c r="J115" s="485"/>
      <c r="K115" s="485"/>
      <c r="L115" s="485"/>
      <c r="M115" s="485"/>
      <c r="N115" s="501"/>
      <c r="O115" s="501"/>
      <c r="P115" s="501"/>
      <c r="Q115" s="485"/>
      <c r="R115" s="409"/>
      <c r="S115" s="409"/>
    </row>
    <row r="116" spans="1:19" x14ac:dyDescent="0.2">
      <c r="A116" s="482"/>
      <c r="B116" s="483"/>
      <c r="C116" s="484"/>
      <c r="D116" s="485"/>
      <c r="E116" s="485"/>
      <c r="F116" s="485"/>
      <c r="G116" s="485"/>
      <c r="H116" s="485"/>
      <c r="I116" s="485"/>
      <c r="J116" s="485"/>
      <c r="K116" s="485"/>
      <c r="L116" s="485"/>
      <c r="M116" s="485"/>
      <c r="N116" s="485"/>
      <c r="O116" s="485"/>
      <c r="P116" s="485"/>
      <c r="Q116" s="485"/>
      <c r="R116" s="409"/>
      <c r="S116" s="409"/>
    </row>
    <row r="117" spans="1:19" x14ac:dyDescent="0.2">
      <c r="A117" s="502"/>
      <c r="B117" s="503"/>
      <c r="C117" s="504"/>
      <c r="D117" s="411"/>
      <c r="E117" s="411"/>
      <c r="F117" s="411"/>
      <c r="G117" s="411"/>
      <c r="H117" s="411"/>
      <c r="I117" s="411"/>
      <c r="J117" s="409"/>
      <c r="K117" s="409"/>
      <c r="L117" s="409"/>
      <c r="M117" s="409"/>
      <c r="N117" s="409"/>
      <c r="O117" s="409"/>
      <c r="P117" s="409"/>
      <c r="Q117" s="409"/>
      <c r="R117" s="409"/>
      <c r="S117" s="409"/>
    </row>
    <row r="118" spans="1:19" x14ac:dyDescent="0.2">
      <c r="A118" s="502"/>
      <c r="B118" s="503"/>
      <c r="C118" s="504"/>
      <c r="D118" s="411"/>
      <c r="E118" s="411"/>
      <c r="F118" s="411"/>
      <c r="G118" s="411"/>
      <c r="H118" s="411"/>
      <c r="I118" s="411"/>
      <c r="J118" s="409"/>
      <c r="K118" s="409"/>
      <c r="L118" s="409"/>
      <c r="M118" s="409"/>
      <c r="N118" s="409"/>
      <c r="O118" s="409"/>
      <c r="P118" s="409"/>
      <c r="Q118" s="409"/>
      <c r="R118" s="409"/>
      <c r="S118" s="409"/>
    </row>
    <row r="119" spans="1:19" x14ac:dyDescent="0.2">
      <c r="A119" s="502"/>
      <c r="B119" s="503"/>
      <c r="C119" s="504"/>
      <c r="D119" s="411"/>
      <c r="E119" s="411"/>
      <c r="F119" s="411"/>
      <c r="G119" s="411"/>
      <c r="H119" s="411"/>
      <c r="I119" s="411"/>
      <c r="J119" s="409"/>
      <c r="K119" s="409"/>
      <c r="L119" s="409"/>
      <c r="M119" s="409"/>
      <c r="N119" s="409"/>
      <c r="O119" s="409"/>
      <c r="P119" s="409"/>
      <c r="Q119" s="409"/>
      <c r="R119" s="409"/>
      <c r="S119" s="409"/>
    </row>
  </sheetData>
  <sheetProtection algorithmName="SHA-512" hashValue="1Qar+bcXx7DVy31jD3KR/B0X033iho+EJulYbrBOL72pK/SacKaGCUen3Har03SpSkc3epP+oAGtmGq6GZ2ZUQ==" saltValue="abhQjGTjjw2ZN/wjBd3H5g=="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443</v>
      </c>
      <c r="B1" t="s">
        <v>584</v>
      </c>
      <c r="C1" t="s">
        <v>585</v>
      </c>
      <c r="D1" t="s">
        <v>586</v>
      </c>
      <c r="E1" t="s">
        <v>587</v>
      </c>
      <c r="F1" t="s">
        <v>582</v>
      </c>
      <c r="G1" t="s">
        <v>572</v>
      </c>
      <c r="H1" t="s">
        <v>553</v>
      </c>
      <c r="I1" t="s">
        <v>573</v>
      </c>
      <c r="J1" t="s">
        <v>558</v>
      </c>
      <c r="K1" t="s">
        <v>559</v>
      </c>
      <c r="L1" t="s">
        <v>560</v>
      </c>
      <c r="M1" t="s">
        <v>574</v>
      </c>
      <c r="N1" t="s">
        <v>441</v>
      </c>
      <c r="O1" t="s">
        <v>442</v>
      </c>
      <c r="P1" t="s">
        <v>444</v>
      </c>
      <c r="Q1" t="s">
        <v>562</v>
      </c>
      <c r="R1" t="s">
        <v>563</v>
      </c>
      <c r="S1" t="s">
        <v>564</v>
      </c>
      <c r="T1" t="s">
        <v>561</v>
      </c>
      <c r="U1" t="s">
        <v>575</v>
      </c>
      <c r="V1" t="s">
        <v>576</v>
      </c>
      <c r="W1" t="s">
        <v>565</v>
      </c>
      <c r="X1" t="s">
        <v>566</v>
      </c>
      <c r="Y1" t="s">
        <v>567</v>
      </c>
      <c r="Z1" t="s">
        <v>554</v>
      </c>
      <c r="AA1" t="s">
        <v>555</v>
      </c>
      <c r="AB1" t="s">
        <v>556</v>
      </c>
      <c r="AC1" t="s">
        <v>557</v>
      </c>
      <c r="AD1" t="s">
        <v>445</v>
      </c>
      <c r="AE1" t="s">
        <v>446</v>
      </c>
      <c r="AF1" t="s">
        <v>570</v>
      </c>
      <c r="AG1" t="s">
        <v>571</v>
      </c>
      <c r="AH1" t="s">
        <v>568</v>
      </c>
      <c r="AI1" t="s">
        <v>569</v>
      </c>
      <c r="AJ1" t="s">
        <v>583</v>
      </c>
      <c r="AK1" t="s">
        <v>588</v>
      </c>
      <c r="AL1" t="s">
        <v>589</v>
      </c>
    </row>
    <row r="2" spans="1:38" x14ac:dyDescent="0.2">
      <c r="A2">
        <v>1235344</v>
      </c>
      <c r="B2">
        <v>6864835</v>
      </c>
      <c r="C2">
        <v>7653243</v>
      </c>
      <c r="E2" t="b">
        <v>0</v>
      </c>
      <c r="G2" t="s">
        <v>615</v>
      </c>
      <c r="I2" t="s">
        <v>616</v>
      </c>
      <c r="J2" t="s">
        <v>577</v>
      </c>
      <c r="K2" t="s">
        <v>577</v>
      </c>
      <c r="L2" t="s">
        <v>577</v>
      </c>
      <c r="M2" t="s">
        <v>617</v>
      </c>
      <c r="N2" t="s">
        <v>447</v>
      </c>
      <c r="O2" t="s">
        <v>360</v>
      </c>
      <c r="P2" t="s">
        <v>139</v>
      </c>
      <c r="V2" t="s">
        <v>618</v>
      </c>
      <c r="Y2" t="s">
        <v>619</v>
      </c>
      <c r="AD2" t="s">
        <v>359</v>
      </c>
      <c r="AE2" t="s">
        <v>448</v>
      </c>
      <c r="AJ2" t="s">
        <v>620</v>
      </c>
      <c r="AK2" t="s">
        <v>621</v>
      </c>
      <c r="AL2" t="s">
        <v>622</v>
      </c>
    </row>
    <row r="3" spans="1:38" x14ac:dyDescent="0.2">
      <c r="A3">
        <v>1235555</v>
      </c>
      <c r="B3">
        <v>8036587</v>
      </c>
      <c r="C3">
        <v>7589603</v>
      </c>
      <c r="E3" t="b">
        <v>0</v>
      </c>
      <c r="F3">
        <v>72040</v>
      </c>
      <c r="G3" t="s">
        <v>623</v>
      </c>
      <c r="H3">
        <v>1</v>
      </c>
      <c r="I3" t="s">
        <v>624</v>
      </c>
      <c r="J3" t="s">
        <v>578</v>
      </c>
      <c r="K3" t="s">
        <v>577</v>
      </c>
      <c r="L3" t="s">
        <v>579</v>
      </c>
      <c r="M3" t="s">
        <v>625</v>
      </c>
      <c r="N3" t="s">
        <v>491</v>
      </c>
      <c r="O3" t="s">
        <v>251</v>
      </c>
      <c r="P3" t="s">
        <v>469</v>
      </c>
      <c r="S3" t="s">
        <v>626</v>
      </c>
      <c r="U3" t="s">
        <v>627</v>
      </c>
      <c r="V3" t="s">
        <v>628</v>
      </c>
      <c r="W3" t="s">
        <v>486</v>
      </c>
      <c r="X3" t="s">
        <v>580</v>
      </c>
      <c r="Y3" t="s">
        <v>629</v>
      </c>
      <c r="Z3" t="s">
        <v>592</v>
      </c>
      <c r="AB3" t="s">
        <v>621</v>
      </c>
      <c r="AD3" t="s">
        <v>581</v>
      </c>
      <c r="AE3" t="s">
        <v>581</v>
      </c>
      <c r="AF3">
        <v>0</v>
      </c>
      <c r="AG3">
        <v>0</v>
      </c>
      <c r="AH3">
        <v>46</v>
      </c>
      <c r="AI3">
        <v>0</v>
      </c>
      <c r="AJ3" t="s">
        <v>594</v>
      </c>
      <c r="AK3" t="s">
        <v>621</v>
      </c>
      <c r="AL3" t="s">
        <v>630</v>
      </c>
    </row>
    <row r="4" spans="1:38" x14ac:dyDescent="0.2">
      <c r="A4">
        <v>1235388</v>
      </c>
      <c r="B4">
        <v>7537859</v>
      </c>
      <c r="C4">
        <v>187510</v>
      </c>
      <c r="E4" t="b">
        <v>0</v>
      </c>
      <c r="F4">
        <v>62285</v>
      </c>
      <c r="G4" t="s">
        <v>631</v>
      </c>
      <c r="H4">
        <v>1</v>
      </c>
      <c r="I4" t="s">
        <v>632</v>
      </c>
      <c r="J4" t="s">
        <v>578</v>
      </c>
      <c r="K4" t="s">
        <v>577</v>
      </c>
      <c r="L4" t="s">
        <v>579</v>
      </c>
      <c r="M4" t="s">
        <v>633</v>
      </c>
      <c r="N4" t="s">
        <v>451</v>
      </c>
      <c r="O4" t="s">
        <v>259</v>
      </c>
      <c r="P4" t="s">
        <v>452</v>
      </c>
      <c r="S4" t="s">
        <v>634</v>
      </c>
      <c r="U4" t="s">
        <v>635</v>
      </c>
      <c r="V4" t="s">
        <v>636</v>
      </c>
      <c r="W4" t="s">
        <v>637</v>
      </c>
      <c r="X4" t="s">
        <v>580</v>
      </c>
      <c r="Y4" t="s">
        <v>629</v>
      </c>
      <c r="Z4" t="s">
        <v>592</v>
      </c>
      <c r="AA4" t="s">
        <v>34</v>
      </c>
      <c r="AB4" t="s">
        <v>638</v>
      </c>
      <c r="AD4" t="s">
        <v>258</v>
      </c>
      <c r="AE4" t="s">
        <v>453</v>
      </c>
      <c r="AF4">
        <v>0</v>
      </c>
      <c r="AG4">
        <v>0</v>
      </c>
      <c r="AH4">
        <v>70</v>
      </c>
      <c r="AI4">
        <v>0</v>
      </c>
      <c r="AJ4" t="s">
        <v>594</v>
      </c>
      <c r="AK4" t="s">
        <v>638</v>
      </c>
      <c r="AL4" t="s">
        <v>595</v>
      </c>
    </row>
    <row r="5" spans="1:38" x14ac:dyDescent="0.2">
      <c r="A5">
        <v>1235682</v>
      </c>
      <c r="B5">
        <v>7943647</v>
      </c>
      <c r="C5">
        <v>187508</v>
      </c>
      <c r="E5" t="b">
        <v>0</v>
      </c>
      <c r="F5">
        <v>69999</v>
      </c>
      <c r="G5" t="s">
        <v>639</v>
      </c>
      <c r="H5">
        <v>1</v>
      </c>
      <c r="I5" t="s">
        <v>640</v>
      </c>
      <c r="J5" t="s">
        <v>578</v>
      </c>
      <c r="K5" t="s">
        <v>579</v>
      </c>
      <c r="L5" t="s">
        <v>579</v>
      </c>
      <c r="M5" t="s">
        <v>641</v>
      </c>
      <c r="N5" t="s">
        <v>520</v>
      </c>
      <c r="O5" t="s">
        <v>59</v>
      </c>
      <c r="S5" t="s">
        <v>590</v>
      </c>
      <c r="U5" t="s">
        <v>642</v>
      </c>
      <c r="V5" t="s">
        <v>643</v>
      </c>
      <c r="W5" t="s">
        <v>486</v>
      </c>
      <c r="X5" t="s">
        <v>580</v>
      </c>
      <c r="Y5" t="s">
        <v>591</v>
      </c>
      <c r="Z5" t="s">
        <v>592</v>
      </c>
      <c r="AA5" t="s">
        <v>34</v>
      </c>
      <c r="AB5" t="s">
        <v>593</v>
      </c>
      <c r="AD5" t="s">
        <v>521</v>
      </c>
      <c r="AE5" t="s">
        <v>466</v>
      </c>
      <c r="AF5">
        <v>0</v>
      </c>
      <c r="AG5">
        <v>0</v>
      </c>
      <c r="AH5">
        <v>392.75</v>
      </c>
      <c r="AI5">
        <v>0</v>
      </c>
      <c r="AJ5" t="s">
        <v>594</v>
      </c>
      <c r="AK5" t="s">
        <v>593</v>
      </c>
      <c r="AL5" t="s">
        <v>595</v>
      </c>
    </row>
    <row r="6" spans="1:38" x14ac:dyDescent="0.2">
      <c r="A6">
        <v>1235426</v>
      </c>
      <c r="B6">
        <v>8035840</v>
      </c>
      <c r="C6">
        <v>187508</v>
      </c>
      <c r="E6" t="b">
        <v>0</v>
      </c>
      <c r="F6">
        <v>72024</v>
      </c>
      <c r="G6" t="s">
        <v>602</v>
      </c>
      <c r="H6">
        <v>1</v>
      </c>
      <c r="I6" t="s">
        <v>603</v>
      </c>
      <c r="J6" t="s">
        <v>578</v>
      </c>
      <c r="K6" t="s">
        <v>579</v>
      </c>
      <c r="L6" t="s">
        <v>579</v>
      </c>
      <c r="M6" t="s">
        <v>644</v>
      </c>
      <c r="N6" t="s">
        <v>464</v>
      </c>
      <c r="O6" t="s">
        <v>70</v>
      </c>
      <c r="S6" t="s">
        <v>590</v>
      </c>
      <c r="U6" t="s">
        <v>645</v>
      </c>
      <c r="V6" t="s">
        <v>646</v>
      </c>
      <c r="W6" t="s">
        <v>486</v>
      </c>
      <c r="X6" t="s">
        <v>580</v>
      </c>
      <c r="Y6" t="s">
        <v>591</v>
      </c>
      <c r="Z6" t="s">
        <v>592</v>
      </c>
      <c r="AA6" t="s">
        <v>34</v>
      </c>
      <c r="AB6" t="s">
        <v>593</v>
      </c>
      <c r="AD6" t="s">
        <v>465</v>
      </c>
      <c r="AE6" t="s">
        <v>466</v>
      </c>
      <c r="AF6">
        <v>0</v>
      </c>
      <c r="AG6">
        <v>0</v>
      </c>
      <c r="AH6">
        <v>392.75</v>
      </c>
      <c r="AI6">
        <v>0</v>
      </c>
      <c r="AJ6" t="s">
        <v>594</v>
      </c>
      <c r="AK6" t="s">
        <v>593</v>
      </c>
      <c r="AL6" t="s">
        <v>595</v>
      </c>
    </row>
    <row r="7" spans="1:38" x14ac:dyDescent="0.2">
      <c r="A7">
        <v>1235686</v>
      </c>
      <c r="B7">
        <v>8143520</v>
      </c>
      <c r="C7">
        <v>187508</v>
      </c>
      <c r="E7" t="b">
        <v>0</v>
      </c>
      <c r="F7">
        <v>73531</v>
      </c>
      <c r="G7" t="s">
        <v>600</v>
      </c>
      <c r="H7">
        <v>1</v>
      </c>
      <c r="I7" t="s">
        <v>601</v>
      </c>
      <c r="J7" t="s">
        <v>578</v>
      </c>
      <c r="K7" t="s">
        <v>579</v>
      </c>
      <c r="L7" t="s">
        <v>579</v>
      </c>
      <c r="M7" t="s">
        <v>647</v>
      </c>
      <c r="N7" t="s">
        <v>522</v>
      </c>
      <c r="O7" t="s">
        <v>71</v>
      </c>
      <c r="S7" t="s">
        <v>590</v>
      </c>
      <c r="U7" t="s">
        <v>648</v>
      </c>
      <c r="V7" t="s">
        <v>649</v>
      </c>
      <c r="W7" t="s">
        <v>486</v>
      </c>
      <c r="X7" t="s">
        <v>580</v>
      </c>
      <c r="Y7" t="s">
        <v>591</v>
      </c>
      <c r="Z7" t="s">
        <v>592</v>
      </c>
      <c r="AA7" t="s">
        <v>34</v>
      </c>
      <c r="AB7" t="s">
        <v>593</v>
      </c>
      <c r="AD7" t="s">
        <v>523</v>
      </c>
      <c r="AE7" t="s">
        <v>524</v>
      </c>
      <c r="AF7">
        <v>0</v>
      </c>
      <c r="AG7">
        <v>0</v>
      </c>
      <c r="AH7">
        <v>392.75</v>
      </c>
      <c r="AI7">
        <v>0</v>
      </c>
      <c r="AJ7" t="s">
        <v>594</v>
      </c>
      <c r="AK7" t="s">
        <v>593</v>
      </c>
      <c r="AL7" t="s">
        <v>595</v>
      </c>
    </row>
    <row r="8" spans="1:38" x14ac:dyDescent="0.2">
      <c r="A8">
        <v>1235630</v>
      </c>
      <c r="B8">
        <v>7925909</v>
      </c>
      <c r="C8">
        <v>187508</v>
      </c>
      <c r="E8" t="b">
        <v>0</v>
      </c>
      <c r="F8">
        <v>69663</v>
      </c>
      <c r="G8" t="s">
        <v>650</v>
      </c>
      <c r="H8">
        <v>1</v>
      </c>
      <c r="I8" t="s">
        <v>651</v>
      </c>
      <c r="J8" t="s">
        <v>578</v>
      </c>
      <c r="K8" t="s">
        <v>579</v>
      </c>
      <c r="L8" t="s">
        <v>579</v>
      </c>
      <c r="M8" t="s">
        <v>652</v>
      </c>
      <c r="N8" t="s">
        <v>509</v>
      </c>
      <c r="O8" t="s">
        <v>133</v>
      </c>
      <c r="S8" t="s">
        <v>590</v>
      </c>
      <c r="U8" t="s">
        <v>653</v>
      </c>
      <c r="V8" t="s">
        <v>654</v>
      </c>
      <c r="W8" t="s">
        <v>486</v>
      </c>
      <c r="X8" t="s">
        <v>580</v>
      </c>
      <c r="Y8" t="s">
        <v>591</v>
      </c>
      <c r="Z8" t="s">
        <v>592</v>
      </c>
      <c r="AA8" t="s">
        <v>34</v>
      </c>
      <c r="AB8" t="s">
        <v>593</v>
      </c>
      <c r="AD8" t="s">
        <v>510</v>
      </c>
      <c r="AE8" t="s">
        <v>466</v>
      </c>
      <c r="AF8">
        <v>0</v>
      </c>
      <c r="AG8">
        <v>0</v>
      </c>
      <c r="AH8">
        <v>392.75</v>
      </c>
      <c r="AI8">
        <v>0</v>
      </c>
      <c r="AJ8" t="s">
        <v>594</v>
      </c>
      <c r="AK8" t="s">
        <v>593</v>
      </c>
      <c r="AL8" t="s">
        <v>595</v>
      </c>
    </row>
    <row r="9" spans="1:38" x14ac:dyDescent="0.2">
      <c r="A9">
        <v>1235561</v>
      </c>
      <c r="B9">
        <v>7925915</v>
      </c>
      <c r="C9">
        <v>187508</v>
      </c>
      <c r="E9" t="b">
        <v>0</v>
      </c>
      <c r="F9">
        <v>69665</v>
      </c>
      <c r="G9" t="s">
        <v>655</v>
      </c>
      <c r="H9">
        <v>1</v>
      </c>
      <c r="I9" t="s">
        <v>656</v>
      </c>
      <c r="J9" t="s">
        <v>578</v>
      </c>
      <c r="K9" t="s">
        <v>579</v>
      </c>
      <c r="L9" t="s">
        <v>579</v>
      </c>
      <c r="M9" t="s">
        <v>657</v>
      </c>
      <c r="N9" t="s">
        <v>492</v>
      </c>
      <c r="O9" t="s">
        <v>137</v>
      </c>
      <c r="S9" t="s">
        <v>590</v>
      </c>
      <c r="U9" t="s">
        <v>653</v>
      </c>
      <c r="V9" t="s">
        <v>658</v>
      </c>
      <c r="W9" t="s">
        <v>486</v>
      </c>
      <c r="X9" t="s">
        <v>580</v>
      </c>
      <c r="Y9" t="s">
        <v>591</v>
      </c>
      <c r="Z9" t="s">
        <v>592</v>
      </c>
      <c r="AA9" t="s">
        <v>34</v>
      </c>
      <c r="AB9" t="s">
        <v>593</v>
      </c>
      <c r="AD9" t="s">
        <v>493</v>
      </c>
      <c r="AE9" t="s">
        <v>494</v>
      </c>
      <c r="AF9">
        <v>0</v>
      </c>
      <c r="AG9">
        <v>0</v>
      </c>
      <c r="AH9">
        <v>392.75</v>
      </c>
      <c r="AI9">
        <v>0</v>
      </c>
      <c r="AJ9" t="s">
        <v>594</v>
      </c>
      <c r="AK9" t="s">
        <v>593</v>
      </c>
      <c r="AL9" t="s">
        <v>595</v>
      </c>
    </row>
    <row r="10" spans="1:38" x14ac:dyDescent="0.2">
      <c r="A10">
        <v>1235543</v>
      </c>
      <c r="B10">
        <v>8075187</v>
      </c>
      <c r="C10">
        <v>187508</v>
      </c>
      <c r="E10" t="b">
        <v>0</v>
      </c>
      <c r="F10">
        <v>72822</v>
      </c>
      <c r="G10" t="s">
        <v>659</v>
      </c>
      <c r="H10">
        <v>1</v>
      </c>
      <c r="I10" t="s">
        <v>660</v>
      </c>
      <c r="J10" t="s">
        <v>578</v>
      </c>
      <c r="K10" t="s">
        <v>579</v>
      </c>
      <c r="L10" t="s">
        <v>579</v>
      </c>
      <c r="M10" t="s">
        <v>661</v>
      </c>
      <c r="N10" t="s">
        <v>489</v>
      </c>
      <c r="O10" t="s">
        <v>136</v>
      </c>
      <c r="S10" t="s">
        <v>590</v>
      </c>
      <c r="U10" t="s">
        <v>662</v>
      </c>
      <c r="V10" t="s">
        <v>663</v>
      </c>
      <c r="W10" t="s">
        <v>486</v>
      </c>
      <c r="X10" t="s">
        <v>580</v>
      </c>
      <c r="Y10" t="s">
        <v>591</v>
      </c>
      <c r="Z10" t="s">
        <v>592</v>
      </c>
      <c r="AA10" t="s">
        <v>34</v>
      </c>
      <c r="AB10" t="s">
        <v>593</v>
      </c>
      <c r="AD10" t="s">
        <v>465</v>
      </c>
      <c r="AE10" t="s">
        <v>490</v>
      </c>
      <c r="AF10">
        <v>0</v>
      </c>
      <c r="AG10">
        <v>0</v>
      </c>
      <c r="AH10">
        <v>392.75</v>
      </c>
      <c r="AI10">
        <v>0</v>
      </c>
      <c r="AJ10" t="s">
        <v>594</v>
      </c>
      <c r="AK10" t="s">
        <v>593</v>
      </c>
      <c r="AL10" t="s">
        <v>595</v>
      </c>
    </row>
    <row r="11" spans="1:38" x14ac:dyDescent="0.2">
      <c r="A11">
        <v>1235622</v>
      </c>
      <c r="B11">
        <v>7925914</v>
      </c>
      <c r="C11">
        <v>187508</v>
      </c>
      <c r="E11" t="b">
        <v>0</v>
      </c>
      <c r="F11">
        <v>69664</v>
      </c>
      <c r="G11" t="s">
        <v>664</v>
      </c>
      <c r="H11">
        <v>1</v>
      </c>
      <c r="I11" t="s">
        <v>665</v>
      </c>
      <c r="J11" t="s">
        <v>578</v>
      </c>
      <c r="K11" t="s">
        <v>579</v>
      </c>
      <c r="L11" t="s">
        <v>579</v>
      </c>
      <c r="M11" t="s">
        <v>666</v>
      </c>
      <c r="N11" t="s">
        <v>504</v>
      </c>
      <c r="O11" t="s">
        <v>183</v>
      </c>
      <c r="S11" t="s">
        <v>590</v>
      </c>
      <c r="U11" t="s">
        <v>653</v>
      </c>
      <c r="V11" t="s">
        <v>667</v>
      </c>
      <c r="W11" t="s">
        <v>486</v>
      </c>
      <c r="X11" t="s">
        <v>580</v>
      </c>
      <c r="Y11" t="s">
        <v>591</v>
      </c>
      <c r="Z11" t="s">
        <v>592</v>
      </c>
      <c r="AA11" t="s">
        <v>34</v>
      </c>
      <c r="AB11" t="s">
        <v>593</v>
      </c>
      <c r="AD11" t="s">
        <v>505</v>
      </c>
      <c r="AE11" t="s">
        <v>506</v>
      </c>
      <c r="AF11">
        <v>0</v>
      </c>
      <c r="AG11">
        <v>0</v>
      </c>
      <c r="AH11">
        <v>392.75</v>
      </c>
      <c r="AI11">
        <v>0</v>
      </c>
      <c r="AJ11" t="s">
        <v>594</v>
      </c>
      <c r="AK11" t="s">
        <v>593</v>
      </c>
      <c r="AL11" t="s">
        <v>595</v>
      </c>
    </row>
    <row r="12" spans="1:38" x14ac:dyDescent="0.2">
      <c r="A12">
        <v>1235403</v>
      </c>
      <c r="B12">
        <v>7975239</v>
      </c>
      <c r="C12">
        <v>187508</v>
      </c>
      <c r="E12" t="b">
        <v>0</v>
      </c>
      <c r="F12">
        <v>70613</v>
      </c>
      <c r="G12" t="s">
        <v>668</v>
      </c>
      <c r="H12">
        <v>3</v>
      </c>
      <c r="I12" t="s">
        <v>669</v>
      </c>
      <c r="J12" t="s">
        <v>578</v>
      </c>
      <c r="K12" t="s">
        <v>579</v>
      </c>
      <c r="L12" t="s">
        <v>579</v>
      </c>
      <c r="M12" t="s">
        <v>670</v>
      </c>
      <c r="N12" t="s">
        <v>459</v>
      </c>
      <c r="O12" t="s">
        <v>208</v>
      </c>
      <c r="P12" t="s">
        <v>131</v>
      </c>
      <c r="S12" t="s">
        <v>671</v>
      </c>
      <c r="U12" t="s">
        <v>672</v>
      </c>
      <c r="V12" t="s">
        <v>673</v>
      </c>
      <c r="W12" t="s">
        <v>486</v>
      </c>
      <c r="X12" t="s">
        <v>580</v>
      </c>
      <c r="Y12" t="s">
        <v>591</v>
      </c>
      <c r="Z12" t="s">
        <v>592</v>
      </c>
      <c r="AA12" t="s">
        <v>34</v>
      </c>
      <c r="AB12" t="s">
        <v>593</v>
      </c>
      <c r="AD12" t="s">
        <v>207</v>
      </c>
      <c r="AE12" t="s">
        <v>460</v>
      </c>
      <c r="AF12">
        <v>0</v>
      </c>
      <c r="AG12">
        <v>0</v>
      </c>
      <c r="AH12">
        <v>418.5</v>
      </c>
      <c r="AI12">
        <v>0</v>
      </c>
      <c r="AJ12" t="s">
        <v>594</v>
      </c>
      <c r="AK12" t="s">
        <v>593</v>
      </c>
      <c r="AL12" t="s">
        <v>595</v>
      </c>
    </row>
    <row r="13" spans="1:38" x14ac:dyDescent="0.2">
      <c r="A13">
        <v>1235569</v>
      </c>
      <c r="B13">
        <v>7975237</v>
      </c>
      <c r="C13">
        <v>187508</v>
      </c>
      <c r="E13" t="b">
        <v>0</v>
      </c>
      <c r="F13">
        <v>70613</v>
      </c>
      <c r="G13" t="s">
        <v>668</v>
      </c>
      <c r="H13">
        <v>1</v>
      </c>
      <c r="I13" t="s">
        <v>674</v>
      </c>
      <c r="J13" t="s">
        <v>578</v>
      </c>
      <c r="K13" t="s">
        <v>579</v>
      </c>
      <c r="L13" t="s">
        <v>579</v>
      </c>
      <c r="M13" t="s">
        <v>675</v>
      </c>
      <c r="N13" t="s">
        <v>499</v>
      </c>
      <c r="O13" t="s">
        <v>210</v>
      </c>
      <c r="P13" t="s">
        <v>500</v>
      </c>
      <c r="S13" t="s">
        <v>671</v>
      </c>
      <c r="U13" t="s">
        <v>672</v>
      </c>
      <c r="V13" t="s">
        <v>676</v>
      </c>
      <c r="W13" t="s">
        <v>486</v>
      </c>
      <c r="X13" t="s">
        <v>580</v>
      </c>
      <c r="Y13" t="s">
        <v>591</v>
      </c>
      <c r="Z13" t="s">
        <v>592</v>
      </c>
      <c r="AA13" t="s">
        <v>34</v>
      </c>
      <c r="AB13" t="s">
        <v>593</v>
      </c>
      <c r="AD13" t="s">
        <v>209</v>
      </c>
      <c r="AE13" t="s">
        <v>460</v>
      </c>
      <c r="AF13">
        <v>0</v>
      </c>
      <c r="AG13">
        <v>0</v>
      </c>
      <c r="AH13">
        <v>418.5</v>
      </c>
      <c r="AI13">
        <v>0</v>
      </c>
      <c r="AJ13" t="s">
        <v>594</v>
      </c>
      <c r="AK13" t="s">
        <v>593</v>
      </c>
      <c r="AL13" t="s">
        <v>595</v>
      </c>
    </row>
    <row r="14" spans="1:38" x14ac:dyDescent="0.2">
      <c r="A14">
        <v>1235743</v>
      </c>
      <c r="B14">
        <v>7975241</v>
      </c>
      <c r="C14">
        <v>187508</v>
      </c>
      <c r="E14" t="b">
        <v>0</v>
      </c>
      <c r="F14">
        <v>70613</v>
      </c>
      <c r="G14" t="s">
        <v>668</v>
      </c>
      <c r="H14">
        <v>5</v>
      </c>
      <c r="I14" t="s">
        <v>677</v>
      </c>
      <c r="J14" t="s">
        <v>578</v>
      </c>
      <c r="K14" t="s">
        <v>579</v>
      </c>
      <c r="L14" t="s">
        <v>579</v>
      </c>
      <c r="M14" t="s">
        <v>678</v>
      </c>
      <c r="N14" t="s">
        <v>526</v>
      </c>
      <c r="O14" t="s">
        <v>528</v>
      </c>
      <c r="P14" t="s">
        <v>527</v>
      </c>
      <c r="S14" t="s">
        <v>671</v>
      </c>
      <c r="U14" t="s">
        <v>672</v>
      </c>
      <c r="V14" t="s">
        <v>679</v>
      </c>
      <c r="W14" t="s">
        <v>486</v>
      </c>
      <c r="X14" t="s">
        <v>580</v>
      </c>
      <c r="Y14" t="s">
        <v>591</v>
      </c>
      <c r="Z14" t="s">
        <v>592</v>
      </c>
      <c r="AA14" t="s">
        <v>34</v>
      </c>
      <c r="AB14" t="s">
        <v>593</v>
      </c>
      <c r="AD14" t="s">
        <v>529</v>
      </c>
      <c r="AE14" t="s">
        <v>460</v>
      </c>
      <c r="AF14">
        <v>0</v>
      </c>
      <c r="AG14">
        <v>0</v>
      </c>
      <c r="AH14">
        <v>418.5</v>
      </c>
      <c r="AI14">
        <v>0</v>
      </c>
      <c r="AJ14" t="s">
        <v>594</v>
      </c>
      <c r="AK14" t="s">
        <v>593</v>
      </c>
      <c r="AL14" t="s">
        <v>595</v>
      </c>
    </row>
    <row r="15" spans="1:38" x14ac:dyDescent="0.2">
      <c r="A15">
        <v>2550412</v>
      </c>
      <c r="B15">
        <v>7975245</v>
      </c>
      <c r="C15">
        <v>187508</v>
      </c>
      <c r="E15" t="b">
        <v>0</v>
      </c>
      <c r="F15">
        <v>70613</v>
      </c>
      <c r="G15" t="s">
        <v>668</v>
      </c>
      <c r="H15">
        <v>9</v>
      </c>
      <c r="I15" t="s">
        <v>680</v>
      </c>
      <c r="J15" t="s">
        <v>578</v>
      </c>
      <c r="K15" t="s">
        <v>579</v>
      </c>
      <c r="L15" t="s">
        <v>579</v>
      </c>
      <c r="M15" t="s">
        <v>681</v>
      </c>
      <c r="N15" t="s">
        <v>543</v>
      </c>
      <c r="O15" t="s">
        <v>544</v>
      </c>
      <c r="P15" t="s">
        <v>419</v>
      </c>
      <c r="S15" t="s">
        <v>671</v>
      </c>
      <c r="U15" t="s">
        <v>672</v>
      </c>
      <c r="V15" t="s">
        <v>682</v>
      </c>
      <c r="W15" t="s">
        <v>486</v>
      </c>
      <c r="X15" t="s">
        <v>580</v>
      </c>
      <c r="Y15" t="s">
        <v>591</v>
      </c>
      <c r="Z15" t="s">
        <v>592</v>
      </c>
      <c r="AA15" t="s">
        <v>34</v>
      </c>
      <c r="AB15" t="s">
        <v>593</v>
      </c>
      <c r="AD15" t="s">
        <v>545</v>
      </c>
      <c r="AE15" t="s">
        <v>546</v>
      </c>
      <c r="AF15">
        <v>0</v>
      </c>
      <c r="AG15">
        <v>0</v>
      </c>
      <c r="AH15">
        <v>418.5</v>
      </c>
      <c r="AI15">
        <v>0</v>
      </c>
      <c r="AJ15" t="s">
        <v>594</v>
      </c>
      <c r="AK15" t="s">
        <v>593</v>
      </c>
      <c r="AL15" t="s">
        <v>595</v>
      </c>
    </row>
    <row r="16" spans="1:38" x14ac:dyDescent="0.2">
      <c r="A16">
        <v>1446161</v>
      </c>
      <c r="B16">
        <v>7975243</v>
      </c>
      <c r="C16">
        <v>187508</v>
      </c>
      <c r="E16" t="b">
        <v>0</v>
      </c>
      <c r="F16">
        <v>70613</v>
      </c>
      <c r="G16" t="s">
        <v>668</v>
      </c>
      <c r="H16">
        <v>7</v>
      </c>
      <c r="I16" t="s">
        <v>683</v>
      </c>
      <c r="J16" t="s">
        <v>578</v>
      </c>
      <c r="K16" t="s">
        <v>579</v>
      </c>
      <c r="L16" t="s">
        <v>579</v>
      </c>
      <c r="M16" t="s">
        <v>684</v>
      </c>
      <c r="N16" t="s">
        <v>535</v>
      </c>
      <c r="O16" t="s">
        <v>537</v>
      </c>
      <c r="P16" t="s">
        <v>536</v>
      </c>
      <c r="S16" t="s">
        <v>671</v>
      </c>
      <c r="U16" t="s">
        <v>672</v>
      </c>
      <c r="V16" t="s">
        <v>685</v>
      </c>
      <c r="W16" t="s">
        <v>486</v>
      </c>
      <c r="X16" t="s">
        <v>580</v>
      </c>
      <c r="Y16" t="s">
        <v>591</v>
      </c>
      <c r="Z16" t="s">
        <v>592</v>
      </c>
      <c r="AA16" t="s">
        <v>34</v>
      </c>
      <c r="AB16" t="s">
        <v>593</v>
      </c>
      <c r="AD16" t="s">
        <v>538</v>
      </c>
      <c r="AE16" t="s">
        <v>460</v>
      </c>
      <c r="AF16">
        <v>0</v>
      </c>
      <c r="AG16">
        <v>0</v>
      </c>
      <c r="AH16">
        <v>418.5</v>
      </c>
      <c r="AI16">
        <v>0</v>
      </c>
      <c r="AJ16" t="s">
        <v>594</v>
      </c>
      <c r="AK16" t="s">
        <v>593</v>
      </c>
      <c r="AL16" t="s">
        <v>595</v>
      </c>
    </row>
    <row r="17" spans="1:38" x14ac:dyDescent="0.2">
      <c r="A17">
        <v>2701517</v>
      </c>
      <c r="B17">
        <v>7975246</v>
      </c>
      <c r="C17">
        <v>187508</v>
      </c>
      <c r="E17" t="b">
        <v>0</v>
      </c>
      <c r="F17">
        <v>70613</v>
      </c>
      <c r="G17" t="s">
        <v>668</v>
      </c>
      <c r="H17">
        <v>10</v>
      </c>
      <c r="I17" t="s">
        <v>686</v>
      </c>
      <c r="J17" t="s">
        <v>578</v>
      </c>
      <c r="K17" t="s">
        <v>579</v>
      </c>
      <c r="L17" t="s">
        <v>579</v>
      </c>
      <c r="M17" t="s">
        <v>687</v>
      </c>
      <c r="N17" t="s">
        <v>548</v>
      </c>
      <c r="O17" t="s">
        <v>550</v>
      </c>
      <c r="P17" t="s">
        <v>549</v>
      </c>
      <c r="S17" t="s">
        <v>671</v>
      </c>
      <c r="U17" t="s">
        <v>672</v>
      </c>
      <c r="V17" t="s">
        <v>688</v>
      </c>
      <c r="W17" t="s">
        <v>486</v>
      </c>
      <c r="X17" t="s">
        <v>580</v>
      </c>
      <c r="Y17" t="s">
        <v>591</v>
      </c>
      <c r="Z17" t="s">
        <v>592</v>
      </c>
      <c r="AA17" t="s">
        <v>34</v>
      </c>
      <c r="AB17" t="s">
        <v>593</v>
      </c>
      <c r="AD17" t="s">
        <v>211</v>
      </c>
      <c r="AE17" t="s">
        <v>460</v>
      </c>
      <c r="AF17">
        <v>0</v>
      </c>
      <c r="AG17">
        <v>0</v>
      </c>
      <c r="AH17">
        <v>418.5</v>
      </c>
      <c r="AI17">
        <v>0</v>
      </c>
      <c r="AJ17" t="s">
        <v>594</v>
      </c>
      <c r="AK17" t="s">
        <v>593</v>
      </c>
      <c r="AL17" t="s">
        <v>595</v>
      </c>
    </row>
    <row r="18" spans="1:38" x14ac:dyDescent="0.2">
      <c r="A18">
        <v>2336905</v>
      </c>
      <c r="B18">
        <v>7975244</v>
      </c>
      <c r="C18">
        <v>187508</v>
      </c>
      <c r="E18" t="b">
        <v>0</v>
      </c>
      <c r="F18">
        <v>70613</v>
      </c>
      <c r="G18" t="s">
        <v>668</v>
      </c>
      <c r="H18">
        <v>8</v>
      </c>
      <c r="I18" t="s">
        <v>689</v>
      </c>
      <c r="J18" t="s">
        <v>578</v>
      </c>
      <c r="K18" t="s">
        <v>579</v>
      </c>
      <c r="L18" t="s">
        <v>579</v>
      </c>
      <c r="M18" t="s">
        <v>690</v>
      </c>
      <c r="N18" t="s">
        <v>539</v>
      </c>
      <c r="O18" t="s">
        <v>541</v>
      </c>
      <c r="P18" t="s">
        <v>540</v>
      </c>
      <c r="S18" t="s">
        <v>671</v>
      </c>
      <c r="U18" t="s">
        <v>672</v>
      </c>
      <c r="V18" t="s">
        <v>691</v>
      </c>
      <c r="W18" t="s">
        <v>486</v>
      </c>
      <c r="X18" t="s">
        <v>580</v>
      </c>
      <c r="Y18" t="s">
        <v>591</v>
      </c>
      <c r="Z18" t="s">
        <v>592</v>
      </c>
      <c r="AA18" t="s">
        <v>34</v>
      </c>
      <c r="AB18" t="s">
        <v>593</v>
      </c>
      <c r="AD18" t="s">
        <v>542</v>
      </c>
      <c r="AE18" t="s">
        <v>460</v>
      </c>
      <c r="AF18">
        <v>0</v>
      </c>
      <c r="AG18">
        <v>0</v>
      </c>
      <c r="AH18">
        <v>418.5</v>
      </c>
      <c r="AI18">
        <v>0</v>
      </c>
      <c r="AJ18" t="s">
        <v>594</v>
      </c>
      <c r="AK18" t="s">
        <v>593</v>
      </c>
      <c r="AL18" t="s">
        <v>595</v>
      </c>
    </row>
    <row r="19" spans="1:38" x14ac:dyDescent="0.2">
      <c r="A19">
        <v>1235639</v>
      </c>
      <c r="B19">
        <v>7975242</v>
      </c>
      <c r="C19">
        <v>187508</v>
      </c>
      <c r="E19" t="b">
        <v>0</v>
      </c>
      <c r="F19">
        <v>70613</v>
      </c>
      <c r="G19" t="s">
        <v>668</v>
      </c>
      <c r="H19">
        <v>6</v>
      </c>
      <c r="I19" t="s">
        <v>692</v>
      </c>
      <c r="J19" t="s">
        <v>578</v>
      </c>
      <c r="K19" t="s">
        <v>579</v>
      </c>
      <c r="L19" t="s">
        <v>579</v>
      </c>
      <c r="M19" t="s">
        <v>693</v>
      </c>
      <c r="N19" t="s">
        <v>511</v>
      </c>
      <c r="O19" t="s">
        <v>206</v>
      </c>
      <c r="P19" t="s">
        <v>512</v>
      </c>
      <c r="S19" t="s">
        <v>671</v>
      </c>
      <c r="U19" t="s">
        <v>672</v>
      </c>
      <c r="V19" t="s">
        <v>694</v>
      </c>
      <c r="W19" t="s">
        <v>486</v>
      </c>
      <c r="X19" t="s">
        <v>580</v>
      </c>
      <c r="Y19" t="s">
        <v>591</v>
      </c>
      <c r="Z19" t="s">
        <v>592</v>
      </c>
      <c r="AA19" t="s">
        <v>34</v>
      </c>
      <c r="AB19" t="s">
        <v>593</v>
      </c>
      <c r="AD19" t="s">
        <v>205</v>
      </c>
      <c r="AE19" t="s">
        <v>460</v>
      </c>
      <c r="AF19">
        <v>0</v>
      </c>
      <c r="AG19">
        <v>0</v>
      </c>
      <c r="AH19">
        <v>418.5</v>
      </c>
      <c r="AI19">
        <v>0</v>
      </c>
      <c r="AJ19" t="s">
        <v>594</v>
      </c>
      <c r="AK19" t="s">
        <v>593</v>
      </c>
      <c r="AL19" t="s">
        <v>595</v>
      </c>
    </row>
    <row r="20" spans="1:38" x14ac:dyDescent="0.2">
      <c r="A20">
        <v>1235626</v>
      </c>
      <c r="B20">
        <v>7975238</v>
      </c>
      <c r="C20">
        <v>187508</v>
      </c>
      <c r="E20" t="b">
        <v>0</v>
      </c>
      <c r="F20">
        <v>70613</v>
      </c>
      <c r="G20" t="s">
        <v>668</v>
      </c>
      <c r="H20">
        <v>2</v>
      </c>
      <c r="I20" t="s">
        <v>695</v>
      </c>
      <c r="J20" t="s">
        <v>578</v>
      </c>
      <c r="K20" t="s">
        <v>579</v>
      </c>
      <c r="L20" t="s">
        <v>579</v>
      </c>
      <c r="M20" t="s">
        <v>696</v>
      </c>
      <c r="N20" t="s">
        <v>507</v>
      </c>
      <c r="O20" t="s">
        <v>214</v>
      </c>
      <c r="P20" t="s">
        <v>508</v>
      </c>
      <c r="S20" t="s">
        <v>671</v>
      </c>
      <c r="U20" t="s">
        <v>672</v>
      </c>
      <c r="V20" t="s">
        <v>697</v>
      </c>
      <c r="W20" t="s">
        <v>486</v>
      </c>
      <c r="X20" t="s">
        <v>580</v>
      </c>
      <c r="Y20" t="s">
        <v>591</v>
      </c>
      <c r="Z20" t="s">
        <v>592</v>
      </c>
      <c r="AA20" t="s">
        <v>34</v>
      </c>
      <c r="AB20" t="s">
        <v>593</v>
      </c>
      <c r="AD20" t="s">
        <v>213</v>
      </c>
      <c r="AE20" t="s">
        <v>460</v>
      </c>
      <c r="AF20">
        <v>0</v>
      </c>
      <c r="AG20">
        <v>0</v>
      </c>
      <c r="AH20">
        <v>418.5</v>
      </c>
      <c r="AI20">
        <v>0</v>
      </c>
      <c r="AJ20" t="s">
        <v>594</v>
      </c>
      <c r="AK20" t="s">
        <v>593</v>
      </c>
      <c r="AL20" t="s">
        <v>595</v>
      </c>
    </row>
    <row r="21" spans="1:38" x14ac:dyDescent="0.2">
      <c r="A21">
        <v>1235522</v>
      </c>
      <c r="B21">
        <v>7975240</v>
      </c>
      <c r="C21">
        <v>187508</v>
      </c>
      <c r="E21" t="b">
        <v>0</v>
      </c>
      <c r="F21">
        <v>70613</v>
      </c>
      <c r="G21" t="s">
        <v>668</v>
      </c>
      <c r="H21">
        <v>4</v>
      </c>
      <c r="I21" t="s">
        <v>698</v>
      </c>
      <c r="J21" t="s">
        <v>578</v>
      </c>
      <c r="K21" t="s">
        <v>579</v>
      </c>
      <c r="L21" t="s">
        <v>579</v>
      </c>
      <c r="M21" t="s">
        <v>699</v>
      </c>
      <c r="N21" t="s">
        <v>485</v>
      </c>
      <c r="O21" t="s">
        <v>212</v>
      </c>
      <c r="P21" t="s">
        <v>486</v>
      </c>
      <c r="S21" t="s">
        <v>671</v>
      </c>
      <c r="U21" t="s">
        <v>672</v>
      </c>
      <c r="V21" t="s">
        <v>700</v>
      </c>
      <c r="W21" t="s">
        <v>486</v>
      </c>
      <c r="X21" t="s">
        <v>580</v>
      </c>
      <c r="Y21" t="s">
        <v>591</v>
      </c>
      <c r="Z21" t="s">
        <v>592</v>
      </c>
      <c r="AA21" t="s">
        <v>34</v>
      </c>
      <c r="AB21" t="s">
        <v>593</v>
      </c>
      <c r="AD21" t="s">
        <v>211</v>
      </c>
      <c r="AE21" t="s">
        <v>460</v>
      </c>
      <c r="AF21">
        <v>0</v>
      </c>
      <c r="AG21">
        <v>0</v>
      </c>
      <c r="AH21">
        <v>418.5</v>
      </c>
      <c r="AI21">
        <v>0</v>
      </c>
      <c r="AJ21" t="s">
        <v>594</v>
      </c>
      <c r="AK21" t="s">
        <v>593</v>
      </c>
      <c r="AL21" t="s">
        <v>595</v>
      </c>
    </row>
    <row r="23" spans="1:38" x14ac:dyDescent="0.2">
      <c r="A23">
        <v>1235770</v>
      </c>
      <c r="B23">
        <v>8030104</v>
      </c>
      <c r="C23">
        <v>187514</v>
      </c>
      <c r="E23" t="b">
        <v>0</v>
      </c>
      <c r="F23">
        <v>71864</v>
      </c>
      <c r="G23" t="s">
        <v>701</v>
      </c>
      <c r="H23">
        <v>1</v>
      </c>
      <c r="I23" t="s">
        <v>702</v>
      </c>
      <c r="J23" t="s">
        <v>578</v>
      </c>
      <c r="K23" t="s">
        <v>579</v>
      </c>
      <c r="L23" t="s">
        <v>579</v>
      </c>
      <c r="M23" t="s">
        <v>703</v>
      </c>
      <c r="N23" t="s">
        <v>530</v>
      </c>
      <c r="O23" t="s">
        <v>531</v>
      </c>
      <c r="U23" t="s">
        <v>704</v>
      </c>
      <c r="V23" t="s">
        <v>705</v>
      </c>
      <c r="W23" t="s">
        <v>536</v>
      </c>
      <c r="X23" t="s">
        <v>580</v>
      </c>
      <c r="Y23" t="s">
        <v>457</v>
      </c>
      <c r="Z23" t="s">
        <v>592</v>
      </c>
      <c r="AB23" t="s">
        <v>706</v>
      </c>
      <c r="AD23" t="s">
        <v>264</v>
      </c>
      <c r="AE23" t="s">
        <v>532</v>
      </c>
      <c r="AF23">
        <v>0</v>
      </c>
      <c r="AG23">
        <v>0</v>
      </c>
      <c r="AH23">
        <v>0</v>
      </c>
      <c r="AI23">
        <v>0</v>
      </c>
      <c r="AJ23" t="s">
        <v>594</v>
      </c>
      <c r="AK23" t="s">
        <v>706</v>
      </c>
      <c r="AL23" t="s">
        <v>595</v>
      </c>
    </row>
    <row r="24" spans="1:38" x14ac:dyDescent="0.2">
      <c r="A24">
        <v>1235767</v>
      </c>
    </row>
    <row r="25" spans="1:38" x14ac:dyDescent="0.2">
      <c r="A25">
        <v>1235772</v>
      </c>
    </row>
    <row r="26" spans="1:38" x14ac:dyDescent="0.2">
      <c r="A26">
        <v>1235660</v>
      </c>
      <c r="B26">
        <v>7612900</v>
      </c>
      <c r="C26">
        <v>187509</v>
      </c>
      <c r="E26" t="b">
        <v>0</v>
      </c>
      <c r="F26">
        <v>64197</v>
      </c>
      <c r="G26" t="s">
        <v>707</v>
      </c>
      <c r="H26">
        <v>1</v>
      </c>
      <c r="I26" t="s">
        <v>708</v>
      </c>
      <c r="J26" t="s">
        <v>578</v>
      </c>
      <c r="K26" t="s">
        <v>579</v>
      </c>
      <c r="L26" t="s">
        <v>579</v>
      </c>
      <c r="M26" t="s">
        <v>709</v>
      </c>
      <c r="N26" t="s">
        <v>230</v>
      </c>
      <c r="O26" t="s">
        <v>517</v>
      </c>
      <c r="U26" t="s">
        <v>710</v>
      </c>
      <c r="V26" t="s">
        <v>711</v>
      </c>
      <c r="W26" t="s">
        <v>131</v>
      </c>
      <c r="X26" t="s">
        <v>580</v>
      </c>
      <c r="Y26" t="s">
        <v>140</v>
      </c>
      <c r="AB26" t="s">
        <v>706</v>
      </c>
      <c r="AD26" t="s">
        <v>266</v>
      </c>
      <c r="AE26" t="s">
        <v>476</v>
      </c>
      <c r="AF26">
        <v>0</v>
      </c>
      <c r="AG26">
        <v>0</v>
      </c>
      <c r="AI26">
        <v>0</v>
      </c>
      <c r="AJ26" t="s">
        <v>594</v>
      </c>
      <c r="AK26" t="s">
        <v>706</v>
      </c>
      <c r="AL26" t="s">
        <v>630</v>
      </c>
    </row>
    <row r="27" spans="1:38" x14ac:dyDescent="0.2">
      <c r="A27">
        <v>1235502</v>
      </c>
      <c r="B27">
        <v>6008756</v>
      </c>
      <c r="C27">
        <v>187514</v>
      </c>
      <c r="E27" t="b">
        <v>0</v>
      </c>
      <c r="F27">
        <v>41783</v>
      </c>
      <c r="G27" t="s">
        <v>712</v>
      </c>
      <c r="H27">
        <v>1</v>
      </c>
      <c r="I27" t="s">
        <v>713</v>
      </c>
      <c r="J27" t="s">
        <v>578</v>
      </c>
      <c r="K27" t="s">
        <v>579</v>
      </c>
      <c r="L27" t="s">
        <v>579</v>
      </c>
      <c r="M27" t="s">
        <v>714</v>
      </c>
      <c r="N27" t="s">
        <v>231</v>
      </c>
      <c r="O27" t="s">
        <v>475</v>
      </c>
      <c r="U27" t="s">
        <v>715</v>
      </c>
      <c r="V27" t="s">
        <v>716</v>
      </c>
      <c r="W27" t="s">
        <v>194</v>
      </c>
      <c r="X27" t="s">
        <v>580</v>
      </c>
      <c r="Y27" t="s">
        <v>140</v>
      </c>
      <c r="Z27" t="s">
        <v>592</v>
      </c>
      <c r="AB27" t="s">
        <v>706</v>
      </c>
      <c r="AD27" t="s">
        <v>267</v>
      </c>
      <c r="AE27" t="s">
        <v>476</v>
      </c>
      <c r="AF27">
        <v>0</v>
      </c>
      <c r="AG27">
        <v>0</v>
      </c>
      <c r="AH27">
        <v>27.5</v>
      </c>
      <c r="AI27">
        <v>0</v>
      </c>
      <c r="AJ27" t="s">
        <v>594</v>
      </c>
      <c r="AK27" t="s">
        <v>706</v>
      </c>
      <c r="AL27" t="s">
        <v>595</v>
      </c>
    </row>
    <row r="28" spans="1:38" x14ac:dyDescent="0.2">
      <c r="A28">
        <v>1235505</v>
      </c>
      <c r="B28">
        <v>7971837</v>
      </c>
      <c r="C28">
        <v>187514</v>
      </c>
      <c r="E28" t="b">
        <v>0</v>
      </c>
      <c r="F28">
        <v>70496</v>
      </c>
      <c r="G28" t="s">
        <v>717</v>
      </c>
      <c r="H28">
        <v>1</v>
      </c>
      <c r="I28" t="s">
        <v>718</v>
      </c>
      <c r="J28" t="s">
        <v>578</v>
      </c>
      <c r="K28" t="s">
        <v>579</v>
      </c>
      <c r="L28" t="s">
        <v>579</v>
      </c>
      <c r="M28" t="s">
        <v>719</v>
      </c>
      <c r="N28" t="s">
        <v>232</v>
      </c>
      <c r="O28" t="s">
        <v>479</v>
      </c>
      <c r="S28" t="s">
        <v>720</v>
      </c>
      <c r="U28" t="s">
        <v>721</v>
      </c>
      <c r="V28" t="s">
        <v>722</v>
      </c>
      <c r="W28" t="s">
        <v>549</v>
      </c>
      <c r="X28" t="s">
        <v>580</v>
      </c>
      <c r="Y28" t="s">
        <v>457</v>
      </c>
      <c r="Z28" t="s">
        <v>592</v>
      </c>
      <c r="AB28" t="s">
        <v>706</v>
      </c>
      <c r="AD28" t="s">
        <v>268</v>
      </c>
      <c r="AE28" t="s">
        <v>476</v>
      </c>
      <c r="AF28">
        <v>0</v>
      </c>
      <c r="AG28">
        <v>0</v>
      </c>
      <c r="AH28">
        <v>75</v>
      </c>
      <c r="AI28">
        <v>0</v>
      </c>
      <c r="AJ28" t="s">
        <v>594</v>
      </c>
      <c r="AK28" t="s">
        <v>706</v>
      </c>
      <c r="AL28" t="s">
        <v>595</v>
      </c>
    </row>
    <row r="29" spans="1:38" x14ac:dyDescent="0.2">
      <c r="A29">
        <v>1235646</v>
      </c>
      <c r="B29">
        <v>6249107</v>
      </c>
      <c r="C29">
        <v>187514</v>
      </c>
      <c r="E29" t="b">
        <v>0</v>
      </c>
      <c r="F29">
        <v>46530</v>
      </c>
      <c r="G29" t="s">
        <v>723</v>
      </c>
      <c r="H29">
        <v>1</v>
      </c>
      <c r="I29" t="s">
        <v>724</v>
      </c>
      <c r="J29" t="s">
        <v>578</v>
      </c>
      <c r="K29" t="s">
        <v>579</v>
      </c>
      <c r="L29" t="s">
        <v>579</v>
      </c>
      <c r="M29" t="s">
        <v>725</v>
      </c>
      <c r="N29" t="s">
        <v>233</v>
      </c>
      <c r="O29" t="s">
        <v>513</v>
      </c>
      <c r="U29" t="s">
        <v>726</v>
      </c>
      <c r="V29" t="s">
        <v>727</v>
      </c>
      <c r="W29" t="s">
        <v>194</v>
      </c>
      <c r="X29" t="s">
        <v>580</v>
      </c>
      <c r="Y29" t="s">
        <v>591</v>
      </c>
      <c r="AB29" t="s">
        <v>706</v>
      </c>
      <c r="AD29" t="s">
        <v>269</v>
      </c>
      <c r="AE29" t="s">
        <v>514</v>
      </c>
      <c r="AF29">
        <v>0</v>
      </c>
      <c r="AG29">
        <v>0</v>
      </c>
      <c r="AI29">
        <v>0</v>
      </c>
      <c r="AJ29" t="s">
        <v>594</v>
      </c>
      <c r="AK29" t="s">
        <v>706</v>
      </c>
      <c r="AL29" t="s">
        <v>595</v>
      </c>
    </row>
    <row r="30" spans="1:38" x14ac:dyDescent="0.2">
      <c r="A30">
        <v>1235659</v>
      </c>
      <c r="B30">
        <v>8065644</v>
      </c>
      <c r="C30">
        <v>187514</v>
      </c>
      <c r="E30" t="b">
        <v>0</v>
      </c>
      <c r="F30">
        <v>72594</v>
      </c>
      <c r="G30" t="s">
        <v>728</v>
      </c>
      <c r="H30">
        <v>1</v>
      </c>
      <c r="I30" t="s">
        <v>729</v>
      </c>
      <c r="J30" t="s">
        <v>578</v>
      </c>
      <c r="K30" t="s">
        <v>579</v>
      </c>
      <c r="L30" t="s">
        <v>579</v>
      </c>
      <c r="M30" t="s">
        <v>730</v>
      </c>
      <c r="N30" t="s">
        <v>234</v>
      </c>
      <c r="O30" t="s">
        <v>515</v>
      </c>
      <c r="U30" t="s">
        <v>731</v>
      </c>
      <c r="V30" t="s">
        <v>732</v>
      </c>
      <c r="W30" t="s">
        <v>500</v>
      </c>
      <c r="X30" t="s">
        <v>580</v>
      </c>
      <c r="Y30" t="s">
        <v>457</v>
      </c>
      <c r="Z30" t="s">
        <v>592</v>
      </c>
      <c r="AB30" t="s">
        <v>706</v>
      </c>
      <c r="AD30" t="s">
        <v>270</v>
      </c>
      <c r="AE30" t="s">
        <v>516</v>
      </c>
      <c r="AF30">
        <v>0</v>
      </c>
      <c r="AG30">
        <v>0</v>
      </c>
      <c r="AH30">
        <v>0</v>
      </c>
      <c r="AI30">
        <v>0</v>
      </c>
      <c r="AJ30" t="s">
        <v>594</v>
      </c>
      <c r="AK30" t="s">
        <v>706</v>
      </c>
      <c r="AL30" t="s">
        <v>595</v>
      </c>
    </row>
    <row r="31" spans="1:38" x14ac:dyDescent="0.2">
      <c r="A31">
        <v>1235504</v>
      </c>
      <c r="B31">
        <v>6820976</v>
      </c>
      <c r="C31">
        <v>187514</v>
      </c>
      <c r="E31" t="b">
        <v>0</v>
      </c>
      <c r="F31">
        <v>50724</v>
      </c>
      <c r="G31" t="s">
        <v>733</v>
      </c>
      <c r="H31">
        <v>1</v>
      </c>
      <c r="I31" t="s">
        <v>734</v>
      </c>
      <c r="J31" t="s">
        <v>578</v>
      </c>
      <c r="K31" t="s">
        <v>579</v>
      </c>
      <c r="L31" t="s">
        <v>579</v>
      </c>
      <c r="M31" t="s">
        <v>735</v>
      </c>
      <c r="N31" t="s">
        <v>235</v>
      </c>
      <c r="O31" t="s">
        <v>478</v>
      </c>
      <c r="U31" t="s">
        <v>736</v>
      </c>
      <c r="V31" t="s">
        <v>737</v>
      </c>
      <c r="W31" t="s">
        <v>527</v>
      </c>
      <c r="X31" t="s">
        <v>580</v>
      </c>
      <c r="Y31" t="s">
        <v>591</v>
      </c>
      <c r="Z31" t="s">
        <v>592</v>
      </c>
      <c r="AB31" t="s">
        <v>706</v>
      </c>
      <c r="AD31" t="s">
        <v>271</v>
      </c>
      <c r="AE31" t="s">
        <v>476</v>
      </c>
      <c r="AF31">
        <v>0</v>
      </c>
      <c r="AG31">
        <v>0</v>
      </c>
      <c r="AH31">
        <v>27.5</v>
      </c>
      <c r="AI31">
        <v>0</v>
      </c>
      <c r="AJ31" t="s">
        <v>594</v>
      </c>
      <c r="AK31" t="s">
        <v>706</v>
      </c>
      <c r="AL31" t="s">
        <v>595</v>
      </c>
    </row>
    <row r="32" spans="1:38" x14ac:dyDescent="0.2">
      <c r="A32">
        <v>1235506</v>
      </c>
      <c r="B32">
        <v>7162110</v>
      </c>
      <c r="C32">
        <v>187514</v>
      </c>
      <c r="E32" t="b">
        <v>0</v>
      </c>
      <c r="F32">
        <v>57050</v>
      </c>
      <c r="G32" t="s">
        <v>738</v>
      </c>
      <c r="H32">
        <v>1</v>
      </c>
      <c r="I32" t="s">
        <v>739</v>
      </c>
      <c r="J32" t="s">
        <v>578</v>
      </c>
      <c r="K32" t="s">
        <v>579</v>
      </c>
      <c r="L32" t="s">
        <v>579</v>
      </c>
      <c r="M32" t="s">
        <v>740</v>
      </c>
      <c r="N32" t="s">
        <v>236</v>
      </c>
      <c r="O32" t="s">
        <v>480</v>
      </c>
      <c r="U32" t="s">
        <v>741</v>
      </c>
      <c r="V32" t="s">
        <v>742</v>
      </c>
      <c r="W32" t="s">
        <v>131</v>
      </c>
      <c r="X32" t="s">
        <v>580</v>
      </c>
      <c r="Y32" t="s">
        <v>591</v>
      </c>
      <c r="AB32" t="s">
        <v>706</v>
      </c>
      <c r="AD32" t="s">
        <v>272</v>
      </c>
      <c r="AE32" t="s">
        <v>476</v>
      </c>
      <c r="AF32">
        <v>0</v>
      </c>
      <c r="AG32">
        <v>0</v>
      </c>
      <c r="AI32">
        <v>0</v>
      </c>
      <c r="AJ32" t="s">
        <v>594</v>
      </c>
      <c r="AK32" t="s">
        <v>706</v>
      </c>
      <c r="AL32" t="s">
        <v>595</v>
      </c>
    </row>
    <row r="33" spans="1:38" x14ac:dyDescent="0.2">
      <c r="A33">
        <v>1235510</v>
      </c>
      <c r="B33">
        <v>6129692</v>
      </c>
      <c r="C33">
        <v>187514</v>
      </c>
      <c r="E33" t="b">
        <v>0</v>
      </c>
      <c r="F33">
        <v>44349</v>
      </c>
      <c r="G33" t="s">
        <v>743</v>
      </c>
      <c r="H33">
        <v>1</v>
      </c>
      <c r="I33" t="s">
        <v>744</v>
      </c>
      <c r="J33" t="s">
        <v>578</v>
      </c>
      <c r="K33" t="s">
        <v>579</v>
      </c>
      <c r="L33" t="s">
        <v>579</v>
      </c>
      <c r="M33" t="s">
        <v>745</v>
      </c>
      <c r="N33" t="s">
        <v>237</v>
      </c>
      <c r="O33" t="s">
        <v>484</v>
      </c>
      <c r="U33" t="s">
        <v>746</v>
      </c>
      <c r="V33" t="s">
        <v>747</v>
      </c>
      <c r="W33" t="s">
        <v>748</v>
      </c>
      <c r="X33" t="s">
        <v>580</v>
      </c>
      <c r="Y33" t="s">
        <v>591</v>
      </c>
      <c r="AB33" t="s">
        <v>706</v>
      </c>
      <c r="AD33" t="s">
        <v>273</v>
      </c>
      <c r="AE33" t="s">
        <v>476</v>
      </c>
      <c r="AF33">
        <v>0</v>
      </c>
      <c r="AG33">
        <v>0</v>
      </c>
      <c r="AI33">
        <v>0</v>
      </c>
      <c r="AJ33" t="s">
        <v>594</v>
      </c>
      <c r="AK33" t="s">
        <v>706</v>
      </c>
      <c r="AL33" t="s">
        <v>595</v>
      </c>
    </row>
    <row r="34" spans="1:38" x14ac:dyDescent="0.2">
      <c r="A34">
        <v>1235590</v>
      </c>
      <c r="B34">
        <v>7948956</v>
      </c>
      <c r="C34">
        <v>187514</v>
      </c>
      <c r="E34" t="b">
        <v>0</v>
      </c>
      <c r="F34">
        <v>70164</v>
      </c>
      <c r="G34" t="s">
        <v>749</v>
      </c>
      <c r="H34">
        <v>1</v>
      </c>
      <c r="I34" t="s">
        <v>750</v>
      </c>
      <c r="J34" t="s">
        <v>751</v>
      </c>
      <c r="K34" t="s">
        <v>579</v>
      </c>
      <c r="L34" t="s">
        <v>579</v>
      </c>
      <c r="M34" t="s">
        <v>752</v>
      </c>
      <c r="N34" t="s">
        <v>239</v>
      </c>
      <c r="O34" t="s">
        <v>238</v>
      </c>
      <c r="U34" t="s">
        <v>753</v>
      </c>
      <c r="X34" t="s">
        <v>580</v>
      </c>
      <c r="Y34" t="s">
        <v>140</v>
      </c>
      <c r="Z34" t="s">
        <v>592</v>
      </c>
      <c r="AD34" t="s">
        <v>274</v>
      </c>
      <c r="AE34" t="s">
        <v>476</v>
      </c>
      <c r="AJ34" t="s">
        <v>594</v>
      </c>
      <c r="AK34" t="s">
        <v>706</v>
      </c>
      <c r="AL34" t="s">
        <v>595</v>
      </c>
    </row>
    <row r="35" spans="1:38" x14ac:dyDescent="0.2">
      <c r="A35">
        <v>1235489</v>
      </c>
      <c r="B35">
        <v>7008912</v>
      </c>
      <c r="C35">
        <v>187510</v>
      </c>
      <c r="E35" t="b">
        <v>0</v>
      </c>
      <c r="F35">
        <v>53750</v>
      </c>
      <c r="G35" t="s">
        <v>754</v>
      </c>
      <c r="H35">
        <v>1</v>
      </c>
      <c r="I35" t="s">
        <v>755</v>
      </c>
      <c r="J35" t="s">
        <v>578</v>
      </c>
      <c r="K35" t="s">
        <v>577</v>
      </c>
      <c r="L35" t="s">
        <v>579</v>
      </c>
      <c r="M35" t="s">
        <v>756</v>
      </c>
      <c r="N35" t="s">
        <v>468</v>
      </c>
      <c r="O35" t="s">
        <v>470</v>
      </c>
      <c r="S35" t="s">
        <v>634</v>
      </c>
      <c r="U35" t="s">
        <v>757</v>
      </c>
      <c r="V35" t="s">
        <v>758</v>
      </c>
      <c r="W35" t="s">
        <v>486</v>
      </c>
      <c r="X35" t="s">
        <v>580</v>
      </c>
      <c r="Y35" t="s">
        <v>140</v>
      </c>
      <c r="Z35" t="s">
        <v>592</v>
      </c>
      <c r="AA35" t="s">
        <v>34</v>
      </c>
      <c r="AB35" t="s">
        <v>638</v>
      </c>
      <c r="AD35" t="s">
        <v>471</v>
      </c>
      <c r="AE35" t="s">
        <v>471</v>
      </c>
      <c r="AF35">
        <v>0</v>
      </c>
      <c r="AG35">
        <v>0</v>
      </c>
      <c r="AH35">
        <v>76.25</v>
      </c>
      <c r="AI35">
        <v>0</v>
      </c>
      <c r="AJ35" t="s">
        <v>594</v>
      </c>
      <c r="AK35" t="s">
        <v>638</v>
      </c>
      <c r="AL35" t="s">
        <v>595</v>
      </c>
    </row>
    <row r="36" spans="1:38" x14ac:dyDescent="0.2">
      <c r="A36">
        <v>1235508</v>
      </c>
      <c r="B36">
        <v>4996970</v>
      </c>
      <c r="C36">
        <v>187508</v>
      </c>
      <c r="E36" t="b">
        <v>0</v>
      </c>
      <c r="F36">
        <v>28336</v>
      </c>
      <c r="G36" t="s">
        <v>759</v>
      </c>
      <c r="H36">
        <v>1</v>
      </c>
      <c r="I36" t="s">
        <v>760</v>
      </c>
      <c r="J36" t="s">
        <v>578</v>
      </c>
      <c r="K36" t="s">
        <v>579</v>
      </c>
      <c r="L36" t="s">
        <v>579</v>
      </c>
      <c r="M36" t="s">
        <v>761</v>
      </c>
      <c r="N36" t="s">
        <v>762</v>
      </c>
      <c r="O36" t="s">
        <v>482</v>
      </c>
      <c r="U36" t="s">
        <v>763</v>
      </c>
      <c r="X36" t="s">
        <v>580</v>
      </c>
      <c r="Y36" t="s">
        <v>140</v>
      </c>
      <c r="Z36" t="s">
        <v>592</v>
      </c>
      <c r="AD36" t="s">
        <v>764</v>
      </c>
      <c r="AE36" t="s">
        <v>455</v>
      </c>
      <c r="AJ36" t="s">
        <v>594</v>
      </c>
      <c r="AK36" t="s">
        <v>593</v>
      </c>
      <c r="AL36" t="s">
        <v>595</v>
      </c>
    </row>
    <row r="37" spans="1:38" x14ac:dyDescent="0.2">
      <c r="A37">
        <v>1235777</v>
      </c>
      <c r="B37">
        <v>5034456</v>
      </c>
      <c r="C37">
        <v>187514</v>
      </c>
      <c r="E37" t="b">
        <v>0</v>
      </c>
      <c r="F37">
        <v>29273</v>
      </c>
      <c r="G37" t="s">
        <v>765</v>
      </c>
      <c r="H37">
        <v>1</v>
      </c>
      <c r="I37" t="s">
        <v>766</v>
      </c>
      <c r="J37" t="s">
        <v>578</v>
      </c>
      <c r="K37" t="s">
        <v>579</v>
      </c>
      <c r="L37" t="s">
        <v>579</v>
      </c>
      <c r="M37" t="s">
        <v>767</v>
      </c>
      <c r="N37" t="s">
        <v>240</v>
      </c>
      <c r="O37" t="s">
        <v>533</v>
      </c>
      <c r="S37" t="s">
        <v>720</v>
      </c>
      <c r="V37" t="s">
        <v>768</v>
      </c>
      <c r="W37" t="s">
        <v>769</v>
      </c>
      <c r="X37" t="s">
        <v>580</v>
      </c>
      <c r="Y37" t="s">
        <v>140</v>
      </c>
      <c r="Z37" t="s">
        <v>592</v>
      </c>
      <c r="AB37" t="s">
        <v>706</v>
      </c>
      <c r="AD37" t="s">
        <v>276</v>
      </c>
      <c r="AE37" t="s">
        <v>534</v>
      </c>
      <c r="AF37">
        <v>0</v>
      </c>
      <c r="AG37">
        <v>0</v>
      </c>
      <c r="AH37">
        <v>27.5</v>
      </c>
      <c r="AI37">
        <v>0</v>
      </c>
      <c r="AJ37" t="s">
        <v>594</v>
      </c>
      <c r="AK37" t="s">
        <v>706</v>
      </c>
      <c r="AL37" t="s">
        <v>595</v>
      </c>
    </row>
    <row r="38" spans="1:38" x14ac:dyDescent="0.2">
      <c r="A38">
        <v>1235400</v>
      </c>
      <c r="B38">
        <v>6119636</v>
      </c>
      <c r="C38">
        <v>187514</v>
      </c>
      <c r="E38" t="b">
        <v>0</v>
      </c>
      <c r="F38">
        <v>44172</v>
      </c>
      <c r="G38" t="s">
        <v>770</v>
      </c>
      <c r="H38">
        <v>1</v>
      </c>
      <c r="I38" t="s">
        <v>771</v>
      </c>
      <c r="J38" t="s">
        <v>578</v>
      </c>
      <c r="K38" t="s">
        <v>579</v>
      </c>
      <c r="L38" t="s">
        <v>579</v>
      </c>
      <c r="M38" t="s">
        <v>772</v>
      </c>
      <c r="N38" t="s">
        <v>241</v>
      </c>
      <c r="O38" t="s">
        <v>454</v>
      </c>
      <c r="U38" t="s">
        <v>773</v>
      </c>
      <c r="V38" t="s">
        <v>774</v>
      </c>
      <c r="W38" t="s">
        <v>748</v>
      </c>
      <c r="X38" t="s">
        <v>580</v>
      </c>
      <c r="Y38" t="s">
        <v>591</v>
      </c>
      <c r="AB38" t="s">
        <v>706</v>
      </c>
      <c r="AD38" t="s">
        <v>277</v>
      </c>
      <c r="AE38" t="s">
        <v>455</v>
      </c>
      <c r="AF38">
        <v>0</v>
      </c>
      <c r="AG38">
        <v>0</v>
      </c>
      <c r="AI38">
        <v>0</v>
      </c>
      <c r="AJ38" t="s">
        <v>594</v>
      </c>
      <c r="AK38" t="s">
        <v>706</v>
      </c>
      <c r="AL38" t="s">
        <v>595</v>
      </c>
    </row>
    <row r="39" spans="1:38" x14ac:dyDescent="0.2">
      <c r="A39">
        <v>1235661</v>
      </c>
      <c r="B39">
        <v>8074219</v>
      </c>
      <c r="C39">
        <v>187514</v>
      </c>
      <c r="E39" t="b">
        <v>0</v>
      </c>
      <c r="F39">
        <v>72769</v>
      </c>
      <c r="G39" t="s">
        <v>775</v>
      </c>
      <c r="H39">
        <v>1</v>
      </c>
      <c r="I39" t="s">
        <v>776</v>
      </c>
      <c r="J39" t="s">
        <v>578</v>
      </c>
      <c r="K39" t="s">
        <v>579</v>
      </c>
      <c r="L39" t="s">
        <v>579</v>
      </c>
      <c r="M39" t="s">
        <v>777</v>
      </c>
      <c r="N39" t="s">
        <v>242</v>
      </c>
      <c r="O39" t="s">
        <v>518</v>
      </c>
      <c r="S39" t="s">
        <v>720</v>
      </c>
      <c r="U39" t="s">
        <v>778</v>
      </c>
      <c r="V39" t="s">
        <v>779</v>
      </c>
      <c r="W39" t="s">
        <v>549</v>
      </c>
      <c r="X39" t="s">
        <v>580</v>
      </c>
      <c r="Y39" t="s">
        <v>591</v>
      </c>
      <c r="Z39" t="s">
        <v>592</v>
      </c>
      <c r="AB39" t="s">
        <v>706</v>
      </c>
      <c r="AD39" t="s">
        <v>278</v>
      </c>
      <c r="AE39" t="s">
        <v>455</v>
      </c>
      <c r="AF39">
        <v>0</v>
      </c>
      <c r="AG39">
        <v>0</v>
      </c>
      <c r="AH39">
        <v>0</v>
      </c>
      <c r="AI39">
        <v>0</v>
      </c>
      <c r="AJ39" t="s">
        <v>594</v>
      </c>
      <c r="AK39" t="s">
        <v>706</v>
      </c>
      <c r="AL39" t="s">
        <v>595</v>
      </c>
    </row>
    <row r="40" spans="1:38" x14ac:dyDescent="0.2">
      <c r="A40">
        <v>1235507</v>
      </c>
      <c r="B40">
        <v>8085736</v>
      </c>
      <c r="C40">
        <v>187514</v>
      </c>
      <c r="E40" t="b">
        <v>0</v>
      </c>
      <c r="F40">
        <v>72935</v>
      </c>
      <c r="G40" t="s">
        <v>780</v>
      </c>
      <c r="H40">
        <v>1</v>
      </c>
      <c r="I40" t="s">
        <v>781</v>
      </c>
      <c r="J40" t="s">
        <v>577</v>
      </c>
      <c r="K40" t="s">
        <v>577</v>
      </c>
      <c r="L40" t="s">
        <v>577</v>
      </c>
      <c r="M40" t="s">
        <v>782</v>
      </c>
      <c r="N40" t="s">
        <v>243</v>
      </c>
      <c r="O40" t="s">
        <v>481</v>
      </c>
      <c r="U40" t="s">
        <v>783</v>
      </c>
      <c r="V40" t="s">
        <v>784</v>
      </c>
      <c r="W40" t="s">
        <v>512</v>
      </c>
      <c r="X40" t="s">
        <v>580</v>
      </c>
      <c r="Y40" t="s">
        <v>591</v>
      </c>
      <c r="AB40" t="s">
        <v>706</v>
      </c>
      <c r="AD40" t="s">
        <v>279</v>
      </c>
      <c r="AE40" t="s">
        <v>455</v>
      </c>
      <c r="AF40">
        <v>0</v>
      </c>
      <c r="AG40">
        <v>0</v>
      </c>
      <c r="AI40">
        <v>0</v>
      </c>
      <c r="AJ40" t="s">
        <v>594</v>
      </c>
      <c r="AK40" t="s">
        <v>706</v>
      </c>
      <c r="AL40" t="s">
        <v>595</v>
      </c>
    </row>
    <row r="42" spans="1:38" x14ac:dyDescent="0.2">
      <c r="A42">
        <v>1235500</v>
      </c>
      <c r="B42">
        <v>8128420</v>
      </c>
      <c r="C42">
        <v>187514</v>
      </c>
      <c r="E42" t="b">
        <v>0</v>
      </c>
      <c r="F42">
        <v>73271</v>
      </c>
      <c r="G42" t="s">
        <v>785</v>
      </c>
      <c r="H42">
        <v>1</v>
      </c>
      <c r="I42" t="s">
        <v>786</v>
      </c>
      <c r="J42" t="s">
        <v>578</v>
      </c>
      <c r="K42" t="s">
        <v>577</v>
      </c>
      <c r="L42" t="s">
        <v>579</v>
      </c>
      <c r="M42" t="s">
        <v>787</v>
      </c>
      <c r="N42" t="s">
        <v>244</v>
      </c>
      <c r="O42" t="s">
        <v>473</v>
      </c>
      <c r="U42" t="s">
        <v>788</v>
      </c>
      <c r="V42" t="s">
        <v>789</v>
      </c>
      <c r="W42" t="s">
        <v>131</v>
      </c>
      <c r="X42" t="s">
        <v>580</v>
      </c>
      <c r="Y42" t="s">
        <v>140</v>
      </c>
      <c r="Z42" t="s">
        <v>592</v>
      </c>
      <c r="AB42" t="s">
        <v>706</v>
      </c>
      <c r="AD42" t="s">
        <v>280</v>
      </c>
      <c r="AE42" t="s">
        <v>455</v>
      </c>
      <c r="AF42">
        <v>0</v>
      </c>
      <c r="AG42">
        <v>0</v>
      </c>
      <c r="AH42">
        <v>0</v>
      </c>
      <c r="AI42">
        <v>0</v>
      </c>
      <c r="AJ42" t="s">
        <v>594</v>
      </c>
      <c r="AK42" t="s">
        <v>706</v>
      </c>
      <c r="AL42" t="s">
        <v>595</v>
      </c>
    </row>
    <row r="43" spans="1:38" x14ac:dyDescent="0.2">
      <c r="A43">
        <v>1235509</v>
      </c>
      <c r="B43">
        <v>6206718</v>
      </c>
      <c r="C43">
        <v>187514</v>
      </c>
      <c r="E43" t="b">
        <v>0</v>
      </c>
      <c r="F43">
        <v>46040</v>
      </c>
      <c r="G43" t="s">
        <v>790</v>
      </c>
      <c r="H43">
        <v>2</v>
      </c>
      <c r="I43" t="s">
        <v>791</v>
      </c>
      <c r="J43" t="s">
        <v>578</v>
      </c>
      <c r="K43" t="s">
        <v>579</v>
      </c>
      <c r="L43" t="s">
        <v>579</v>
      </c>
      <c r="M43" t="s">
        <v>792</v>
      </c>
      <c r="N43" t="s">
        <v>245</v>
      </c>
      <c r="O43" t="s">
        <v>483</v>
      </c>
      <c r="U43" t="s">
        <v>793</v>
      </c>
      <c r="V43" t="s">
        <v>794</v>
      </c>
      <c r="W43" t="s">
        <v>769</v>
      </c>
      <c r="X43" t="s">
        <v>580</v>
      </c>
      <c r="Y43" t="s">
        <v>591</v>
      </c>
      <c r="AB43" t="s">
        <v>706</v>
      </c>
      <c r="AD43" t="s">
        <v>281</v>
      </c>
      <c r="AE43" t="s">
        <v>455</v>
      </c>
      <c r="AF43">
        <v>0</v>
      </c>
      <c r="AG43">
        <v>0</v>
      </c>
      <c r="AI43">
        <v>0</v>
      </c>
      <c r="AJ43" t="s">
        <v>594</v>
      </c>
      <c r="AK43" t="s">
        <v>706</v>
      </c>
      <c r="AL43" t="s">
        <v>595</v>
      </c>
    </row>
    <row r="44" spans="1:38" x14ac:dyDescent="0.2">
      <c r="A44">
        <v>1235498</v>
      </c>
      <c r="B44">
        <v>4234901</v>
      </c>
      <c r="C44">
        <v>187508</v>
      </c>
      <c r="E44" t="b">
        <v>0</v>
      </c>
      <c r="F44">
        <v>24455</v>
      </c>
      <c r="G44" t="s">
        <v>795</v>
      </c>
      <c r="H44">
        <v>1</v>
      </c>
      <c r="I44" t="s">
        <v>796</v>
      </c>
      <c r="J44" t="s">
        <v>578</v>
      </c>
      <c r="K44" t="s">
        <v>579</v>
      </c>
      <c r="L44" t="s">
        <v>579</v>
      </c>
      <c r="M44" t="s">
        <v>797</v>
      </c>
      <c r="N44" t="s">
        <v>246</v>
      </c>
      <c r="O44" t="s">
        <v>472</v>
      </c>
      <c r="S44" t="s">
        <v>798</v>
      </c>
      <c r="U44" t="s">
        <v>799</v>
      </c>
      <c r="V44" t="s">
        <v>800</v>
      </c>
      <c r="W44" t="s">
        <v>801</v>
      </c>
      <c r="X44" t="s">
        <v>580</v>
      </c>
      <c r="Y44" t="s">
        <v>140</v>
      </c>
      <c r="Z44" t="s">
        <v>592</v>
      </c>
      <c r="AB44" t="s">
        <v>593</v>
      </c>
      <c r="AD44" t="s">
        <v>282</v>
      </c>
      <c r="AE44" t="s">
        <v>455</v>
      </c>
      <c r="AF44">
        <v>0</v>
      </c>
      <c r="AG44">
        <v>0</v>
      </c>
      <c r="AH44">
        <v>68</v>
      </c>
      <c r="AI44">
        <v>0</v>
      </c>
      <c r="AJ44" t="s">
        <v>594</v>
      </c>
      <c r="AK44" t="s">
        <v>593</v>
      </c>
      <c r="AL44" t="s">
        <v>595</v>
      </c>
    </row>
    <row r="45" spans="1:38" x14ac:dyDescent="0.2">
      <c r="A45">
        <v>1235401</v>
      </c>
      <c r="B45">
        <v>6140648</v>
      </c>
      <c r="C45">
        <v>187514</v>
      </c>
      <c r="E45" t="b">
        <v>0</v>
      </c>
      <c r="F45">
        <v>44618</v>
      </c>
      <c r="G45" t="s">
        <v>802</v>
      </c>
      <c r="H45">
        <v>1</v>
      </c>
      <c r="I45" t="s">
        <v>803</v>
      </c>
      <c r="J45" t="s">
        <v>578</v>
      </c>
      <c r="K45" t="s">
        <v>579</v>
      </c>
      <c r="L45" t="s">
        <v>579</v>
      </c>
      <c r="M45" t="s">
        <v>804</v>
      </c>
      <c r="N45" t="s">
        <v>247</v>
      </c>
      <c r="O45" t="s">
        <v>456</v>
      </c>
      <c r="P45" t="s">
        <v>139</v>
      </c>
      <c r="U45" t="s">
        <v>805</v>
      </c>
      <c r="V45" t="s">
        <v>806</v>
      </c>
      <c r="W45" t="s">
        <v>194</v>
      </c>
      <c r="X45" t="s">
        <v>580</v>
      </c>
      <c r="Y45" t="s">
        <v>140</v>
      </c>
      <c r="AB45" t="s">
        <v>706</v>
      </c>
      <c r="AD45" t="s">
        <v>283</v>
      </c>
      <c r="AE45" t="s">
        <v>455</v>
      </c>
      <c r="AF45">
        <v>0</v>
      </c>
      <c r="AG45">
        <v>0</v>
      </c>
      <c r="AI45">
        <v>0</v>
      </c>
      <c r="AJ45" t="s">
        <v>594</v>
      </c>
      <c r="AK45" t="s">
        <v>706</v>
      </c>
      <c r="AL45" t="s">
        <v>595</v>
      </c>
    </row>
    <row r="46" spans="1:38" x14ac:dyDescent="0.2">
      <c r="A46">
        <v>1235402</v>
      </c>
      <c r="B46">
        <v>8128495</v>
      </c>
      <c r="C46">
        <v>187514</v>
      </c>
      <c r="E46" t="b">
        <v>0</v>
      </c>
      <c r="F46">
        <v>73279</v>
      </c>
      <c r="G46" t="s">
        <v>807</v>
      </c>
      <c r="H46">
        <v>1</v>
      </c>
      <c r="I46" t="s">
        <v>808</v>
      </c>
      <c r="J46" t="s">
        <v>578</v>
      </c>
      <c r="K46" t="s">
        <v>579</v>
      </c>
      <c r="L46" t="s">
        <v>579</v>
      </c>
      <c r="M46" t="s">
        <v>809</v>
      </c>
      <c r="N46" t="s">
        <v>248</v>
      </c>
      <c r="O46" t="s">
        <v>458</v>
      </c>
      <c r="P46" t="s">
        <v>139</v>
      </c>
      <c r="U46" t="s">
        <v>810</v>
      </c>
      <c r="V46" t="s">
        <v>811</v>
      </c>
      <c r="W46" t="s">
        <v>131</v>
      </c>
      <c r="X46" t="s">
        <v>580</v>
      </c>
      <c r="Y46" t="s">
        <v>140</v>
      </c>
      <c r="Z46" t="s">
        <v>592</v>
      </c>
      <c r="AB46" t="s">
        <v>706</v>
      </c>
      <c r="AD46" t="s">
        <v>284</v>
      </c>
      <c r="AE46" t="s">
        <v>455</v>
      </c>
      <c r="AF46">
        <v>0</v>
      </c>
      <c r="AG46">
        <v>0</v>
      </c>
      <c r="AH46">
        <v>0</v>
      </c>
      <c r="AI46">
        <v>0</v>
      </c>
      <c r="AJ46" t="s">
        <v>594</v>
      </c>
      <c r="AK46" t="s">
        <v>706</v>
      </c>
      <c r="AL46" t="s">
        <v>595</v>
      </c>
    </row>
    <row r="47" spans="1:38" x14ac:dyDescent="0.2">
      <c r="A47">
        <v>1235610</v>
      </c>
      <c r="B47">
        <v>3518992</v>
      </c>
      <c r="E47" t="b">
        <v>0</v>
      </c>
      <c r="F47">
        <v>7771</v>
      </c>
      <c r="G47" t="s">
        <v>812</v>
      </c>
      <c r="H47">
        <v>1</v>
      </c>
      <c r="I47" t="s">
        <v>813</v>
      </c>
      <c r="J47" t="s">
        <v>578</v>
      </c>
      <c r="K47" t="s">
        <v>577</v>
      </c>
      <c r="L47" t="s">
        <v>579</v>
      </c>
      <c r="M47" t="s">
        <v>814</v>
      </c>
      <c r="N47" t="s">
        <v>254</v>
      </c>
      <c r="O47" t="s">
        <v>253</v>
      </c>
      <c r="P47" t="s">
        <v>502</v>
      </c>
      <c r="S47" t="s">
        <v>626</v>
      </c>
      <c r="V47" t="s">
        <v>815</v>
      </c>
      <c r="W47" t="s">
        <v>486</v>
      </c>
      <c r="X47" t="s">
        <v>580</v>
      </c>
      <c r="Y47" t="s">
        <v>140</v>
      </c>
      <c r="Z47" t="s">
        <v>592</v>
      </c>
      <c r="AD47" t="s">
        <v>252</v>
      </c>
      <c r="AE47" t="s">
        <v>503</v>
      </c>
      <c r="AF47">
        <v>0</v>
      </c>
      <c r="AG47">
        <v>0</v>
      </c>
      <c r="AH47">
        <v>41</v>
      </c>
      <c r="AI47">
        <v>0</v>
      </c>
      <c r="AJ47" t="s">
        <v>816</v>
      </c>
    </row>
    <row r="49" spans="1:38" x14ac:dyDescent="0.2">
      <c r="A49">
        <v>1235673</v>
      </c>
      <c r="B49">
        <v>7098933</v>
      </c>
      <c r="C49">
        <v>187514</v>
      </c>
      <c r="E49" t="b">
        <v>0</v>
      </c>
      <c r="F49">
        <v>55608</v>
      </c>
      <c r="G49" t="s">
        <v>817</v>
      </c>
      <c r="H49">
        <v>1</v>
      </c>
      <c r="I49" t="s">
        <v>818</v>
      </c>
      <c r="J49" t="s">
        <v>578</v>
      </c>
      <c r="K49" t="s">
        <v>579</v>
      </c>
      <c r="L49" t="s">
        <v>579</v>
      </c>
      <c r="M49" t="s">
        <v>819</v>
      </c>
      <c r="N49" t="s">
        <v>362</v>
      </c>
      <c r="O49" t="s">
        <v>519</v>
      </c>
      <c r="U49" t="s">
        <v>820</v>
      </c>
      <c r="V49" t="s">
        <v>821</v>
      </c>
      <c r="W49" t="s">
        <v>131</v>
      </c>
      <c r="X49" t="s">
        <v>580</v>
      </c>
      <c r="Y49" t="s">
        <v>591</v>
      </c>
      <c r="Z49" t="s">
        <v>592</v>
      </c>
      <c r="AB49" t="s">
        <v>706</v>
      </c>
      <c r="AD49" t="s">
        <v>361</v>
      </c>
      <c r="AE49" t="s">
        <v>488</v>
      </c>
      <c r="AF49">
        <v>0</v>
      </c>
      <c r="AG49">
        <v>0</v>
      </c>
      <c r="AH49">
        <v>27.5</v>
      </c>
      <c r="AI49">
        <v>0</v>
      </c>
      <c r="AJ49" t="s">
        <v>594</v>
      </c>
      <c r="AK49" t="s">
        <v>706</v>
      </c>
      <c r="AL49" t="s">
        <v>595</v>
      </c>
    </row>
    <row r="50" spans="1:38" x14ac:dyDescent="0.2">
      <c r="A50">
        <v>1235526</v>
      </c>
      <c r="B50">
        <v>6917566</v>
      </c>
      <c r="C50">
        <v>187514</v>
      </c>
      <c r="E50" t="b">
        <v>0</v>
      </c>
      <c r="F50">
        <v>51875</v>
      </c>
      <c r="G50" t="s">
        <v>822</v>
      </c>
      <c r="H50">
        <v>1</v>
      </c>
      <c r="I50" t="s">
        <v>823</v>
      </c>
      <c r="J50" t="s">
        <v>578</v>
      </c>
      <c r="K50" t="s">
        <v>579</v>
      </c>
      <c r="L50" t="s">
        <v>579</v>
      </c>
      <c r="M50" t="s">
        <v>824</v>
      </c>
      <c r="N50" t="s">
        <v>249</v>
      </c>
      <c r="O50" t="s">
        <v>487</v>
      </c>
      <c r="U50" t="s">
        <v>825</v>
      </c>
      <c r="V50" t="s">
        <v>826</v>
      </c>
      <c r="W50" t="s">
        <v>500</v>
      </c>
      <c r="X50" t="s">
        <v>580</v>
      </c>
      <c r="Y50" t="s">
        <v>591</v>
      </c>
      <c r="AB50" t="s">
        <v>706</v>
      </c>
      <c r="AD50" t="s">
        <v>285</v>
      </c>
      <c r="AE50" t="s">
        <v>488</v>
      </c>
      <c r="AF50">
        <v>0</v>
      </c>
      <c r="AG50">
        <v>0</v>
      </c>
      <c r="AI50">
        <v>0</v>
      </c>
      <c r="AJ50" t="s">
        <v>594</v>
      </c>
      <c r="AK50" t="s">
        <v>706</v>
      </c>
      <c r="AL50" t="s">
        <v>595</v>
      </c>
    </row>
    <row r="51" spans="1:38" x14ac:dyDescent="0.2">
      <c r="A51">
        <v>2635568</v>
      </c>
      <c r="B51">
        <v>7621062</v>
      </c>
      <c r="C51">
        <v>187514</v>
      </c>
      <c r="E51" t="b">
        <v>0</v>
      </c>
      <c r="F51">
        <v>64450</v>
      </c>
      <c r="G51" t="s">
        <v>827</v>
      </c>
      <c r="H51">
        <v>1</v>
      </c>
      <c r="I51" t="s">
        <v>828</v>
      </c>
      <c r="J51" t="s">
        <v>577</v>
      </c>
      <c r="K51" t="s">
        <v>577</v>
      </c>
      <c r="L51" t="s">
        <v>577</v>
      </c>
      <c r="M51" t="s">
        <v>829</v>
      </c>
      <c r="N51" t="s">
        <v>250</v>
      </c>
      <c r="O51" t="s">
        <v>547</v>
      </c>
      <c r="U51" t="s">
        <v>830</v>
      </c>
      <c r="V51" t="s">
        <v>831</v>
      </c>
      <c r="W51" t="s">
        <v>540</v>
      </c>
      <c r="X51" t="s">
        <v>580</v>
      </c>
      <c r="Y51" t="s">
        <v>457</v>
      </c>
      <c r="Z51" t="s">
        <v>592</v>
      </c>
      <c r="AB51" t="s">
        <v>706</v>
      </c>
      <c r="AD51" t="s">
        <v>286</v>
      </c>
      <c r="AE51" t="s">
        <v>488</v>
      </c>
      <c r="AF51">
        <v>0</v>
      </c>
      <c r="AG51">
        <v>0</v>
      </c>
      <c r="AH51">
        <v>27.5</v>
      </c>
      <c r="AI51">
        <v>0</v>
      </c>
      <c r="AJ51" t="s">
        <v>594</v>
      </c>
      <c r="AK51" t="s">
        <v>706</v>
      </c>
      <c r="AL51" t="s">
        <v>595</v>
      </c>
    </row>
    <row r="52" spans="1:38" x14ac:dyDescent="0.2">
      <c r="A52">
        <v>1235345</v>
      </c>
      <c r="B52">
        <v>7865996</v>
      </c>
      <c r="C52">
        <v>7654931</v>
      </c>
      <c r="E52" t="b">
        <v>0</v>
      </c>
      <c r="F52">
        <v>68489</v>
      </c>
      <c r="G52" t="s">
        <v>832</v>
      </c>
      <c r="H52">
        <v>1</v>
      </c>
      <c r="I52" t="s">
        <v>833</v>
      </c>
      <c r="J52" t="s">
        <v>578</v>
      </c>
      <c r="K52" t="s">
        <v>579</v>
      </c>
      <c r="L52" t="s">
        <v>579</v>
      </c>
      <c r="M52" t="s">
        <v>834</v>
      </c>
      <c r="N52" t="s">
        <v>216</v>
      </c>
      <c r="O52" t="s">
        <v>216</v>
      </c>
      <c r="P52" t="s">
        <v>449</v>
      </c>
      <c r="S52" t="s">
        <v>835</v>
      </c>
      <c r="U52" t="s">
        <v>836</v>
      </c>
      <c r="V52" t="s">
        <v>837</v>
      </c>
      <c r="W52" t="s">
        <v>838</v>
      </c>
      <c r="X52" t="s">
        <v>580</v>
      </c>
      <c r="Y52" t="s">
        <v>140</v>
      </c>
      <c r="Z52" t="s">
        <v>839</v>
      </c>
      <c r="AB52" t="s">
        <v>621</v>
      </c>
      <c r="AD52" t="s">
        <v>215</v>
      </c>
      <c r="AE52" t="s">
        <v>450</v>
      </c>
      <c r="AF52">
        <v>0</v>
      </c>
      <c r="AG52">
        <v>0</v>
      </c>
      <c r="AH52">
        <v>117.75</v>
      </c>
      <c r="AI52">
        <v>0</v>
      </c>
      <c r="AJ52" t="s">
        <v>594</v>
      </c>
      <c r="AK52" t="s">
        <v>621</v>
      </c>
      <c r="AL52" t="s">
        <v>840</v>
      </c>
    </row>
    <row r="53" spans="1:38" x14ac:dyDescent="0.2">
      <c r="A53">
        <v>1235444</v>
      </c>
      <c r="B53">
        <v>7855800</v>
      </c>
      <c r="C53">
        <v>187508</v>
      </c>
      <c r="E53" t="b">
        <v>0</v>
      </c>
      <c r="F53">
        <v>68290</v>
      </c>
      <c r="G53" t="s">
        <v>841</v>
      </c>
      <c r="H53">
        <v>1</v>
      </c>
      <c r="I53" t="s">
        <v>842</v>
      </c>
      <c r="J53" t="s">
        <v>578</v>
      </c>
      <c r="K53" t="s">
        <v>577</v>
      </c>
      <c r="L53" t="s">
        <v>579</v>
      </c>
      <c r="M53" t="s">
        <v>843</v>
      </c>
      <c r="N53" t="s">
        <v>220</v>
      </c>
      <c r="O53" t="s">
        <v>219</v>
      </c>
      <c r="P53" t="s">
        <v>139</v>
      </c>
      <c r="S53" t="s">
        <v>634</v>
      </c>
      <c r="U53" t="s">
        <v>844</v>
      </c>
      <c r="V53" t="s">
        <v>845</v>
      </c>
      <c r="W53" t="s">
        <v>486</v>
      </c>
      <c r="X53" t="s">
        <v>580</v>
      </c>
      <c r="Y53" t="s">
        <v>591</v>
      </c>
      <c r="Z53" t="s">
        <v>592</v>
      </c>
      <c r="AB53" t="s">
        <v>593</v>
      </c>
      <c r="AD53" t="s">
        <v>467</v>
      </c>
      <c r="AE53" t="s">
        <v>846</v>
      </c>
      <c r="AF53">
        <v>0</v>
      </c>
      <c r="AG53">
        <v>0</v>
      </c>
      <c r="AH53">
        <v>102</v>
      </c>
      <c r="AI53">
        <v>0</v>
      </c>
      <c r="AJ53" t="s">
        <v>594</v>
      </c>
      <c r="AK53" t="s">
        <v>593</v>
      </c>
      <c r="AL53" t="s">
        <v>595</v>
      </c>
    </row>
    <row r="54" spans="1:38" x14ac:dyDescent="0.2">
      <c r="A54">
        <v>1235564</v>
      </c>
      <c r="B54">
        <v>7890061</v>
      </c>
      <c r="C54">
        <v>187508</v>
      </c>
      <c r="E54" t="b">
        <v>0</v>
      </c>
      <c r="F54">
        <v>69031</v>
      </c>
      <c r="G54" t="s">
        <v>847</v>
      </c>
      <c r="H54">
        <v>1</v>
      </c>
      <c r="I54" t="s">
        <v>848</v>
      </c>
      <c r="J54" t="s">
        <v>578</v>
      </c>
      <c r="K54" t="s">
        <v>577</v>
      </c>
      <c r="L54" t="s">
        <v>579</v>
      </c>
      <c r="M54" t="s">
        <v>849</v>
      </c>
      <c r="N54" t="s">
        <v>225</v>
      </c>
      <c r="O54" t="s">
        <v>224</v>
      </c>
      <c r="S54" t="s">
        <v>850</v>
      </c>
      <c r="U54" t="s">
        <v>851</v>
      </c>
      <c r="V54" t="s">
        <v>852</v>
      </c>
      <c r="W54" t="s">
        <v>486</v>
      </c>
      <c r="X54" t="s">
        <v>580</v>
      </c>
      <c r="Y54" t="s">
        <v>591</v>
      </c>
      <c r="Z54" t="s">
        <v>592</v>
      </c>
      <c r="AB54" t="s">
        <v>593</v>
      </c>
      <c r="AD54" t="s">
        <v>223</v>
      </c>
      <c r="AE54" t="s">
        <v>498</v>
      </c>
      <c r="AF54">
        <v>0</v>
      </c>
      <c r="AG54">
        <v>0</v>
      </c>
      <c r="AH54">
        <v>75</v>
      </c>
      <c r="AI54">
        <v>0</v>
      </c>
      <c r="AJ54" t="s">
        <v>594</v>
      </c>
      <c r="AK54" t="s">
        <v>593</v>
      </c>
      <c r="AL54" t="s">
        <v>595</v>
      </c>
    </row>
    <row r="55" spans="1:38" x14ac:dyDescent="0.2">
      <c r="A55">
        <v>1235501</v>
      </c>
      <c r="B55">
        <v>8010165</v>
      </c>
      <c r="C55">
        <v>187508</v>
      </c>
      <c r="E55" t="b">
        <v>0</v>
      </c>
      <c r="F55">
        <v>71410</v>
      </c>
      <c r="G55" t="s">
        <v>853</v>
      </c>
      <c r="H55">
        <v>1</v>
      </c>
      <c r="I55" t="s">
        <v>854</v>
      </c>
      <c r="J55" t="s">
        <v>578</v>
      </c>
      <c r="K55" t="s">
        <v>577</v>
      </c>
      <c r="L55" t="s">
        <v>579</v>
      </c>
      <c r="M55" t="s">
        <v>855</v>
      </c>
      <c r="N55" t="s">
        <v>228</v>
      </c>
      <c r="O55" t="s">
        <v>227</v>
      </c>
      <c r="P55" t="s">
        <v>457</v>
      </c>
      <c r="S55" t="s">
        <v>634</v>
      </c>
      <c r="U55" t="s">
        <v>672</v>
      </c>
      <c r="V55" t="s">
        <v>856</v>
      </c>
      <c r="W55" t="s">
        <v>486</v>
      </c>
      <c r="X55" t="s">
        <v>580</v>
      </c>
      <c r="Y55" t="s">
        <v>591</v>
      </c>
      <c r="Z55" t="s">
        <v>592</v>
      </c>
      <c r="AB55" t="s">
        <v>593</v>
      </c>
      <c r="AD55" t="s">
        <v>226</v>
      </c>
      <c r="AE55" t="s">
        <v>474</v>
      </c>
      <c r="AF55">
        <v>0</v>
      </c>
      <c r="AG55">
        <v>0</v>
      </c>
      <c r="AH55">
        <v>75</v>
      </c>
      <c r="AI55">
        <v>0</v>
      </c>
      <c r="AJ55" t="s">
        <v>594</v>
      </c>
      <c r="AK55" t="s">
        <v>593</v>
      </c>
      <c r="AL55" t="s">
        <v>595</v>
      </c>
    </row>
    <row r="56" spans="1:38" x14ac:dyDescent="0.2">
      <c r="A56">
        <v>1235704</v>
      </c>
      <c r="B56">
        <v>8031653</v>
      </c>
      <c r="C56">
        <v>187514</v>
      </c>
      <c r="E56" t="b">
        <v>0</v>
      </c>
      <c r="F56">
        <v>71907</v>
      </c>
      <c r="G56" t="s">
        <v>857</v>
      </c>
      <c r="H56">
        <v>1</v>
      </c>
      <c r="I56" t="s">
        <v>858</v>
      </c>
      <c r="J56" t="s">
        <v>578</v>
      </c>
      <c r="K56" t="s">
        <v>579</v>
      </c>
      <c r="L56" t="s">
        <v>579</v>
      </c>
      <c r="M56" t="s">
        <v>859</v>
      </c>
      <c r="N56" t="s">
        <v>294</v>
      </c>
      <c r="O56" t="s">
        <v>525</v>
      </c>
      <c r="S56" t="s">
        <v>720</v>
      </c>
      <c r="U56" t="s">
        <v>860</v>
      </c>
      <c r="V56" t="s">
        <v>861</v>
      </c>
      <c r="W56" t="s">
        <v>419</v>
      </c>
      <c r="X56" t="s">
        <v>580</v>
      </c>
      <c r="Y56" t="s">
        <v>457</v>
      </c>
      <c r="Z56" t="s">
        <v>592</v>
      </c>
      <c r="AB56" t="s">
        <v>706</v>
      </c>
      <c r="AD56" t="s">
        <v>293</v>
      </c>
      <c r="AE56" t="s">
        <v>293</v>
      </c>
      <c r="AF56">
        <v>0</v>
      </c>
      <c r="AG56">
        <v>0</v>
      </c>
      <c r="AH56">
        <v>27.5</v>
      </c>
      <c r="AI56">
        <v>0</v>
      </c>
      <c r="AJ56" t="s">
        <v>594</v>
      </c>
      <c r="AK56" t="s">
        <v>706</v>
      </c>
      <c r="AL56" t="s">
        <v>595</v>
      </c>
    </row>
    <row r="57" spans="1:38" x14ac:dyDescent="0.2">
      <c r="A57">
        <v>1235563</v>
      </c>
      <c r="B57">
        <v>7009411</v>
      </c>
      <c r="C57">
        <v>7589603</v>
      </c>
      <c r="E57" t="b">
        <v>0</v>
      </c>
      <c r="F57">
        <v>53782</v>
      </c>
      <c r="G57" t="s">
        <v>862</v>
      </c>
      <c r="H57">
        <v>1</v>
      </c>
      <c r="I57" t="s">
        <v>863</v>
      </c>
      <c r="J57" t="s">
        <v>578</v>
      </c>
      <c r="K57" t="s">
        <v>577</v>
      </c>
      <c r="L57" t="s">
        <v>579</v>
      </c>
      <c r="M57" t="s">
        <v>864</v>
      </c>
      <c r="N57" t="s">
        <v>260</v>
      </c>
      <c r="O57" t="s">
        <v>260</v>
      </c>
      <c r="P57" t="s">
        <v>495</v>
      </c>
      <c r="S57" t="s">
        <v>626</v>
      </c>
      <c r="U57" t="s">
        <v>865</v>
      </c>
      <c r="V57" t="s">
        <v>866</v>
      </c>
      <c r="W57" t="s">
        <v>486</v>
      </c>
      <c r="X57" t="s">
        <v>580</v>
      </c>
      <c r="Y57" t="s">
        <v>140</v>
      </c>
      <c r="Z57" t="s">
        <v>592</v>
      </c>
      <c r="AB57" t="s">
        <v>621</v>
      </c>
      <c r="AD57" t="s">
        <v>496</v>
      </c>
      <c r="AE57" t="s">
        <v>497</v>
      </c>
      <c r="AF57">
        <v>0</v>
      </c>
      <c r="AG57">
        <v>0</v>
      </c>
      <c r="AH57">
        <v>46</v>
      </c>
      <c r="AI57">
        <v>0</v>
      </c>
      <c r="AJ57" t="s">
        <v>594</v>
      </c>
      <c r="AK57" t="s">
        <v>621</v>
      </c>
      <c r="AL57" t="s">
        <v>630</v>
      </c>
    </row>
    <row r="58" spans="1:38" x14ac:dyDescent="0.2">
      <c r="A58">
        <v>1235428</v>
      </c>
      <c r="B58">
        <v>3934094</v>
      </c>
      <c r="C58">
        <v>7589603</v>
      </c>
      <c r="E58" t="b">
        <v>0</v>
      </c>
      <c r="F58">
        <v>17702</v>
      </c>
      <c r="G58" t="s">
        <v>867</v>
      </c>
      <c r="H58">
        <v>1</v>
      </c>
      <c r="I58" t="s">
        <v>868</v>
      </c>
      <c r="J58" t="s">
        <v>578</v>
      </c>
      <c r="K58" t="s">
        <v>579</v>
      </c>
      <c r="L58" t="s">
        <v>579</v>
      </c>
      <c r="M58" t="s">
        <v>869</v>
      </c>
      <c r="N58" t="s">
        <v>261</v>
      </c>
      <c r="O58" t="s">
        <v>261</v>
      </c>
      <c r="P58" t="s">
        <v>801</v>
      </c>
      <c r="S58" t="s">
        <v>626</v>
      </c>
      <c r="V58" t="s">
        <v>870</v>
      </c>
      <c r="W58" t="s">
        <v>486</v>
      </c>
      <c r="X58" t="s">
        <v>580</v>
      </c>
      <c r="Y58" t="s">
        <v>140</v>
      </c>
      <c r="Z58" t="s">
        <v>592</v>
      </c>
      <c r="AB58" t="s">
        <v>621</v>
      </c>
      <c r="AD58" t="s">
        <v>871</v>
      </c>
      <c r="AE58" t="s">
        <v>872</v>
      </c>
      <c r="AF58">
        <v>0</v>
      </c>
      <c r="AG58">
        <v>0</v>
      </c>
      <c r="AH58">
        <v>41</v>
      </c>
      <c r="AI58">
        <v>0</v>
      </c>
      <c r="AJ58" t="s">
        <v>594</v>
      </c>
      <c r="AK58" t="s">
        <v>621</v>
      </c>
      <c r="AL58" t="s">
        <v>630</v>
      </c>
    </row>
    <row r="59" spans="1:38" x14ac:dyDescent="0.2">
      <c r="A59">
        <v>2822437</v>
      </c>
    </row>
    <row r="60" spans="1:38" x14ac:dyDescent="0.2">
      <c r="A60">
        <v>1235598</v>
      </c>
      <c r="B60">
        <v>7490110</v>
      </c>
      <c r="C60">
        <v>7589602</v>
      </c>
      <c r="E60" t="b">
        <v>0</v>
      </c>
      <c r="F60">
        <v>61175</v>
      </c>
      <c r="G60" t="s">
        <v>873</v>
      </c>
      <c r="H60">
        <v>1</v>
      </c>
      <c r="I60" t="s">
        <v>874</v>
      </c>
      <c r="J60" t="s">
        <v>578</v>
      </c>
      <c r="K60" t="s">
        <v>577</v>
      </c>
      <c r="L60" t="s">
        <v>579</v>
      </c>
      <c r="M60" t="s">
        <v>875</v>
      </c>
      <c r="N60" t="s">
        <v>217</v>
      </c>
      <c r="O60" t="s">
        <v>217</v>
      </c>
      <c r="P60" t="s">
        <v>486</v>
      </c>
      <c r="S60" t="s">
        <v>634</v>
      </c>
      <c r="U60" t="s">
        <v>876</v>
      </c>
      <c r="V60" t="s">
        <v>877</v>
      </c>
      <c r="W60" t="s">
        <v>486</v>
      </c>
      <c r="X60" t="s">
        <v>580</v>
      </c>
      <c r="Y60" t="s">
        <v>140</v>
      </c>
      <c r="Z60" t="s">
        <v>592</v>
      </c>
      <c r="AA60" t="s">
        <v>34</v>
      </c>
      <c r="AB60" t="s">
        <v>638</v>
      </c>
      <c r="AD60" t="s">
        <v>501</v>
      </c>
      <c r="AE60" t="s">
        <v>501</v>
      </c>
      <c r="AF60">
        <v>0</v>
      </c>
      <c r="AG60">
        <v>0</v>
      </c>
      <c r="AH60">
        <v>76.25</v>
      </c>
      <c r="AI60">
        <v>0</v>
      </c>
      <c r="AJ60" t="s">
        <v>594</v>
      </c>
      <c r="AK60" t="s">
        <v>638</v>
      </c>
      <c r="AL60" t="s">
        <v>630</v>
      </c>
    </row>
    <row r="61" spans="1:38" x14ac:dyDescent="0.2">
      <c r="A61">
        <v>1235517</v>
      </c>
      <c r="B61">
        <v>6829128</v>
      </c>
      <c r="C61">
        <v>187510</v>
      </c>
      <c r="E61" t="b">
        <v>0</v>
      </c>
      <c r="F61">
        <v>50907</v>
      </c>
      <c r="G61" t="s">
        <v>878</v>
      </c>
      <c r="H61">
        <v>1</v>
      </c>
      <c r="I61" t="s">
        <v>879</v>
      </c>
      <c r="J61" t="s">
        <v>578</v>
      </c>
      <c r="K61" t="s">
        <v>577</v>
      </c>
      <c r="L61" t="s">
        <v>579</v>
      </c>
      <c r="M61" t="s">
        <v>880</v>
      </c>
      <c r="N61" t="s">
        <v>218</v>
      </c>
      <c r="O61" t="s">
        <v>218</v>
      </c>
      <c r="P61" t="s">
        <v>131</v>
      </c>
      <c r="S61" t="s">
        <v>634</v>
      </c>
      <c r="U61" t="s">
        <v>881</v>
      </c>
      <c r="V61" t="s">
        <v>882</v>
      </c>
      <c r="W61" t="s">
        <v>486</v>
      </c>
      <c r="X61" t="s">
        <v>580</v>
      </c>
      <c r="Y61" t="s">
        <v>140</v>
      </c>
      <c r="Z61" t="s">
        <v>592</v>
      </c>
      <c r="AA61" t="s">
        <v>34</v>
      </c>
      <c r="AB61" t="s">
        <v>638</v>
      </c>
      <c r="AD61" t="s">
        <v>883</v>
      </c>
      <c r="AE61" t="s">
        <v>883</v>
      </c>
      <c r="AF61">
        <v>0</v>
      </c>
      <c r="AG61">
        <v>0</v>
      </c>
      <c r="AH61">
        <v>74.75</v>
      </c>
      <c r="AI61">
        <v>0</v>
      </c>
      <c r="AJ61" t="s">
        <v>594</v>
      </c>
      <c r="AK61" t="s">
        <v>638</v>
      </c>
      <c r="AL61" t="s">
        <v>595</v>
      </c>
    </row>
    <row r="62" spans="1:38" x14ac:dyDescent="0.2">
      <c r="A62">
        <v>2822784</v>
      </c>
      <c r="B62">
        <v>8069275</v>
      </c>
      <c r="E62" t="b">
        <v>0</v>
      </c>
      <c r="F62">
        <v>72690</v>
      </c>
      <c r="G62" t="s">
        <v>884</v>
      </c>
      <c r="H62">
        <v>1</v>
      </c>
      <c r="I62" t="s">
        <v>885</v>
      </c>
      <c r="J62" t="s">
        <v>578</v>
      </c>
      <c r="K62" t="s">
        <v>579</v>
      </c>
      <c r="L62" t="s">
        <v>579</v>
      </c>
      <c r="M62" t="s">
        <v>886</v>
      </c>
      <c r="N62" t="s">
        <v>551</v>
      </c>
      <c r="O62" t="s">
        <v>551</v>
      </c>
      <c r="P62" t="s">
        <v>172</v>
      </c>
      <c r="S62" t="s">
        <v>887</v>
      </c>
      <c r="V62" t="s">
        <v>888</v>
      </c>
      <c r="W62" t="s">
        <v>486</v>
      </c>
      <c r="X62" t="s">
        <v>580</v>
      </c>
      <c r="Y62" t="s">
        <v>629</v>
      </c>
      <c r="Z62" t="s">
        <v>592</v>
      </c>
      <c r="AA62" t="s">
        <v>34</v>
      </c>
      <c r="AD62" t="s">
        <v>552</v>
      </c>
      <c r="AE62" t="s">
        <v>552</v>
      </c>
      <c r="AF62">
        <v>0</v>
      </c>
      <c r="AG62">
        <v>0</v>
      </c>
      <c r="AH62">
        <v>76.25</v>
      </c>
      <c r="AI62">
        <v>0</v>
      </c>
      <c r="AJ62" t="s">
        <v>594</v>
      </c>
    </row>
    <row r="63" spans="1:38" x14ac:dyDescent="0.2">
      <c r="A63">
        <v>1235416</v>
      </c>
      <c r="B63">
        <v>7618351</v>
      </c>
      <c r="C63">
        <v>187510</v>
      </c>
      <c r="E63" t="b">
        <v>0</v>
      </c>
      <c r="F63">
        <v>64375</v>
      </c>
      <c r="G63" t="s">
        <v>889</v>
      </c>
      <c r="H63">
        <v>1</v>
      </c>
      <c r="I63" t="s">
        <v>890</v>
      </c>
      <c r="J63" t="s">
        <v>578</v>
      </c>
      <c r="K63" t="s">
        <v>891</v>
      </c>
      <c r="L63" t="s">
        <v>579</v>
      </c>
      <c r="M63" t="s">
        <v>892</v>
      </c>
      <c r="N63" t="s">
        <v>461</v>
      </c>
      <c r="O63" t="s">
        <v>461</v>
      </c>
      <c r="P63" t="s">
        <v>462</v>
      </c>
      <c r="S63" t="s">
        <v>893</v>
      </c>
      <c r="U63" t="s">
        <v>894</v>
      </c>
      <c r="V63" t="s">
        <v>895</v>
      </c>
      <c r="W63" t="s">
        <v>486</v>
      </c>
      <c r="X63" t="s">
        <v>580</v>
      </c>
      <c r="Y63" t="s">
        <v>140</v>
      </c>
      <c r="Z63" t="s">
        <v>592</v>
      </c>
      <c r="AA63" t="s">
        <v>34</v>
      </c>
      <c r="AB63" t="s">
        <v>638</v>
      </c>
      <c r="AD63" t="s">
        <v>463</v>
      </c>
      <c r="AE63" t="s">
        <v>463</v>
      </c>
      <c r="AF63">
        <v>0</v>
      </c>
      <c r="AG63">
        <v>0</v>
      </c>
      <c r="AH63">
        <v>76.25</v>
      </c>
      <c r="AI63">
        <v>0</v>
      </c>
      <c r="AJ63" t="s">
        <v>594</v>
      </c>
      <c r="AK63" t="s">
        <v>638</v>
      </c>
      <c r="AL63" t="s">
        <v>595</v>
      </c>
    </row>
    <row r="64" spans="1:38" x14ac:dyDescent="0.2">
      <c r="A64">
        <v>1235503</v>
      </c>
      <c r="B64">
        <v>8035837</v>
      </c>
      <c r="C64">
        <v>187508</v>
      </c>
      <c r="E64" t="b">
        <v>0</v>
      </c>
      <c r="F64">
        <v>72022</v>
      </c>
      <c r="G64" t="s">
        <v>896</v>
      </c>
      <c r="H64">
        <v>1</v>
      </c>
      <c r="I64" t="s">
        <v>897</v>
      </c>
      <c r="J64" t="s">
        <v>578</v>
      </c>
      <c r="K64" t="s">
        <v>577</v>
      </c>
      <c r="L64" t="s">
        <v>579</v>
      </c>
      <c r="M64" t="s">
        <v>898</v>
      </c>
      <c r="N64" t="s">
        <v>299</v>
      </c>
      <c r="O64" t="s">
        <v>221</v>
      </c>
      <c r="P64" t="s">
        <v>457</v>
      </c>
      <c r="S64" t="s">
        <v>899</v>
      </c>
      <c r="U64" t="s">
        <v>900</v>
      </c>
      <c r="V64" t="s">
        <v>901</v>
      </c>
      <c r="W64" t="s">
        <v>486</v>
      </c>
      <c r="X64" t="s">
        <v>580</v>
      </c>
      <c r="Y64" t="s">
        <v>591</v>
      </c>
      <c r="Z64" t="s">
        <v>592</v>
      </c>
      <c r="AB64" t="s">
        <v>593</v>
      </c>
      <c r="AD64" t="s">
        <v>300</v>
      </c>
      <c r="AE64" t="s">
        <v>477</v>
      </c>
      <c r="AF64">
        <v>0</v>
      </c>
      <c r="AG64">
        <v>0</v>
      </c>
      <c r="AH64">
        <v>97</v>
      </c>
      <c r="AI64">
        <v>0</v>
      </c>
      <c r="AJ64" t="s">
        <v>594</v>
      </c>
      <c r="AK64" t="s">
        <v>593</v>
      </c>
      <c r="AL64" t="s">
        <v>595</v>
      </c>
    </row>
    <row r="65" spans="1:1" x14ac:dyDescent="0.2">
      <c r="A65">
        <v>1235768</v>
      </c>
    </row>
    <row r="66" spans="1:1" x14ac:dyDescent="0.2">
      <c r="A66">
        <v>1235769</v>
      </c>
    </row>
    <row r="67" spans="1:1" x14ac:dyDescent="0.2">
      <c r="A67">
        <v>1235540</v>
      </c>
    </row>
  </sheetData>
  <sheetProtection algorithmName="SHA-512" hashValue="cH05eGgHSY9tpj/A3mEPb6b/OuicDgaCla1pC2X2TcOOzP3D2cFNPbotbaKVSnif/VFHyd/SJCfqv0yG1VV5NQ==" saltValue="D5qWTP9dhlug8h+VmuL2Y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614</v>
      </c>
      <c r="B1" s="44" t="s">
        <v>612</v>
      </c>
      <c r="C1" s="44" t="s">
        <v>613</v>
      </c>
    </row>
    <row r="2" spans="1:3" x14ac:dyDescent="0.2">
      <c r="A2" s="44" t="s">
        <v>611</v>
      </c>
      <c r="B2">
        <v>-100</v>
      </c>
      <c r="C2">
        <v>450</v>
      </c>
    </row>
    <row r="3" spans="1:3" x14ac:dyDescent="0.2">
      <c r="A3" s="44" t="s">
        <v>605</v>
      </c>
      <c r="B3">
        <v>-50</v>
      </c>
      <c r="C3">
        <v>450</v>
      </c>
    </row>
    <row r="4" spans="1:3" x14ac:dyDescent="0.2">
      <c r="A4" s="44" t="s">
        <v>604</v>
      </c>
      <c r="B4">
        <v>70</v>
      </c>
      <c r="C4">
        <v>500</v>
      </c>
    </row>
    <row r="5" spans="1:3" x14ac:dyDescent="0.2">
      <c r="A5" s="44" t="s">
        <v>606</v>
      </c>
      <c r="B5">
        <v>70</v>
      </c>
      <c r="C5">
        <v>450</v>
      </c>
    </row>
    <row r="6" spans="1:3" x14ac:dyDescent="0.2">
      <c r="A6" s="44" t="s">
        <v>608</v>
      </c>
      <c r="B6">
        <v>70</v>
      </c>
      <c r="C6">
        <v>1000</v>
      </c>
    </row>
    <row r="7" spans="1:3" x14ac:dyDescent="0.2">
      <c r="A7" s="44" t="s">
        <v>609</v>
      </c>
      <c r="B7">
        <v>200</v>
      </c>
      <c r="C7">
        <v>1850</v>
      </c>
    </row>
    <row r="8" spans="1:3" x14ac:dyDescent="0.2">
      <c r="A8" s="44" t="s">
        <v>607</v>
      </c>
      <c r="B8">
        <v>700</v>
      </c>
      <c r="C8">
        <v>2200</v>
      </c>
    </row>
    <row r="9" spans="1:3" x14ac:dyDescent="0.2">
      <c r="A9" s="44" t="s">
        <v>610</v>
      </c>
      <c r="B9">
        <v>700</v>
      </c>
      <c r="C9">
        <v>2200</v>
      </c>
    </row>
  </sheetData>
  <sheetProtection algorithmName="SHA-512" hashValue="a4ZPj3bMSIg7PwMOwxMOk4duL+isZopcpx0UuFqpRRhJN5APpp5tsxX0Qt+zu2yGvPU74rXeZ8Pv639+ePJJ3g==" saltValue="ICuFrIKsADP1XhwOM46kQ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9" bestFit="1" customWidth="1"/>
    <col min="17" max="17" width="8.28515625" style="76" bestFit="1" customWidth="1"/>
    <col min="18" max="22" width="6" style="76" bestFit="1" customWidth="1"/>
    <col min="23" max="23" width="4.5703125" style="76" customWidth="1"/>
    <col min="24" max="31" width="6" style="76" bestFit="1" customWidth="1"/>
    <col min="32" max="32" width="9.85546875" style="371"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81"/>
      <c r="B1" s="382"/>
      <c r="C1" s="382"/>
      <c r="D1" s="382"/>
      <c r="E1" s="382" t="s">
        <v>93</v>
      </c>
      <c r="F1" s="382"/>
      <c r="G1" s="382"/>
      <c r="H1" s="382"/>
      <c r="I1" s="382"/>
      <c r="J1" s="382"/>
      <c r="K1" s="382"/>
      <c r="L1" s="382"/>
      <c r="M1" s="382"/>
      <c r="N1" s="383"/>
      <c r="O1" s="384"/>
      <c r="P1" s="366" t="s">
        <v>96</v>
      </c>
      <c r="Q1" s="72"/>
      <c r="R1" s="73"/>
      <c r="S1" s="73"/>
      <c r="T1" s="73"/>
      <c r="U1" s="73" t="s">
        <v>94</v>
      </c>
      <c r="V1" s="73"/>
      <c r="W1" s="73"/>
      <c r="X1" s="73"/>
      <c r="Y1" s="73"/>
      <c r="Z1" s="73"/>
      <c r="AA1" s="73"/>
      <c r="AB1" s="73"/>
      <c r="AC1" s="73"/>
      <c r="AD1" s="73"/>
      <c r="AE1" s="74"/>
      <c r="AF1" s="366" t="s">
        <v>96</v>
      </c>
      <c r="AG1" s="72"/>
      <c r="AH1" s="73"/>
      <c r="AI1" s="73"/>
      <c r="AJ1" s="73" t="s">
        <v>95</v>
      </c>
      <c r="AK1" s="73"/>
      <c r="AL1" s="73"/>
      <c r="AM1" s="73"/>
      <c r="AN1" s="73"/>
      <c r="AO1" s="73"/>
      <c r="AP1" s="73"/>
      <c r="AQ1" s="73"/>
      <c r="AR1" s="73"/>
      <c r="AS1" s="74"/>
    </row>
    <row r="2" spans="1:45" s="70" customFormat="1" ht="15" x14ac:dyDescent="0.25">
      <c r="A2" s="361"/>
      <c r="B2" s="361"/>
      <c r="C2" s="361"/>
      <c r="D2" s="361"/>
      <c r="E2" s="361"/>
      <c r="F2" s="361"/>
      <c r="G2" s="361"/>
      <c r="H2" s="361"/>
      <c r="I2" s="361"/>
      <c r="J2" s="361"/>
      <c r="K2" s="172"/>
      <c r="L2" s="61"/>
      <c r="M2" s="61"/>
      <c r="N2" s="61"/>
      <c r="O2" s="62"/>
      <c r="P2" s="367"/>
      <c r="Q2" s="61"/>
      <c r="R2" s="61"/>
      <c r="S2" s="61"/>
      <c r="T2" s="61"/>
      <c r="U2" s="61"/>
      <c r="V2" s="61"/>
      <c r="W2" s="61"/>
      <c r="X2" s="61"/>
      <c r="Y2" s="61"/>
      <c r="Z2" s="61"/>
      <c r="AA2" s="61"/>
      <c r="AB2" s="112"/>
      <c r="AC2" s="112"/>
      <c r="AD2" s="62"/>
      <c r="AE2" s="62"/>
      <c r="AF2" s="370"/>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7"/>
      <c r="Q3" s="61"/>
      <c r="R3" s="61"/>
      <c r="S3" s="61"/>
      <c r="T3" s="61"/>
      <c r="U3" s="61"/>
      <c r="V3" s="61"/>
      <c r="W3" s="61"/>
      <c r="X3" s="61"/>
      <c r="Y3" s="61"/>
      <c r="Z3" s="61"/>
      <c r="AA3" s="61"/>
      <c r="AB3" s="112"/>
      <c r="AC3" s="112"/>
      <c r="AD3" s="69"/>
      <c r="AE3" s="62"/>
      <c r="AF3" s="370"/>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8"/>
      <c r="Q4" s="365"/>
      <c r="R4" s="364"/>
      <c r="S4" s="364"/>
      <c r="T4" s="364"/>
      <c r="U4" s="364"/>
      <c r="V4" s="364"/>
      <c r="W4" s="364"/>
      <c r="X4" s="364"/>
      <c r="Y4" s="364"/>
      <c r="Z4" s="364"/>
      <c r="AA4" s="364"/>
      <c r="AB4" s="63"/>
      <c r="AC4" s="63"/>
      <c r="AD4" s="63"/>
      <c r="AE4" s="63"/>
      <c r="AF4" s="370"/>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7"/>
      <c r="Q5" s="365"/>
      <c r="R5" s="364"/>
      <c r="S5" s="364"/>
      <c r="T5" s="364"/>
      <c r="U5" s="364"/>
      <c r="V5" s="364"/>
      <c r="W5" s="364"/>
      <c r="X5" s="364"/>
      <c r="Y5" s="364"/>
      <c r="Z5" s="364"/>
      <c r="AA5" s="364"/>
      <c r="AB5" s="63"/>
      <c r="AC5" s="63"/>
      <c r="AD5" s="63"/>
      <c r="AE5" s="63"/>
      <c r="AF5" s="370"/>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7"/>
      <c r="Q6" s="365"/>
      <c r="R6" s="364"/>
      <c r="S6" s="364"/>
      <c r="T6" s="364"/>
      <c r="U6" s="364"/>
      <c r="V6" s="364"/>
      <c r="W6" s="364"/>
      <c r="X6" s="364"/>
      <c r="Y6" s="364"/>
      <c r="Z6" s="364"/>
      <c r="AA6" s="364"/>
      <c r="AB6" s="63"/>
      <c r="AC6" s="63"/>
      <c r="AD6" s="63"/>
      <c r="AE6" s="63"/>
      <c r="AF6" s="370"/>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7"/>
      <c r="Q7" s="365"/>
      <c r="R7" s="364"/>
      <c r="S7" s="364"/>
      <c r="T7" s="364"/>
      <c r="U7" s="364"/>
      <c r="V7" s="364"/>
      <c r="W7" s="364"/>
      <c r="X7" s="364"/>
      <c r="Y7" s="364"/>
      <c r="Z7" s="364"/>
      <c r="AA7" s="364"/>
      <c r="AB7" s="63"/>
      <c r="AC7" s="63"/>
      <c r="AD7" s="63"/>
      <c r="AE7" s="63"/>
      <c r="AF7" s="370"/>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7"/>
      <c r="Q8" s="365"/>
      <c r="R8" s="364"/>
      <c r="S8" s="364"/>
      <c r="T8" s="364"/>
      <c r="U8" s="364"/>
      <c r="V8" s="364"/>
      <c r="W8" s="364"/>
      <c r="X8" s="364"/>
      <c r="Y8" s="364"/>
      <c r="Z8" s="364"/>
      <c r="AA8" s="364"/>
      <c r="AB8" s="63"/>
      <c r="AC8" s="63"/>
      <c r="AD8" s="63"/>
      <c r="AE8" s="63"/>
      <c r="AF8" s="370"/>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7"/>
      <c r="Q9" s="365"/>
      <c r="R9" s="364"/>
      <c r="S9" s="364"/>
      <c r="T9" s="364"/>
      <c r="U9" s="364"/>
      <c r="V9" s="364"/>
      <c r="W9" s="364"/>
      <c r="X9" s="364"/>
      <c r="Y9" s="364"/>
      <c r="Z9" s="364"/>
      <c r="AA9" s="364"/>
      <c r="AB9" s="63"/>
      <c r="AC9" s="63"/>
      <c r="AD9" s="63"/>
      <c r="AE9" s="63"/>
      <c r="AF9" s="370"/>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7"/>
      <c r="Q10" s="365"/>
      <c r="R10" s="364"/>
      <c r="S10" s="364"/>
      <c r="T10" s="364"/>
      <c r="U10" s="364"/>
      <c r="V10" s="364"/>
      <c r="W10" s="364"/>
      <c r="X10" s="364"/>
      <c r="Y10" s="364"/>
      <c r="Z10" s="364"/>
      <c r="AA10" s="364"/>
      <c r="AB10" s="63"/>
      <c r="AC10" s="63"/>
      <c r="AD10" s="63"/>
      <c r="AE10" s="63"/>
      <c r="AF10" s="370"/>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7"/>
      <c r="Q11" s="365"/>
      <c r="R11" s="364"/>
      <c r="S11" s="364"/>
      <c r="T11" s="364"/>
      <c r="U11" s="364"/>
      <c r="V11" s="364"/>
      <c r="W11" s="364"/>
      <c r="X11" s="364"/>
      <c r="Y11" s="364"/>
      <c r="Z11" s="364"/>
      <c r="AA11" s="364"/>
      <c r="AB11" s="63"/>
      <c r="AC11" s="63"/>
      <c r="AD11" s="63"/>
      <c r="AE11" s="63"/>
      <c r="AF11" s="370"/>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7"/>
      <c r="Q12" s="365"/>
      <c r="R12" s="364"/>
      <c r="S12" s="364"/>
      <c r="T12" s="364"/>
      <c r="U12" s="364"/>
      <c r="V12" s="364"/>
      <c r="W12" s="364"/>
      <c r="X12" s="364"/>
      <c r="Y12" s="364"/>
      <c r="Z12" s="364"/>
      <c r="AA12" s="364"/>
      <c r="AB12" s="63"/>
      <c r="AC12" s="63"/>
      <c r="AD12" s="63"/>
      <c r="AE12" s="63"/>
      <c r="AF12" s="370"/>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7"/>
      <c r="Q13" s="365"/>
      <c r="R13" s="364"/>
      <c r="S13" s="364"/>
      <c r="T13" s="364"/>
      <c r="U13" s="364"/>
      <c r="V13" s="364"/>
      <c r="W13" s="364"/>
      <c r="X13" s="364"/>
      <c r="Y13" s="364"/>
      <c r="Z13" s="364"/>
      <c r="AA13" s="364"/>
      <c r="AB13" s="63"/>
      <c r="AC13" s="63"/>
      <c r="AD13" s="63"/>
      <c r="AE13" s="63"/>
      <c r="AF13" s="370"/>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7"/>
      <c r="Q14" s="365"/>
      <c r="R14" s="364"/>
      <c r="S14" s="364"/>
      <c r="T14" s="364"/>
      <c r="U14" s="364"/>
      <c r="V14" s="364"/>
      <c r="W14" s="364"/>
      <c r="X14" s="364"/>
      <c r="Y14" s="364"/>
      <c r="Z14" s="364"/>
      <c r="AA14" s="364"/>
      <c r="AB14" s="63"/>
      <c r="AC14" s="63"/>
      <c r="AD14" s="63"/>
      <c r="AE14" s="63"/>
      <c r="AF14" s="370"/>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7"/>
      <c r="Q15" s="365"/>
      <c r="R15" s="364"/>
      <c r="S15" s="364"/>
      <c r="T15" s="364"/>
      <c r="U15" s="364"/>
      <c r="V15" s="364"/>
      <c r="W15" s="364"/>
      <c r="X15" s="364"/>
      <c r="Y15" s="364"/>
      <c r="Z15" s="364"/>
      <c r="AA15" s="364"/>
      <c r="AB15" s="63"/>
      <c r="AC15" s="63"/>
      <c r="AD15" s="63"/>
      <c r="AE15" s="63"/>
      <c r="AF15" s="370"/>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7"/>
      <c r="Q16" s="365"/>
      <c r="R16" s="364"/>
      <c r="S16" s="364"/>
      <c r="T16" s="364"/>
      <c r="U16" s="364"/>
      <c r="V16" s="364"/>
      <c r="W16" s="364"/>
      <c r="X16" s="364"/>
      <c r="Y16" s="364"/>
      <c r="Z16" s="364"/>
      <c r="AA16" s="364"/>
      <c r="AB16" s="63"/>
      <c r="AC16" s="63"/>
      <c r="AD16" s="63"/>
      <c r="AE16" s="63"/>
      <c r="AF16" s="370"/>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7"/>
      <c r="Q17" s="365"/>
      <c r="R17" s="364"/>
      <c r="S17" s="364"/>
      <c r="T17" s="364"/>
      <c r="U17" s="364"/>
      <c r="V17" s="364"/>
      <c r="W17" s="364"/>
      <c r="X17" s="364"/>
      <c r="Y17" s="364"/>
      <c r="Z17" s="364"/>
      <c r="AA17" s="364"/>
      <c r="AB17" s="63"/>
      <c r="AC17" s="63"/>
      <c r="AD17" s="63"/>
      <c r="AE17" s="63"/>
      <c r="AF17" s="370"/>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7"/>
      <c r="Q18" s="365"/>
      <c r="R18" s="364"/>
      <c r="S18" s="364"/>
      <c r="T18" s="364"/>
      <c r="U18" s="364"/>
      <c r="V18" s="364"/>
      <c r="W18" s="364"/>
      <c r="X18" s="364"/>
      <c r="Y18" s="364"/>
      <c r="Z18" s="364"/>
      <c r="AA18" s="364"/>
      <c r="AB18" s="63"/>
      <c r="AC18" s="63"/>
      <c r="AD18" s="63"/>
      <c r="AE18" s="63"/>
      <c r="AF18" s="370"/>
      <c r="AG18" s="112"/>
      <c r="AH18" s="63"/>
      <c r="AI18" s="63"/>
      <c r="AJ18" s="63"/>
      <c r="AK18" s="63"/>
      <c r="AL18" s="63"/>
      <c r="AM18" s="63"/>
      <c r="AN18" s="63"/>
      <c r="AO18" s="63"/>
      <c r="AP18" s="63"/>
      <c r="AQ18" s="63"/>
      <c r="AR18" s="63"/>
      <c r="AS18" s="63"/>
    </row>
    <row r="19" spans="1:45" ht="15" x14ac:dyDescent="0.25">
      <c r="A19" s="362"/>
      <c r="B19" s="363"/>
      <c r="C19" s="363"/>
      <c r="D19" s="363"/>
      <c r="E19" s="363"/>
      <c r="F19" s="363"/>
      <c r="G19" s="363"/>
      <c r="H19" s="363"/>
      <c r="I19" s="363"/>
      <c r="J19" s="363"/>
      <c r="K19" s="363"/>
      <c r="L19" s="363"/>
      <c r="M19" s="363"/>
      <c r="N19" s="364"/>
      <c r="O19" s="112"/>
      <c r="P19" s="367"/>
      <c r="Q19" s="365"/>
      <c r="R19" s="364"/>
      <c r="S19" s="364"/>
      <c r="T19" s="364"/>
      <c r="U19" s="364"/>
      <c r="V19" s="364"/>
      <c r="W19" s="364"/>
      <c r="X19" s="364"/>
      <c r="Y19" s="364"/>
      <c r="Z19" s="364"/>
      <c r="AA19" s="364"/>
      <c r="AB19" s="63"/>
      <c r="AC19" s="63"/>
      <c r="AD19" s="63"/>
      <c r="AE19" s="63"/>
      <c r="AF19" s="370"/>
      <c r="AG19" s="112"/>
      <c r="AH19" s="63"/>
      <c r="AI19" s="63"/>
      <c r="AJ19" s="63"/>
      <c r="AK19" s="63"/>
      <c r="AL19" s="63"/>
      <c r="AM19" s="63"/>
      <c r="AN19" s="63"/>
      <c r="AO19" s="63"/>
      <c r="AP19" s="63"/>
      <c r="AQ19" s="63"/>
      <c r="AR19" s="63"/>
      <c r="AS19" s="63"/>
    </row>
    <row r="20" spans="1:45" ht="15" x14ac:dyDescent="0.25">
      <c r="A20" s="361"/>
      <c r="B20" s="363"/>
      <c r="C20" s="363"/>
      <c r="D20" s="363"/>
      <c r="E20" s="363"/>
      <c r="F20" s="363"/>
      <c r="G20" s="363"/>
      <c r="H20" s="363"/>
      <c r="I20" s="363"/>
      <c r="J20" s="363"/>
      <c r="K20" s="363"/>
      <c r="L20" s="363"/>
      <c r="M20" s="363"/>
      <c r="N20" s="364"/>
      <c r="O20" s="112"/>
      <c r="P20" s="367"/>
      <c r="Q20" s="112"/>
      <c r="R20" s="112"/>
      <c r="S20" s="112"/>
      <c r="T20" s="112"/>
      <c r="U20" s="112"/>
      <c r="V20" s="112"/>
      <c r="W20" s="112"/>
      <c r="X20" s="112"/>
      <c r="Y20" s="112"/>
      <c r="Z20" s="112"/>
      <c r="AA20" s="112"/>
      <c r="AB20" s="63"/>
      <c r="AC20" s="63"/>
      <c r="AD20" s="63"/>
      <c r="AE20" s="63"/>
      <c r="AF20" s="370"/>
      <c r="AG20" s="112"/>
      <c r="AH20" s="63"/>
      <c r="AI20" s="63"/>
      <c r="AJ20" s="63"/>
      <c r="AK20" s="63"/>
      <c r="AL20" s="63"/>
      <c r="AM20" s="63"/>
      <c r="AN20" s="63"/>
      <c r="AO20" s="63"/>
      <c r="AP20" s="63"/>
      <c r="AQ20" s="63"/>
      <c r="AR20" s="63"/>
      <c r="AS20" s="63"/>
    </row>
    <row r="21" spans="1:45" ht="15" x14ac:dyDescent="0.25">
      <c r="A21" s="362"/>
      <c r="B21" s="363"/>
      <c r="C21" s="363"/>
      <c r="D21" s="363"/>
      <c r="E21" s="363"/>
      <c r="F21" s="363"/>
      <c r="G21" s="363"/>
      <c r="H21" s="363"/>
      <c r="I21" s="363"/>
      <c r="J21" s="363"/>
      <c r="K21" s="363"/>
      <c r="L21" s="363"/>
      <c r="M21" s="363"/>
      <c r="N21" s="364"/>
      <c r="O21" s="112"/>
      <c r="P21" s="367"/>
      <c r="Q21" s="112"/>
      <c r="R21" s="112"/>
      <c r="S21" s="112"/>
      <c r="T21" s="112"/>
      <c r="U21" s="112"/>
      <c r="V21" s="112"/>
      <c r="W21" s="112"/>
      <c r="X21" s="112"/>
      <c r="Y21" s="112"/>
      <c r="Z21" s="112"/>
      <c r="AA21" s="112"/>
      <c r="AB21" s="63"/>
      <c r="AC21" s="63"/>
      <c r="AD21" s="63"/>
      <c r="AE21" s="63"/>
      <c r="AF21" s="370"/>
      <c r="AG21" s="112"/>
      <c r="AH21" s="63"/>
      <c r="AI21" s="63"/>
      <c r="AJ21" s="63"/>
      <c r="AK21" s="63"/>
      <c r="AL21" s="63"/>
      <c r="AM21" s="63"/>
      <c r="AN21" s="63"/>
      <c r="AO21" s="63"/>
      <c r="AP21" s="63"/>
      <c r="AQ21" s="63"/>
      <c r="AR21" s="63"/>
      <c r="AS21" s="63"/>
    </row>
    <row r="22" spans="1:45" ht="15" x14ac:dyDescent="0.25">
      <c r="A22" s="361"/>
      <c r="B22" s="363"/>
      <c r="C22" s="363"/>
      <c r="D22" s="363"/>
      <c r="E22" s="363"/>
      <c r="F22" s="363"/>
      <c r="G22" s="363"/>
      <c r="H22" s="363"/>
      <c r="I22" s="363"/>
      <c r="J22" s="363"/>
      <c r="K22" s="363"/>
      <c r="L22" s="363"/>
      <c r="M22" s="363"/>
      <c r="N22" s="364"/>
      <c r="O22" s="112"/>
      <c r="P22" s="367"/>
      <c r="Q22" s="112"/>
      <c r="R22" s="112"/>
      <c r="S22" s="112"/>
      <c r="T22" s="112"/>
      <c r="U22" s="112"/>
      <c r="V22" s="112"/>
      <c r="W22" s="112"/>
      <c r="X22" s="112"/>
      <c r="Y22" s="112"/>
      <c r="Z22" s="112"/>
      <c r="AA22" s="112"/>
      <c r="AB22" s="63"/>
      <c r="AC22" s="63"/>
      <c r="AD22" s="63"/>
      <c r="AE22" s="63"/>
      <c r="AF22" s="370"/>
      <c r="AG22" s="112"/>
      <c r="AH22" s="63"/>
      <c r="AI22" s="63"/>
      <c r="AJ22" s="63"/>
      <c r="AK22" s="63"/>
      <c r="AL22" s="63"/>
      <c r="AM22" s="63"/>
      <c r="AN22" s="63"/>
      <c r="AO22" s="63"/>
      <c r="AP22" s="63"/>
      <c r="AQ22" s="63"/>
      <c r="AR22" s="63"/>
      <c r="AS22" s="63"/>
    </row>
    <row r="23" spans="1:45" ht="15" x14ac:dyDescent="0.25">
      <c r="A23" s="362"/>
      <c r="B23" s="363"/>
      <c r="C23" s="363"/>
      <c r="D23" s="363"/>
      <c r="E23" s="363"/>
      <c r="F23" s="363"/>
      <c r="G23" s="363"/>
      <c r="H23" s="363"/>
      <c r="I23" s="363"/>
      <c r="J23" s="363"/>
      <c r="K23" s="363"/>
      <c r="L23" s="363"/>
      <c r="M23" s="363"/>
      <c r="N23" s="364"/>
      <c r="O23" s="112"/>
      <c r="P23" s="367"/>
      <c r="Q23" s="112"/>
      <c r="R23" s="112"/>
      <c r="S23" s="112"/>
      <c r="T23" s="112"/>
      <c r="U23" s="112"/>
      <c r="V23" s="112"/>
      <c r="W23" s="112"/>
      <c r="X23" s="112"/>
      <c r="Y23" s="112"/>
      <c r="Z23" s="112"/>
      <c r="AA23" s="112"/>
      <c r="AB23" s="63"/>
      <c r="AC23" s="63"/>
      <c r="AD23" s="63"/>
      <c r="AE23" s="63"/>
      <c r="AF23" s="370"/>
      <c r="AG23" s="112"/>
      <c r="AH23" s="63"/>
      <c r="AI23" s="63"/>
      <c r="AJ23" s="63"/>
      <c r="AK23" s="63"/>
      <c r="AL23" s="63"/>
      <c r="AM23" s="63"/>
      <c r="AN23" s="63"/>
      <c r="AO23" s="63"/>
      <c r="AP23" s="63"/>
      <c r="AQ23" s="63"/>
      <c r="AR23" s="63"/>
      <c r="AS23" s="63"/>
    </row>
    <row r="24" spans="1:45" ht="15" x14ac:dyDescent="0.25">
      <c r="A24" s="361"/>
      <c r="B24" s="363"/>
      <c r="C24" s="363"/>
      <c r="D24" s="363"/>
      <c r="E24" s="363"/>
      <c r="F24" s="363"/>
      <c r="G24" s="363"/>
      <c r="H24" s="363"/>
      <c r="I24" s="363"/>
      <c r="J24" s="363"/>
      <c r="K24" s="363"/>
      <c r="L24" s="363"/>
      <c r="M24" s="363"/>
      <c r="N24" s="364"/>
      <c r="O24" s="112"/>
      <c r="P24" s="367"/>
      <c r="Q24" s="112"/>
      <c r="R24" s="112"/>
      <c r="S24" s="112"/>
      <c r="T24" s="112"/>
      <c r="U24" s="112"/>
      <c r="V24" s="112"/>
      <c r="W24" s="112"/>
      <c r="X24" s="112"/>
      <c r="Y24" s="112"/>
      <c r="Z24" s="112"/>
      <c r="AA24" s="112"/>
      <c r="AB24" s="63"/>
      <c r="AC24" s="63"/>
      <c r="AD24" s="63"/>
      <c r="AE24" s="63"/>
      <c r="AF24" s="370"/>
      <c r="AG24" s="112"/>
      <c r="AH24" s="63"/>
      <c r="AI24" s="63"/>
      <c r="AJ24" s="63"/>
      <c r="AK24" s="63"/>
      <c r="AL24" s="63"/>
      <c r="AM24" s="63"/>
      <c r="AN24" s="63"/>
      <c r="AO24" s="63"/>
      <c r="AP24" s="63"/>
      <c r="AQ24" s="63"/>
      <c r="AR24" s="63"/>
      <c r="AS24" s="63"/>
    </row>
    <row r="25" spans="1:45" ht="15" x14ac:dyDescent="0.25">
      <c r="A25" s="362"/>
      <c r="B25" s="363"/>
      <c r="C25" s="363"/>
      <c r="D25" s="363"/>
      <c r="E25" s="363"/>
      <c r="F25" s="363"/>
      <c r="G25" s="363"/>
      <c r="H25" s="363"/>
      <c r="I25" s="363"/>
      <c r="J25" s="363"/>
      <c r="K25" s="363"/>
      <c r="L25" s="363"/>
      <c r="M25" s="363"/>
      <c r="N25" s="364"/>
      <c r="O25" s="112"/>
      <c r="P25" s="367"/>
      <c r="Q25" s="115"/>
      <c r="R25" s="112"/>
      <c r="S25" s="112"/>
      <c r="T25" s="112"/>
      <c r="U25" s="112"/>
      <c r="V25" s="112"/>
      <c r="W25" s="112"/>
      <c r="X25" s="112"/>
      <c r="Y25" s="112"/>
      <c r="Z25" s="112"/>
      <c r="AA25" s="112"/>
      <c r="AB25" s="63"/>
      <c r="AC25" s="63"/>
      <c r="AD25" s="63"/>
      <c r="AE25" s="63"/>
      <c r="AF25" s="370"/>
      <c r="AG25" s="112"/>
      <c r="AH25" s="63"/>
      <c r="AI25" s="63"/>
      <c r="AJ25" s="63"/>
      <c r="AK25" s="63"/>
      <c r="AL25" s="63"/>
      <c r="AM25" s="63"/>
      <c r="AN25" s="63"/>
      <c r="AO25" s="63"/>
      <c r="AP25" s="63"/>
      <c r="AQ25" s="63"/>
      <c r="AR25" s="63"/>
      <c r="AS25" s="63"/>
    </row>
    <row r="26" spans="1:45" ht="15" x14ac:dyDescent="0.25">
      <c r="A26" s="361"/>
      <c r="B26" s="363"/>
      <c r="C26" s="363"/>
      <c r="D26" s="363"/>
      <c r="E26" s="363"/>
      <c r="F26" s="363"/>
      <c r="G26" s="363"/>
      <c r="H26" s="363"/>
      <c r="I26" s="363"/>
      <c r="J26" s="363"/>
      <c r="K26" s="363"/>
      <c r="L26" s="363"/>
      <c r="M26" s="363"/>
      <c r="N26" s="364"/>
      <c r="O26" s="112"/>
      <c r="P26" s="367"/>
      <c r="Q26" s="115"/>
      <c r="R26" s="112"/>
      <c r="S26" s="112"/>
      <c r="T26" s="112"/>
      <c r="U26" s="112"/>
      <c r="V26" s="112"/>
      <c r="W26" s="112"/>
      <c r="X26" s="112"/>
      <c r="Y26" s="112"/>
      <c r="Z26" s="112"/>
      <c r="AA26" s="112"/>
      <c r="AB26" s="63"/>
      <c r="AC26" s="63"/>
      <c r="AD26" s="63"/>
      <c r="AE26" s="63"/>
      <c r="AF26" s="370"/>
      <c r="AG26" s="112"/>
      <c r="AH26" s="63"/>
      <c r="AI26" s="63"/>
      <c r="AJ26" s="63"/>
      <c r="AK26" s="63"/>
      <c r="AL26" s="63"/>
      <c r="AM26" s="63"/>
      <c r="AN26" s="63"/>
      <c r="AO26" s="63"/>
      <c r="AP26" s="63"/>
      <c r="AQ26" s="63"/>
      <c r="AR26" s="63"/>
      <c r="AS26" s="63"/>
    </row>
    <row r="27" spans="1:45" ht="15" x14ac:dyDescent="0.25">
      <c r="A27" s="362"/>
      <c r="B27" s="363"/>
      <c r="C27" s="363"/>
      <c r="D27" s="363"/>
      <c r="E27" s="363"/>
      <c r="F27" s="363"/>
      <c r="G27" s="363"/>
      <c r="H27" s="363"/>
      <c r="I27" s="363"/>
      <c r="J27" s="363"/>
      <c r="K27" s="363"/>
      <c r="L27" s="363"/>
      <c r="M27" s="363"/>
      <c r="N27" s="364"/>
      <c r="O27" s="112"/>
      <c r="P27" s="367"/>
      <c r="Q27" s="112"/>
      <c r="R27" s="112"/>
      <c r="S27" s="112"/>
      <c r="T27" s="112"/>
      <c r="U27" s="112"/>
      <c r="V27" s="112"/>
      <c r="W27" s="112"/>
      <c r="X27" s="112"/>
      <c r="Y27" s="112"/>
      <c r="Z27" s="112"/>
      <c r="AA27" s="112"/>
      <c r="AB27" s="63"/>
      <c r="AC27" s="63"/>
      <c r="AD27" s="63"/>
      <c r="AE27" s="63"/>
      <c r="AF27" s="370"/>
      <c r="AG27" s="115"/>
      <c r="AH27" s="63"/>
      <c r="AI27" s="63"/>
      <c r="AJ27" s="63"/>
      <c r="AK27" s="63"/>
      <c r="AL27" s="63"/>
      <c r="AM27" s="63"/>
      <c r="AN27" s="63"/>
      <c r="AO27" s="63"/>
      <c r="AP27" s="63"/>
      <c r="AQ27" s="63"/>
      <c r="AR27" s="63"/>
      <c r="AS27" s="63"/>
    </row>
    <row r="28" spans="1:45" ht="15" x14ac:dyDescent="0.25">
      <c r="A28" s="361"/>
      <c r="B28" s="363"/>
      <c r="C28" s="363"/>
      <c r="D28" s="363"/>
      <c r="E28" s="363"/>
      <c r="F28" s="363"/>
      <c r="G28" s="363"/>
      <c r="H28" s="363"/>
      <c r="I28" s="363"/>
      <c r="J28" s="363"/>
      <c r="K28" s="363"/>
      <c r="L28" s="363"/>
      <c r="M28" s="363"/>
      <c r="N28" s="364"/>
      <c r="O28" s="112"/>
      <c r="P28" s="367"/>
      <c r="Q28" s="112"/>
      <c r="R28" s="112"/>
      <c r="S28" s="112"/>
      <c r="T28" s="112"/>
      <c r="U28" s="112"/>
      <c r="V28" s="112"/>
      <c r="W28" s="112"/>
      <c r="X28" s="112"/>
      <c r="Y28" s="112"/>
      <c r="Z28" s="112"/>
      <c r="AA28" s="112"/>
      <c r="AB28" s="63"/>
      <c r="AC28" s="63"/>
      <c r="AD28" s="63"/>
      <c r="AE28" s="63"/>
      <c r="AF28" s="370"/>
      <c r="AG28" s="115"/>
      <c r="AH28" s="63"/>
      <c r="AI28" s="63"/>
      <c r="AJ28" s="63"/>
      <c r="AK28" s="63"/>
      <c r="AL28" s="63"/>
      <c r="AM28" s="63"/>
      <c r="AN28" s="63"/>
      <c r="AO28" s="63"/>
      <c r="AP28" s="63"/>
      <c r="AQ28" s="63"/>
      <c r="AR28" s="63"/>
      <c r="AS28" s="63"/>
    </row>
    <row r="29" spans="1:45" ht="15" x14ac:dyDescent="0.25">
      <c r="A29" s="362"/>
      <c r="B29" s="363"/>
      <c r="C29" s="363"/>
      <c r="D29" s="363"/>
      <c r="E29" s="363"/>
      <c r="F29" s="363"/>
      <c r="G29" s="363"/>
      <c r="H29" s="363"/>
      <c r="I29" s="363"/>
      <c r="J29" s="363"/>
      <c r="K29" s="363"/>
      <c r="L29" s="363"/>
      <c r="M29" s="363"/>
      <c r="N29" s="364"/>
      <c r="O29" s="112"/>
      <c r="P29" s="367"/>
      <c r="Q29" s="112"/>
      <c r="R29" s="112"/>
      <c r="S29" s="112"/>
      <c r="T29" s="112"/>
      <c r="U29" s="112"/>
      <c r="V29" s="112"/>
      <c r="W29" s="112"/>
      <c r="X29" s="112"/>
      <c r="Y29" s="112"/>
      <c r="Z29" s="112"/>
      <c r="AA29" s="112"/>
      <c r="AB29" s="63"/>
      <c r="AC29" s="63"/>
      <c r="AD29" s="63"/>
      <c r="AE29" s="63"/>
      <c r="AF29" s="370"/>
      <c r="AG29" s="112"/>
      <c r="AH29" s="63"/>
      <c r="AI29" s="63"/>
      <c r="AJ29" s="63"/>
      <c r="AK29" s="63"/>
      <c r="AL29" s="63"/>
      <c r="AM29" s="63"/>
      <c r="AN29" s="63"/>
      <c r="AO29" s="63"/>
      <c r="AP29" s="63"/>
      <c r="AQ29" s="63"/>
      <c r="AR29" s="63"/>
      <c r="AS29" s="63"/>
    </row>
    <row r="30" spans="1:45" ht="15" x14ac:dyDescent="0.25">
      <c r="A30" s="361"/>
      <c r="B30" s="363"/>
      <c r="C30" s="363"/>
      <c r="D30" s="363"/>
      <c r="E30" s="363"/>
      <c r="F30" s="363"/>
      <c r="G30" s="363"/>
      <c r="H30" s="363"/>
      <c r="I30" s="363"/>
      <c r="J30" s="363"/>
      <c r="K30" s="363"/>
      <c r="L30" s="363"/>
      <c r="M30" s="363"/>
      <c r="N30" s="364"/>
      <c r="O30" s="112"/>
      <c r="P30" s="367"/>
      <c r="Q30" s="112"/>
      <c r="R30" s="112"/>
      <c r="S30" s="112"/>
      <c r="T30" s="112"/>
      <c r="U30" s="112"/>
      <c r="V30" s="112"/>
      <c r="W30" s="112"/>
      <c r="X30" s="112"/>
      <c r="Y30" s="112"/>
      <c r="Z30" s="112"/>
      <c r="AA30" s="112"/>
      <c r="AB30" s="63"/>
      <c r="AC30" s="63"/>
      <c r="AD30" s="63"/>
      <c r="AE30" s="63"/>
      <c r="AF30" s="370"/>
      <c r="AG30" s="112"/>
      <c r="AH30" s="63"/>
      <c r="AI30" s="63"/>
      <c r="AJ30" s="63"/>
      <c r="AK30" s="63"/>
      <c r="AL30" s="63"/>
      <c r="AM30" s="63"/>
      <c r="AN30" s="63"/>
      <c r="AO30" s="63"/>
      <c r="AP30" s="63"/>
      <c r="AQ30" s="63"/>
      <c r="AR30" s="63"/>
      <c r="AS30" s="63"/>
    </row>
    <row r="31" spans="1:45" ht="15" x14ac:dyDescent="0.25">
      <c r="A31" s="362"/>
      <c r="B31" s="363"/>
      <c r="C31" s="363"/>
      <c r="D31" s="363"/>
      <c r="E31" s="363"/>
      <c r="F31" s="363"/>
      <c r="G31" s="363"/>
      <c r="H31" s="363"/>
      <c r="I31" s="363"/>
      <c r="J31" s="363"/>
      <c r="K31" s="363"/>
      <c r="L31" s="363"/>
      <c r="M31" s="363"/>
      <c r="N31" s="364"/>
      <c r="O31" s="112"/>
      <c r="P31" s="367"/>
      <c r="Q31" s="112"/>
      <c r="R31" s="112"/>
      <c r="S31" s="112"/>
      <c r="T31" s="112"/>
      <c r="U31" s="112"/>
      <c r="V31" s="112"/>
      <c r="W31" s="112"/>
      <c r="X31" s="112"/>
      <c r="Y31" s="112"/>
      <c r="Z31" s="112"/>
      <c r="AA31" s="112"/>
      <c r="AB31" s="62"/>
      <c r="AC31" s="62"/>
      <c r="AD31" s="62"/>
      <c r="AE31" s="62"/>
      <c r="AF31" s="370"/>
      <c r="AG31" s="63"/>
      <c r="AH31" s="63"/>
      <c r="AI31" s="63"/>
      <c r="AJ31" s="63"/>
      <c r="AK31" s="63"/>
      <c r="AL31" s="63"/>
      <c r="AM31" s="63"/>
      <c r="AN31" s="63"/>
      <c r="AO31" s="63"/>
      <c r="AP31" s="63"/>
      <c r="AQ31" s="63"/>
      <c r="AR31" s="62"/>
      <c r="AS31" s="62"/>
    </row>
    <row r="32" spans="1:45" ht="15" x14ac:dyDescent="0.25">
      <c r="A32" s="361"/>
      <c r="B32" s="363"/>
      <c r="C32" s="363"/>
      <c r="D32" s="363"/>
      <c r="E32" s="363"/>
      <c r="F32" s="363"/>
      <c r="G32" s="363"/>
      <c r="H32" s="363"/>
      <c r="I32" s="363"/>
      <c r="J32" s="363"/>
      <c r="K32" s="363"/>
      <c r="L32" s="363"/>
      <c r="M32" s="363"/>
      <c r="N32" s="364"/>
      <c r="O32" s="112"/>
      <c r="P32" s="367"/>
      <c r="Q32" s="63"/>
      <c r="R32" s="63"/>
      <c r="S32" s="63"/>
      <c r="T32" s="63"/>
      <c r="U32" s="63"/>
      <c r="V32" s="63"/>
      <c r="W32" s="63"/>
      <c r="X32" s="63"/>
      <c r="Y32" s="63"/>
      <c r="Z32" s="63"/>
      <c r="AA32" s="63"/>
      <c r="AB32" s="62"/>
      <c r="AC32" s="62"/>
      <c r="AD32" s="62"/>
      <c r="AE32" s="62"/>
      <c r="AF32" s="370"/>
      <c r="AG32" s="63"/>
      <c r="AH32" s="63"/>
      <c r="AI32" s="63"/>
      <c r="AJ32" s="63"/>
      <c r="AK32" s="63"/>
      <c r="AL32" s="63"/>
      <c r="AM32" s="63"/>
      <c r="AN32" s="63"/>
      <c r="AO32" s="63"/>
      <c r="AP32" s="63"/>
      <c r="AQ32" s="63"/>
      <c r="AR32" s="62"/>
      <c r="AS32" s="62"/>
    </row>
    <row r="33" spans="1:45" ht="15" x14ac:dyDescent="0.25">
      <c r="A33" s="362"/>
      <c r="B33" s="363"/>
      <c r="C33" s="363"/>
      <c r="D33" s="363"/>
      <c r="E33" s="363"/>
      <c r="F33" s="363"/>
      <c r="G33" s="363"/>
      <c r="H33" s="363"/>
      <c r="I33" s="363"/>
      <c r="J33" s="363"/>
      <c r="K33" s="363"/>
      <c r="L33" s="363"/>
      <c r="M33" s="363"/>
      <c r="N33" s="364"/>
      <c r="O33" s="112"/>
      <c r="P33" s="367"/>
      <c r="Q33" s="63"/>
      <c r="R33" s="63"/>
      <c r="S33" s="63"/>
      <c r="T33" s="63"/>
      <c r="U33" s="63"/>
      <c r="V33" s="63"/>
      <c r="W33" s="63"/>
      <c r="X33" s="63"/>
      <c r="Y33" s="63"/>
      <c r="Z33" s="63"/>
      <c r="AA33" s="63"/>
      <c r="AB33" s="62"/>
      <c r="AC33" s="62"/>
      <c r="AD33" s="62"/>
      <c r="AE33" s="62"/>
      <c r="AF33" s="370"/>
      <c r="AG33" s="63"/>
      <c r="AH33" s="63"/>
      <c r="AI33" s="63"/>
      <c r="AJ33" s="63"/>
      <c r="AK33" s="63"/>
      <c r="AL33" s="63"/>
      <c r="AM33" s="63"/>
      <c r="AN33" s="63"/>
      <c r="AO33" s="63"/>
      <c r="AP33" s="63"/>
      <c r="AQ33" s="63"/>
      <c r="AR33" s="62"/>
      <c r="AS33" s="62"/>
    </row>
    <row r="34" spans="1:45" ht="15" x14ac:dyDescent="0.25">
      <c r="A34" s="361"/>
      <c r="B34" s="363"/>
      <c r="C34" s="363"/>
      <c r="D34" s="363"/>
      <c r="E34" s="363"/>
      <c r="F34" s="363"/>
      <c r="G34" s="363"/>
      <c r="H34" s="363"/>
      <c r="I34" s="363"/>
      <c r="J34" s="363"/>
      <c r="K34" s="363"/>
      <c r="L34" s="363"/>
      <c r="M34" s="363"/>
      <c r="N34" s="364"/>
      <c r="O34" s="112"/>
      <c r="P34" s="367"/>
      <c r="Q34" s="63"/>
      <c r="R34" s="63"/>
      <c r="S34" s="63"/>
      <c r="T34" s="63"/>
      <c r="U34" s="63"/>
      <c r="V34" s="63"/>
      <c r="W34" s="63"/>
      <c r="X34" s="63"/>
      <c r="Y34" s="63"/>
      <c r="Z34" s="63"/>
      <c r="AA34" s="63"/>
      <c r="AB34" s="62"/>
      <c r="AC34" s="62"/>
      <c r="AD34" s="62"/>
      <c r="AE34" s="62"/>
      <c r="AF34" s="370"/>
      <c r="AG34" s="63"/>
      <c r="AH34" s="63"/>
      <c r="AI34" s="63"/>
      <c r="AJ34" s="63"/>
      <c r="AK34" s="63"/>
      <c r="AL34" s="63"/>
      <c r="AM34" s="63"/>
      <c r="AN34" s="63"/>
      <c r="AO34" s="63"/>
      <c r="AP34" s="63"/>
      <c r="AQ34" s="63"/>
      <c r="AR34" s="62"/>
      <c r="AS34" s="62"/>
    </row>
    <row r="35" spans="1:45" ht="15" x14ac:dyDescent="0.25">
      <c r="A35" s="172"/>
      <c r="B35" s="363"/>
      <c r="C35" s="363"/>
      <c r="D35" s="363"/>
      <c r="E35" s="363"/>
      <c r="F35" s="363"/>
      <c r="G35" s="363"/>
      <c r="H35" s="363"/>
      <c r="I35" s="363"/>
      <c r="J35" s="363"/>
      <c r="K35" s="363"/>
      <c r="L35" s="363"/>
      <c r="M35" s="363"/>
      <c r="N35" s="112"/>
      <c r="O35" s="112"/>
      <c r="P35" s="367"/>
      <c r="Q35" s="63"/>
      <c r="R35" s="63"/>
      <c r="S35" s="63"/>
      <c r="T35" s="63"/>
      <c r="U35" s="63"/>
      <c r="V35" s="63"/>
      <c r="W35" s="63"/>
      <c r="X35" s="63"/>
      <c r="Y35" s="63"/>
      <c r="Z35" s="63"/>
      <c r="AA35" s="63"/>
      <c r="AB35" s="62"/>
      <c r="AC35" s="62"/>
      <c r="AD35" s="62"/>
      <c r="AE35" s="62"/>
      <c r="AF35" s="370"/>
      <c r="AG35" s="63"/>
      <c r="AH35" s="63"/>
      <c r="AI35" s="63"/>
      <c r="AJ35" s="63"/>
      <c r="AK35" s="63"/>
      <c r="AL35" s="63"/>
      <c r="AM35" s="63"/>
      <c r="AN35" s="63"/>
      <c r="AO35" s="63"/>
      <c r="AP35" s="63"/>
      <c r="AQ35" s="63"/>
      <c r="AR35" s="62"/>
      <c r="AS35" s="62"/>
    </row>
    <row r="36" spans="1:45" ht="15" x14ac:dyDescent="0.25">
      <c r="A36" s="172"/>
      <c r="B36" s="363"/>
      <c r="C36" s="363"/>
      <c r="D36" s="363"/>
      <c r="E36" s="363"/>
      <c r="F36" s="363"/>
      <c r="G36" s="363"/>
      <c r="H36" s="363"/>
      <c r="I36" s="363"/>
      <c r="J36" s="363"/>
      <c r="K36" s="363"/>
      <c r="L36" s="363"/>
      <c r="M36" s="363"/>
      <c r="N36" s="112"/>
      <c r="O36" s="112"/>
      <c r="P36" s="367"/>
      <c r="Q36" s="63"/>
      <c r="R36" s="63"/>
      <c r="S36" s="63"/>
      <c r="T36" s="63"/>
      <c r="U36" s="63"/>
      <c r="V36" s="63"/>
      <c r="W36" s="63"/>
      <c r="X36" s="63"/>
      <c r="Y36" s="63"/>
      <c r="Z36" s="63"/>
      <c r="AA36" s="63"/>
      <c r="AB36" s="62"/>
      <c r="AC36" s="62"/>
      <c r="AD36" s="62"/>
      <c r="AE36" s="62"/>
      <c r="AF36" s="370"/>
      <c r="AG36" s="63"/>
      <c r="AH36" s="63"/>
      <c r="AI36" s="63"/>
      <c r="AJ36" s="63"/>
      <c r="AK36" s="63"/>
      <c r="AL36" s="63"/>
      <c r="AM36" s="63"/>
      <c r="AN36" s="63"/>
      <c r="AO36" s="63"/>
      <c r="AP36" s="63"/>
      <c r="AQ36" s="63"/>
      <c r="AR36" s="62"/>
      <c r="AS36" s="62"/>
    </row>
    <row r="37" spans="1:45" ht="15" x14ac:dyDescent="0.25">
      <c r="A37" s="172"/>
      <c r="B37" s="363"/>
      <c r="C37" s="363"/>
      <c r="D37" s="363"/>
      <c r="E37" s="363"/>
      <c r="F37" s="363"/>
      <c r="G37" s="363"/>
      <c r="H37" s="363"/>
      <c r="I37" s="363"/>
      <c r="J37" s="363"/>
      <c r="K37" s="363"/>
      <c r="L37" s="363"/>
      <c r="M37" s="363"/>
      <c r="N37" s="112"/>
      <c r="O37" s="112"/>
      <c r="P37" s="367"/>
      <c r="Q37" s="63"/>
      <c r="R37" s="63"/>
      <c r="S37" s="63"/>
      <c r="T37" s="63"/>
      <c r="U37" s="63"/>
      <c r="V37" s="63"/>
      <c r="W37" s="63"/>
      <c r="X37" s="63"/>
      <c r="Y37" s="63"/>
      <c r="Z37" s="63"/>
      <c r="AA37" s="63"/>
      <c r="AB37" s="62"/>
      <c r="AC37" s="62"/>
      <c r="AD37" s="62"/>
      <c r="AE37" s="62"/>
      <c r="AF37" s="370"/>
      <c r="AG37" s="63"/>
      <c r="AH37" s="63"/>
      <c r="AI37" s="63"/>
      <c r="AJ37" s="63"/>
      <c r="AK37" s="63"/>
      <c r="AL37" s="63"/>
      <c r="AM37" s="63"/>
      <c r="AN37" s="63"/>
      <c r="AO37" s="63"/>
      <c r="AP37" s="63"/>
      <c r="AQ37" s="63"/>
      <c r="AR37" s="62"/>
      <c r="AS37" s="62"/>
    </row>
    <row r="38" spans="1:45" ht="15" x14ac:dyDescent="0.25">
      <c r="A38" s="172"/>
      <c r="B38" s="363"/>
      <c r="C38" s="363"/>
      <c r="D38" s="363"/>
      <c r="E38" s="363"/>
      <c r="F38" s="363"/>
      <c r="G38" s="363"/>
      <c r="H38" s="363"/>
      <c r="I38" s="363"/>
      <c r="J38" s="363"/>
      <c r="K38" s="363"/>
      <c r="L38" s="363"/>
      <c r="M38" s="363"/>
      <c r="N38" s="112"/>
      <c r="O38" s="112"/>
      <c r="P38" s="367"/>
      <c r="Q38" s="63"/>
      <c r="R38" s="63"/>
      <c r="S38" s="63"/>
      <c r="T38" s="63"/>
      <c r="U38" s="63"/>
      <c r="V38" s="63"/>
      <c r="W38" s="63"/>
      <c r="X38" s="63"/>
      <c r="Y38" s="63"/>
      <c r="Z38" s="63"/>
      <c r="AA38" s="63"/>
      <c r="AB38" s="62"/>
      <c r="AC38" s="62"/>
      <c r="AD38" s="62"/>
      <c r="AE38" s="62"/>
      <c r="AF38" s="370"/>
      <c r="AG38" s="63"/>
      <c r="AH38" s="63"/>
      <c r="AI38" s="63"/>
      <c r="AJ38" s="63"/>
      <c r="AK38" s="63"/>
      <c r="AL38" s="63"/>
      <c r="AM38" s="63"/>
      <c r="AN38" s="63"/>
      <c r="AO38" s="63"/>
      <c r="AP38" s="63"/>
      <c r="AQ38" s="63"/>
      <c r="AR38" s="62"/>
      <c r="AS38" s="62"/>
    </row>
    <row r="39" spans="1:45" ht="15" x14ac:dyDescent="0.25">
      <c r="A39" s="172"/>
      <c r="B39" s="363"/>
      <c r="C39" s="363"/>
      <c r="D39" s="363"/>
      <c r="E39" s="363"/>
      <c r="F39" s="363"/>
      <c r="G39" s="363"/>
      <c r="H39" s="363"/>
      <c r="I39" s="363"/>
      <c r="J39" s="363"/>
      <c r="K39" s="363"/>
      <c r="L39" s="363"/>
      <c r="M39" s="363"/>
      <c r="N39" s="112"/>
      <c r="O39" s="112"/>
      <c r="P39" s="367"/>
      <c r="Q39" s="63"/>
      <c r="R39" s="63"/>
      <c r="S39" s="63"/>
      <c r="T39" s="63"/>
      <c r="U39" s="63"/>
      <c r="V39" s="63"/>
      <c r="W39" s="63"/>
      <c r="X39" s="63"/>
      <c r="Y39" s="63"/>
      <c r="Z39" s="63"/>
      <c r="AA39" s="63"/>
      <c r="AB39" s="62"/>
      <c r="AC39" s="62"/>
      <c r="AD39" s="62"/>
      <c r="AE39" s="62"/>
      <c r="AF39" s="370"/>
      <c r="AG39" s="63"/>
      <c r="AH39" s="63"/>
      <c r="AI39" s="63"/>
      <c r="AJ39" s="63"/>
      <c r="AK39" s="63"/>
      <c r="AL39" s="63"/>
      <c r="AM39" s="63"/>
      <c r="AN39" s="63"/>
      <c r="AO39" s="63"/>
      <c r="AP39" s="63"/>
      <c r="AQ39" s="63"/>
      <c r="AR39" s="62"/>
      <c r="AS39" s="62"/>
    </row>
    <row r="40" spans="1:45" ht="15" x14ac:dyDescent="0.25">
      <c r="A40" s="173"/>
      <c r="B40" s="363"/>
      <c r="C40" s="363"/>
      <c r="D40" s="363"/>
      <c r="E40" s="363"/>
      <c r="F40" s="363"/>
      <c r="G40" s="363"/>
      <c r="H40" s="363"/>
      <c r="I40" s="363"/>
      <c r="J40" s="363"/>
      <c r="K40" s="363"/>
      <c r="L40" s="363"/>
      <c r="M40" s="363"/>
      <c r="N40" s="112"/>
      <c r="O40" s="112"/>
      <c r="P40" s="367"/>
      <c r="Q40" s="63"/>
      <c r="R40" s="63"/>
      <c r="S40" s="63"/>
      <c r="T40" s="63"/>
      <c r="U40" s="63"/>
      <c r="V40" s="63"/>
      <c r="W40" s="63"/>
      <c r="X40" s="63"/>
      <c r="Y40" s="63"/>
      <c r="Z40" s="63"/>
      <c r="AA40" s="63"/>
      <c r="AB40" s="62"/>
      <c r="AC40" s="62"/>
      <c r="AD40" s="62"/>
      <c r="AE40" s="62"/>
      <c r="AF40" s="370"/>
      <c r="AG40" s="63"/>
      <c r="AH40" s="63"/>
      <c r="AI40" s="63"/>
      <c r="AJ40" s="63"/>
      <c r="AK40" s="63"/>
      <c r="AL40" s="63"/>
      <c r="AM40" s="63"/>
      <c r="AN40" s="63"/>
      <c r="AO40" s="63"/>
      <c r="AP40" s="63"/>
      <c r="AQ40" s="63"/>
      <c r="AR40" s="62"/>
      <c r="AS40" s="62"/>
    </row>
    <row r="41" spans="1:45" ht="15" x14ac:dyDescent="0.25">
      <c r="A41" s="173"/>
      <c r="B41" s="363"/>
      <c r="C41" s="363"/>
      <c r="D41" s="363"/>
      <c r="E41" s="363"/>
      <c r="F41" s="363"/>
      <c r="G41" s="363"/>
      <c r="H41" s="363"/>
      <c r="I41" s="363"/>
      <c r="J41" s="363"/>
      <c r="K41" s="363"/>
      <c r="L41" s="363"/>
      <c r="M41" s="363"/>
      <c r="N41" s="112"/>
      <c r="O41" s="112"/>
      <c r="P41" s="367"/>
      <c r="Q41" s="63"/>
      <c r="R41" s="63"/>
      <c r="S41" s="63"/>
      <c r="T41" s="63"/>
      <c r="U41" s="63"/>
      <c r="V41" s="63"/>
      <c r="W41" s="63"/>
      <c r="X41" s="63"/>
      <c r="Y41" s="63"/>
      <c r="Z41" s="63"/>
      <c r="AA41" s="63"/>
      <c r="AB41" s="62"/>
      <c r="AC41" s="62"/>
      <c r="AD41" s="62"/>
      <c r="AE41" s="62"/>
      <c r="AF41" s="370"/>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7"/>
      <c r="Q42" s="63"/>
      <c r="R42" s="63"/>
      <c r="S42" s="63"/>
      <c r="T42" s="63"/>
      <c r="U42" s="63"/>
      <c r="V42" s="63"/>
      <c r="W42" s="63"/>
      <c r="X42" s="63"/>
      <c r="Y42" s="63"/>
      <c r="Z42" s="63"/>
      <c r="AA42" s="63"/>
      <c r="AB42" s="62"/>
      <c r="AC42" s="62"/>
      <c r="AD42" s="62"/>
      <c r="AE42" s="62"/>
      <c r="AF42" s="370"/>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7"/>
      <c r="Q43" s="63"/>
      <c r="R43" s="63"/>
      <c r="S43" s="63"/>
      <c r="T43" s="63"/>
      <c r="U43" s="63"/>
      <c r="V43" s="63"/>
      <c r="W43" s="63"/>
      <c r="X43" s="63"/>
      <c r="Y43" s="63"/>
      <c r="Z43" s="63"/>
      <c r="AA43" s="63"/>
      <c r="AB43" s="62"/>
      <c r="AC43" s="62"/>
      <c r="AD43" s="62"/>
      <c r="AE43" s="62"/>
      <c r="AF43" s="370"/>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7"/>
      <c r="Q44" s="63"/>
      <c r="R44" s="63"/>
      <c r="S44" s="63"/>
      <c r="T44" s="63"/>
      <c r="U44" s="63"/>
      <c r="V44" s="63"/>
      <c r="W44" s="63"/>
      <c r="X44" s="63"/>
      <c r="Y44" s="63"/>
      <c r="Z44" s="63"/>
      <c r="AA44" s="63"/>
      <c r="AB44" s="62"/>
      <c r="AC44" s="62"/>
      <c r="AD44" s="62"/>
      <c r="AE44" s="62"/>
      <c r="AF44" s="370"/>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7"/>
      <c r="Q45" s="63"/>
      <c r="R45" s="63"/>
      <c r="S45" s="63"/>
      <c r="T45" s="63"/>
      <c r="U45" s="63"/>
      <c r="V45" s="63"/>
      <c r="W45" s="63"/>
      <c r="X45" s="63"/>
      <c r="Y45" s="63"/>
      <c r="Z45" s="63"/>
      <c r="AA45" s="63"/>
      <c r="AB45" s="62"/>
      <c r="AC45" s="62"/>
      <c r="AD45" s="62"/>
      <c r="AE45" s="62"/>
      <c r="AF45" s="370"/>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7"/>
      <c r="Q46" s="63"/>
      <c r="R46" s="63"/>
      <c r="S46" s="63"/>
      <c r="T46" s="63"/>
      <c r="U46" s="63"/>
      <c r="V46" s="63"/>
      <c r="W46" s="63"/>
      <c r="X46" s="63"/>
      <c r="Y46" s="63"/>
      <c r="Z46" s="63"/>
      <c r="AA46" s="63"/>
      <c r="AB46" s="62"/>
      <c r="AC46" s="62"/>
      <c r="AD46" s="62"/>
      <c r="AE46" s="62"/>
      <c r="AF46" s="370"/>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7"/>
      <c r="Q47" s="63"/>
      <c r="R47" s="63"/>
      <c r="S47" s="63"/>
      <c r="T47" s="63"/>
      <c r="U47" s="63"/>
      <c r="V47" s="63"/>
      <c r="W47" s="63"/>
      <c r="X47" s="63"/>
      <c r="Y47" s="63"/>
      <c r="Z47" s="63"/>
      <c r="AA47" s="63"/>
      <c r="AB47" s="62"/>
      <c r="AC47" s="62"/>
      <c r="AD47" s="62"/>
      <c r="AE47" s="62"/>
      <c r="AF47" s="370"/>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7"/>
      <c r="Q48" s="63"/>
      <c r="R48" s="63"/>
      <c r="S48" s="63"/>
      <c r="T48" s="63"/>
      <c r="U48" s="63"/>
      <c r="V48" s="63"/>
      <c r="W48" s="63"/>
      <c r="X48" s="63"/>
      <c r="Y48" s="63"/>
      <c r="Z48" s="63"/>
      <c r="AA48" s="63"/>
      <c r="AB48" s="62"/>
      <c r="AC48" s="62"/>
      <c r="AD48" s="62"/>
      <c r="AE48" s="62"/>
      <c r="AF48" s="370"/>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7"/>
      <c r="Q49" s="63"/>
      <c r="R49" s="63"/>
      <c r="S49" s="63"/>
      <c r="T49" s="63"/>
      <c r="U49" s="63"/>
      <c r="V49" s="63"/>
      <c r="W49" s="63"/>
      <c r="X49" s="63"/>
      <c r="Y49" s="63"/>
      <c r="Z49" s="63"/>
      <c r="AA49" s="63"/>
      <c r="AB49" s="62"/>
      <c r="AC49" s="62"/>
      <c r="AD49" s="62"/>
      <c r="AE49" s="62"/>
      <c r="AF49" s="370"/>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7"/>
      <c r="Q50" s="63"/>
      <c r="R50" s="63"/>
      <c r="S50" s="63"/>
      <c r="T50" s="63"/>
      <c r="U50" s="63"/>
      <c r="V50" s="63"/>
      <c r="W50" s="63"/>
      <c r="X50" s="63"/>
      <c r="Y50" s="63"/>
      <c r="Z50" s="63"/>
      <c r="AA50" s="63"/>
      <c r="AB50" s="62"/>
      <c r="AC50" s="62"/>
      <c r="AD50" s="62"/>
      <c r="AE50" s="62"/>
      <c r="AF50" s="370"/>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7"/>
      <c r="Q51" s="63"/>
      <c r="R51" s="63"/>
      <c r="S51" s="63"/>
      <c r="T51" s="63"/>
      <c r="U51" s="63"/>
      <c r="V51" s="63"/>
      <c r="W51" s="63"/>
      <c r="X51" s="63"/>
      <c r="Y51" s="63"/>
      <c r="Z51" s="63"/>
      <c r="AA51" s="63"/>
      <c r="AB51" s="62"/>
      <c r="AC51" s="62"/>
      <c r="AD51" s="62"/>
      <c r="AE51" s="62"/>
      <c r="AF51" s="370"/>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7"/>
      <c r="Q52" s="63"/>
      <c r="R52" s="63"/>
      <c r="S52" s="63"/>
      <c r="T52" s="63"/>
      <c r="U52" s="63"/>
      <c r="V52" s="63"/>
      <c r="W52" s="63"/>
      <c r="X52" s="63"/>
      <c r="Y52" s="63"/>
      <c r="Z52" s="63"/>
      <c r="AA52" s="63"/>
      <c r="AB52" s="62"/>
      <c r="AC52" s="62"/>
      <c r="AD52" s="62"/>
      <c r="AE52" s="62"/>
      <c r="AF52" s="370"/>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7"/>
      <c r="Q53" s="63"/>
      <c r="R53" s="63"/>
      <c r="S53" s="63"/>
      <c r="T53" s="63"/>
      <c r="U53" s="63"/>
      <c r="V53" s="63"/>
      <c r="W53" s="63"/>
      <c r="X53" s="63"/>
      <c r="Y53" s="63"/>
      <c r="Z53" s="63"/>
      <c r="AA53" s="63"/>
      <c r="AB53" s="62"/>
      <c r="AC53" s="62"/>
      <c r="AD53" s="62"/>
      <c r="AE53" s="62"/>
      <c r="AF53" s="370"/>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7"/>
      <c r="Q54" s="64"/>
      <c r="R54" s="61"/>
      <c r="S54" s="61"/>
      <c r="T54" s="61"/>
      <c r="U54" s="61"/>
      <c r="V54" s="61"/>
      <c r="W54" s="61"/>
      <c r="X54" s="61"/>
      <c r="Y54" s="61"/>
      <c r="Z54" s="61"/>
      <c r="AA54" s="61"/>
      <c r="AB54" s="62"/>
      <c r="AC54" s="62"/>
      <c r="AD54" s="62"/>
      <c r="AE54" s="62"/>
      <c r="AF54" s="370"/>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9JKW0ema9LBiSx3ClfkYNttfGNyGmK3qj54cefsjKc64oYTKHcifsH3zUN9rO1cE0JOUU+7yxKCfNshqUFXqZg==" saltValue="hj7lqhCugShZVfjOwXwM1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30" sqref="E30:H30"/>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572">
        <f>Main!D3</f>
        <v>0</v>
      </c>
      <c r="E10" s="572"/>
      <c r="F10" s="572"/>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571" t="s">
        <v>417</v>
      </c>
      <c r="F15" s="571"/>
      <c r="G15" s="571"/>
      <c r="H15" s="571"/>
    </row>
    <row r="16" spans="3:8" ht="15" x14ac:dyDescent="0.2">
      <c r="C16" s="164"/>
      <c r="D16" s="100"/>
      <c r="E16" s="385" t="s">
        <v>148</v>
      </c>
      <c r="F16" s="385"/>
      <c r="G16" s="385"/>
      <c r="H16" s="385"/>
    </row>
    <row r="17" spans="3:8" ht="15" x14ac:dyDescent="0.2">
      <c r="C17" s="164"/>
      <c r="D17" s="100"/>
      <c r="E17" s="570" t="s">
        <v>149</v>
      </c>
      <c r="F17" s="570"/>
      <c r="G17" s="570"/>
      <c r="H17" s="570"/>
    </row>
    <row r="18" spans="3:8" ht="15" x14ac:dyDescent="0.2">
      <c r="C18" s="164"/>
      <c r="D18" s="100"/>
      <c r="E18" s="570" t="s">
        <v>18</v>
      </c>
      <c r="F18" s="570"/>
      <c r="G18" s="570"/>
      <c r="H18" s="570"/>
    </row>
    <row r="19" spans="3:8" ht="15" x14ac:dyDescent="0.2">
      <c r="C19" s="164"/>
      <c r="D19" s="100"/>
      <c r="E19" s="570" t="s">
        <v>154</v>
      </c>
      <c r="F19" s="570"/>
      <c r="G19" s="570"/>
      <c r="H19" s="570"/>
    </row>
    <row r="20" spans="3:8" ht="15" x14ac:dyDescent="0.2">
      <c r="C20" s="164"/>
      <c r="D20" s="100"/>
      <c r="E20" s="570" t="s">
        <v>151</v>
      </c>
      <c r="F20" s="570"/>
      <c r="G20" s="570"/>
      <c r="H20" s="570"/>
    </row>
    <row r="21" spans="3:8" ht="15" x14ac:dyDescent="0.2">
      <c r="C21" s="164"/>
      <c r="D21" s="100"/>
      <c r="E21" s="570" t="s">
        <v>152</v>
      </c>
      <c r="F21" s="570"/>
      <c r="G21" s="570"/>
      <c r="H21" s="570"/>
    </row>
    <row r="22" spans="3:8" ht="15" x14ac:dyDescent="0.2">
      <c r="C22" s="164"/>
      <c r="D22" s="100"/>
      <c r="E22" s="570" t="s">
        <v>130</v>
      </c>
      <c r="F22" s="570"/>
      <c r="G22" s="570"/>
      <c r="H22" s="570"/>
    </row>
    <row r="23" spans="3:8" ht="15" x14ac:dyDescent="0.2">
      <c r="C23" s="164"/>
      <c r="D23" s="100"/>
      <c r="E23" s="570" t="s">
        <v>153</v>
      </c>
      <c r="F23" s="570"/>
      <c r="G23" s="570"/>
      <c r="H23" s="570"/>
    </row>
    <row r="24" spans="3:8" ht="15" x14ac:dyDescent="0.2">
      <c r="C24" s="109"/>
      <c r="D24" s="100"/>
      <c r="E24" s="570" t="s">
        <v>173</v>
      </c>
      <c r="F24" s="570"/>
      <c r="G24" s="570"/>
      <c r="H24" s="570"/>
    </row>
    <row r="25" spans="3:8" ht="15" x14ac:dyDescent="0.2">
      <c r="C25" s="109"/>
      <c r="D25" s="100"/>
      <c r="E25" s="570"/>
      <c r="F25" s="570"/>
      <c r="G25" s="570"/>
      <c r="H25" s="570"/>
    </row>
    <row r="26" spans="3:8" ht="15" x14ac:dyDescent="0.2">
      <c r="C26" s="109"/>
      <c r="D26" s="100"/>
      <c r="E26" s="570"/>
      <c r="F26" s="570"/>
      <c r="G26" s="570"/>
      <c r="H26" s="570"/>
    </row>
    <row r="27" spans="3:8" ht="15" x14ac:dyDescent="0.2">
      <c r="C27" s="109"/>
      <c r="D27" s="100"/>
      <c r="E27" s="570"/>
      <c r="F27" s="570"/>
      <c r="G27" s="570"/>
      <c r="H27" s="570"/>
    </row>
    <row r="28" spans="3:8" ht="15" x14ac:dyDescent="0.2">
      <c r="C28" s="109"/>
      <c r="D28" s="100"/>
      <c r="E28" s="570"/>
      <c r="F28" s="570"/>
      <c r="G28" s="570"/>
      <c r="H28" s="570"/>
    </row>
    <row r="29" spans="3:8" ht="15" x14ac:dyDescent="0.2">
      <c r="C29" s="109"/>
      <c r="D29" s="100"/>
      <c r="E29" s="570"/>
      <c r="F29" s="570"/>
      <c r="G29" s="570"/>
      <c r="H29" s="570"/>
    </row>
    <row r="30" spans="3:8" ht="15" x14ac:dyDescent="0.2">
      <c r="C30" s="109"/>
      <c r="D30" s="100"/>
      <c r="E30" s="570"/>
      <c r="F30" s="570"/>
      <c r="G30" s="570"/>
      <c r="H30" s="570"/>
    </row>
    <row r="31" spans="3:8" ht="15" x14ac:dyDescent="0.2">
      <c r="C31" s="326" t="s">
        <v>418</v>
      </c>
      <c r="E31" s="570"/>
      <c r="F31" s="570"/>
      <c r="G31" s="570"/>
      <c r="H31" s="570"/>
    </row>
    <row r="32" spans="3:8" ht="15" x14ac:dyDescent="0.2">
      <c r="C32" s="109"/>
      <c r="D32" s="100"/>
      <c r="E32" s="570"/>
      <c r="F32" s="570"/>
      <c r="G32" s="570"/>
      <c r="H32" s="570"/>
    </row>
    <row r="33" spans="3:8" ht="15" x14ac:dyDescent="0.2">
      <c r="C33" s="109"/>
      <c r="D33" s="100"/>
      <c r="E33" s="570"/>
      <c r="F33" s="570"/>
      <c r="G33" s="570"/>
      <c r="H33" s="570"/>
    </row>
    <row r="34" spans="3:8" ht="15" x14ac:dyDescent="0.2">
      <c r="C34" s="109"/>
      <c r="D34" s="100"/>
      <c r="E34" s="570"/>
      <c r="F34" s="570"/>
      <c r="G34" s="570"/>
      <c r="H34" s="570"/>
    </row>
    <row r="35" spans="3:8" ht="15" x14ac:dyDescent="0.2">
      <c r="C35" s="109"/>
      <c r="D35" s="100"/>
      <c r="E35" s="570"/>
      <c r="F35" s="570"/>
      <c r="G35" s="570"/>
      <c r="H35" s="570"/>
    </row>
    <row r="36" spans="3:8" ht="15" x14ac:dyDescent="0.2">
      <c r="C36" s="100"/>
      <c r="D36" s="100"/>
      <c r="E36" s="570"/>
      <c r="F36" s="570"/>
      <c r="G36" s="570"/>
      <c r="H36" s="570"/>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mmOYxaTmkWjm4I/XIkhNnwsDLkPiRVibOaL58mhgQYqd7/WxQNaiCu2/qf8lzE/VkCS5uLTFQChFhYpToZkQ3A==" saltValue="PtCwLoDhqwda8agnh0YIk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0" sqref="B10"/>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4"/>
      <c r="D1" s="596" t="s">
        <v>140</v>
      </c>
      <c r="E1" s="596"/>
      <c r="F1" s="596"/>
      <c r="G1" s="596"/>
      <c r="H1" s="596"/>
      <c r="I1" s="596"/>
      <c r="J1" s="596"/>
      <c r="K1" s="596"/>
      <c r="L1" s="596"/>
      <c r="M1" s="596"/>
    </row>
    <row r="2" spans="1:18" ht="23.25" customHeight="1" x14ac:dyDescent="0.3">
      <c r="C2" s="285"/>
      <c r="D2" s="285" t="s">
        <v>356</v>
      </c>
      <c r="E2" s="285"/>
      <c r="F2" s="285"/>
      <c r="G2" s="285"/>
      <c r="H2" s="285"/>
      <c r="I2" s="285"/>
      <c r="J2" s="285"/>
      <c r="K2" s="285"/>
      <c r="L2" s="285"/>
      <c r="M2" s="285"/>
    </row>
    <row r="3" spans="1:18" ht="23.25" x14ac:dyDescent="0.35">
      <c r="C3" s="597"/>
      <c r="D3" s="597"/>
      <c r="E3" s="597"/>
      <c r="F3" s="597"/>
      <c r="G3" s="597"/>
      <c r="H3" s="597"/>
      <c r="I3" s="597"/>
      <c r="J3" s="597"/>
      <c r="K3" s="597"/>
      <c r="L3" s="597"/>
      <c r="M3" s="597"/>
    </row>
    <row r="4" spans="1:18" ht="23.25" x14ac:dyDescent="0.35">
      <c r="C4" s="269"/>
      <c r="D4" s="269"/>
      <c r="E4" s="269"/>
      <c r="F4" s="269"/>
      <c r="G4" s="269"/>
      <c r="H4" s="269"/>
      <c r="I4" s="269"/>
      <c r="J4" s="269"/>
      <c r="K4" s="269"/>
      <c r="L4" s="269"/>
      <c r="M4" s="269"/>
    </row>
    <row r="5" spans="1:18" ht="23.25" x14ac:dyDescent="0.35">
      <c r="C5" s="593" t="s">
        <v>18</v>
      </c>
      <c r="D5" s="593"/>
      <c r="E5" s="593"/>
      <c r="F5" s="593"/>
      <c r="G5" s="593"/>
      <c r="H5" s="593"/>
      <c r="I5" s="593"/>
      <c r="J5" s="593"/>
      <c r="K5" s="593"/>
      <c r="L5" s="593"/>
      <c r="M5" s="593"/>
    </row>
    <row r="6" spans="1:18" ht="23.25" x14ac:dyDescent="0.35">
      <c r="C6" s="270"/>
      <c r="D6" s="270"/>
      <c r="E6" s="612" t="str">
        <f>IFERROR(CONCATENATE("Report Number: ", WorkItemNumber),"")</f>
        <v/>
      </c>
      <c r="F6" s="612"/>
      <c r="G6" s="612"/>
      <c r="H6" s="612"/>
      <c r="I6" s="612"/>
      <c r="J6" s="612"/>
      <c r="K6" s="612"/>
      <c r="L6" s="270"/>
      <c r="M6" s="270"/>
    </row>
    <row r="7" spans="1:18" ht="18.75" customHeight="1" x14ac:dyDescent="0.3">
      <c r="G7" s="594"/>
      <c r="H7" s="594"/>
      <c r="I7" s="244"/>
      <c r="R7" t="str">
        <f>CONCATENATE("Page ",Main!L9," of ",Main!L10)</f>
        <v xml:space="preserve">Page  of </v>
      </c>
    </row>
    <row r="8" spans="1:18" ht="18" customHeight="1" x14ac:dyDescent="0.25">
      <c r="G8" s="606"/>
      <c r="H8" s="606"/>
      <c r="J8" s="106"/>
      <c r="K8" s="271" t="s">
        <v>353</v>
      </c>
      <c r="L8" s="616">
        <f>FormNumber</f>
        <v>0</v>
      </c>
      <c r="M8" s="616"/>
      <c r="N8" s="616"/>
      <c r="O8" s="616"/>
    </row>
    <row r="9" spans="1:18" ht="18" customHeight="1" x14ac:dyDescent="0.25">
      <c r="A9" s="271" t="s">
        <v>309</v>
      </c>
      <c r="B9" s="38" t="e">
        <f>Main!D5</f>
        <v>#N/A</v>
      </c>
      <c r="J9" s="106"/>
      <c r="K9" s="271" t="s">
        <v>354</v>
      </c>
      <c r="L9" s="608">
        <f>CalMethod</f>
        <v>0</v>
      </c>
      <c r="M9" s="608"/>
      <c r="N9" s="608"/>
      <c r="O9" s="608"/>
    </row>
    <row r="10" spans="1:18" ht="18" customHeight="1" x14ac:dyDescent="0.25">
      <c r="A10" s="118"/>
      <c r="B10" s="266" t="e">
        <f>_xlfn.XLOOKUP(clientCompanyId,customers_table[company_id],customers_table[Address1])</f>
        <v>#REF!</v>
      </c>
      <c r="J10" s="106"/>
      <c r="K10" s="271"/>
      <c r="L10" s="608"/>
      <c r="M10" s="608"/>
      <c r="N10" s="608"/>
      <c r="O10" s="608"/>
    </row>
    <row r="11" spans="1:18" ht="18" customHeight="1" x14ac:dyDescent="0.25">
      <c r="A11" s="118"/>
      <c r="B11" s="266" t="e">
        <f>_xlfn.XLOOKUP(clientCompanyId,customers_table[company_id],customers_table[Merged])</f>
        <v>#REF!</v>
      </c>
      <c r="J11" s="106"/>
      <c r="K11" s="271" t="s">
        <v>355</v>
      </c>
      <c r="L11" s="616">
        <f>TolSource</f>
        <v>0</v>
      </c>
      <c r="M11" s="616"/>
      <c r="N11" s="616"/>
      <c r="O11" s="616"/>
    </row>
    <row r="12" spans="1:18" ht="18" customHeight="1" x14ac:dyDescent="0.25">
      <c r="A12" s="118"/>
      <c r="B12" s="266">
        <f>AddressLine3</f>
        <v>0</v>
      </c>
      <c r="J12" s="106"/>
      <c r="K12" s="271"/>
      <c r="L12" s="272"/>
      <c r="M12" s="272"/>
      <c r="N12" s="272"/>
      <c r="O12" s="272"/>
    </row>
    <row r="13" spans="1:18" ht="8.1" customHeight="1" x14ac:dyDescent="0.2">
      <c r="A13" s="118"/>
      <c r="K13" s="259"/>
    </row>
    <row r="14" spans="1:18" ht="18" customHeight="1" x14ac:dyDescent="0.25">
      <c r="A14" s="276" t="s">
        <v>310</v>
      </c>
      <c r="B14" s="273">
        <f>Item</f>
        <v>0</v>
      </c>
      <c r="C14" s="274"/>
      <c r="D14" s="274"/>
      <c r="E14" s="274"/>
      <c r="F14" s="248"/>
      <c r="G14" s="262" t="s">
        <v>315</v>
      </c>
      <c r="H14" s="273">
        <f>Range</f>
        <v>0</v>
      </c>
      <c r="I14" s="248"/>
      <c r="J14" s="248"/>
      <c r="K14" s="248"/>
      <c r="L14" s="248"/>
      <c r="M14" s="262" t="s">
        <v>320</v>
      </c>
      <c r="N14" s="273" t="str">
        <f>Main!D7</f>
        <v>Jeff Hall</v>
      </c>
      <c r="O14" s="249"/>
    </row>
    <row r="15" spans="1:18" ht="18" customHeight="1" x14ac:dyDescent="0.25">
      <c r="A15" s="277" t="s">
        <v>311</v>
      </c>
      <c r="B15" s="275">
        <f>ModelNumber</f>
        <v>0</v>
      </c>
      <c r="C15" s="266"/>
      <c r="D15" s="266"/>
      <c r="E15" s="266"/>
      <c r="G15" s="271" t="s">
        <v>316</v>
      </c>
      <c r="H15" s="275">
        <f>Tolerance</f>
        <v>0</v>
      </c>
      <c r="M15" s="271" t="s">
        <v>321</v>
      </c>
      <c r="N15" s="279">
        <f>Main!D3</f>
        <v>0</v>
      </c>
      <c r="O15" s="250"/>
    </row>
    <row r="16" spans="1:18" ht="18" customHeight="1" x14ac:dyDescent="0.25">
      <c r="A16" s="277" t="s">
        <v>312</v>
      </c>
      <c r="B16" s="609">
        <f>SerialNumber</f>
        <v>0</v>
      </c>
      <c r="C16" s="609"/>
      <c r="D16" s="609"/>
      <c r="E16" s="609"/>
      <c r="G16" s="271" t="s">
        <v>317</v>
      </c>
      <c r="H16" s="275">
        <f>HeatingMethod</f>
        <v>0</v>
      </c>
      <c r="M16" s="271" t="s">
        <v>322</v>
      </c>
      <c r="N16" s="279" t="e">
        <f>IF(CalInterval="N/A", "N/A", EDATE(N15, CHOOSE(MATCH(CalInterval, {"M","2 Mo","Q","4 Mo","6 Mo","A","2Yr","3Yr"}, 0), 1, 2, 3, 4, 6, 12, 24, 36)))</f>
        <v>#N/A</v>
      </c>
      <c r="O16" s="250"/>
    </row>
    <row r="17" spans="1:19" ht="18" customHeight="1" x14ac:dyDescent="0.25">
      <c r="A17" s="277" t="s">
        <v>313</v>
      </c>
      <c r="B17" s="310">
        <f>UnitNumber</f>
        <v>0</v>
      </c>
      <c r="C17" s="266"/>
      <c r="D17" s="266"/>
      <c r="E17" s="266"/>
      <c r="G17" s="271" t="s">
        <v>318</v>
      </c>
      <c r="H17" s="275">
        <f>WorkingZoneSize</f>
        <v>0</v>
      </c>
      <c r="M17" s="271" t="str">
        <f>IF(Main!K13="","","PO:")</f>
        <v/>
      </c>
      <c r="N17" s="275" t="str">
        <f>IF(Main!K13="","",Main!K13)</f>
        <v/>
      </c>
      <c r="O17" s="250"/>
    </row>
    <row r="18" spans="1:19" ht="18" customHeight="1" x14ac:dyDescent="0.25">
      <c r="A18" s="277" t="s">
        <v>314</v>
      </c>
      <c r="B18" s="600">
        <f>Class</f>
        <v>0</v>
      </c>
      <c r="C18" s="600"/>
      <c r="D18" s="600"/>
      <c r="E18" s="600"/>
      <c r="G18" s="271" t="s">
        <v>319</v>
      </c>
      <c r="H18" s="275">
        <f>CubicFeet</f>
        <v>0</v>
      </c>
      <c r="M18" s="271" t="s">
        <v>323</v>
      </c>
      <c r="N18" s="275" t="str">
        <f>Main!G18</f>
        <v>ACCEPTED</v>
      </c>
      <c r="O18" s="250"/>
    </row>
    <row r="19" spans="1:19" ht="18" customHeight="1" x14ac:dyDescent="0.25">
      <c r="A19" s="261"/>
      <c r="B19" s="601"/>
      <c r="C19" s="601"/>
      <c r="D19" s="601"/>
      <c r="E19" s="601"/>
      <c r="F19" s="251"/>
      <c r="G19" s="263"/>
      <c r="H19" s="278"/>
      <c r="I19" s="251"/>
      <c r="J19" s="251"/>
      <c r="K19" s="251"/>
      <c r="L19" s="251"/>
      <c r="M19" s="263"/>
      <c r="N19" s="278"/>
      <c r="O19" s="252"/>
    </row>
    <row r="20" spans="1:19" ht="8.1" customHeight="1" x14ac:dyDescent="0.2">
      <c r="A20" s="44"/>
      <c r="B20" s="255"/>
      <c r="C20" s="255"/>
      <c r="D20" s="255"/>
      <c r="N20" s="258"/>
    </row>
    <row r="21" spans="1:19" ht="18" customHeight="1" x14ac:dyDescent="0.25">
      <c r="A21" s="276" t="s">
        <v>324</v>
      </c>
      <c r="B21" s="610">
        <f>Controller</f>
        <v>0</v>
      </c>
      <c r="C21" s="610"/>
      <c r="D21" s="610"/>
      <c r="E21" s="610"/>
      <c r="F21" s="262" t="s">
        <v>326</v>
      </c>
      <c r="G21" s="610">
        <f>ContSN</f>
        <v>0</v>
      </c>
      <c r="H21" s="610"/>
      <c r="I21" s="610"/>
      <c r="J21" s="262" t="s">
        <v>327</v>
      </c>
      <c r="K21" s="274">
        <f>ContTol</f>
        <v>0</v>
      </c>
      <c r="L21" s="248"/>
      <c r="M21" s="262" t="s">
        <v>328</v>
      </c>
      <c r="N21" s="287" t="str">
        <f>Main!G27</f>
        <v/>
      </c>
      <c r="O21" s="249"/>
    </row>
    <row r="22" spans="1:19" ht="18" customHeight="1" x14ac:dyDescent="0.25">
      <c r="A22" s="280" t="s">
        <v>325</v>
      </c>
      <c r="B22" s="611">
        <f>_xlnm.Recorder</f>
        <v>0</v>
      </c>
      <c r="C22" s="611"/>
      <c r="D22" s="611"/>
      <c r="E22" s="611"/>
      <c r="F22" s="263" t="s">
        <v>326</v>
      </c>
      <c r="G22" s="611">
        <f>RecSN</f>
        <v>0</v>
      </c>
      <c r="H22" s="611"/>
      <c r="I22" s="611"/>
      <c r="J22" s="263" t="s">
        <v>327</v>
      </c>
      <c r="K22" s="286">
        <f>RecTol</f>
        <v>0</v>
      </c>
      <c r="L22" s="251"/>
      <c r="M22" s="263" t="s">
        <v>328</v>
      </c>
      <c r="N22" s="288" t="str">
        <f>Main!G28</f>
        <v/>
      </c>
      <c r="O22" s="252"/>
    </row>
    <row r="23" spans="1:19" ht="8.1" customHeight="1" x14ac:dyDescent="0.25">
      <c r="A23" s="106"/>
      <c r="B23" s="266"/>
      <c r="C23" s="266"/>
      <c r="D23" s="266"/>
      <c r="E23" s="255"/>
    </row>
    <row r="24" spans="1:19" ht="18" customHeight="1" x14ac:dyDescent="0.25">
      <c r="A24" s="276" t="s">
        <v>329</v>
      </c>
      <c r="B24" s="282">
        <f>Temperature</f>
        <v>0</v>
      </c>
      <c r="C24" s="274"/>
      <c r="D24" s="274"/>
      <c r="E24" s="256"/>
      <c r="F24" s="248"/>
      <c r="G24" s="262" t="s">
        <v>332</v>
      </c>
      <c r="H24" s="264">
        <f>Main!D26</f>
        <v>0</v>
      </c>
      <c r="I24" s="248"/>
      <c r="J24" s="248"/>
      <c r="K24" s="248"/>
      <c r="L24" s="260"/>
      <c r="M24" s="262" t="s">
        <v>336</v>
      </c>
      <c r="N24" s="274" t="str">
        <f ca="1">TEXT(Access_Data!D33,"0.0") &amp; "°F / " &amp; TEXT(Access_Data!H33,"0.0") &amp; "°F"</f>
        <v>0.0°F / 0.0°F</v>
      </c>
      <c r="O24" s="249"/>
    </row>
    <row r="25" spans="1:19" ht="18" customHeight="1" x14ac:dyDescent="0.25">
      <c r="A25" s="277" t="s">
        <v>330</v>
      </c>
      <c r="B25" s="283">
        <f>Main!D15</f>
        <v>0</v>
      </c>
      <c r="C25" s="266"/>
      <c r="D25" s="266"/>
      <c r="E25" s="255"/>
      <c r="G25" s="271" t="s">
        <v>333</v>
      </c>
      <c r="H25" s="265" t="str">
        <f>Main!E29</f>
        <v/>
      </c>
      <c r="L25" s="106"/>
      <c r="M25" s="271" t="s">
        <v>337</v>
      </c>
      <c r="N25" s="266" t="str">
        <f>IF(Main!H15=TRUE,Main!G17,"VERIFY LOAD!!!")</f>
        <v/>
      </c>
      <c r="O25" s="250"/>
      <c r="R25" s="175"/>
      <c r="S25" s="100"/>
    </row>
    <row r="26" spans="1:19" ht="18" customHeight="1" x14ac:dyDescent="0.25">
      <c r="A26" s="277" t="s">
        <v>331</v>
      </c>
      <c r="B26" s="266" t="s">
        <v>301</v>
      </c>
      <c r="C26" s="266"/>
      <c r="D26" s="266"/>
      <c r="E26" s="255"/>
      <c r="G26" s="271" t="s">
        <v>334</v>
      </c>
      <c r="H26" s="266" t="str">
        <f>Main!I19</f>
        <v>N/A</v>
      </c>
      <c r="L26" s="106"/>
      <c r="M26" s="271" t="s">
        <v>335</v>
      </c>
      <c r="N26" s="266" t="e">
        <f ca="1">TEXT(Access_Data!K33,"0.0") &amp; "°F"</f>
        <v>#VALUE!</v>
      </c>
      <c r="O26" s="250"/>
    </row>
    <row r="27" spans="1:19" ht="18" customHeight="1" x14ac:dyDescent="0.2">
      <c r="A27" s="281"/>
      <c r="B27" s="251"/>
      <c r="C27" s="607" t="s">
        <v>338</v>
      </c>
      <c r="D27" s="607"/>
      <c r="E27" s="607"/>
      <c r="F27" s="607"/>
      <c r="G27" s="607"/>
      <c r="H27" s="607"/>
      <c r="I27" s="607"/>
      <c r="J27" s="607"/>
      <c r="K27" s="607"/>
      <c r="L27" s="607"/>
      <c r="M27" s="607"/>
      <c r="N27" s="251"/>
      <c r="O27" s="252"/>
    </row>
    <row r="28" spans="1:19" ht="8.1" customHeight="1" x14ac:dyDescent="0.2"/>
    <row r="29" spans="1:19" ht="18" customHeight="1" x14ac:dyDescent="0.2">
      <c r="A29" s="603" t="s">
        <v>307</v>
      </c>
      <c r="B29" s="604"/>
      <c r="C29" s="605"/>
      <c r="D29" s="603" t="s">
        <v>339</v>
      </c>
      <c r="E29" s="604"/>
      <c r="F29" s="604"/>
      <c r="G29" s="605"/>
      <c r="H29" s="603" t="s">
        <v>308</v>
      </c>
      <c r="I29" s="604"/>
      <c r="J29" s="604"/>
      <c r="K29" s="605"/>
      <c r="L29" s="603" t="s">
        <v>289</v>
      </c>
      <c r="M29" s="604"/>
      <c r="N29" s="604"/>
      <c r="O29" s="605"/>
    </row>
    <row r="30" spans="1:19" ht="18" customHeight="1" x14ac:dyDescent="0.2">
      <c r="A30" s="267"/>
      <c r="B30" s="257">
        <f>TestLocation</f>
        <v>0</v>
      </c>
      <c r="C30" s="268"/>
      <c r="D30" s="580" t="str">
        <f>CONCATENATE(Main!D22,"°F"," / ",Main!D23,"% RH")</f>
        <v>°F / % RH</v>
      </c>
      <c r="E30" s="581"/>
      <c r="F30" s="581"/>
      <c r="G30" s="582"/>
      <c r="H30" s="580">
        <f>OvenLocation</f>
        <v>0</v>
      </c>
      <c r="I30" s="581"/>
      <c r="J30" s="581"/>
      <c r="K30" s="582"/>
      <c r="L30" s="580">
        <f>Condition</f>
        <v>0</v>
      </c>
      <c r="M30" s="581"/>
      <c r="N30" s="581"/>
      <c r="O30" s="582"/>
    </row>
    <row r="31" spans="1:19" ht="18" customHeight="1" x14ac:dyDescent="0.2"/>
    <row r="32" spans="1:19" ht="18" customHeight="1" x14ac:dyDescent="0.25">
      <c r="A32" s="290" t="s">
        <v>340</v>
      </c>
      <c r="B32" s="595" t="s">
        <v>341</v>
      </c>
      <c r="C32" s="595"/>
      <c r="D32" s="290" t="s">
        <v>303</v>
      </c>
      <c r="E32" s="290" t="s">
        <v>302</v>
      </c>
      <c r="F32" s="290" t="s">
        <v>342</v>
      </c>
      <c r="G32" s="106"/>
      <c r="H32" s="106"/>
      <c r="I32" s="290" t="s">
        <v>340</v>
      </c>
      <c r="J32" s="595" t="s">
        <v>341</v>
      </c>
      <c r="K32" s="595"/>
      <c r="L32" s="290" t="s">
        <v>303</v>
      </c>
      <c r="M32" s="290" t="s">
        <v>302</v>
      </c>
      <c r="N32" s="290" t="s">
        <v>342</v>
      </c>
    </row>
    <row r="33" spans="1:14" ht="18" customHeight="1" x14ac:dyDescent="0.2">
      <c r="A33" s="291" t="str">
        <f>IF(B33="","",1)</f>
        <v/>
      </c>
      <c r="B33" s="594" t="str">
        <f>IF(Main!O5="","",Main!O5)</f>
        <v/>
      </c>
      <c r="C33" s="594"/>
      <c r="D33" s="292" t="str">
        <f ca="1">IF(Access_Data!B27="","",Access_Data!B27)</f>
        <v/>
      </c>
      <c r="E33" s="292" t="str">
        <f ca="1">IF(Access_Data!B29="","",Access_Data!B29)</f>
        <v/>
      </c>
      <c r="F33" s="292" t="str">
        <f ca="1">IF(Access_Data!B31="","",Access_Data!B31)</f>
        <v/>
      </c>
      <c r="G33" s="106"/>
      <c r="H33" s="106"/>
      <c r="I33" s="291" t="str">
        <f>IF(J33="","",21)</f>
        <v/>
      </c>
      <c r="J33" s="594" t="str">
        <f>IF(Main!O25="","",Main!O25)</f>
        <v/>
      </c>
      <c r="K33" s="594"/>
      <c r="L33" s="292" t="str">
        <f ca="1">IF(Access_Data!AB27="","",Access_Data!AB27)</f>
        <v/>
      </c>
      <c r="M33" s="292" t="str">
        <f ca="1">IF(Access_Data!AB29="","",Access_Data!AB29)</f>
        <v/>
      </c>
      <c r="N33" s="292" t="str">
        <f ca="1">IF(Access_Data!AB31="","",Access_Data!AB31)</f>
        <v/>
      </c>
    </row>
    <row r="34" spans="1:14" ht="18" customHeight="1" x14ac:dyDescent="0.2">
      <c r="A34" s="291" t="str">
        <f>IF(B34="","",2)</f>
        <v/>
      </c>
      <c r="B34" s="594" t="str">
        <f>IF(Main!O6="","",Main!O6)</f>
        <v/>
      </c>
      <c r="C34" s="594"/>
      <c r="D34" s="292" t="str">
        <f ca="1">IF(Access_Data!C27="","",Access_Data!C27)</f>
        <v/>
      </c>
      <c r="E34" s="292" t="str">
        <f ca="1">IF(Access_Data!C29="","",Access_Data!C29)</f>
        <v/>
      </c>
      <c r="F34" s="292" t="str">
        <f ca="1">IF(Access_Data!C31="","",Access_Data!C31)</f>
        <v/>
      </c>
      <c r="G34" s="106"/>
      <c r="H34" s="106"/>
      <c r="I34" s="291" t="str">
        <f>IF(J34="","",22)</f>
        <v/>
      </c>
      <c r="J34" s="594" t="str">
        <f>IF(Main!O26="","",Main!O26)</f>
        <v/>
      </c>
      <c r="K34" s="594"/>
      <c r="L34" s="292" t="str">
        <f ca="1">IF(Access_Data!AC27="","",Access_Data!AC27)</f>
        <v/>
      </c>
      <c r="M34" s="292" t="str">
        <f ca="1">IF(Access_Data!AC29="","",Access_Data!AC29)</f>
        <v/>
      </c>
      <c r="N34" s="292" t="str">
        <f ca="1">IF(Access_Data!AC31="","",Access_Data!AC31)</f>
        <v/>
      </c>
    </row>
    <row r="35" spans="1:14" ht="18" customHeight="1" x14ac:dyDescent="0.2">
      <c r="A35" s="291" t="str">
        <f>IF(B35="","",3)</f>
        <v/>
      </c>
      <c r="B35" s="594" t="str">
        <f>IF(Main!O7="","",Main!O7)</f>
        <v/>
      </c>
      <c r="C35" s="594"/>
      <c r="D35" s="292" t="str">
        <f ca="1">IF(Access_Data!D27="","",Access_Data!D27)</f>
        <v/>
      </c>
      <c r="E35" s="292" t="str">
        <f ca="1">IF(Access_Data!D29="","",Access_Data!D29)</f>
        <v/>
      </c>
      <c r="F35" s="292" t="str">
        <f ca="1">IF(Access_Data!D31="","",Access_Data!D31)</f>
        <v/>
      </c>
      <c r="G35" s="106"/>
      <c r="H35" s="106"/>
      <c r="I35" s="291" t="str">
        <f>IF(J35="","",23)</f>
        <v/>
      </c>
      <c r="J35" s="594" t="str">
        <f>IF(Main!O27="","",Main!O27)</f>
        <v/>
      </c>
      <c r="K35" s="594"/>
      <c r="L35" s="292" t="str">
        <f ca="1">IF(Access_Data!AD27="","",Access_Data!AD27)</f>
        <v/>
      </c>
      <c r="M35" s="292" t="str">
        <f ca="1">IF(Access_Data!AD29="","",Access_Data!AD29)</f>
        <v/>
      </c>
      <c r="N35" s="292" t="str">
        <f ca="1">IF(Access_Data!AD31="","",Access_Data!AD31)</f>
        <v/>
      </c>
    </row>
    <row r="36" spans="1:14" ht="18" customHeight="1" x14ac:dyDescent="0.2">
      <c r="A36" s="291" t="str">
        <f>IF(B36="","",4)</f>
        <v/>
      </c>
      <c r="B36" s="594" t="str">
        <f>IF(Main!O8="","",Main!O8)</f>
        <v/>
      </c>
      <c r="C36" s="594"/>
      <c r="D36" s="292" t="str">
        <f ca="1">IF(Access_Data!E27="","",Access_Data!E27)</f>
        <v/>
      </c>
      <c r="E36" s="292" t="str">
        <f ca="1">IF(Access_Data!E29="","",Access_Data!E29)</f>
        <v/>
      </c>
      <c r="F36" s="292" t="str">
        <f ca="1">IF(Access_Data!E31="","",Access_Data!E31)</f>
        <v/>
      </c>
      <c r="G36" s="106"/>
      <c r="H36" s="106"/>
      <c r="I36" s="291" t="str">
        <f>IF(J36="","",24)</f>
        <v/>
      </c>
      <c r="J36" s="594" t="str">
        <f>IF(Main!O28="","",Main!O28)</f>
        <v/>
      </c>
      <c r="K36" s="594"/>
      <c r="L36" s="292" t="str">
        <f ca="1">IF(Access_Data!AE27="","",Access_Data!AE27)</f>
        <v/>
      </c>
      <c r="M36" s="292" t="str">
        <f ca="1">IF(Access_Data!AE29="","",Access_Data!AE29)</f>
        <v/>
      </c>
      <c r="N36" s="292" t="str">
        <f ca="1">IF(Access_Data!AE31="","",Access_Data!AE31)</f>
        <v/>
      </c>
    </row>
    <row r="37" spans="1:14" ht="18" customHeight="1" x14ac:dyDescent="0.2">
      <c r="A37" s="291" t="str">
        <f>IF(B37="","",5)</f>
        <v/>
      </c>
      <c r="B37" s="594" t="str">
        <f>IF(Main!O9="","",Main!O9)</f>
        <v/>
      </c>
      <c r="C37" s="594"/>
      <c r="D37" s="292" t="str">
        <f ca="1">IF(Access_Data!F27="","",Access_Data!F27)</f>
        <v/>
      </c>
      <c r="E37" s="292" t="str">
        <f ca="1">IF(Access_Data!F29="","",Access_Data!F29)</f>
        <v/>
      </c>
      <c r="F37" s="292" t="str">
        <f ca="1">IF(Access_Data!F31="","",Access_Data!F31)</f>
        <v/>
      </c>
      <c r="G37" s="106"/>
      <c r="H37" s="106"/>
      <c r="I37" s="291" t="str">
        <f>IF(J37="","",25)</f>
        <v/>
      </c>
      <c r="J37" s="594" t="str">
        <f>IF(Main!O29="","",Main!O29)</f>
        <v/>
      </c>
      <c r="K37" s="594"/>
      <c r="L37" s="292" t="str">
        <f ca="1">IF(Access_Data!AF27="","",Access_Data!AF27)</f>
        <v/>
      </c>
      <c r="M37" s="292" t="str">
        <f ca="1">IF(Access_Data!AF29="","",Access_Data!AF29)</f>
        <v/>
      </c>
      <c r="N37" s="292" t="str">
        <f ca="1">IF(Access_Data!AF31="","",Access_Data!AF31)</f>
        <v/>
      </c>
    </row>
    <row r="38" spans="1:14" ht="18" customHeight="1" x14ac:dyDescent="0.2">
      <c r="A38" s="291" t="str">
        <f>IF(B38="","",6)</f>
        <v/>
      </c>
      <c r="B38" s="594" t="str">
        <f>IF(Main!O10="","",Main!O10)</f>
        <v/>
      </c>
      <c r="C38" s="594"/>
      <c r="D38" s="292" t="str">
        <f ca="1">IF(Access_Data!G27="","",Access_Data!G27)</f>
        <v/>
      </c>
      <c r="E38" s="292" t="str">
        <f ca="1">IF(Access_Data!G29="","",Access_Data!G29)</f>
        <v/>
      </c>
      <c r="F38" s="292" t="str">
        <f ca="1">IF(Access_Data!G31="","",Access_Data!G31)</f>
        <v/>
      </c>
      <c r="G38" s="106"/>
      <c r="H38" s="106"/>
      <c r="I38" s="291" t="str">
        <f>IF(J38="","",26)</f>
        <v/>
      </c>
      <c r="J38" s="594" t="str">
        <f>IF(Main!O30="","",Main!O30)</f>
        <v/>
      </c>
      <c r="K38" s="594"/>
      <c r="L38" s="292" t="str">
        <f ca="1">IF(Access_Data!AG27="","",Access_Data!AG27)</f>
        <v/>
      </c>
      <c r="M38" s="292" t="str">
        <f ca="1">IF(Access_Data!AG29="","",Access_Data!AG29)</f>
        <v/>
      </c>
      <c r="N38" s="292" t="str">
        <f ca="1">IF(Access_Data!AG31="","",Access_Data!AG31)</f>
        <v/>
      </c>
    </row>
    <row r="39" spans="1:14" ht="18" customHeight="1" x14ac:dyDescent="0.2">
      <c r="A39" s="291" t="str">
        <f>IF(B39="","",7)</f>
        <v/>
      </c>
      <c r="B39" s="594" t="str">
        <f>IF(Main!O11="","",Main!O11)</f>
        <v/>
      </c>
      <c r="C39" s="594"/>
      <c r="D39" s="292" t="str">
        <f ca="1">IF(Access_Data!H27="","",Access_Data!H27)</f>
        <v/>
      </c>
      <c r="E39" s="292" t="str">
        <f ca="1">IF(Access_Data!H29="","",Access_Data!H29)</f>
        <v/>
      </c>
      <c r="F39" s="292" t="str">
        <f ca="1">IF(Access_Data!H31="","",Access_Data!H31)</f>
        <v/>
      </c>
      <c r="G39" s="106"/>
      <c r="H39" s="106"/>
      <c r="I39" s="291" t="str">
        <f>IF(J39="","",27)</f>
        <v/>
      </c>
      <c r="J39" s="594" t="str">
        <f>IF(Main!O31="","",Main!O31)</f>
        <v/>
      </c>
      <c r="K39" s="594"/>
      <c r="L39" s="292" t="str">
        <f ca="1">IF(Access_Data!AH27="","",Access_Data!AH27)</f>
        <v/>
      </c>
      <c r="M39" s="292" t="str">
        <f ca="1">IF(Access_Data!AH29="","",Access_Data!AH29)</f>
        <v/>
      </c>
      <c r="N39" s="292" t="str">
        <f ca="1">IF(Access_Data!AH31="","",Access_Data!AH31)</f>
        <v/>
      </c>
    </row>
    <row r="40" spans="1:14" ht="18" customHeight="1" x14ac:dyDescent="0.2">
      <c r="A40" s="291" t="str">
        <f>IF(B40="","",8)</f>
        <v/>
      </c>
      <c r="B40" s="594" t="str">
        <f>IF(Main!O12="","",Main!O12)</f>
        <v/>
      </c>
      <c r="C40" s="594"/>
      <c r="D40" s="292" t="str">
        <f ca="1">IF(Access_Data!I27="","",Access_Data!I27)</f>
        <v/>
      </c>
      <c r="E40" s="292" t="str">
        <f ca="1">IF(Access_Data!I29="","",Access_Data!I29)</f>
        <v/>
      </c>
      <c r="F40" s="292" t="str">
        <f ca="1">IF(Access_Data!I31="","",Access_Data!I31)</f>
        <v/>
      </c>
      <c r="G40" s="106"/>
      <c r="H40" s="106"/>
      <c r="I40" s="291" t="str">
        <f>IF(J40="","",28)</f>
        <v/>
      </c>
      <c r="J40" s="594" t="str">
        <f>IF(Main!O32="","",Main!O32)</f>
        <v/>
      </c>
      <c r="K40" s="594"/>
      <c r="L40" s="292" t="str">
        <f ca="1">IF(Access_Data!AI27="","",Access_Data!AI27)</f>
        <v/>
      </c>
      <c r="M40" s="292" t="str">
        <f ca="1">IF(Access_Data!AI29="","",Access_Data!AI29)</f>
        <v/>
      </c>
      <c r="N40" s="292" t="str">
        <f ca="1">IF(Access_Data!AI31="","",Access_Data!AI31)</f>
        <v/>
      </c>
    </row>
    <row r="41" spans="1:14" ht="18" customHeight="1" x14ac:dyDescent="0.2">
      <c r="A41" s="291" t="str">
        <f>IF(B41="","",9)</f>
        <v/>
      </c>
      <c r="B41" s="594" t="str">
        <f>IF(Main!O13="","",Main!O13)</f>
        <v/>
      </c>
      <c r="C41" s="594"/>
      <c r="D41" s="292" t="str">
        <f ca="1">IF(Access_Data!J27="","",Access_Data!J27)</f>
        <v/>
      </c>
      <c r="E41" s="292" t="str">
        <f ca="1">IF(Access_Data!J29="","",Access_Data!J29)</f>
        <v/>
      </c>
      <c r="F41" s="292" t="str">
        <f ca="1">IF(Access_Data!J31="","",Access_Data!J31)</f>
        <v/>
      </c>
      <c r="G41" s="106"/>
      <c r="H41" s="106"/>
      <c r="I41" s="291" t="str">
        <f>IF(J41="","",29)</f>
        <v/>
      </c>
      <c r="J41" s="594" t="str">
        <f>IF(Main!O33="","",Main!O33)</f>
        <v/>
      </c>
      <c r="K41" s="594"/>
      <c r="L41" s="292" t="str">
        <f ca="1">IF(Access_Data!AP27="","",Access_Data!AP27)</f>
        <v/>
      </c>
      <c r="M41" s="292" t="str">
        <f ca="1">IF(Access_Data!AP29="","",Access_Data!AP29)</f>
        <v/>
      </c>
      <c r="N41" s="292" t="str">
        <f ca="1">IF(Access_Data!AP31="","",Access_Data!AP31)</f>
        <v/>
      </c>
    </row>
    <row r="42" spans="1:14" ht="18" customHeight="1" x14ac:dyDescent="0.2">
      <c r="A42" s="291" t="str">
        <f>IF(B42="","",10)</f>
        <v/>
      </c>
      <c r="B42" s="594" t="str">
        <f>IF(Main!O14="","",Main!O14)</f>
        <v/>
      </c>
      <c r="C42" s="594"/>
      <c r="D42" s="292" t="str">
        <f ca="1">IF(Access_Data!K27="","",Access_Data!K27)</f>
        <v/>
      </c>
      <c r="E42" s="292" t="str">
        <f ca="1">IF(Access_Data!K29="","",Access_Data!K29)</f>
        <v/>
      </c>
      <c r="F42" s="292" t="str">
        <f ca="1">IF(Access_Data!K31="","",Access_Data!K31)</f>
        <v/>
      </c>
      <c r="G42" s="106"/>
      <c r="H42" s="106"/>
      <c r="I42" s="291" t="str">
        <f>IF(J42="","",30)</f>
        <v/>
      </c>
      <c r="J42" s="594" t="str">
        <f>IF(Main!O34="","",Main!O34)</f>
        <v/>
      </c>
      <c r="K42" s="594"/>
      <c r="L42" s="292" t="str">
        <f ca="1">IF(Access_Data!AQ27="","",Access_Data!AQ27)</f>
        <v/>
      </c>
      <c r="M42" s="292" t="str">
        <f ca="1">IF(Access_Data!AQ29="","",Access_Data!AQ29)</f>
        <v/>
      </c>
      <c r="N42" s="292">
        <f ca="1">IF(Access_Data!AQ31="","",Access_Data!AQ31)</f>
        <v>0</v>
      </c>
    </row>
    <row r="43" spans="1:14" ht="18" customHeight="1" x14ac:dyDescent="0.2">
      <c r="A43" s="291" t="str">
        <f>IF(B43="","",11)</f>
        <v/>
      </c>
      <c r="B43" s="594" t="str">
        <f>IF(Main!O15="","",Main!O15)</f>
        <v/>
      </c>
      <c r="C43" s="594"/>
      <c r="D43" s="292" t="str">
        <f ca="1">IF(Access_Data!L27="","",Access_Data!L27)</f>
        <v/>
      </c>
      <c r="E43" s="292" t="str">
        <f ca="1">IF(Access_Data!L29="","",Access_Data!L29)</f>
        <v/>
      </c>
      <c r="F43" s="292" t="str">
        <f ca="1">IF(Access_Data!L31="","",Access_Data!L31)</f>
        <v/>
      </c>
      <c r="G43" s="106"/>
      <c r="H43" s="106"/>
      <c r="I43" s="291" t="str">
        <f>IF(J43="","",31)</f>
        <v/>
      </c>
      <c r="J43" s="594" t="str">
        <f>IF(Main!O35="","",Main!O35)</f>
        <v/>
      </c>
      <c r="K43" s="594"/>
      <c r="L43" s="292" t="str">
        <f ca="1">IF(Access_Data!AR27="","",Access_Data!AR27)</f>
        <v/>
      </c>
      <c r="M43" s="292" t="str">
        <f ca="1">IF(Access_Data!AR29="","",Access_Data!AR29)</f>
        <v/>
      </c>
      <c r="N43" s="292">
        <f ca="1">IF(Access_Data!AR31="","",Access_Data!AR31)</f>
        <v>0</v>
      </c>
    </row>
    <row r="44" spans="1:14" ht="18" customHeight="1" x14ac:dyDescent="0.2">
      <c r="A44" s="291" t="str">
        <f>IF(B44="","",12)</f>
        <v/>
      </c>
      <c r="B44" s="594" t="str">
        <f>IF(Main!O16="","",Main!O16)</f>
        <v/>
      </c>
      <c r="C44" s="594"/>
      <c r="D44" s="292" t="str">
        <f ca="1">IF(Access_Data!M27="","",Access_Data!M27)</f>
        <v/>
      </c>
      <c r="E44" s="292" t="str">
        <f ca="1">IF(Access_Data!M29="","",Access_Data!M29)</f>
        <v/>
      </c>
      <c r="F44" s="292" t="str">
        <f ca="1">IF(Access_Data!M31="","",Access_Data!M31)</f>
        <v/>
      </c>
      <c r="G44" s="106"/>
      <c r="H44" s="106"/>
      <c r="I44" s="291" t="str">
        <f>IF(J44="","",32)</f>
        <v/>
      </c>
      <c r="J44" s="594" t="str">
        <f>IF(Main!O36="","",Main!O36)</f>
        <v/>
      </c>
      <c r="K44" s="594"/>
      <c r="L44" s="292" t="str">
        <f ca="1">IF(Access_Data!AS27="","",Access_Data!AS27)</f>
        <v/>
      </c>
      <c r="M44" s="292" t="str">
        <f ca="1">IF(Access_Data!AS29="","",Access_Data!AS29)</f>
        <v/>
      </c>
      <c r="N44" s="292">
        <f ca="1">IF(Access_Data!AS31="","",Access_Data!AS31)</f>
        <v>0</v>
      </c>
    </row>
    <row r="45" spans="1:14" ht="18" customHeight="1" x14ac:dyDescent="0.2">
      <c r="A45" s="291" t="str">
        <f>IF(B45="","",13)</f>
        <v/>
      </c>
      <c r="B45" s="594" t="str">
        <f>IF(Main!O17="","",Main!O17)</f>
        <v/>
      </c>
      <c r="C45" s="594"/>
      <c r="D45" s="292" t="str">
        <f ca="1">IF(Access_Data!N27="","",Access_Data!N27)</f>
        <v/>
      </c>
      <c r="E45" s="292" t="str">
        <f ca="1">IF(Access_Data!N29="","",Access_Data!N29)</f>
        <v/>
      </c>
      <c r="F45" s="292" t="str">
        <f ca="1">IF(Access_Data!N31="","",Access_Data!N31)</f>
        <v/>
      </c>
      <c r="G45" s="106"/>
      <c r="H45" s="106"/>
      <c r="I45" s="291" t="str">
        <f>IF(J45="","",33)</f>
        <v/>
      </c>
      <c r="J45" s="594" t="str">
        <f>IF(Main!O37="","",Main!O37)</f>
        <v/>
      </c>
      <c r="K45" s="594"/>
      <c r="L45" s="292" t="str">
        <f ca="1">IF(Access_Data!AT27="","",Access_Data!AT27)</f>
        <v/>
      </c>
      <c r="M45" s="292" t="str">
        <f ca="1">IF(Access_Data!AT29="","",Access_Data!AT29)</f>
        <v/>
      </c>
      <c r="N45" s="292">
        <f ca="1">IF(Access_Data!AT31="","",Access_Data!AT31)</f>
        <v>0</v>
      </c>
    </row>
    <row r="46" spans="1:14" ht="18" customHeight="1" x14ac:dyDescent="0.2">
      <c r="A46" s="291" t="str">
        <f>IF(B46="","",14)</f>
        <v/>
      </c>
      <c r="B46" s="594" t="str">
        <f>IF(Main!O18="","",Main!O18)</f>
        <v/>
      </c>
      <c r="C46" s="594"/>
      <c r="D46" s="292" t="str">
        <f ca="1">IF(Access_Data!O27="","",Access_Data!O27)</f>
        <v/>
      </c>
      <c r="E46" s="292" t="str">
        <f ca="1">IF(Access_Data!O29="","",Access_Data!O29)</f>
        <v/>
      </c>
      <c r="F46" s="292" t="str">
        <f ca="1">IF(Access_Data!O31="","",Access_Data!O31)</f>
        <v/>
      </c>
      <c r="G46" s="106"/>
      <c r="H46" s="106"/>
      <c r="I46" s="291" t="str">
        <f>IF(J46="","",34)</f>
        <v/>
      </c>
      <c r="J46" s="594" t="str">
        <f>IF(Main!O38="","",Main!O38)</f>
        <v/>
      </c>
      <c r="K46" s="594"/>
      <c r="L46" s="292" t="str">
        <f ca="1">IF(Access_Data!AU27="","",Access_Data!AU27)</f>
        <v/>
      </c>
      <c r="M46" s="292" t="str">
        <f ca="1">IF(Access_Data!AU29="","",Access_Data!AU29)</f>
        <v/>
      </c>
      <c r="N46" s="292">
        <f ca="1">IF(Access_Data!AU31="","",Access_Data!AU31)</f>
        <v>0</v>
      </c>
    </row>
    <row r="47" spans="1:14" ht="18" customHeight="1" x14ac:dyDescent="0.2">
      <c r="A47" s="291" t="str">
        <f>IF(B47="","",15)</f>
        <v/>
      </c>
      <c r="B47" s="594" t="str">
        <f>IF(Main!O19="","",Main!O19)</f>
        <v/>
      </c>
      <c r="C47" s="594"/>
      <c r="D47" s="292" t="str">
        <f ca="1">IF(Access_Data!V27="","",Access_Data!V27)</f>
        <v/>
      </c>
      <c r="E47" s="292" t="str">
        <f ca="1">IF(Access_Data!V29="","",Access_Data!V29)</f>
        <v/>
      </c>
      <c r="F47" s="292" t="str">
        <f ca="1">IF(Access_Data!V31="","",Access_Data!V31)</f>
        <v/>
      </c>
      <c r="G47" s="106"/>
      <c r="H47" s="106"/>
      <c r="I47" s="291" t="str">
        <f>IF(J47="","",35)</f>
        <v/>
      </c>
      <c r="J47" s="594" t="str">
        <f>IF(Main!O39="","",Main!O39)</f>
        <v/>
      </c>
      <c r="K47" s="594"/>
      <c r="L47" s="292" t="str">
        <f ca="1">IF(Access_Data!AV27="","",Access_Data!AV27)</f>
        <v/>
      </c>
      <c r="M47" s="292" t="str">
        <f ca="1">IF(Access_Data!AV29="","",Access_Data!AV29)</f>
        <v/>
      </c>
      <c r="N47" s="292">
        <f ca="1">IF(Access_Data!AV31="","",Access_Data!AV31)</f>
        <v>0</v>
      </c>
    </row>
    <row r="48" spans="1:14" ht="18" customHeight="1" x14ac:dyDescent="0.2">
      <c r="A48" s="291" t="str">
        <f>IF(B48="","",16)</f>
        <v/>
      </c>
      <c r="B48" s="594" t="str">
        <f>IF(Main!O20="","",Main!O20)</f>
        <v/>
      </c>
      <c r="C48" s="594"/>
      <c r="D48" s="292" t="str">
        <f ca="1">IF(Access_Data!W27="","",Access_Data!W27)</f>
        <v/>
      </c>
      <c r="E48" s="292" t="str">
        <f ca="1">IF(Access_Data!W29="","",Access_Data!W29)</f>
        <v/>
      </c>
      <c r="F48" s="292" t="str">
        <f ca="1">IF(Access_Data!W31="","",Access_Data!W31)</f>
        <v/>
      </c>
      <c r="G48" s="106"/>
      <c r="H48" s="106"/>
      <c r="I48" s="291" t="str">
        <f>IF(J48="","",36)</f>
        <v/>
      </c>
      <c r="J48" s="594" t="str">
        <f>IF(Main!O40="","",Main!O40)</f>
        <v/>
      </c>
      <c r="K48" s="594"/>
      <c r="L48" s="292" t="str">
        <f ca="1">IF(Access_Data!AW27="","",Access_Data!AW27)</f>
        <v/>
      </c>
      <c r="M48" s="292" t="str">
        <f ca="1">IF(Access_Data!AW29="","",Access_Data!AW29)</f>
        <v/>
      </c>
      <c r="N48" s="292">
        <f ca="1">IF(Access_Data!AW31="","",Access_Data!AW31)</f>
        <v>0</v>
      </c>
    </row>
    <row r="49" spans="1:20" ht="18" customHeight="1" x14ac:dyDescent="0.2">
      <c r="A49" s="291" t="str">
        <f>IF(B49="","",17)</f>
        <v/>
      </c>
      <c r="B49" s="594" t="str">
        <f>IF(Main!O21="","",Main!O21)</f>
        <v/>
      </c>
      <c r="C49" s="594"/>
      <c r="D49" s="292" t="str">
        <f ca="1">IF(Access_Data!X27="","",Access_Data!X27)</f>
        <v/>
      </c>
      <c r="E49" s="292" t="str">
        <f ca="1">IF(Access_Data!X29="","",Access_Data!X29)</f>
        <v/>
      </c>
      <c r="F49" s="292" t="str">
        <f ca="1">IF(Access_Data!X31="","",Access_Data!X31)</f>
        <v/>
      </c>
      <c r="G49" s="106"/>
      <c r="H49" s="106"/>
      <c r="I49" s="291" t="str">
        <f>IF(J49="","",37)</f>
        <v/>
      </c>
      <c r="J49" s="594" t="str">
        <f>IF(Main!O41="","",Main!O41)</f>
        <v/>
      </c>
      <c r="K49" s="594"/>
      <c r="L49" s="292" t="str">
        <f ca="1">IF(Access_Data!AX27="","",Access_Data!AX27)</f>
        <v/>
      </c>
      <c r="M49" s="292" t="str">
        <f ca="1">IF(Access_Data!AX29="","",Access_Data!AX29)</f>
        <v/>
      </c>
      <c r="N49" s="292">
        <f ca="1">IF(Access_Data!AX31="","",Access_Data!AX31)</f>
        <v>0</v>
      </c>
    </row>
    <row r="50" spans="1:20" ht="18" customHeight="1" x14ac:dyDescent="0.2">
      <c r="A50" s="291" t="str">
        <f>IF(B50="","",18)</f>
        <v/>
      </c>
      <c r="B50" s="594" t="str">
        <f>IF(Main!O22="","",Main!O22)</f>
        <v/>
      </c>
      <c r="C50" s="594"/>
      <c r="D50" s="292" t="str">
        <f ca="1">IF(Access_Data!Y27="","",Access_Data!Y27)</f>
        <v/>
      </c>
      <c r="E50" s="292" t="str">
        <f ca="1">IF(Access_Data!Y29="","",Access_Data!Y29)</f>
        <v/>
      </c>
      <c r="F50" s="292" t="str">
        <f ca="1">IF(Access_Data!Y31="","",Access_Data!Y31)</f>
        <v/>
      </c>
      <c r="G50" s="106"/>
      <c r="H50" s="106"/>
      <c r="I50" s="291" t="str">
        <f>IF(J50="","",38)</f>
        <v/>
      </c>
      <c r="J50" s="594" t="str">
        <f>IF(Main!O42="","",Main!O42)</f>
        <v/>
      </c>
      <c r="K50" s="594"/>
      <c r="L50" s="292" t="str">
        <f ca="1">IF(Access_Data!AY27="","",Access_Data!AY27)</f>
        <v/>
      </c>
      <c r="M50" s="292" t="str">
        <f ca="1">IF(Access_Data!AY29="","",Access_Data!AY29)</f>
        <v/>
      </c>
      <c r="N50" s="292">
        <f ca="1">IF(Access_Data!AY31="","",Access_Data!AY31)</f>
        <v>0</v>
      </c>
    </row>
    <row r="51" spans="1:20" ht="18" customHeight="1" x14ac:dyDescent="0.2">
      <c r="A51" s="291" t="str">
        <f>IF(B51="","",19)</f>
        <v/>
      </c>
      <c r="B51" s="594" t="str">
        <f>IF(Main!O23="","",Main!O23)</f>
        <v/>
      </c>
      <c r="C51" s="594"/>
      <c r="D51" s="292" t="str">
        <f ca="1">IF(Access_Data!Z27="","",Access_Data!X27)</f>
        <v/>
      </c>
      <c r="E51" s="292" t="str">
        <f ca="1">IF(Access_Data!Z29="","",Access_Data!Z29)</f>
        <v/>
      </c>
      <c r="F51" s="292" t="str">
        <f ca="1">IF(Access_Data!Z31="","",Access_Data!Z31)</f>
        <v/>
      </c>
      <c r="G51" s="106"/>
      <c r="H51" s="106"/>
      <c r="I51" s="291" t="str">
        <f>IF(J51="","",39)</f>
        <v/>
      </c>
      <c r="J51" s="594" t="str">
        <f>IF(Main!O43="","",Main!O43)</f>
        <v/>
      </c>
      <c r="K51" s="594"/>
      <c r="L51" s="292" t="str">
        <f ca="1">IF(Access_Data!AZ27="","",Access_Data!AZ27)</f>
        <v/>
      </c>
      <c r="M51" s="292" t="str">
        <f ca="1">IF(Access_Data!AZ29="","",Access_Data!AZ29)</f>
        <v/>
      </c>
      <c r="N51" s="292">
        <f ca="1">IF(Access_Data!AZ31="","",Access_Data!AZ31)</f>
        <v>0</v>
      </c>
    </row>
    <row r="52" spans="1:20" ht="18" customHeight="1" x14ac:dyDescent="0.2">
      <c r="A52" s="291" t="str">
        <f>IF(B52="","",20)</f>
        <v/>
      </c>
      <c r="B52" s="594" t="str">
        <f>IF(Main!O24="","",Main!O24)</f>
        <v/>
      </c>
      <c r="C52" s="594"/>
      <c r="D52" s="292" t="str">
        <f ca="1">IF(Access_Data!AA27="","",Access_Data!AA27)</f>
        <v/>
      </c>
      <c r="E52" s="292" t="str">
        <f ca="1">IF(Access_Data!AA29="","",Access_Data!AA29)</f>
        <v/>
      </c>
      <c r="F52" s="292" t="str">
        <f ca="1">IF(Access_Data!AA31="","",Access_Data!AA31)</f>
        <v/>
      </c>
      <c r="G52" s="106"/>
      <c r="H52" s="106"/>
      <c r="I52" s="291" t="str">
        <f>IF(J52="","",40)</f>
        <v/>
      </c>
      <c r="J52" s="594" t="str">
        <f>IF(Main!O44="","",Main!O44)</f>
        <v/>
      </c>
      <c r="K52" s="594"/>
      <c r="L52" s="292" t="str">
        <f ca="1">IF(Access_Data!BA27="","",Access_Data!BA27)</f>
        <v/>
      </c>
      <c r="M52" s="292" t="str">
        <f ca="1">IF(Access_Data!BA29="","",Access_Data!BA29)</f>
        <v/>
      </c>
      <c r="N52" s="292">
        <f ca="1">IF(Access_Data!BA31="","",Access_Data!BA31)</f>
        <v>0</v>
      </c>
    </row>
    <row r="53" spans="1:20" ht="18" customHeight="1" x14ac:dyDescent="0.2">
      <c r="B53" s="599" t="s">
        <v>343</v>
      </c>
      <c r="C53" s="599"/>
      <c r="D53" s="599"/>
      <c r="E53" s="599"/>
      <c r="F53" s="599"/>
      <c r="G53" s="599"/>
      <c r="H53" s="599"/>
      <c r="I53" s="599"/>
      <c r="J53" s="599"/>
      <c r="K53" s="599"/>
      <c r="L53" s="599"/>
      <c r="M53" s="599"/>
      <c r="N53" s="599"/>
    </row>
    <row r="54" spans="1:20" ht="18" customHeight="1" x14ac:dyDescent="0.25">
      <c r="A54" s="293" t="s">
        <v>344</v>
      </c>
      <c r="B54" s="608" t="str">
        <f>CONCATENATE(Main!G23,"  ",FurnaceSpecificComments)</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103"/>
      <c r="B55" s="608"/>
      <c r="C55" s="608"/>
      <c r="D55" s="608"/>
      <c r="E55" s="608"/>
      <c r="F55" s="608"/>
      <c r="G55" s="608"/>
      <c r="H55" s="608"/>
      <c r="I55" s="608"/>
      <c r="J55" s="608"/>
      <c r="K55" s="608"/>
      <c r="L55" s="608"/>
      <c r="M55" s="608"/>
      <c r="N55" s="608"/>
      <c r="O55" s="608"/>
    </row>
    <row r="56" spans="1:20" ht="18" customHeight="1" x14ac:dyDescent="0.25">
      <c r="A56" s="103"/>
      <c r="B56" s="608"/>
      <c r="C56" s="608"/>
      <c r="D56" s="608"/>
      <c r="E56" s="608"/>
      <c r="F56" s="608"/>
      <c r="G56" s="608"/>
      <c r="H56" s="608"/>
      <c r="I56" s="608"/>
      <c r="J56" s="608"/>
      <c r="K56" s="608"/>
      <c r="L56" s="608"/>
      <c r="M56" s="608"/>
      <c r="N56" s="608"/>
      <c r="O56" s="608"/>
    </row>
    <row r="57" spans="1:20" ht="18" customHeight="1" x14ac:dyDescent="0.25">
      <c r="A57" s="103"/>
      <c r="B57" s="608"/>
      <c r="C57" s="608"/>
      <c r="D57" s="608"/>
      <c r="E57" s="608"/>
      <c r="F57" s="608"/>
      <c r="G57" s="608"/>
      <c r="H57" s="608"/>
      <c r="I57" s="608"/>
      <c r="J57" s="608"/>
      <c r="K57" s="608"/>
      <c r="L57" s="608"/>
      <c r="M57" s="608"/>
      <c r="N57" s="608"/>
      <c r="O57" s="608"/>
    </row>
    <row r="58" spans="1:20" ht="18" customHeight="1" x14ac:dyDescent="0.25">
      <c r="A58" s="103"/>
      <c r="B58" s="608"/>
      <c r="C58" s="608"/>
      <c r="D58" s="608"/>
      <c r="E58" s="608"/>
      <c r="F58" s="608"/>
      <c r="G58" s="608"/>
      <c r="H58" s="608"/>
      <c r="I58" s="608"/>
      <c r="J58" s="608"/>
      <c r="K58" s="608"/>
      <c r="L58" s="608"/>
      <c r="M58" s="608"/>
      <c r="N58" s="608"/>
      <c r="O58" s="608"/>
    </row>
    <row r="59" spans="1:20" ht="18" customHeight="1" x14ac:dyDescent="0.25">
      <c r="A59" s="103"/>
      <c r="B59" s="608"/>
      <c r="C59" s="608"/>
      <c r="D59" s="608"/>
      <c r="E59" s="608"/>
      <c r="F59" s="608"/>
      <c r="G59" s="608"/>
      <c r="H59" s="608"/>
      <c r="I59" s="608"/>
      <c r="J59" s="608"/>
      <c r="K59" s="608"/>
      <c r="L59" s="608"/>
      <c r="M59" s="608"/>
      <c r="N59" s="608"/>
      <c r="O59" s="608"/>
    </row>
    <row r="60" spans="1:20" ht="18" customHeight="1" x14ac:dyDescent="0.2">
      <c r="A60" s="598" t="s">
        <v>352</v>
      </c>
      <c r="B60" s="598"/>
      <c r="C60" s="598"/>
      <c r="D60" s="598"/>
      <c r="E60" s="598"/>
      <c r="F60" s="598"/>
      <c r="G60" s="598"/>
      <c r="H60" s="598"/>
      <c r="I60" s="598"/>
      <c r="J60" s="598"/>
      <c r="K60" s="598"/>
      <c r="L60" s="598"/>
      <c r="M60" s="598"/>
      <c r="N60" s="598"/>
      <c r="O60" s="598"/>
    </row>
    <row r="61" spans="1:20" ht="18" customHeight="1" x14ac:dyDescent="0.2">
      <c r="A61" s="602" t="s">
        <v>345</v>
      </c>
      <c r="B61" s="602"/>
      <c r="C61" s="602"/>
      <c r="D61" s="602"/>
      <c r="E61" s="602"/>
      <c r="F61" s="615" t="s">
        <v>346</v>
      </c>
      <c r="G61" s="615"/>
      <c r="H61" s="615"/>
      <c r="I61" s="615" t="s">
        <v>347</v>
      </c>
      <c r="J61" s="615"/>
      <c r="K61" s="615" t="s">
        <v>348</v>
      </c>
      <c r="L61" s="615"/>
      <c r="M61" s="615" t="s">
        <v>349</v>
      </c>
      <c r="N61" s="615"/>
      <c r="O61" s="615"/>
      <c r="R61" s="44" t="s">
        <v>919</v>
      </c>
      <c r="T61" s="44" t="s">
        <v>920</v>
      </c>
    </row>
    <row r="62" spans="1:20" ht="18" customHeight="1" x14ac:dyDescent="0.2">
      <c r="A62" s="583" t="str">
        <f>IF(F62="","",CONCATENATE(T62," - ",R62))</f>
        <v/>
      </c>
      <c r="B62" s="584"/>
      <c r="C62" s="584"/>
      <c r="D62" s="584"/>
      <c r="E62" s="585"/>
      <c r="F62" s="583" t="str" cm="1">
        <f t="array" ref="F62">IFERROR(
  _xlfn.XLOOKUP(
    Main!D9,
    _xlfn._xlws.FILTER(AssetPool[asset_tag], AssetPool[root_category_name]="DAQ Modules"),
    _xlfn._xlws.FILTER(AssetPool[serial_number], AssetPool[root_category_name]="DAQ Modules")
  ),
  ""
)</f>
        <v/>
      </c>
      <c r="G62" s="584"/>
      <c r="H62" s="585"/>
      <c r="I62" s="613" t="str">
        <f>IF(F62="","",Main!D12)</f>
        <v/>
      </c>
      <c r="J62" s="614"/>
      <c r="K62" s="613" t="str">
        <f>IF(F62="","",Main!D13)</f>
        <v/>
      </c>
      <c r="L62" s="614"/>
      <c r="M62" s="577" t="str">
        <f>IF(F62="","",REPLACE(Main!D14,3,1,""))</f>
        <v/>
      </c>
      <c r="N62" s="578"/>
      <c r="O62" s="579"/>
      <c r="Q62" t="str">
        <f>IF(CERT!F62="","",1)</f>
        <v/>
      </c>
      <c r="R62" s="248" t="str">
        <f>IF(Main!D9="", "", _xlfn.XLOOKUP(Main!D9,AssetPool[asset_tag],AssetPool[manufacturer_part_number]))</f>
        <v/>
      </c>
      <c r="T62" s="248" t="str">
        <f>IF(Main!D9="", "", _xlfn.XLOOKUP(Main!D9,AssetPool[asset_tag],AssetPool[category_name]))</f>
        <v/>
      </c>
    </row>
    <row r="63" spans="1:20" ht="18" customHeight="1" x14ac:dyDescent="0.2">
      <c r="A63" s="574" t="str">
        <f t="shared" ref="A63:A68" si="0">IF(Q63="","",CONCATENATE(T63," - ",R63))</f>
        <v/>
      </c>
      <c r="B63" s="575"/>
      <c r="C63" s="575"/>
      <c r="D63" s="575"/>
      <c r="E63" s="576"/>
      <c r="F63" s="574" t="str">
        <f>IF(Main!D48,Main!D48,"")</f>
        <v/>
      </c>
      <c r="G63" s="575"/>
      <c r="H63" s="576"/>
      <c r="I63" s="591" t="str">
        <f>IF(Q63="","",Main!D49)</f>
        <v/>
      </c>
      <c r="J63" s="592"/>
      <c r="K63" s="591" t="str">
        <f>IF(Q63="","",Main!D50)</f>
        <v/>
      </c>
      <c r="L63" s="592"/>
      <c r="M63" s="574" t="str">
        <f>IF(Q63="","",Main!D54)</f>
        <v/>
      </c>
      <c r="N63" s="575"/>
      <c r="O63" s="576"/>
      <c r="Q63" t="str">
        <f>IF(CERT!F63="","",2)</f>
        <v/>
      </c>
      <c r="R63" s="248" t="str">
        <f>IFERROR(_xlfn.XLOOKUP(F63,AssetPool[serial_number],AssetPool[manufacturer_part_number]),"")</f>
        <v>Generic 3436</v>
      </c>
      <c r="T63" s="248" t="str">
        <f>IFERROR(_xlfn.XLOOKUP(F63,AssetPool[serial_number],AssetPool[category_name]),"")</f>
        <v>TC Wire</v>
      </c>
    </row>
    <row r="64" spans="1:20" ht="18" customHeight="1" x14ac:dyDescent="0.2">
      <c r="A64" s="574" t="str">
        <f t="shared" si="0"/>
        <v/>
      </c>
      <c r="B64" s="575"/>
      <c r="C64" s="575"/>
      <c r="D64" s="575"/>
      <c r="E64" s="576"/>
      <c r="F64" s="574" t="str">
        <f>IF(Main!E48,Main!E48,"")</f>
        <v/>
      </c>
      <c r="G64" s="575"/>
      <c r="H64" s="576"/>
      <c r="I64" s="591" t="str">
        <f>IF(Q64="","",Main!E49)</f>
        <v/>
      </c>
      <c r="J64" s="592"/>
      <c r="K64" s="591" t="str">
        <f>IF(Q64="","",Main!E50)</f>
        <v/>
      </c>
      <c r="L64" s="592"/>
      <c r="M64" s="574" t="str">
        <f>IF(Q64="","",Main!E54)</f>
        <v/>
      </c>
      <c r="N64" s="575"/>
      <c r="O64" s="576"/>
      <c r="Q64" t="str">
        <f>IF(CERT!F64="","",3)</f>
        <v/>
      </c>
      <c r="R64" s="248" t="str">
        <f>IFERROR(_xlfn.XLOOKUP(F64,AssetPool[serial_number],AssetPool[manufacturer_part_number]),"")</f>
        <v>Generic 3436</v>
      </c>
      <c r="T64" s="248" t="str">
        <f>IFERROR(_xlfn.XLOOKUP(F64,AssetPool[serial_number],AssetPool[category_name]),"")</f>
        <v>TC Wire</v>
      </c>
    </row>
    <row r="65" spans="1:20" ht="18" customHeight="1" x14ac:dyDescent="0.2">
      <c r="A65" s="574" t="str">
        <f t="shared" si="0"/>
        <v/>
      </c>
      <c r="B65" s="575"/>
      <c r="C65" s="575"/>
      <c r="D65" s="575"/>
      <c r="E65" s="576"/>
      <c r="F65" s="574" t="str">
        <f>IF(Main!F48,Main!F48,"")</f>
        <v/>
      </c>
      <c r="G65" s="575"/>
      <c r="H65" s="576"/>
      <c r="I65" s="591" t="str">
        <f>IF(Q65="","",Main!F49)</f>
        <v/>
      </c>
      <c r="J65" s="592"/>
      <c r="K65" s="591" t="str">
        <f>IF(Q65="","",Main!F50)</f>
        <v/>
      </c>
      <c r="L65" s="592"/>
      <c r="M65" s="574" t="str">
        <f>IF(Q65="","",Main!F54)</f>
        <v/>
      </c>
      <c r="N65" s="575"/>
      <c r="O65" s="576"/>
      <c r="Q65" t="str">
        <f>IF(CERT!F65="","",4)</f>
        <v/>
      </c>
      <c r="R65" s="248" t="str">
        <f>IFERROR(_xlfn.XLOOKUP(F65,AssetPool[serial_number],AssetPool[manufacturer_part_number]),"")</f>
        <v>Generic 3436</v>
      </c>
      <c r="T65" s="248" t="str">
        <f>IFERROR(_xlfn.XLOOKUP(F65,AssetPool[serial_number],AssetPool[category_name]),"")</f>
        <v>TC Wire</v>
      </c>
    </row>
    <row r="66" spans="1:20" ht="18" customHeight="1" x14ac:dyDescent="0.2">
      <c r="A66" s="574" t="str">
        <f t="shared" si="0"/>
        <v/>
      </c>
      <c r="B66" s="575"/>
      <c r="C66" s="575"/>
      <c r="D66" s="575"/>
      <c r="E66" s="576"/>
      <c r="F66" s="574" t="str">
        <f>IF(Main!G48,Main!G48,"")</f>
        <v/>
      </c>
      <c r="G66" s="575"/>
      <c r="H66" s="576"/>
      <c r="I66" s="591" t="str">
        <f>IF(Q66="","",Main!G49)</f>
        <v/>
      </c>
      <c r="J66" s="592"/>
      <c r="K66" s="591" t="str">
        <f>IF(Q66="","",Main!G50)</f>
        <v/>
      </c>
      <c r="L66" s="592"/>
      <c r="M66" s="574" t="str">
        <f>IF(Q66="","",Main!G54)</f>
        <v/>
      </c>
      <c r="N66" s="575"/>
      <c r="O66" s="576"/>
      <c r="Q66" t="str">
        <f>IF(CERT!F66="","",5)</f>
        <v/>
      </c>
      <c r="R66" s="248" t="str">
        <f>IFERROR(_xlfn.XLOOKUP(F66,AssetPool[serial_number],AssetPool[manufacturer_part_number]),"")</f>
        <v>Generic 3436</v>
      </c>
      <c r="T66" s="248" t="str">
        <f>IFERROR(_xlfn.XLOOKUP(F66,AssetPool[serial_number],AssetPool[category_name]),"")</f>
        <v>TC Wire</v>
      </c>
    </row>
    <row r="67" spans="1:20" ht="18" customHeight="1" x14ac:dyDescent="0.2">
      <c r="A67" s="574" t="str">
        <f t="shared" si="0"/>
        <v/>
      </c>
      <c r="B67" s="575"/>
      <c r="C67" s="575"/>
      <c r="D67" s="575"/>
      <c r="E67" s="576"/>
      <c r="F67" s="574" t="str">
        <f>IF(Main!H48,Main!H48,"")</f>
        <v/>
      </c>
      <c r="G67" s="575"/>
      <c r="H67" s="576"/>
      <c r="I67" s="591" t="str">
        <f>IF(Q67="","",Main!H49)</f>
        <v/>
      </c>
      <c r="J67" s="592"/>
      <c r="K67" s="591" t="str">
        <f>IF(Q67="","",Main!H50)</f>
        <v/>
      </c>
      <c r="L67" s="592"/>
      <c r="M67" s="574" t="str">
        <f>IF(Q67="","",Main!H54)</f>
        <v/>
      </c>
      <c r="N67" s="575"/>
      <c r="O67" s="576"/>
      <c r="Q67" t="str">
        <f>IF(CERT!F67="","",6)</f>
        <v/>
      </c>
      <c r="R67" s="248" t="str">
        <f>IFERROR(_xlfn.XLOOKUP(F67,AssetPool[serial_number],AssetPool[manufacturer_part_number]),"")</f>
        <v>Generic 3436</v>
      </c>
      <c r="T67" s="248" t="str">
        <f>IFERROR(_xlfn.XLOOKUP(F67,AssetPool[serial_number],AssetPool[category_name]),"")</f>
        <v>TC Wire</v>
      </c>
    </row>
    <row r="68" spans="1:20" ht="18" customHeight="1" x14ac:dyDescent="0.2">
      <c r="A68" s="574" t="str">
        <f t="shared" si="0"/>
        <v/>
      </c>
      <c r="B68" s="575"/>
      <c r="C68" s="575"/>
      <c r="D68" s="575"/>
      <c r="E68" s="576"/>
      <c r="F68" s="574" t="str">
        <f>IF(Main!I48,Main!I48,"")</f>
        <v/>
      </c>
      <c r="G68" s="575"/>
      <c r="H68" s="576"/>
      <c r="I68" s="591" t="str">
        <f>IF(Q68="","",Main!I49)</f>
        <v/>
      </c>
      <c r="J68" s="592"/>
      <c r="K68" s="591" t="str">
        <f>IF(Q68="","",Main!I50)</f>
        <v/>
      </c>
      <c r="L68" s="592"/>
      <c r="M68" s="574" t="str">
        <f>IF(Q68="","",Main!I54)</f>
        <v/>
      </c>
      <c r="N68" s="575"/>
      <c r="O68" s="576"/>
      <c r="Q68" t="str">
        <f>IF(CERT!F68="","",7)</f>
        <v/>
      </c>
      <c r="R68" s="248" t="str">
        <f>IFERROR(_xlfn.XLOOKUP(F68,AssetPool[serial_number],AssetPool[manufacturer_part_number]),"")</f>
        <v>Generic 3436</v>
      </c>
      <c r="T68" s="248" t="str">
        <f>IFERROR(_xlfn.XLOOKUP(F68,AssetPool[serial_number],AssetPool[category_name]),"")</f>
        <v>TC Wire</v>
      </c>
    </row>
    <row r="69" spans="1:20" ht="18" customHeight="1" x14ac:dyDescent="0.2">
      <c r="A69" s="580" t="str">
        <f>IF(T69="","",CONCATENATE(T69," - ",R69))</f>
        <v/>
      </c>
      <c r="B69" s="581"/>
      <c r="C69" s="581"/>
      <c r="D69" s="581"/>
      <c r="E69" s="582"/>
      <c r="F69" s="586" t="str">
        <f>IF(W69,W69,"")</f>
        <v/>
      </c>
      <c r="G69" s="587"/>
      <c r="H69" s="588"/>
      <c r="I69" s="589"/>
      <c r="J69" s="590"/>
      <c r="K69" s="589"/>
      <c r="L69" s="590"/>
      <c r="M69" s="580"/>
      <c r="N69" s="581"/>
      <c r="O69" s="582"/>
    </row>
    <row r="70" spans="1:20" ht="18" customHeight="1" x14ac:dyDescent="0.2">
      <c r="B70" s="253"/>
      <c r="C70" s="253"/>
      <c r="D70" s="253"/>
      <c r="E70" s="253"/>
      <c r="F70" s="253"/>
      <c r="G70" s="253"/>
      <c r="H70" s="253"/>
      <c r="I70" s="254"/>
      <c r="J70" s="254"/>
      <c r="K70" s="254"/>
      <c r="L70" s="254"/>
      <c r="M70" s="253"/>
      <c r="N70" s="253"/>
      <c r="O70" s="253"/>
    </row>
    <row r="71" spans="1:20" ht="18" customHeight="1" x14ac:dyDescent="0.2">
      <c r="A71" s="573" t="s">
        <v>405</v>
      </c>
      <c r="B71" s="573"/>
      <c r="C71" s="573"/>
      <c r="D71" s="573"/>
      <c r="E71" s="573"/>
      <c r="F71" s="573"/>
      <c r="G71" s="573"/>
      <c r="H71" s="573"/>
      <c r="I71" s="573"/>
      <c r="J71" s="573"/>
      <c r="K71" s="573"/>
      <c r="L71" s="573"/>
      <c r="M71" s="573"/>
      <c r="N71" s="573"/>
      <c r="O71" s="573"/>
    </row>
    <row r="72" spans="1:20" ht="18" customHeight="1" x14ac:dyDescent="0.2">
      <c r="A72" s="573"/>
      <c r="B72" s="573"/>
      <c r="C72" s="573"/>
      <c r="D72" s="573"/>
      <c r="E72" s="573"/>
      <c r="F72" s="573"/>
      <c r="G72" s="573"/>
      <c r="H72" s="573"/>
      <c r="I72" s="573"/>
      <c r="J72" s="573"/>
      <c r="K72" s="573"/>
      <c r="L72" s="573"/>
      <c r="M72" s="573"/>
      <c r="N72" s="573"/>
      <c r="O72" s="573"/>
    </row>
    <row r="73" spans="1:20" ht="18" customHeight="1" x14ac:dyDescent="0.2">
      <c r="A73" s="573"/>
      <c r="B73" s="573"/>
      <c r="C73" s="573"/>
      <c r="D73" s="573"/>
      <c r="E73" s="573"/>
      <c r="F73" s="573"/>
      <c r="G73" s="573"/>
      <c r="H73" s="573"/>
      <c r="I73" s="573"/>
      <c r="J73" s="573"/>
      <c r="K73" s="573"/>
      <c r="L73" s="573"/>
      <c r="M73" s="573"/>
      <c r="N73" s="573"/>
      <c r="O73" s="573"/>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9" t="s">
        <v>350</v>
      </c>
      <c r="N80" s="289" t="s">
        <v>351</v>
      </c>
    </row>
    <row r="81" ht="15" customHeight="1" x14ac:dyDescent="0.2"/>
    <row r="82" ht="15" customHeight="1" x14ac:dyDescent="0.2"/>
  </sheetData>
  <sheetProtection algorithmName="SHA-512" hashValue="7FAd1qVpDfsncPUzMkIvu1ScOVG383BQlPlOrfr4yTyxW1gp21NZTUTS2rdC/0C4ibdwOU2qLTNA8uzy/zMFSw==" saltValue="WAFYw3+BnD7lR2HzguXX9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_xlfn.XLOOKUP(AssetId,HeaderInfo[AssetId],HeaderInfo[],"")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905</v>
      </c>
      <c r="T1" t="s">
        <v>902</v>
      </c>
      <c r="U1" t="s">
        <v>906</v>
      </c>
      <c r="V1" t="s">
        <v>907</v>
      </c>
      <c r="W1" t="s">
        <v>904</v>
      </c>
      <c r="X1" t="s">
        <v>908</v>
      </c>
      <c r="Y1" t="s">
        <v>909</v>
      </c>
      <c r="Z1" t="s">
        <v>910</v>
      </c>
      <c r="AA1" t="s">
        <v>911</v>
      </c>
      <c r="AB1" t="s">
        <v>912</v>
      </c>
      <c r="AC1" t="s">
        <v>913</v>
      </c>
      <c r="AD1" t="s">
        <v>914</v>
      </c>
      <c r="AE1" t="s">
        <v>915</v>
      </c>
      <c r="AF1" t="s">
        <v>916</v>
      </c>
      <c r="AG1" t="s">
        <v>917</v>
      </c>
      <c r="AH1" t="s">
        <v>918</v>
      </c>
      <c r="AI1" t="s">
        <v>903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7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6.85546875" bestFit="1" customWidth="1"/>
    <col min="105" max="107" width="5.85546875" bestFit="1" customWidth="1"/>
    <col min="108" max="108" width="4.5703125" bestFit="1" customWidth="1"/>
    <col min="109" max="113" width="6.28515625" bestFit="1" customWidth="1"/>
    <col min="114" max="114" width="7.28515625" bestFit="1" customWidth="1"/>
    <col min="115" max="115" width="5.28515625" bestFit="1" customWidth="1"/>
    <col min="116" max="118" width="6.28515625" bestFit="1" customWidth="1"/>
    <col min="119" max="125" width="7.28515625" bestFit="1" customWidth="1"/>
    <col min="126" max="126" width="5.85546875" bestFit="1" customWidth="1"/>
    <col min="127" max="127" width="4.5703125" bestFit="1" customWidth="1"/>
    <col min="128" max="132" width="6.28515625" customWidth="1"/>
    <col min="133" max="133" width="7.28515625" bestFit="1" customWidth="1"/>
    <col min="134" max="134" width="6.28515625" bestFit="1" customWidth="1"/>
    <col min="135" max="141" width="7.28515625" bestFit="1" customWidth="1"/>
    <col min="142" max="142" width="5.85546875" bestFit="1" customWidth="1"/>
    <col min="143" max="143" width="4.5703125" bestFit="1" customWidth="1"/>
    <col min="144" max="148" width="6.28515625" bestFit="1" customWidth="1"/>
    <col min="149" max="149" width="7.28515625" bestFit="1" customWidth="1"/>
    <col min="150" max="150" width="6.85546875" bestFit="1" customWidth="1"/>
    <col min="151" max="153" width="5.85546875" bestFit="1" customWidth="1"/>
    <col min="154" max="154" width="4.5703125" bestFit="1" customWidth="1"/>
    <col min="155" max="159" width="6.28515625" bestFit="1" customWidth="1"/>
    <col min="160" max="160" width="7.28515625" bestFit="1" customWidth="1"/>
    <col min="161" max="161" width="6.85546875" bestFit="1" customWidth="1"/>
    <col min="162" max="164" width="5.85546875" bestFit="1" customWidth="1"/>
    <col min="165" max="165" width="4.5703125" bestFit="1" customWidth="1"/>
    <col min="166" max="170" width="6.28515625" customWidth="1"/>
    <col min="171" max="171" width="7.28515625" bestFit="1" customWidth="1"/>
    <col min="172" max="172" width="6.28515625" bestFit="1" customWidth="1"/>
    <col min="173" max="179" width="7.28515625" bestFit="1" customWidth="1"/>
    <col min="180" max="180" width="5.85546875" bestFit="1" customWidth="1"/>
    <col min="181" max="181" width="4.5703125" bestFit="1" customWidth="1"/>
    <col min="182" max="186" width="6.28515625" bestFit="1" customWidth="1"/>
    <col min="187" max="187" width="7.28515625" bestFit="1" customWidth="1"/>
    <col min="188" max="188" width="6.85546875" bestFit="1" customWidth="1"/>
    <col min="189" max="191" width="5.85546875" bestFit="1" customWidth="1"/>
    <col min="192" max="192" width="4.5703125" bestFit="1" customWidth="1"/>
    <col min="193" max="197" width="6.28515625" customWidth="1"/>
    <col min="198" max="198" width="7.28515625" bestFit="1" customWidth="1"/>
    <col min="199" max="199" width="6.28515625" bestFit="1" customWidth="1"/>
    <col min="200" max="206" width="7.28515625" bestFit="1" customWidth="1"/>
    <col min="207" max="207" width="5.85546875" bestFit="1" customWidth="1"/>
    <col min="208" max="208" width="4.5703125" bestFit="1" customWidth="1"/>
    <col min="209" max="213" width="6.28515625" customWidth="1"/>
    <col min="214" max="214" width="7.28515625" bestFit="1" customWidth="1"/>
    <col min="215" max="215" width="6.28515625" bestFit="1" customWidth="1"/>
    <col min="216" max="217" width="7.28515625" bestFit="1" customWidth="1"/>
    <col min="218" max="222"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26"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6" t="str">
        <f>IF(Main!$E$30="","A10",ADDRESS(13+(MATCH(Main!$E$30,Data_Sheet!$A$14:$A$903,0)),1,4))</f>
        <v>A10</v>
      </c>
      <c r="Q1" s="396">
        <f>VALUE(MID(P1, 2, LEN(P1)-1))</f>
        <v>10</v>
      </c>
    </row>
    <row r="2" spans="1:18" x14ac:dyDescent="0.2">
      <c r="B2" s="148">
        <f>Main!$D$19</f>
        <v>0</v>
      </c>
      <c r="C2" s="142">
        <f>$B$1+$B$2</f>
        <v>0</v>
      </c>
      <c r="D2" s="142">
        <f>(Main!$D$19)/2</f>
        <v>0</v>
      </c>
      <c r="E2" s="142">
        <f>B1+D2</f>
        <v>0</v>
      </c>
      <c r="F2" s="149"/>
      <c r="G2" s="149"/>
      <c r="H2" s="149"/>
      <c r="I2" s="174" t="s">
        <v>257</v>
      </c>
      <c r="J2" s="149"/>
      <c r="K2" s="149"/>
      <c r="L2" s="149"/>
      <c r="M2" s="620" t="s">
        <v>127</v>
      </c>
      <c r="N2" s="620"/>
      <c r="O2" s="620"/>
      <c r="P2" s="397" t="str">
        <f>IF(Main!$E$30="","A10",ADDRESS(13+Standards_Info!W2+(MATCH(Main!$E$30,Data_Sheet!$A$14:$A$903,0)),1,4))</f>
        <v>A10</v>
      </c>
      <c r="Q2" s="396">
        <f>VALUE(MID(P2, 2, LEN(P2)-1))</f>
        <v>10</v>
      </c>
    </row>
    <row r="3" spans="1:18" ht="14.25" x14ac:dyDescent="0.2">
      <c r="B3" s="152" t="s">
        <v>0</v>
      </c>
      <c r="C3" s="147"/>
      <c r="D3" s="134"/>
      <c r="E3" s="134"/>
      <c r="F3" s="134"/>
      <c r="G3" s="134"/>
      <c r="H3" s="134"/>
      <c r="I3" s="134"/>
      <c r="J3" s="134"/>
      <c r="K3" s="134"/>
      <c r="L3" s="134"/>
      <c r="M3" s="621" t="s">
        <v>128</v>
      </c>
      <c r="N3" s="622"/>
      <c r="O3" s="623"/>
      <c r="P3" s="134"/>
      <c r="Q3" s="134"/>
    </row>
    <row r="4" spans="1:18" ht="15" x14ac:dyDescent="0.25">
      <c r="B4" s="144" t="s">
        <v>37</v>
      </c>
      <c r="C4" s="86"/>
      <c r="D4" s="44"/>
      <c r="E4" s="44"/>
      <c r="F4" s="44"/>
      <c r="G4" s="44"/>
      <c r="H4" s="44"/>
      <c r="I4" s="44"/>
      <c r="J4" s="44"/>
      <c r="K4" s="44"/>
      <c r="L4" s="44"/>
      <c r="M4" s="624" t="s">
        <v>169</v>
      </c>
      <c r="N4" s="625"/>
      <c r="O4" s="626"/>
      <c r="P4" s="116"/>
    </row>
    <row r="5" spans="1:18" x14ac:dyDescent="0.2">
      <c r="B5" s="145" t="s">
        <v>38</v>
      </c>
      <c r="C5" s="80">
        <f>Main!D3</f>
        <v>0</v>
      </c>
      <c r="D5" s="44"/>
      <c r="E5" s="44"/>
      <c r="F5" s="44"/>
      <c r="G5" s="44"/>
      <c r="H5" s="44"/>
      <c r="I5" s="78" t="s">
        <v>9</v>
      </c>
      <c r="J5" s="44" t="e">
        <f>Main!D5</f>
        <v>#N/A</v>
      </c>
      <c r="L5" s="44"/>
      <c r="M5" s="627" t="s">
        <v>168</v>
      </c>
      <c r="N5" s="628"/>
      <c r="O5" s="629"/>
      <c r="P5" s="163"/>
    </row>
    <row r="6" spans="1:18" ht="13.5" thickBot="1" x14ac:dyDescent="0.25">
      <c r="B6" s="145" t="s">
        <v>7</v>
      </c>
      <c r="C6" s="81" t="e">
        <f>Main!D6</f>
        <v>#N/A</v>
      </c>
      <c r="D6" s="44"/>
      <c r="E6" s="44"/>
      <c r="F6" s="44"/>
      <c r="G6" s="44"/>
      <c r="H6" s="44"/>
      <c r="I6" s="78" t="s">
        <v>10</v>
      </c>
      <c r="J6" s="77">
        <f>Main!D16</f>
        <v>0</v>
      </c>
      <c r="L6" s="44"/>
      <c r="M6" s="630" t="s">
        <v>167</v>
      </c>
      <c r="N6" s="631"/>
      <c r="O6" s="632"/>
      <c r="P6" s="117"/>
    </row>
    <row r="7" spans="1:18" ht="13.5" thickBot="1" x14ac:dyDescent="0.25">
      <c r="B7" s="145" t="s">
        <v>39</v>
      </c>
      <c r="C7" s="81" t="str">
        <f>Main!D7</f>
        <v>Jeff Hall</v>
      </c>
      <c r="D7" s="44"/>
      <c r="E7" s="44"/>
      <c r="F7" s="44"/>
      <c r="G7" s="44"/>
      <c r="H7" s="44"/>
      <c r="I7" s="83" t="s">
        <v>195</v>
      </c>
      <c r="J7" s="618">
        <f>Main!$D$30</f>
        <v>0</v>
      </c>
      <c r="K7" s="619"/>
      <c r="L7" s="131"/>
      <c r="M7" s="617" t="s">
        <v>166</v>
      </c>
      <c r="N7" s="617"/>
      <c r="O7" s="617"/>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AfulRQySPnDGa1pauN5b2Ii10KL/TyJ6dr2C5Kg2GRbvSv9ljjv+XKSVrWUQxq8YWOVpf5LzZ23A9LaSP+HPLg==" saltValue="9dYhTy9PsPxiJQsbwHigE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6" t="str">
        <f>IF(Main!$E$30="","A10",ADDRESS(13+(MATCH(Main!$E$30,Data_Sheet!$A$14:$A$903,0)),1,4))</f>
        <v>A10</v>
      </c>
      <c r="Q1" s="396">
        <f>VALUE(MID(P1, 2, LEN(P1)-1))</f>
        <v>10</v>
      </c>
    </row>
    <row r="2" spans="1:17" x14ac:dyDescent="0.2">
      <c r="B2" s="148">
        <f>Main!$D$19</f>
        <v>0</v>
      </c>
      <c r="C2" s="142">
        <f>$B$1+$B$2</f>
        <v>0</v>
      </c>
      <c r="D2" s="142">
        <f>(Main!$D$19)/2</f>
        <v>0</v>
      </c>
      <c r="E2" s="148">
        <f>B1+D2</f>
        <v>0</v>
      </c>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t="e">
        <f>Main!D5</f>
        <v>#N/A</v>
      </c>
      <c r="M5" s="634" t="s">
        <v>168</v>
      </c>
      <c r="N5" s="635"/>
      <c r="O5" s="636"/>
    </row>
    <row r="6" spans="1:17" ht="13.5" thickBot="1" x14ac:dyDescent="0.25">
      <c r="B6" s="145" t="s">
        <v>7</v>
      </c>
      <c r="C6" s="81" t="e">
        <f>Main!D6</f>
        <v>#N/A</v>
      </c>
      <c r="D6" s="44"/>
      <c r="E6" s="44"/>
      <c r="F6" s="44"/>
      <c r="G6" s="44"/>
      <c r="H6" s="44"/>
      <c r="I6" s="78" t="s">
        <v>10</v>
      </c>
      <c r="J6" s="46">
        <f>Main!D16</f>
        <v>0</v>
      </c>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yJmvfprLasAk4x1PrXB3UkqSaQNWqlMYSl4jydp6rmDzW2NvzZg4g259trkpldVOvjPenkKoIEIL2tUP51nfSw==" saltValue="6C7whu/tIe4toIdaEuElW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6" t="str">
        <f>IF(Main!$E$30="","A10",ADDRESS(13+(MATCH(Main!$E$30,Data_Sheet!$A$14:$A$903,0)),1,4))</f>
        <v>A10</v>
      </c>
      <c r="Q1" s="396">
        <f>VALUE(MID(P1, 2, LEN(P1)-1))</f>
        <v>10</v>
      </c>
    </row>
    <row r="2" spans="1:17" x14ac:dyDescent="0.2">
      <c r="A2" s="141"/>
      <c r="B2" s="148">
        <f>Main!$D$19</f>
        <v>0</v>
      </c>
      <c r="C2" s="142">
        <f>$B$1+$B$2</f>
        <v>0</v>
      </c>
      <c r="D2" s="142">
        <f>(Main!$D$19)/2</f>
        <v>0</v>
      </c>
      <c r="E2" s="148">
        <f>B1+D2</f>
        <v>0</v>
      </c>
      <c r="F2" s="134"/>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s="44" t="e">
        <f>Main!D5</f>
        <v>#N/A</v>
      </c>
      <c r="L5" s="44"/>
      <c r="M5" s="627" t="s">
        <v>168</v>
      </c>
      <c r="N5" s="628"/>
      <c r="O5" s="629"/>
    </row>
    <row r="6" spans="1:17" ht="13.5" thickBot="1" x14ac:dyDescent="0.25">
      <c r="B6" s="145" t="s">
        <v>7</v>
      </c>
      <c r="C6" s="81" t="e">
        <f>Main!D6</f>
        <v>#N/A</v>
      </c>
      <c r="D6" s="44"/>
      <c r="E6" s="44"/>
      <c r="F6" s="44"/>
      <c r="G6" s="44"/>
      <c r="H6" s="44"/>
      <c r="I6" s="78" t="s">
        <v>10</v>
      </c>
      <c r="J6" s="77">
        <f>Main!D16</f>
        <v>0</v>
      </c>
      <c r="L6" s="44"/>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vFUeoB1obhaLOdIWxV02ozAYATwscUPbYAHbxpQpQevdj05y1eq0vF15UTNZmZ9V8v+MmaqNSbnUyjCwtE7+cg==" saltValue="oYaJp+2YsOCXX6sCIJG0R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3"/>
    <col min="17" max="17" width="9.140625" style="355"/>
    <col min="18" max="18" width="37.85546875" style="353" bestFit="1" customWidth="1"/>
    <col min="19" max="19" width="9.85546875" style="353" bestFit="1" customWidth="1"/>
    <col min="20" max="20" width="21.85546875" style="353" bestFit="1" customWidth="1"/>
    <col min="21" max="21" width="14.42578125" style="353" customWidth="1"/>
    <col min="22" max="22" width="16" style="353" customWidth="1"/>
    <col min="23" max="23" width="9.140625" style="353"/>
    <col min="24" max="25" width="9.140625" style="16"/>
    <col min="26" max="16384" width="9.140625" style="8"/>
  </cols>
  <sheetData>
    <row r="1" spans="1:29" x14ac:dyDescent="0.25">
      <c r="G1" s="10" t="s">
        <v>0</v>
      </c>
      <c r="H1" s="8"/>
      <c r="I1" s="9"/>
      <c r="K1" s="8"/>
      <c r="M1" s="8" t="s">
        <v>19</v>
      </c>
      <c r="O1" s="241"/>
      <c r="R1" s="353" t="e">
        <f>IF(T1=0, 0, IF(T1 &gt; Main!G93 + (1-D19)*0.4, 1, ""))</f>
        <v>#VALUE!</v>
      </c>
      <c r="T1" s="353" t="e" cm="1">
        <f t="array" ref="T1">MAX(ABS(E10:E18))</f>
        <v>#VALUE!</v>
      </c>
      <c r="U1" s="353" t="e" cm="1">
        <f t="array" ref="U1">MAX(ABS(H10:H18))</f>
        <v>#VALUE!</v>
      </c>
      <c r="X1" s="241"/>
      <c r="Y1" s="241"/>
      <c r="Z1" s="243"/>
      <c r="AA1" s="243"/>
      <c r="AB1" s="243"/>
      <c r="AC1" s="243"/>
    </row>
    <row r="2" spans="1:29" ht="18.75" customHeight="1" x14ac:dyDescent="0.25">
      <c r="H2" s="11" t="s">
        <v>20</v>
      </c>
      <c r="I2" s="9"/>
      <c r="K2" s="8"/>
      <c r="M2" s="8" t="s">
        <v>33</v>
      </c>
      <c r="O2" s="241"/>
      <c r="R2" s="353" t="e">
        <f>IF(U1=0, 0, IF(U1 &gt; Main!G93 + (1-D31)*0.4, 1, ""))</f>
        <v>#VALUE!</v>
      </c>
      <c r="T2" s="353" t="e" cm="1">
        <f t="array" ref="T2">MAX(ABS(K10:K18))</f>
        <v>#VALUE!</v>
      </c>
      <c r="U2" s="353" t="e" cm="1">
        <f t="array" ref="U2">MAX(ABS(N10:N18))</f>
        <v>#VALUE!</v>
      </c>
      <c r="X2" s="241"/>
      <c r="Y2" s="241"/>
      <c r="Z2" s="243"/>
      <c r="AA2" s="243"/>
      <c r="AB2" s="243"/>
      <c r="AC2" s="243"/>
    </row>
    <row r="3" spans="1:29" ht="23.25" customHeight="1" x14ac:dyDescent="0.25">
      <c r="D3" s="35" t="s">
        <v>38</v>
      </c>
      <c r="E3" s="42">
        <f>Main!D3</f>
        <v>0</v>
      </c>
      <c r="G3" s="12"/>
      <c r="H3" s="8"/>
      <c r="J3" s="35" t="s">
        <v>53</v>
      </c>
      <c r="K3" s="13" t="e">
        <f>Main!D5</f>
        <v>#N/A</v>
      </c>
      <c r="L3" s="9"/>
      <c r="O3" s="241"/>
      <c r="R3" s="353" t="e">
        <f>IF(T2=0, 0, IF(T2 &gt; Main!G93 + (1-G19)*0.4, 1, ""))</f>
        <v>#VALUE!</v>
      </c>
      <c r="T3" s="353" t="e" cm="1">
        <f t="array" ref="T3">MAX(ABS(E22:E30))</f>
        <v>#VALUE!</v>
      </c>
      <c r="U3" s="353" t="e" cm="1">
        <f t="array" ref="U3">MAX(ABS(H22:H30))</f>
        <v>#VALUE!</v>
      </c>
      <c r="X3" s="241"/>
      <c r="Y3" s="241"/>
      <c r="Z3" s="243"/>
      <c r="AA3" s="243"/>
      <c r="AB3" s="243"/>
      <c r="AC3" s="243"/>
    </row>
    <row r="4" spans="1:29" x14ac:dyDescent="0.25">
      <c r="D4" s="36" t="s">
        <v>52</v>
      </c>
      <c r="E4" s="10" t="e">
        <f>Main!D6</f>
        <v>#N/A</v>
      </c>
      <c r="H4" s="8"/>
      <c r="J4" s="36" t="s">
        <v>54</v>
      </c>
      <c r="K4" s="14">
        <f>Main!D16</f>
        <v>0</v>
      </c>
      <c r="L4" s="9"/>
      <c r="O4" s="241"/>
      <c r="R4" s="353" t="e">
        <f>IF(U2=0, 0, IF(U2 &gt; Main!G93 + (1-G31)*0.4, 1, ""))</f>
        <v>#VALUE!</v>
      </c>
      <c r="T4" s="353" t="e" cm="1">
        <f t="array" ref="T4">MAX(ABS(K22:K30))</f>
        <v>#VALUE!</v>
      </c>
      <c r="U4" s="353" t="e" cm="1">
        <f t="array" ref="U4">MAX(ABS(N22:N30))</f>
        <v>#N/A</v>
      </c>
      <c r="X4" s="241"/>
      <c r="Y4" s="241"/>
      <c r="Z4" s="243"/>
      <c r="AA4" s="243"/>
      <c r="AB4" s="243"/>
      <c r="AC4" s="243"/>
    </row>
    <row r="5" spans="1:29" x14ac:dyDescent="0.25">
      <c r="D5" s="36" t="s">
        <v>39</v>
      </c>
      <c r="E5" s="8" t="str">
        <f>Main!D7</f>
        <v>Jeff Hall</v>
      </c>
      <c r="H5" s="8"/>
      <c r="J5" s="37" t="s">
        <v>21</v>
      </c>
      <c r="K5" s="48">
        <f>Main!D18</f>
        <v>0</v>
      </c>
      <c r="O5" s="241"/>
      <c r="R5" s="353" t="e">
        <f>IF(T3=0, 0, IF(T3 &gt; Main!G93 + (1-J19)*0.4, 1, ""))</f>
        <v>#VALUE!</v>
      </c>
      <c r="T5" s="355"/>
      <c r="X5" s="241"/>
      <c r="Y5" s="241"/>
      <c r="Z5" s="243"/>
      <c r="AA5" s="243"/>
      <c r="AB5" s="243"/>
      <c r="AC5" s="243"/>
    </row>
    <row r="6" spans="1:29" ht="15.75" customHeight="1" x14ac:dyDescent="0.25">
      <c r="D6" s="36" t="s">
        <v>22</v>
      </c>
      <c r="E6" s="312" t="e">
        <f>IF(ISBLANK(Main!G95),"",Main!G95)</f>
        <v>#N/A</v>
      </c>
      <c r="G6" s="15" t="e">
        <f>IF(OR(R1:R8),"CHECK READINGS!!!","")</f>
        <v>#VALUE!</v>
      </c>
      <c r="J6" s="16"/>
      <c r="L6" s="9"/>
      <c r="O6" s="241"/>
      <c r="R6" s="353" t="e">
        <f>IF(U3=0, 0, IF(U3 &gt; Main!G93 + (1-J31)*0.4, 1, ""))</f>
        <v>#VALUE!</v>
      </c>
      <c r="T6" s="355"/>
      <c r="X6" s="241"/>
      <c r="Y6" s="241"/>
      <c r="Z6" s="243"/>
      <c r="AA6" s="243"/>
      <c r="AB6" s="243"/>
      <c r="AC6" s="243"/>
    </row>
    <row r="7" spans="1:29" x14ac:dyDescent="0.25">
      <c r="E7" s="8"/>
      <c r="F7" s="34" t="s">
        <v>23</v>
      </c>
      <c r="O7" s="241"/>
      <c r="R7" s="353" t="e">
        <f>IF(T4=0, 0, IF(T4 &gt; Main!G93 + (1-M19)*0.4, 1, ""))</f>
        <v>#VALUE!</v>
      </c>
      <c r="T7" s="355"/>
      <c r="X7" s="241"/>
      <c r="Y7" s="241"/>
      <c r="Z7" s="243"/>
      <c r="AA7" s="243"/>
      <c r="AB7" s="243"/>
      <c r="AC7" s="24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1"/>
      <c r="R8" s="353" t="e">
        <f>IF(U4=0, 0, IF(U4 &gt; Main!G93 + (1-M31)*0.4, 1, ""))</f>
        <v>#N/A</v>
      </c>
      <c r="T8" s="355"/>
      <c r="X8" s="241"/>
      <c r="Y8" s="241"/>
      <c r="Z8" s="243"/>
      <c r="AA8" s="243"/>
      <c r="AB8" s="243"/>
      <c r="AC8" s="24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1"/>
      <c r="T9" s="355"/>
      <c r="X9" s="241"/>
      <c r="Y9" s="241"/>
      <c r="Z9" s="243"/>
      <c r="AA9" s="243"/>
      <c r="AB9" s="243"/>
      <c r="AC9" s="24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1" t="e">
        <f>IF(R1,D9 &amp; " IS OOT!!!","")</f>
        <v>#VALUE!</v>
      </c>
      <c r="R10" s="354"/>
      <c r="T10" s="355"/>
      <c r="X10" s="241"/>
      <c r="Y10" s="241"/>
      <c r="Z10" s="243"/>
      <c r="AA10" s="243"/>
      <c r="AB10" s="243"/>
      <c r="AC10" s="24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1" t="e">
        <f>IF(R2, G9 &amp; " IS OOT!!!","")</f>
        <v>#VALUE!</v>
      </c>
      <c r="R11" s="355"/>
      <c r="S11" s="354"/>
      <c r="T11" s="356" t="s">
        <v>438</v>
      </c>
      <c r="U11" s="359" t="s">
        <v>439</v>
      </c>
      <c r="V11" s="359" t="s">
        <v>440</v>
      </c>
      <c r="X11" s="241"/>
      <c r="Y11" s="241"/>
      <c r="Z11" s="243"/>
      <c r="AA11" s="243"/>
      <c r="AB11" s="243"/>
      <c r="AC11" s="24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1" t="e">
        <f>IF(R3, J9 &amp; " IS OOT!!!","")</f>
        <v>#VALUE!</v>
      </c>
      <c r="S12" s="353" t="e" cm="1">
        <f t="array" ref="S12">LOOKUP($K$5,Table7[#Headers]+0,Table7[#This Row])</f>
        <v>#N/A</v>
      </c>
      <c r="U12" s="359">
        <v>2</v>
      </c>
      <c r="V12" s="359">
        <v>2</v>
      </c>
      <c r="X12" s="241"/>
      <c r="Y12" s="241"/>
      <c r="Z12" s="243"/>
      <c r="AA12" s="243"/>
      <c r="AB12" s="243"/>
      <c r="AC12" s="24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1" t="e">
        <f>IF(R4, M9 &amp;" IS OOT!!!","")</f>
        <v>#VALUE!</v>
      </c>
      <c r="S13" s="353" t="e" cm="1">
        <f t="array" ref="S13">LOOKUP($K$5,Table7[#Headers]+0,Table7[#This Row])</f>
        <v>#N/A</v>
      </c>
      <c r="U13" s="359">
        <v>4</v>
      </c>
      <c r="V13" s="359">
        <v>7</v>
      </c>
      <c r="X13" s="241"/>
      <c r="Y13" s="241"/>
      <c r="Z13" s="243"/>
      <c r="AA13" s="243"/>
      <c r="AB13" s="243"/>
      <c r="AC13" s="24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2"/>
      <c r="S14" s="353" t="e" cm="1">
        <f t="array" ref="S14">LOOKUP($K$5,Table7[#Headers]+0,Table7[#This Row])</f>
        <v>#N/A</v>
      </c>
      <c r="U14" s="359">
        <v>6</v>
      </c>
      <c r="V14" s="359">
        <v>12</v>
      </c>
      <c r="X14" s="241"/>
      <c r="Y14" s="241"/>
      <c r="Z14" s="243"/>
      <c r="AA14" s="243"/>
      <c r="AB14" s="243"/>
      <c r="AC14" s="24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2"/>
      <c r="S15" s="353" t="e" cm="1">
        <f t="array" ref="S15">LOOKUP($K$5,Table7[#Headers]+0,Table7[#This Row])</f>
        <v>#N/A</v>
      </c>
      <c r="U15" s="359">
        <v>8</v>
      </c>
      <c r="V15" s="359">
        <v>17</v>
      </c>
      <c r="X15" s="241"/>
      <c r="Y15" s="241"/>
      <c r="Z15" s="243"/>
      <c r="AA15" s="243"/>
      <c r="AB15" s="243"/>
      <c r="AC15" s="24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2"/>
      <c r="S16" s="353" t="e" cm="1">
        <f t="array" ref="S16">LOOKUP($K$5,Table7[#Headers]+0,Table7[#This Row])</f>
        <v>#N/A</v>
      </c>
      <c r="U16" s="359">
        <v>10</v>
      </c>
      <c r="V16" s="359">
        <v>22</v>
      </c>
      <c r="X16" s="241"/>
      <c r="Y16" s="241"/>
      <c r="Z16" s="243"/>
      <c r="AA16" s="243"/>
      <c r="AB16" s="243"/>
      <c r="AC16" s="24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3" t="e" cm="1">
        <f t="array" ref="S17">LOOKUP($K$5,Table7[#Headers]+0,Table7[#This Row])</f>
        <v>#N/A</v>
      </c>
      <c r="U17" s="359">
        <v>12</v>
      </c>
      <c r="V17" s="35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3" t="e" cm="1">
        <f t="array" ref="S18">LOOKUP($K$5,Table7[#Headers]+0,Table7[#This Row])</f>
        <v>#N/A</v>
      </c>
      <c r="U18" s="359">
        <v>14</v>
      </c>
      <c r="V18" s="35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3" t="e" cm="1">
        <f t="array" ref="S19">LOOKUP($K$5,Table7[#Headers]+0,Table7[#This Row])</f>
        <v>#N/A</v>
      </c>
      <c r="U19" s="359">
        <v>16</v>
      </c>
      <c r="V19" s="359" t="s">
        <v>34</v>
      </c>
    </row>
    <row r="20" spans="1:22" x14ac:dyDescent="0.25">
      <c r="C20" s="18" t="s">
        <v>24</v>
      </c>
      <c r="D20" s="18" t="s">
        <v>25</v>
      </c>
      <c r="F20" s="18" t="s">
        <v>24</v>
      </c>
      <c r="G20" s="18" t="s">
        <v>25</v>
      </c>
      <c r="H20" s="18"/>
      <c r="I20" s="18" t="s">
        <v>24</v>
      </c>
      <c r="J20" s="18" t="s">
        <v>25</v>
      </c>
      <c r="K20" s="18"/>
      <c r="L20" s="18" t="s">
        <v>24</v>
      </c>
      <c r="M20" s="18" t="s">
        <v>25</v>
      </c>
      <c r="O20" s="29"/>
      <c r="S20" s="353" t="e" cm="1">
        <f t="array" ref="S20">LOOKUP($K$5,Table7[#Headers]+0,Table7[#This Row])</f>
        <v>#N/A</v>
      </c>
      <c r="U20" s="359">
        <v>17</v>
      </c>
      <c r="V20" s="35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3" t="e" cm="1">
        <f t="array" ref="S21">LOOKUP($K$5,Table7[#Headers]+0,Table7[#This Row])</f>
        <v>#N/A</v>
      </c>
      <c r="U21" s="359">
        <v>21</v>
      </c>
      <c r="V21" s="35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3" t="e" cm="1">
        <f t="array" ref="S22">LOOKUP($K$5,Table7[#Headers]+0,Table7[#This Row])</f>
        <v>#N/A</v>
      </c>
      <c r="U22" s="359" t="s">
        <v>34</v>
      </c>
      <c r="V22" s="35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9" t="s">
        <v>34</v>
      </c>
      <c r="V23" s="35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7"/>
      <c r="U24" s="359" t="s">
        <v>34</v>
      </c>
      <c r="V24" s="35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9" t="s">
        <v>34</v>
      </c>
      <c r="V25" s="35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7" t="s">
        <v>29</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6"/>
    </row>
    <row r="34" spans="1:14" x14ac:dyDescent="0.25">
      <c r="A34" s="21"/>
      <c r="B34" s="21"/>
      <c r="D34" s="638"/>
      <c r="E34" s="638"/>
      <c r="F34" s="638"/>
      <c r="G34" s="638"/>
      <c r="H34" s="638"/>
      <c r="I34" s="638"/>
      <c r="J34" s="638"/>
      <c r="K34" s="638"/>
      <c r="L34" s="638"/>
      <c r="M34" s="638"/>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39" t="s">
        <v>32</v>
      </c>
      <c r="D37" s="639"/>
      <c r="E37" s="639"/>
      <c r="F37" s="639"/>
      <c r="G37" s="639"/>
      <c r="H37" s="639"/>
      <c r="I37" s="639"/>
      <c r="J37" s="639"/>
      <c r="K37" s="639"/>
      <c r="L37" s="639"/>
      <c r="M37" s="639"/>
    </row>
    <row r="38" spans="1:14" x14ac:dyDescent="0.25">
      <c r="A38" s="21"/>
      <c r="B38" s="21"/>
      <c r="C38" s="639"/>
      <c r="D38" s="639"/>
      <c r="E38" s="639"/>
      <c r="F38" s="639"/>
      <c r="G38" s="639"/>
      <c r="H38" s="639"/>
      <c r="I38" s="639"/>
      <c r="J38" s="639"/>
      <c r="K38" s="639"/>
      <c r="L38" s="639"/>
      <c r="M38" s="639"/>
    </row>
    <row r="39" spans="1:14" x14ac:dyDescent="0.25">
      <c r="A39" s="21"/>
      <c r="B39" s="21"/>
      <c r="C39" s="639"/>
      <c r="D39" s="639"/>
      <c r="E39" s="639"/>
      <c r="F39" s="639"/>
      <c r="G39" s="639"/>
      <c r="H39" s="639"/>
      <c r="I39" s="639"/>
      <c r="J39" s="639"/>
      <c r="K39" s="639"/>
      <c r="L39" s="639"/>
      <c r="M39" s="639"/>
    </row>
    <row r="40" spans="1:14" x14ac:dyDescent="0.25">
      <c r="A40" s="21"/>
      <c r="B40" s="21"/>
      <c r="C40" s="639"/>
      <c r="D40" s="639"/>
      <c r="E40" s="639"/>
      <c r="F40" s="639"/>
      <c r="G40" s="639"/>
      <c r="H40" s="639"/>
      <c r="I40" s="639"/>
      <c r="J40" s="639"/>
      <c r="K40" s="639"/>
      <c r="L40" s="639"/>
      <c r="M40" s="63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s9AY0Q2ttg0bqd2O6NLMsYX3oYPs3dGTi68+M5rLc/dJpNHrqr2Gvke9HAbMMwvyVrwNGTRjxq6xqwLPNs7kwg==" saltValue="HSXeytsPUYgSPfhM5g9zhw=="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5" zoomScaleNormal="100" workbookViewId="0">
      <selection activeCell="K46" sqref="K46"/>
    </sheetView>
  </sheetViews>
  <sheetFormatPr defaultRowHeight="12.75" x14ac:dyDescent="0.2"/>
  <cols>
    <col min="1" max="16" width="12.85546875" customWidth="1"/>
    <col min="17" max="17" width="13" customWidth="1"/>
  </cols>
  <sheetData>
    <row r="1" spans="1:16" ht="18" x14ac:dyDescent="0.25">
      <c r="F1" s="38" t="s">
        <v>597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598</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599</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0" t="s">
        <v>380</v>
      </c>
      <c r="I28" s="640"/>
      <c r="J28" s="640"/>
      <c r="K28" s="640"/>
      <c r="L28" s="640"/>
      <c r="M28" s="640"/>
      <c r="N28" s="640"/>
      <c r="O28" s="640"/>
      <c r="P28" s="640"/>
      <c r="Q28" s="640"/>
      <c r="R28" s="640"/>
    </row>
    <row r="29" spans="1:20" x14ac:dyDescent="0.2">
      <c r="A29" s="648" t="s">
        <v>46</v>
      </c>
      <c r="B29" s="649"/>
      <c r="C29" s="65" t="str">
        <f>IF(Main!D48="","",Main!D48)</f>
        <v/>
      </c>
      <c r="D29" s="65" t="str">
        <f>IF(Main!E48="","",Main!E48)</f>
        <v/>
      </c>
      <c r="E29" s="65" t="str">
        <f>IF(Main!F48="","",Main!F48)</f>
        <v/>
      </c>
      <c r="F29" s="65" t="str">
        <f>IF(Main!G48="","",Main!G48)</f>
        <v/>
      </c>
      <c r="G29" s="341"/>
      <c r="H29" s="336" t="s">
        <v>381</v>
      </c>
      <c r="I29" s="143" t="str">
        <f>IF(Main!N47="","",Main!N47)</f>
        <v>Periodic</v>
      </c>
      <c r="J29" s="650" t="s">
        <v>382</v>
      </c>
      <c r="K29" s="651"/>
      <c r="L29" s="143" t="str">
        <f>IF(Main!R47="","",Main!R47)</f>
        <v>Air</v>
      </c>
    </row>
    <row r="30" spans="1:20" x14ac:dyDescent="0.2">
      <c r="A30" s="648" t="s">
        <v>47</v>
      </c>
      <c r="B30" s="649"/>
      <c r="C30" s="66" t="str">
        <f>IF(Main!D49="","",Main!D49)</f>
        <v/>
      </c>
      <c r="D30" s="66" t="str">
        <f>IF(Main!E49="","",Main!E49)</f>
        <v/>
      </c>
      <c r="E30" s="66" t="str">
        <f>IF(Main!F49="","",Main!F49)</f>
        <v/>
      </c>
      <c r="F30" s="66" t="str">
        <f>IF(Main!G49="","",Main!G49)</f>
        <v/>
      </c>
      <c r="G30" s="343"/>
      <c r="H30" s="641" t="s">
        <v>368</v>
      </c>
      <c r="I30" s="641"/>
      <c r="J30" s="652" t="s">
        <v>424</v>
      </c>
      <c r="K30" s="653"/>
      <c r="L30" s="654"/>
      <c r="M30" s="333"/>
      <c r="O30" s="642" t="s">
        <v>427</v>
      </c>
      <c r="P30" s="643"/>
      <c r="Q30" s="644"/>
      <c r="T30" s="44"/>
    </row>
    <row r="31" spans="1:20" x14ac:dyDescent="0.2">
      <c r="A31" s="648" t="s">
        <v>48</v>
      </c>
      <c r="B31" s="649"/>
      <c r="C31" s="66" t="str">
        <f>IF(Main!D50="","",Main!D50)</f>
        <v/>
      </c>
      <c r="D31" s="66" t="str">
        <f>IF(Main!E50="","",Main!E50)</f>
        <v/>
      </c>
      <c r="E31" s="66" t="str">
        <f>IF(Main!F50="","",Main!F50)</f>
        <v/>
      </c>
      <c r="F31" s="66" t="str">
        <f>IF(Main!G50="","",Main!G50)</f>
        <v/>
      </c>
      <c r="G31" s="343"/>
      <c r="H31" s="302" t="s">
        <v>383</v>
      </c>
      <c r="I31" s="309" t="str">
        <f>IF(Main!N49="","",Main!N49)</f>
        <v/>
      </c>
      <c r="J31" s="667" t="s">
        <v>432</v>
      </c>
      <c r="K31" s="668"/>
      <c r="L31" s="669"/>
      <c r="M31" s="334" t="str">
        <f>IF(Main!S49="","",Main!S49)</f>
        <v/>
      </c>
      <c r="O31" s="645" t="s">
        <v>434</v>
      </c>
      <c r="P31" s="646"/>
      <c r="Q31" s="647"/>
      <c r="R31" s="82" t="str">
        <f>IF(Main!X49="","",Main!X49)</f>
        <v/>
      </c>
      <c r="T31" s="44"/>
    </row>
    <row r="32" spans="1:20" ht="12.75" customHeight="1" x14ac:dyDescent="0.2">
      <c r="A32" s="648" t="s">
        <v>49</v>
      </c>
      <c r="B32" s="649"/>
      <c r="C32" s="65" t="str">
        <f>IF(Main!D51="","",Main!D51)</f>
        <v/>
      </c>
      <c r="D32" s="65" t="str">
        <f>IF(Main!E51="","",Main!E51)</f>
        <v/>
      </c>
      <c r="E32" s="65" t="str">
        <f>IF(Main!F51="","",Main!F51)</f>
        <v/>
      </c>
      <c r="F32" s="65" t="str">
        <f>IF(Main!G51="","",Main!G51)</f>
        <v/>
      </c>
      <c r="G32" s="341"/>
      <c r="H32" s="302" t="s">
        <v>399</v>
      </c>
      <c r="I32" s="309" t="str">
        <f>IF(Main!N50="","",Main!N50)</f>
        <v/>
      </c>
      <c r="J32" s="658" t="s">
        <v>371</v>
      </c>
      <c r="K32" s="659"/>
      <c r="L32" s="660"/>
      <c r="M32" s="328"/>
      <c r="O32" s="658" t="s">
        <v>371</v>
      </c>
      <c r="P32" s="659"/>
      <c r="Q32" s="660"/>
      <c r="T32" s="44"/>
    </row>
    <row r="33" spans="1:20" ht="12.75" customHeight="1" x14ac:dyDescent="0.2">
      <c r="A33" s="648" t="s">
        <v>384</v>
      </c>
      <c r="B33" s="649"/>
      <c r="C33" s="65" t="str">
        <f>IF(Main!D52="","",Main!D52)</f>
        <v/>
      </c>
      <c r="D33" s="65" t="str">
        <f>IF(Main!E52="","",Main!E52)</f>
        <v/>
      </c>
      <c r="E33" s="65" t="str">
        <f>IF(Main!F52="","",Main!F52)</f>
        <v/>
      </c>
      <c r="F33" s="65" t="str">
        <f>IF(Main!G52="","",Main!G52)</f>
        <v/>
      </c>
      <c r="G33" s="341"/>
      <c r="H33" s="302" t="s">
        <v>385</v>
      </c>
      <c r="I33" s="309" t="str">
        <f>IF(Main!N51="","",Main!N51)</f>
        <v/>
      </c>
      <c r="J33" s="655" t="s">
        <v>433</v>
      </c>
      <c r="K33" s="656"/>
      <c r="L33" s="657"/>
      <c r="M33" s="327" t="str">
        <f>IF(Main!S51="","",Main!S51)</f>
        <v/>
      </c>
      <c r="O33" s="655" t="s">
        <v>435</v>
      </c>
      <c r="P33" s="656"/>
      <c r="Q33" s="657"/>
      <c r="R33" s="82" t="str">
        <f>IF(Main!X51="","",Main!X51)</f>
        <v/>
      </c>
      <c r="T33" s="44"/>
    </row>
    <row r="34" spans="1:20" ht="12.75" customHeight="1" x14ac:dyDescent="0.2">
      <c r="A34" s="648" t="s">
        <v>50</v>
      </c>
      <c r="B34" s="649"/>
      <c r="C34" s="67" t="str">
        <f>IF(Main!D53="","",Main!D53)</f>
        <v/>
      </c>
      <c r="D34" s="67" t="str">
        <f>IF(Main!E53="","",Main!E53)</f>
        <v/>
      </c>
      <c r="E34" s="67" t="str">
        <f>IF(Main!F53="","",Main!F53)</f>
        <v/>
      </c>
      <c r="F34" s="67" t="str">
        <f>IF(Main!G53="","",Main!G53)</f>
        <v/>
      </c>
      <c r="G34" s="344"/>
      <c r="H34" s="302" t="s">
        <v>386</v>
      </c>
      <c r="I34" s="301" t="str">
        <f>IF(Main!N52="","",Main!N52)</f>
        <v/>
      </c>
      <c r="J34" s="658" t="s">
        <v>371</v>
      </c>
      <c r="K34" s="659"/>
      <c r="L34" s="660"/>
      <c r="O34" s="658" t="s">
        <v>371</v>
      </c>
      <c r="P34" s="659"/>
      <c r="Q34" s="660"/>
      <c r="T34" s="44"/>
    </row>
    <row r="35" spans="1:20" ht="12.75" customHeight="1" x14ac:dyDescent="0.2">
      <c r="A35" s="83"/>
      <c r="B35" s="85" t="s">
        <v>109</v>
      </c>
      <c r="C35" s="96" t="str">
        <f>IF(Main!D54="","",Main!D54)</f>
        <v/>
      </c>
      <c r="D35" s="96" t="str">
        <f>IF(Main!E54="","",Main!E54)</f>
        <v/>
      </c>
      <c r="E35" s="96" t="str">
        <f>IF(Main!F54="","",Main!F54)</f>
        <v/>
      </c>
      <c r="F35" s="96" t="str">
        <f>IF(Main!G54="","",Main!G54)</f>
        <v/>
      </c>
      <c r="G35" s="345"/>
      <c r="H35" s="302" t="s">
        <v>386</v>
      </c>
      <c r="I35" s="301" t="str">
        <f>IF(Main!N53="","",Main!N53)</f>
        <v/>
      </c>
      <c r="J35" s="661" t="s">
        <v>436</v>
      </c>
      <c r="K35" s="662"/>
      <c r="L35" s="663"/>
      <c r="M35" s="337" t="str">
        <f>IF(Main!S53="","",Main!S53)</f>
        <v/>
      </c>
      <c r="O35" s="661" t="s">
        <v>437</v>
      </c>
      <c r="P35" s="662"/>
      <c r="Q35" s="663"/>
      <c r="R35" s="338" t="str">
        <f>IF(Main!X53="","",Main!X53)</f>
        <v/>
      </c>
    </row>
    <row r="36" spans="1:20" ht="13.5" thickBot="1" x14ac:dyDescent="0.25">
      <c r="B36" s="85" t="s">
        <v>387</v>
      </c>
      <c r="C36" s="65" t="str">
        <f>IF(Main!D56="","",Main!D56)</f>
        <v/>
      </c>
      <c r="D36" s="65" t="str">
        <f>IF(Main!E56="","",Main!E56)</f>
        <v/>
      </c>
      <c r="E36" s="65" t="str">
        <f>IF(Main!F56="","",Main!F56)</f>
        <v/>
      </c>
      <c r="F36" s="65" t="str">
        <f>IF(Main!G56="","",Main!G56)</f>
        <v/>
      </c>
      <c r="G36" s="341"/>
      <c r="H36" s="342"/>
      <c r="J36" s="664"/>
      <c r="K36" s="665"/>
      <c r="L36" s="666"/>
      <c r="M36" s="332"/>
      <c r="O36" s="664"/>
      <c r="P36" s="665"/>
      <c r="Q36" s="666"/>
      <c r="T36" s="44"/>
    </row>
    <row r="37" spans="1:20" ht="13.5" thickBot="1" x14ac:dyDescent="0.25">
      <c r="B37" s="83" t="s">
        <v>388</v>
      </c>
      <c r="C37" s="65" t="str">
        <f>IF(Main!D57="","",Main!D57)</f>
        <v/>
      </c>
      <c r="D37" s="65" t="str">
        <f>IF(Main!E57="","",Main!E57)</f>
        <v/>
      </c>
      <c r="E37" s="65" t="str">
        <f>IF(Main!F57="","",Main!F57)</f>
        <v/>
      </c>
      <c r="F37" s="65" t="str">
        <f>IF(Main!G57="","",Main!G57)</f>
        <v/>
      </c>
      <c r="G37" s="341"/>
      <c r="H37" s="342"/>
      <c r="J37" s="349" t="s">
        <v>374</v>
      </c>
      <c r="K37" s="350" t="s">
        <v>26</v>
      </c>
      <c r="L37" s="351" t="s">
        <v>375</v>
      </c>
      <c r="M37" s="332"/>
      <c r="O37" s="349" t="s">
        <v>376</v>
      </c>
      <c r="P37" s="350" t="s">
        <v>26</v>
      </c>
      <c r="Q37" s="351" t="s">
        <v>377</v>
      </c>
    </row>
    <row r="38" spans="1:20" ht="13.5" thickBot="1" x14ac:dyDescent="0.25">
      <c r="B38" s="52" t="s">
        <v>51</v>
      </c>
      <c r="J38" s="346" t="str">
        <f>IF(Main!P56="","",Main!P56)</f>
        <v/>
      </c>
      <c r="K38" s="347" t="str">
        <f>IF(Main!Q56="","",Main!Q56)</f>
        <v/>
      </c>
      <c r="L38" s="348" t="str">
        <f>IF(Main!R56="","",Main!R56)</f>
        <v/>
      </c>
      <c r="O38" s="346" t="str">
        <f>IF(Main!U56="","",Main!U56)</f>
        <v/>
      </c>
      <c r="P38" s="347" t="str">
        <f>IF(Main!V56="","",Main!V56)</f>
        <v/>
      </c>
      <c r="Q38" s="348" t="str">
        <f>IF(Main!W56="","",Main!W56)</f>
        <v/>
      </c>
    </row>
    <row r="39" spans="1:20" x14ac:dyDescent="0.2">
      <c r="B39" s="52" t="s">
        <v>397</v>
      </c>
      <c r="M39" s="352"/>
    </row>
    <row r="40" spans="1:20" ht="15.75" x14ac:dyDescent="0.25">
      <c r="B40" s="331"/>
      <c r="C40" s="331"/>
      <c r="D40" s="331"/>
      <c r="E40" s="331"/>
      <c r="K40" s="83" t="s">
        <v>401</v>
      </c>
      <c r="L40">
        <f>IF(Main!N54="","",Main!N54)</f>
        <v>0</v>
      </c>
      <c r="O40" s="83" t="s">
        <v>403</v>
      </c>
      <c r="P40">
        <f>IF(Main!N56="","",Main!N56)</f>
        <v>0</v>
      </c>
    </row>
    <row r="41" spans="1:20" x14ac:dyDescent="0.2">
      <c r="K41" s="83" t="s">
        <v>402</v>
      </c>
      <c r="L41">
        <f>IF(Main!N55="","",Main!N55)</f>
        <v>0</v>
      </c>
      <c r="O41" s="83" t="s">
        <v>404</v>
      </c>
      <c r="P41">
        <f>IF(Main!N57="","",Main!N57)</f>
        <v>0</v>
      </c>
    </row>
    <row r="42" spans="1:20" ht="15.75" x14ac:dyDescent="0.25">
      <c r="C42" s="331"/>
      <c r="D42" s="331"/>
      <c r="E42" s="331"/>
      <c r="F42" s="331"/>
      <c r="G42" s="331"/>
      <c r="H42" s="331"/>
      <c r="I42" s="331"/>
      <c r="J42" s="331"/>
    </row>
    <row r="44" spans="1:20" x14ac:dyDescent="0.2">
      <c r="F44" s="2"/>
      <c r="G44" s="2"/>
    </row>
    <row r="45" spans="1:20" ht="12.75" customHeight="1" x14ac:dyDescent="0.2">
      <c r="F45" s="333"/>
    </row>
    <row r="46" spans="1:20" x14ac:dyDescent="0.2">
      <c r="F46" s="156"/>
    </row>
    <row r="47" spans="1:20" ht="12.75" customHeight="1" x14ac:dyDescent="0.2">
      <c r="F47" s="328"/>
    </row>
    <row r="48" spans="1:20" ht="12.75" customHeight="1" x14ac:dyDescent="0.2">
      <c r="F48" s="332"/>
    </row>
    <row r="50" spans="6:6" ht="15.75" customHeight="1" x14ac:dyDescent="0.2">
      <c r="F50" s="328"/>
    </row>
    <row r="51" spans="6:6" x14ac:dyDescent="0.2">
      <c r="F51" s="332"/>
    </row>
    <row r="52" spans="6:6" x14ac:dyDescent="0.2">
      <c r="F52" s="332"/>
    </row>
    <row r="54" spans="6:6" x14ac:dyDescent="0.2">
      <c r="F54" s="335"/>
    </row>
  </sheetData>
  <sheetProtection algorithmName="SHA-512" hashValue="i+A5EqXAx8AELygPXJJRlw3JRpaFp7d+q2Nb+EDJf+twzSPpZSAOWb91KstRwpxjqQ/HMvi8ChW7mSfLLohioQ==" saltValue="T5YEODepThNuz3uqHEQxy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T/lSQhKgnPWPECh97ZvoAcTDPKNX0nVqg7Sf687f3eQnM2kigA80UZCSorNREvOqW5wBNrz/m1gxrB8JpLX3A==" saltValue="1VpHLhTpEEsurfSD0ouw/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3">
        <f>Main!D16</f>
        <v>0</v>
      </c>
      <c r="B1" s="39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5">
        <f>Main!D19</f>
        <v>0</v>
      </c>
      <c r="B2" s="39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16kpCVFUh5eik20N0rfEN80gpovyYXB5D82jIwzviNz0jmHLEAQ3HQvNAPzo2eXfQeRjh0nDUiiaZdAB9il7QQ==" saltValue="QK+sQpJBwQj+PA/cggrZM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924</v>
      </c>
      <c r="B1" s="674" t="s">
        <v>925</v>
      </c>
    </row>
    <row r="2" spans="1:3" x14ac:dyDescent="0.2">
      <c r="A2" s="44"/>
      <c r="B2" s="44"/>
    </row>
    <row r="3" spans="1:3" x14ac:dyDescent="0.2">
      <c r="A3" s="44" t="s">
        <v>612</v>
      </c>
      <c r="B3" s="44" t="s">
        <v>613</v>
      </c>
      <c r="C3" s="44" t="s">
        <v>926</v>
      </c>
    </row>
    <row r="4" spans="1:3" x14ac:dyDescent="0.2">
      <c r="A4" s="673">
        <v>-100</v>
      </c>
      <c r="B4" s="673">
        <v>392</v>
      </c>
      <c r="C4" s="672">
        <v>1.6</v>
      </c>
    </row>
    <row r="5" spans="1:3" x14ac:dyDescent="0.2">
      <c r="A5" s="673">
        <v>392</v>
      </c>
      <c r="B5" s="673">
        <v>752</v>
      </c>
      <c r="C5" s="672">
        <v>4</v>
      </c>
    </row>
    <row r="6" spans="1:3" x14ac:dyDescent="0.2">
      <c r="A6" s="673">
        <v>752</v>
      </c>
      <c r="B6" s="673">
        <v>1200</v>
      </c>
      <c r="C6" s="672">
        <v>3</v>
      </c>
    </row>
    <row r="7" spans="1:3" x14ac:dyDescent="0.2">
      <c r="A7" s="673">
        <v>1200</v>
      </c>
      <c r="B7" s="673">
        <v>2000</v>
      </c>
      <c r="C7" s="672">
        <v>4.0999999999999996</v>
      </c>
    </row>
    <row r="8" spans="1:3" x14ac:dyDescent="0.2">
      <c r="A8" s="673">
        <v>1800</v>
      </c>
      <c r="B8" s="673">
        <v>2200</v>
      </c>
      <c r="C8" s="672">
        <v>4.0999999999999996</v>
      </c>
    </row>
  </sheetData>
  <sheetProtection algorithmName="SHA-512" hashValue="YKLx0GGrgQhbuvsmGCcqqhg2XZpOdRsHP1ru9ih8Y333nv7zMgS58lEa4cQlT9IJQYmJ447aDZAShW3f+4aGlg==" saltValue="VueErclPUzsp1kBrIr54c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70" t="s">
        <v>72</v>
      </c>
      <c r="B1" s="606"/>
      <c r="C1" s="606"/>
      <c r="D1" s="606"/>
      <c r="E1" s="40" t="s">
        <v>182</v>
      </c>
      <c r="G1" s="606" t="s">
        <v>85</v>
      </c>
      <c r="H1" s="606"/>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423</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420</v>
      </c>
      <c r="U6" s="44" t="s">
        <v>135</v>
      </c>
      <c r="Y6" t="s">
        <v>234</v>
      </c>
      <c r="AG6" s="44" t="str">
        <v>Crystal Turner</v>
      </c>
      <c r="AH6" s="44"/>
    </row>
    <row r="7" spans="1:34" x14ac:dyDescent="0.2">
      <c r="A7" s="40" t="str">
        <v>K6</v>
      </c>
      <c r="B7" s="40" t="str">
        <v>DaqBook/2005</v>
      </c>
      <c r="C7" s="40" t="str">
        <v>808173</v>
      </c>
      <c r="D7" s="40" t="s">
        <v>88</v>
      </c>
      <c r="E7" s="40">
        <v>40</v>
      </c>
      <c r="O7" t="s">
        <v>151</v>
      </c>
      <c r="Q7" s="44" t="s">
        <v>421</v>
      </c>
      <c r="U7" s="44" t="s">
        <v>199</v>
      </c>
      <c r="Y7" t="s">
        <v>235</v>
      </c>
      <c r="AG7" s="44" t="str">
        <v>Danny Turkali</v>
      </c>
      <c r="AH7" s="44"/>
    </row>
    <row r="8" spans="1:34" x14ac:dyDescent="0.2">
      <c r="A8" s="40" t="str">
        <v>K7</v>
      </c>
      <c r="B8" s="97" t="str">
        <v>DaqBook/2005</v>
      </c>
      <c r="C8" s="97" t="str">
        <v>22500C0</v>
      </c>
      <c r="D8" s="40" t="s">
        <v>86</v>
      </c>
      <c r="E8" s="40">
        <v>40</v>
      </c>
      <c r="O8" t="s">
        <v>150</v>
      </c>
      <c r="Q8" s="44" t="s">
        <v>422</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922</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406</v>
      </c>
      <c r="AE12" s="44" t="s">
        <v>393</v>
      </c>
      <c r="AG12" t="str">
        <v>James Haven</v>
      </c>
    </row>
    <row r="13" spans="1:34" x14ac:dyDescent="0.2">
      <c r="O13" s="44" t="s">
        <v>417</v>
      </c>
      <c r="Y13" t="s">
        <v>240</v>
      </c>
      <c r="AE13" s="44" t="s">
        <v>394</v>
      </c>
      <c r="AG13" t="str">
        <v>Jason Rich</v>
      </c>
    </row>
    <row r="14" spans="1:34" x14ac:dyDescent="0.2">
      <c r="Y14" t="s">
        <v>241</v>
      </c>
      <c r="AE14" s="44" t="s">
        <v>395</v>
      </c>
      <c r="AG14" t="str">
        <v>Jaydon Birmingham</v>
      </c>
    </row>
    <row r="15" spans="1:34" x14ac:dyDescent="0.2">
      <c r="Y15" t="s">
        <v>242</v>
      </c>
      <c r="AE15" s="44" t="s">
        <v>416</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362</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M13OikAdHJfe3RB4dnuRfvV6teCalY72VqqHYMv4BW9oaRFHUFGTDfpYckk7CMDhvmJeNxRAhVShBOtLJp6L1Q==" saltValue="0PMnTLfnKIv+e5Lx511KD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64</vt:i4>
      </vt:variant>
    </vt:vector>
  </HeadingPairs>
  <TitlesOfParts>
    <vt:vector size="91"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CMCs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2025-06-25T04:28:54Z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