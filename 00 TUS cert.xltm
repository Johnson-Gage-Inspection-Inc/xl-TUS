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DB913199-9C62-4EDD-82E2-331B81EBADEF}"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C14" i="20"/>
  <c r="AE16" i="20"/>
  <c r="AB27" i="20"/>
  <c r="AE27" i="20"/>
  <c r="AC12" i="20"/>
  <c r="AA13" i="20"/>
  <c r="AA29" i="20"/>
  <c r="AB6" i="20"/>
  <c r="AD16" i="20"/>
  <c r="AB17" i="20"/>
  <c r="AA11" i="20"/>
  <c r="AA41" i="20"/>
  <c r="AC19" i="20"/>
  <c r="AB20" i="20"/>
  <c r="AA25" i="20"/>
  <c r="AD25" i="20"/>
  <c r="AB26" i="20"/>
  <c r="AD8" i="20"/>
  <c r="AE10" i="20"/>
  <c r="AC25" i="20"/>
  <c r="AA15" i="20"/>
  <c r="AC30" i="20"/>
  <c r="AC17" i="20"/>
  <c r="AA24" i="20"/>
  <c r="AC35" i="20"/>
  <c r="AB31" i="20"/>
  <c r="AC9" i="20"/>
  <c r="AD33" i="20"/>
  <c r="AA27" i="20"/>
  <c r="AA19" i="20"/>
  <c r="AB35" i="20"/>
  <c r="AB13" i="20"/>
  <c r="AC22" i="20"/>
  <c r="AC38" i="20"/>
  <c r="AB33" i="20"/>
  <c r="AD28" i="20"/>
  <c r="AE7" i="20"/>
  <c r="AC7" i="20"/>
  <c r="AE23" i="20"/>
  <c r="AB8" i="20"/>
  <c r="AE40" i="20"/>
  <c r="AE6" i="20"/>
  <c r="AD24" i="20"/>
  <c r="AC29" i="20"/>
  <c r="AD14" i="20"/>
  <c r="AD9" i="20"/>
  <c r="AE22" i="20"/>
  <c r="AC11" i="20"/>
  <c r="AE35" i="20"/>
  <c r="AC34" i="20"/>
  <c r="AD10" i="20"/>
  <c r="AB3" i="20"/>
  <c r="AC37" i="20"/>
  <c r="AA33" i="20"/>
  <c r="AD19" i="20"/>
  <c r="AC16" i="20"/>
  <c r="AA31" i="20"/>
  <c r="AA5" i="20"/>
  <c r="AE28" i="20"/>
  <c r="AD35" i="20"/>
  <c r="AB4" i="20"/>
  <c r="AB11" i="20"/>
  <c r="AE30" i="20"/>
  <c r="AE14" i="20"/>
  <c r="AC4" i="20"/>
  <c r="AA18" i="20"/>
  <c r="AC40" i="20"/>
  <c r="AA7" i="20"/>
  <c r="AC20" i="20"/>
  <c r="AE24" i="20"/>
  <c r="AC39" i="20"/>
  <c r="AD22" i="20"/>
  <c r="AE32" i="20"/>
  <c r="AB16" i="20"/>
  <c r="AA34" i="20"/>
  <c r="AE5" i="20"/>
  <c r="AC41" i="20"/>
  <c r="AE19" i="20"/>
  <c r="AE3" i="20"/>
  <c r="AB40" i="20"/>
  <c r="AC33" i="20"/>
  <c r="AB28" i="20"/>
  <c r="AB19" i="20"/>
  <c r="AA32" i="20"/>
  <c r="AC10" i="20"/>
  <c r="AB30" i="20"/>
  <c r="AB2" i="20"/>
  <c r="AA26" i="20"/>
  <c r="AD17" i="20"/>
  <c r="AD2" i="20"/>
  <c r="AD37" i="20"/>
  <c r="AE38" i="20"/>
  <c r="AD18" i="20"/>
  <c r="AA28" i="20"/>
  <c r="AE8" i="20"/>
  <c r="AA37" i="20"/>
  <c r="AC5" i="20"/>
  <c r="AD30" i="20"/>
  <c r="AA36" i="20"/>
  <c r="AD36" i="20"/>
  <c r="AA14" i="20"/>
  <c r="AC28" i="20"/>
  <c r="AC6" i="20"/>
  <c r="AC15" i="20"/>
  <c r="AE21" i="20"/>
  <c r="AE29" i="20"/>
  <c r="AC8" i="20"/>
  <c r="AB23" i="20"/>
  <c r="AA39" i="20"/>
  <c r="AD13" i="20"/>
  <c r="AE41" i="20"/>
  <c r="AD32" i="20"/>
  <c r="AA20" i="20"/>
  <c r="AD26" i="20"/>
  <c r="AD7" i="20"/>
  <c r="AA3" i="20"/>
  <c r="AB41" i="20"/>
  <c r="AC24" i="20"/>
  <c r="AB9" i="20"/>
  <c r="AD5" i="20"/>
  <c r="AC26" i="20"/>
  <c r="AA9" i="20"/>
  <c r="AD12" i="20"/>
  <c r="AA6" i="20"/>
  <c r="AB24" i="20"/>
  <c r="AB5" i="20"/>
  <c r="AA8" i="20"/>
  <c r="AD6" i="20"/>
  <c r="AB14" i="20"/>
  <c r="AE11" i="20"/>
  <c r="AA10" i="20"/>
  <c r="AC27" i="20"/>
  <c r="AD21" i="20"/>
  <c r="AE31" i="20"/>
  <c r="AD20" i="20"/>
  <c r="AB12" i="20"/>
  <c r="AE26" i="20"/>
  <c r="AA17" i="20"/>
  <c r="AD23" i="20"/>
  <c r="AE13" i="20"/>
  <c r="AE36" i="20"/>
  <c r="AE12" i="20"/>
  <c r="AB10" i="20"/>
  <c r="AD4" i="20"/>
  <c r="AB37" i="20"/>
  <c r="AA4" i="20"/>
  <c r="AA35" i="20"/>
  <c r="AA23" i="20"/>
  <c r="AD31" i="20"/>
  <c r="AA38" i="20"/>
  <c r="AC2" i="20"/>
  <c r="AD11" i="20"/>
  <c r="AD39" i="20"/>
  <c r="AE34" i="20"/>
  <c r="AE37" i="20"/>
  <c r="AA30" i="20"/>
  <c r="AA21" i="20"/>
  <c r="AA22" i="20"/>
  <c r="AE18" i="20"/>
  <c r="AB18" i="20"/>
  <c r="AE33" i="20"/>
  <c r="AE39" i="20"/>
  <c r="AC18" i="20"/>
  <c r="AA40" i="20"/>
  <c r="AD15" i="20"/>
  <c r="AB15" i="20"/>
  <c r="AE25" i="20"/>
  <c r="AB39" i="20"/>
  <c r="AE17" i="20"/>
  <c r="AB22" i="20"/>
  <c r="AC21" i="20"/>
  <c r="AD29" i="20"/>
  <c r="AE9" i="20"/>
  <c r="AA12" i="20"/>
  <c r="AD34" i="20"/>
  <c r="AE4" i="20"/>
  <c r="AD38" i="20"/>
  <c r="AB7" i="20"/>
  <c r="AB38" i="20"/>
  <c r="AC3" i="20"/>
  <c r="AC32" i="20"/>
  <c r="AE20" i="20"/>
  <c r="AB25" i="20"/>
  <c r="AC23" i="20"/>
  <c r="AD27" i="20"/>
  <c r="AD40" i="20"/>
  <c r="AD3" i="20"/>
  <c r="AB36" i="20"/>
  <c r="AC31" i="20"/>
  <c r="AA16" i="20"/>
  <c r="AB34" i="20"/>
  <c r="AD41" i="20"/>
  <c r="AE15" i="20"/>
  <c r="AC36" i="20"/>
  <c r="AC13" i="20"/>
  <c r="AB32" i="20"/>
  <c r="AB29" i="20"/>
  <c r="AE2"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D14" i="1"/>
  <c r="O16" i="1"/>
  <c r="E20" i="1"/>
  <c r="M24" i="1"/>
  <c r="C17" i="1"/>
  <c r="M23" i="1"/>
  <c r="H17" i="1"/>
  <c r="E24" i="1"/>
  <c r="C10" i="1"/>
  <c r="F16" i="1"/>
  <c r="B20" i="1"/>
  <c r="N18" i="1"/>
  <c r="I19" i="1"/>
  <c r="G20" i="1"/>
  <c r="D23" i="1"/>
  <c r="H14" i="1"/>
  <c r="O15" i="1"/>
  <c r="O25" i="1"/>
  <c r="K15" i="1"/>
  <c r="N16" i="1"/>
  <c r="M14" i="1"/>
  <c r="M11" i="1"/>
  <c r="I17" i="1"/>
  <c r="K12" i="1"/>
  <c r="I25" i="1"/>
  <c r="F12" i="1"/>
  <c r="N10" i="1"/>
  <c r="B21" i="1"/>
  <c r="I18" i="1"/>
  <c r="E11" i="1"/>
  <c r="H12" i="1"/>
  <c r="J18" i="1"/>
  <c r="N11" i="1"/>
  <c r="I10" i="1"/>
  <c r="G17" i="1"/>
  <c r="A25" i="1"/>
  <c r="I23" i="1"/>
  <c r="E10" i="1"/>
  <c r="J15" i="1"/>
  <c r="O21" i="1"/>
  <c r="L22" i="1"/>
  <c r="K24" i="1"/>
  <c r="E13" i="1"/>
  <c r="M20" i="1"/>
  <c r="C14" i="1"/>
  <c r="C18" i="1"/>
  <c r="L15" i="1"/>
  <c r="F24" i="1"/>
  <c r="L17" i="1"/>
  <c r="F18" i="1"/>
  <c r="E12" i="1"/>
  <c r="D11" i="1"/>
  <c r="F13" i="1"/>
  <c r="E23" i="1"/>
  <c r="N23" i="1"/>
  <c r="K10" i="1"/>
  <c r="L18" i="1"/>
  <c r="L24" i="1"/>
  <c r="B14" i="1"/>
  <c r="O23" i="1"/>
  <c r="C21" i="1"/>
  <c r="J19" i="1"/>
  <c r="A21" i="1"/>
  <c r="K23" i="1"/>
  <c r="E16" i="1"/>
  <c r="L23" i="1"/>
  <c r="A14" i="1"/>
  <c r="L11" i="1"/>
  <c r="H13" i="1"/>
  <c r="I12" i="1"/>
  <c r="C16" i="1"/>
  <c r="A19" i="1"/>
  <c r="K22" i="1"/>
  <c r="B18" i="1"/>
  <c r="L16" i="1"/>
  <c r="J21" i="1"/>
  <c r="O13" i="1"/>
  <c r="B15" i="1"/>
  <c r="C23" i="1"/>
  <c r="G15" i="1"/>
  <c r="O24" i="1"/>
  <c r="A20" i="1"/>
  <c r="L21" i="1"/>
  <c r="K13" i="1"/>
  <c r="C12" i="1"/>
  <c r="M13" i="1"/>
  <c r="K25" i="1"/>
  <c r="I13" i="1"/>
  <c r="M15" i="1"/>
  <c r="H19" i="1"/>
  <c r="K11" i="1"/>
  <c r="O22" i="1"/>
  <c r="I24" i="1"/>
  <c r="N21" i="1"/>
  <c r="H11" i="1"/>
  <c r="B24" i="1"/>
  <c r="O18" i="1"/>
  <c r="N24" i="1"/>
  <c r="I16" i="1"/>
  <c r="A16" i="1"/>
  <c r="F21" i="1"/>
  <c r="N17" i="1"/>
  <c r="G25" i="1"/>
  <c r="A13" i="1"/>
  <c r="E22" i="1"/>
  <c r="G21" i="1"/>
  <c r="N19" i="1"/>
  <c r="I11" i="1"/>
  <c r="M18" i="1"/>
  <c r="B22" i="1"/>
  <c r="C20" i="1"/>
  <c r="F20" i="1"/>
  <c r="A18" i="1"/>
  <c r="H10" i="1"/>
  <c r="H18" i="1"/>
  <c r="G24" i="1"/>
  <c r="D22" i="1"/>
  <c r="A12" i="1"/>
  <c r="L25" i="1"/>
  <c r="E15" i="1"/>
  <c r="N25" i="1"/>
  <c r="D18" i="1"/>
  <c r="G12" i="1"/>
  <c r="K14" i="1"/>
  <c r="D16" i="1"/>
  <c r="A11" i="1"/>
  <c r="F25" i="1"/>
  <c r="M12" i="1"/>
  <c r="J13" i="1"/>
  <c r="H24" i="1"/>
  <c r="M17" i="1"/>
  <c r="J16" i="1"/>
  <c r="H15" i="1"/>
  <c r="I21" i="1"/>
  <c r="E18" i="1"/>
  <c r="D24" i="1"/>
  <c r="O17" i="1"/>
  <c r="L13" i="1"/>
  <c r="L12" i="1"/>
  <c r="A17" i="1"/>
  <c r="C13" i="1"/>
  <c r="B25" i="1"/>
  <c r="M10" i="1"/>
  <c r="G11" i="1"/>
  <c r="M25" i="1"/>
  <c r="D25" i="1"/>
  <c r="C15" i="1"/>
  <c r="G16" i="1"/>
  <c r="I20" i="1"/>
  <c r="N12" i="1"/>
  <c r="N15" i="1"/>
  <c r="A24" i="1"/>
  <c r="K16" i="1"/>
  <c r="D13" i="1"/>
  <c r="B19" i="1"/>
  <c r="F10" i="1"/>
  <c r="J25" i="1"/>
  <c r="H23" i="1"/>
  <c r="A23" i="1"/>
  <c r="K19" i="1"/>
  <c r="H20" i="1"/>
  <c r="F22" i="1"/>
  <c r="C24" i="1"/>
  <c r="H22" i="1"/>
  <c r="A22" i="1"/>
  <c r="J12" i="1"/>
  <c r="J11" i="1"/>
  <c r="G14" i="1"/>
  <c r="O14" i="1"/>
  <c r="O20" i="1"/>
  <c r="O11" i="1"/>
  <c r="N20" i="1"/>
  <c r="B13" i="1"/>
  <c r="I14" i="1"/>
  <c r="N13" i="1"/>
  <c r="N22" i="1"/>
  <c r="E25" i="1"/>
  <c r="A10" i="1"/>
  <c r="M22" i="1"/>
  <c r="J22" i="1"/>
  <c r="I22" i="1"/>
  <c r="E14" i="1"/>
  <c r="K20" i="1"/>
  <c r="B16" i="1"/>
  <c r="O10" i="1"/>
  <c r="C19" i="1"/>
  <c r="M21" i="1"/>
  <c r="D20" i="1"/>
  <c r="O19" i="1"/>
  <c r="F11" i="1"/>
  <c r="A15" i="1"/>
  <c r="I15" i="1"/>
  <c r="G13" i="1"/>
  <c r="E17" i="1"/>
  <c r="C22" i="1"/>
  <c r="D12" i="1"/>
  <c r="E21" i="1"/>
  <c r="L20" i="1"/>
  <c r="F19" i="1"/>
  <c r="L14" i="1"/>
  <c r="L10" i="1"/>
  <c r="C11" i="1"/>
  <c r="C25" i="1"/>
  <c r="F23" i="1"/>
  <c r="N14" i="1"/>
  <c r="J17" i="1"/>
  <c r="J10" i="1"/>
  <c r="J24" i="1"/>
  <c r="F15" i="1"/>
  <c r="D10" i="1"/>
  <c r="H25" i="1"/>
  <c r="D19" i="1"/>
  <c r="H21" i="1"/>
  <c r="G18" i="1"/>
  <c r="H16" i="1"/>
  <c r="E19" i="1"/>
  <c r="G23" i="1"/>
  <c r="M16" i="1"/>
  <c r="B17" i="1"/>
  <c r="J14" i="1"/>
  <c r="F14" i="1"/>
  <c r="G22" i="1"/>
  <c r="K21" i="1"/>
  <c r="B23" i="1"/>
  <c r="J23" i="1"/>
  <c r="L19" i="1"/>
  <c r="F17" i="1"/>
  <c r="M19" i="1"/>
  <c r="J20" i="1"/>
  <c r="D21" i="1"/>
  <c r="D17" i="1"/>
  <c r="K18" i="1"/>
  <c r="G10" i="1"/>
  <c r="O12"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H12" i="1"/>
  <c r="AZ12" i="1"/>
  <c r="AP21" i="1"/>
  <c r="AI18" i="1"/>
  <c r="AT19" i="1"/>
  <c r="AY11" i="1"/>
  <c r="AD18" i="1"/>
  <c r="AR19" i="1"/>
  <c r="V12" i="1"/>
  <c r="AU18" i="1"/>
  <c r="AX18" i="1"/>
  <c r="AE12" i="1"/>
  <c r="AB19" i="1"/>
  <c r="AI16" i="1"/>
  <c r="AP15" i="1"/>
  <c r="AF18" i="1"/>
  <c r="AZ16" i="1"/>
  <c r="AH22" i="1"/>
  <c r="W19" i="1"/>
  <c r="W11" i="1"/>
  <c r="X24" i="1"/>
  <c r="AY24" i="1"/>
  <c r="AD14" i="1"/>
  <c r="Z17" i="1"/>
  <c r="AS12" i="1"/>
  <c r="W22" i="1"/>
  <c r="Y20" i="1"/>
  <c r="AZ17" i="1"/>
  <c r="BA15" i="1"/>
  <c r="AI20" i="1"/>
  <c r="X13" i="1"/>
  <c r="AY12" i="1"/>
  <c r="U16" i="1"/>
  <c r="BA13" i="1"/>
  <c r="AU25" i="1"/>
  <c r="AR13" i="1"/>
  <c r="AV25" i="1"/>
  <c r="AA23" i="1"/>
  <c r="AS14" i="1"/>
  <c r="AG12" i="1"/>
  <c r="AZ25" i="1"/>
  <c r="AE10" i="1"/>
  <c r="AF11" i="1"/>
  <c r="AB21" i="1"/>
  <c r="AQ20" i="1"/>
  <c r="U14" i="1"/>
  <c r="AH17" i="1"/>
  <c r="AP18" i="1"/>
  <c r="V15" i="1"/>
  <c r="X23" i="1"/>
  <c r="Y17" i="1"/>
  <c r="W12" i="1"/>
  <c r="AG25" i="1"/>
  <c r="AU23" i="1"/>
  <c r="AG13" i="1"/>
  <c r="AX20" i="1"/>
  <c r="AC16" i="1"/>
  <c r="AQ15" i="1"/>
  <c r="U15" i="1"/>
  <c r="U22" i="1"/>
  <c r="AA12" i="1"/>
  <c r="AE20" i="1"/>
  <c r="AB12" i="1"/>
  <c r="X10" i="1"/>
  <c r="AC19" i="1"/>
  <c r="AH14" i="1"/>
  <c r="AU17" i="1"/>
  <c r="AG14" i="1"/>
  <c r="AT22" i="1"/>
  <c r="AE16" i="1"/>
  <c r="AZ14" i="1"/>
  <c r="AR14" i="1"/>
  <c r="AV11" i="1"/>
  <c r="AY21" i="1"/>
  <c r="AX13" i="1"/>
  <c r="Y11" i="1"/>
  <c r="AB24" i="1"/>
  <c r="AT17" i="1"/>
  <c r="X16" i="1"/>
  <c r="BA10" i="1"/>
  <c r="AC15" i="1"/>
  <c r="AO17" i="1"/>
  <c r="AE24" i="1"/>
  <c r="AD16" i="1"/>
  <c r="X12" i="1"/>
  <c r="AD15" i="1"/>
  <c r="AW22" i="1"/>
  <c r="AC23" i="1"/>
  <c r="AG16" i="1"/>
  <c r="AO16" i="1"/>
  <c r="U17" i="1"/>
  <c r="AC10" i="1"/>
  <c r="U13" i="1"/>
  <c r="AP17" i="1"/>
  <c r="V17" i="1"/>
  <c r="AV13" i="1"/>
  <c r="AP25" i="1"/>
  <c r="V13" i="1"/>
  <c r="AC12" i="1"/>
  <c r="X21" i="1"/>
  <c r="AB20" i="1"/>
  <c r="Y10" i="1"/>
  <c r="AV21" i="1"/>
  <c r="AX16" i="1"/>
  <c r="AB25" i="1"/>
  <c r="W17" i="1"/>
  <c r="Z16" i="1"/>
  <c r="W24" i="1"/>
  <c r="AA22" i="1"/>
  <c r="AU24" i="1"/>
  <c r="AO10" i="1"/>
  <c r="AB22" i="1"/>
  <c r="AT20" i="1"/>
  <c r="AP14" i="1"/>
  <c r="Z21" i="1"/>
  <c r="V22" i="1"/>
  <c r="AX11" i="1"/>
  <c r="AU11" i="1"/>
  <c r="AX25" i="1"/>
  <c r="AY13" i="1"/>
  <c r="BA18" i="1"/>
  <c r="AY16" i="1"/>
  <c r="AB13" i="1"/>
  <c r="Z22" i="1"/>
  <c r="AO15" i="1"/>
  <c r="AR10" i="1"/>
  <c r="AQ19" i="1"/>
  <c r="AB14" i="1"/>
  <c r="AP13" i="1"/>
  <c r="X15" i="1"/>
  <c r="AD20" i="1"/>
  <c r="AQ17" i="1"/>
  <c r="AQ23" i="1"/>
  <c r="AX19" i="1"/>
  <c r="AA14" i="1"/>
  <c r="AT25" i="1"/>
  <c r="AR22" i="1"/>
  <c r="AP12" i="1"/>
  <c r="AA13" i="1"/>
  <c r="AQ12" i="1"/>
  <c r="AI11" i="1"/>
  <c r="AQ18" i="1"/>
  <c r="AV20" i="1"/>
  <c r="AQ25" i="1"/>
  <c r="X17" i="1"/>
  <c r="Y21" i="1"/>
  <c r="Z23" i="1"/>
  <c r="Y22" i="1"/>
  <c r="AI13" i="1"/>
  <c r="AZ10" i="1"/>
  <c r="AA20" i="1"/>
  <c r="AY15" i="1"/>
  <c r="AU20" i="1"/>
  <c r="AI22" i="1"/>
  <c r="AV15" i="1"/>
  <c r="AA19" i="1"/>
  <c r="BA12" i="1"/>
  <c r="AH19" i="1"/>
  <c r="U24" i="1"/>
  <c r="AZ24" i="1"/>
  <c r="AD12" i="1"/>
  <c r="AZ13" i="1"/>
  <c r="AF22" i="1"/>
  <c r="AV19" i="1"/>
  <c r="BA20" i="1"/>
  <c r="Z15" i="1"/>
  <c r="AC21" i="1"/>
  <c r="AV24" i="1"/>
  <c r="AH13" i="1"/>
  <c r="Z19" i="1"/>
  <c r="AB17" i="1"/>
  <c r="AZ23" i="1"/>
  <c r="AU12" i="1"/>
  <c r="AQ22" i="1"/>
  <c r="AR17" i="1"/>
  <c r="AS15" i="1"/>
  <c r="V18" i="1"/>
  <c r="AT16" i="1"/>
  <c r="Y18" i="1"/>
  <c r="AV22" i="1"/>
  <c r="AQ24" i="1"/>
  <c r="AT14" i="1"/>
  <c r="AY25" i="1"/>
  <c r="AZ19" i="1"/>
  <c r="AD22" i="1"/>
  <c r="Y19" i="1"/>
  <c r="AO13" i="1"/>
  <c r="AV14" i="1"/>
  <c r="BA16" i="1"/>
  <c r="AF24" i="1"/>
  <c r="AF14" i="1"/>
  <c r="X22" i="1"/>
  <c r="AR12" i="1"/>
  <c r="AU19" i="1"/>
  <c r="X18" i="1"/>
  <c r="AS16" i="1"/>
  <c r="AY19" i="1"/>
  <c r="Y16" i="1"/>
  <c r="U19" i="1"/>
  <c r="AT18" i="1"/>
  <c r="AD13" i="1"/>
  <c r="AV23" i="1"/>
  <c r="AF20" i="1"/>
  <c r="Z25" i="1"/>
  <c r="AA17" i="1"/>
  <c r="AE22" i="1"/>
  <c r="Y24" i="1"/>
  <c r="AE25" i="1"/>
  <c r="V10" i="1"/>
  <c r="AY10" i="1"/>
  <c r="AT23" i="1"/>
  <c r="AH23" i="1"/>
  <c r="AG18" i="1"/>
  <c r="AB15" i="1"/>
  <c r="AE17" i="1"/>
  <c r="AF23" i="1"/>
  <c r="AS24" i="1"/>
  <c r="AO18" i="1"/>
  <c r="AO22" i="1"/>
  <c r="Y14" i="1"/>
  <c r="U18" i="1"/>
  <c r="AI21" i="1"/>
  <c r="AU13" i="1"/>
  <c r="AP16" i="1"/>
  <c r="AE13" i="1"/>
  <c r="AS11" i="1"/>
  <c r="W13" i="1"/>
  <c r="AB18" i="1"/>
  <c r="AI15" i="1"/>
  <c r="AP19" i="1"/>
  <c r="AW25" i="1"/>
  <c r="AV17" i="1"/>
  <c r="AU14" i="1"/>
  <c r="AG21" i="1"/>
  <c r="AX14" i="1"/>
  <c r="AA11" i="1"/>
  <c r="AD21" i="1"/>
  <c r="AW13" i="1"/>
  <c r="AB10" i="1"/>
  <c r="AC17" i="1"/>
  <c r="AX17" i="1"/>
  <c r="AF12" i="1"/>
  <c r="AH16" i="1"/>
  <c r="X11" i="1"/>
  <c r="AI14" i="1"/>
  <c r="AW16" i="1"/>
  <c r="AI23" i="1"/>
  <c r="AX24" i="1"/>
  <c r="AG11" i="1"/>
  <c r="AV18" i="1"/>
  <c r="AD19" i="1"/>
  <c r="AP24" i="1"/>
  <c r="AV16" i="1"/>
  <c r="Z24" i="1"/>
  <c r="AI10" i="1"/>
  <c r="AZ21" i="1"/>
  <c r="AS17" i="1"/>
  <c r="AR15" i="1"/>
  <c r="AF17" i="1"/>
  <c r="AP20" i="1"/>
  <c r="AX12" i="1"/>
  <c r="U20" i="1"/>
  <c r="AO24" i="1"/>
  <c r="AW14" i="1"/>
  <c r="W10" i="1"/>
  <c r="AA18" i="1"/>
  <c r="AW17" i="1"/>
  <c r="AG22" i="1"/>
  <c r="AO25" i="1"/>
  <c r="V21" i="1"/>
  <c r="BA19" i="1"/>
  <c r="AQ13" i="1"/>
  <c r="BA17" i="1"/>
  <c r="AE14" i="1"/>
  <c r="AB16" i="1"/>
  <c r="AP11" i="1"/>
  <c r="AH25" i="1"/>
  <c r="AZ22" i="1"/>
  <c r="V19" i="1"/>
  <c r="AI24" i="1"/>
  <c r="AH21" i="1"/>
  <c r="AS22" i="1"/>
  <c r="AA10" i="1"/>
  <c r="Y23" i="1"/>
  <c r="AF21" i="1"/>
  <c r="AW21" i="1"/>
  <c r="AX22" i="1"/>
  <c r="AC18" i="1"/>
  <c r="AW12" i="1"/>
  <c r="AG15" i="1"/>
  <c r="AQ16" i="1"/>
  <c r="AT11" i="1"/>
  <c r="AF15" i="1"/>
  <c r="AR23" i="1"/>
  <c r="Y25" i="1"/>
  <c r="AR16" i="1"/>
  <c r="AG19" i="1"/>
  <c r="AW24" i="1"/>
  <c r="AZ18" i="1"/>
  <c r="AX15" i="1"/>
  <c r="V11" i="1"/>
  <c r="AG20" i="1"/>
  <c r="AR20" i="1"/>
  <c r="AD11" i="1"/>
  <c r="AG23" i="1"/>
  <c r="V24" i="1"/>
  <c r="AR25" i="1"/>
  <c r="AW20" i="1"/>
  <c r="Y13" i="1"/>
  <c r="AC20" i="1"/>
  <c r="Z18" i="1"/>
  <c r="AZ15" i="1"/>
  <c r="W18" i="1"/>
  <c r="V23" i="1"/>
  <c r="AE21" i="1"/>
  <c r="AI19" i="1"/>
  <c r="U23" i="1"/>
  <c r="U10" i="1"/>
  <c r="AA24" i="1"/>
  <c r="AT24" i="1"/>
  <c r="AD10" i="1"/>
  <c r="X20" i="1"/>
  <c r="AW11" i="1"/>
  <c r="AC11" i="1"/>
  <c r="W21" i="1"/>
  <c r="AY17" i="1"/>
  <c r="AV10" i="1"/>
  <c r="AB23" i="1"/>
  <c r="AQ10" i="1"/>
  <c r="AC14" i="1"/>
  <c r="AS23" i="1"/>
  <c r="V20" i="1"/>
  <c r="AY18" i="1"/>
  <c r="AF10" i="1"/>
  <c r="AD23" i="1"/>
  <c r="AA15" i="1"/>
  <c r="AR21" i="1"/>
  <c r="Z12" i="1"/>
  <c r="AB11" i="1"/>
  <c r="AA16" i="1"/>
  <c r="W23" i="1"/>
  <c r="AT12" i="1"/>
  <c r="AS13" i="1"/>
  <c r="X25" i="1"/>
  <c r="Z10" i="1"/>
  <c r="BA22" i="1"/>
  <c r="AS20" i="1"/>
  <c r="AP10" i="1"/>
  <c r="AV12" i="1"/>
  <c r="AP23" i="1"/>
  <c r="W14" i="1"/>
  <c r="AU16" i="1"/>
  <c r="AX23" i="1"/>
  <c r="AT10" i="1"/>
  <c r="BA11" i="1"/>
  <c r="U25" i="1"/>
  <c r="W15" i="1"/>
  <c r="BA24" i="1"/>
  <c r="AC25" i="1"/>
  <c r="AE19" i="1"/>
  <c r="AF16" i="1"/>
  <c r="AF19" i="1"/>
  <c r="BA23" i="1"/>
  <c r="U11" i="1"/>
  <c r="AI17" i="1"/>
  <c r="Z20" i="1"/>
  <c r="W20" i="1"/>
  <c r="V14" i="1"/>
  <c r="AQ21" i="1"/>
  <c r="AE15" i="1"/>
  <c r="AF25" i="1"/>
  <c r="AW15" i="1"/>
  <c r="Z11" i="1"/>
  <c r="AQ11" i="1"/>
  <c r="AH10" i="1"/>
  <c r="AA21" i="1"/>
  <c r="BA21" i="1"/>
  <c r="AY23" i="1"/>
  <c r="AE23" i="1"/>
  <c r="AD24" i="1"/>
  <c r="AY20" i="1"/>
  <c r="AO19" i="1"/>
  <c r="AR18" i="1"/>
  <c r="U21" i="1"/>
  <c r="AU15" i="1"/>
  <c r="BA14" i="1"/>
  <c r="AU22" i="1"/>
  <c r="AX21" i="1"/>
  <c r="AO11" i="1"/>
  <c r="AC24" i="1"/>
  <c r="AH20" i="1"/>
  <c r="AW23" i="1"/>
  <c r="AX10" i="1"/>
  <c r="AG17" i="1"/>
  <c r="Y12" i="1"/>
  <c r="Z13" i="1"/>
  <c r="AO21" i="1"/>
  <c r="AO12" i="1"/>
  <c r="AI25" i="1"/>
  <c r="AZ11" i="1"/>
  <c r="Y15" i="1"/>
  <c r="AO14" i="1"/>
  <c r="AO23" i="1"/>
  <c r="Z14" i="1"/>
  <c r="AF13" i="1"/>
  <c r="AY22" i="1"/>
  <c r="AU10" i="1"/>
  <c r="AR11" i="1"/>
  <c r="AH15" i="1"/>
  <c r="BA25" i="1"/>
  <c r="W25" i="1"/>
  <c r="AD17" i="1"/>
  <c r="AI12" i="1"/>
  <c r="AS25" i="1"/>
  <c r="AD25" i="1"/>
  <c r="AH11" i="1"/>
  <c r="AY14" i="1"/>
  <c r="AS10" i="1"/>
  <c r="W16" i="1"/>
  <c r="X14" i="1"/>
  <c r="AH18" i="1"/>
  <c r="AC13" i="1"/>
  <c r="AW18" i="1"/>
  <c r="V16" i="1"/>
  <c r="AT13" i="1"/>
  <c r="AG10" i="1"/>
  <c r="V25" i="1"/>
  <c r="AS19" i="1"/>
  <c r="AT21" i="1"/>
  <c r="AW19" i="1"/>
  <c r="AT15" i="1"/>
  <c r="AS21" i="1"/>
  <c r="AR24" i="1"/>
  <c r="AO20" i="1"/>
  <c r="AE11" i="1"/>
  <c r="AH24" i="1"/>
  <c r="AG24" i="1"/>
  <c r="AQ14" i="1"/>
  <c r="X19" i="1"/>
  <c r="AE18" i="1"/>
  <c r="AS18" i="1"/>
  <c r="AU21" i="1"/>
  <c r="AZ20" i="1"/>
  <c r="U12" i="1"/>
  <c r="AA25" i="1"/>
  <c r="AW10" i="1"/>
  <c r="AP22" i="1"/>
  <c r="AC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F40" i="1" l="1"/>
  <c r="B38" i="1" s="1"/>
  <c r="B45" i="1" s="1"/>
  <c r="B40" i="1" s="1"/>
  <c r="K33" i="1" s="1"/>
  <c r="AG28" i="1"/>
  <c r="N50" i="26"/>
  <c r="L39" i="26"/>
  <c r="AH28" i="1"/>
  <c r="N98" i="8"/>
  <c r="FP3" i="23" s="1"/>
  <c r="AG29" i="1"/>
  <c r="M38" i="26" s="1"/>
  <c r="L44" i="26"/>
  <c r="H22" i="4"/>
  <c r="U3" i="4" s="1" a="1"/>
  <c r="U3" i="4" s="1"/>
  <c r="R6" i="4" s="1"/>
  <c r="O2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<sst xmlns="http://schemas.openxmlformats.org/spreadsheetml/2006/main" count="22047" uniqueCount="5914">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</sst>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4981</v>
      </c>
      <c r="B1" s="209"/>
      <c r="C1" s="580" t="s">
        <v>64</v>
      </c>
      <c r="D1" s="581"/>
      <c r="E1" s="581"/>
      <c r="F1" s="581"/>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5"/>
      <c r="E3" s="212"/>
      <c r="F3" s="212"/>
      <c r="G3" s="212"/>
      <c r="H3" s="212"/>
      <c r="I3" s="212"/>
      <c r="J3" s="582" t="s">
        <v>131</v>
      </c>
      <c r="K3" s="583"/>
      <c r="L3" s="584"/>
      <c r="M3" s="212"/>
      <c r="N3" s="601" t="s">
        <v>120</v>
      </c>
      <c r="O3" s="601"/>
      <c r="P3" s="601"/>
      <c r="Q3" s="601"/>
      <c r="R3" s="601"/>
      <c r="S3" s="601"/>
      <c r="T3" s="218"/>
      <c r="U3" s="218"/>
      <c r="V3" s="218"/>
      <c r="W3" s="221"/>
      <c r="X3" s="221"/>
      <c r="Y3" s="221"/>
      <c r="Z3" s="221"/>
      <c r="AA3" s="221"/>
      <c r="AB3" s="221"/>
      <c r="AC3" s="221"/>
    </row>
    <row r="4" spans="1:29" x14ac:dyDescent="0.2">
      <c r="A4" s="214"/>
      <c r="B4" s="219"/>
      <c r="C4" s="220" t="s">
        <v>1628</v>
      </c>
      <c r="D4" s="360" t="s">
        <v>1760</v>
      </c>
      <c r="E4" s="212"/>
      <c r="F4" s="212"/>
      <c r="G4" s="212"/>
      <c r="H4" s="212"/>
      <c r="I4" s="212"/>
      <c r="J4" s="587" t="s">
        <v>4</v>
      </c>
      <c r="K4" s="588"/>
      <c r="L4" s="222">
        <f ca="1">IF(ISERROR(Access_Data!$D$33),0,Access_Data!$D$33)</f>
        <v>0</v>
      </c>
      <c r="M4" s="212"/>
      <c r="N4" s="223" t="s">
        <v>119</v>
      </c>
      <c r="O4" s="224" t="s">
        <v>118</v>
      </c>
      <c r="P4" s="585" t="s">
        <v>129</v>
      </c>
      <c r="Q4" s="586"/>
      <c r="R4" s="225" t="s">
        <v>213</v>
      </c>
      <c r="S4" s="225" t="s">
        <v>217</v>
      </c>
      <c r="T4" s="218"/>
      <c r="U4" s="498"/>
      <c r="V4" s="498"/>
      <c r="W4" s="498"/>
      <c r="X4" s="498"/>
      <c r="Y4" s="498"/>
      <c r="Z4" s="498"/>
      <c r="AA4" s="498"/>
      <c r="AB4" s="498"/>
      <c r="AC4" s="221"/>
    </row>
    <row r="5" spans="1:29" x14ac:dyDescent="0.2">
      <c r="A5" s="214"/>
      <c r="B5" s="219"/>
      <c r="C5" s="220" t="s">
        <v>54</v>
      </c>
      <c r="D5" s="558"/>
      <c r="E5" s="559"/>
      <c r="F5" s="559"/>
      <c r="G5" s="559"/>
      <c r="H5" s="560"/>
      <c r="I5" s="226"/>
      <c r="J5" s="587" t="s">
        <v>5</v>
      </c>
      <c r="K5" s="588"/>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8"/>
      <c r="V5" s="498"/>
      <c r="W5" s="498"/>
      <c r="X5" s="498" t="str">
        <f t="shared" ref="X5:X7" si="0">IF(O5="","",1)</f>
        <v/>
      </c>
      <c r="Y5" s="498"/>
      <c r="Z5" s="498"/>
      <c r="AA5" s="498"/>
      <c r="AB5" s="498"/>
      <c r="AC5" s="221"/>
    </row>
    <row r="6" spans="1:29" x14ac:dyDescent="0.2">
      <c r="A6" s="214"/>
      <c r="B6" s="219"/>
      <c r="C6" s="220" t="s">
        <v>53</v>
      </c>
      <c r="D6" s="604"/>
      <c r="E6" s="605"/>
      <c r="F6" s="605"/>
      <c r="G6" s="605"/>
      <c r="H6" s="606"/>
      <c r="I6" s="226"/>
      <c r="J6" s="587" t="s">
        <v>130</v>
      </c>
      <c r="K6" s="588"/>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8"/>
      <c r="V6" s="498"/>
      <c r="W6" s="498"/>
      <c r="X6" s="498" t="str">
        <f t="shared" si="0"/>
        <v/>
      </c>
      <c r="Y6" s="498"/>
      <c r="Z6" s="498"/>
      <c r="AA6" s="498"/>
      <c r="AB6" s="498"/>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8"/>
      <c r="V7" s="498"/>
      <c r="W7" s="498"/>
      <c r="X7" s="498" t="str">
        <f t="shared" si="0"/>
        <v/>
      </c>
      <c r="Y7" s="498"/>
      <c r="Z7" s="498"/>
      <c r="AA7" s="498"/>
      <c r="AB7" s="498"/>
      <c r="AC7" s="221"/>
    </row>
    <row r="8" spans="1:29" x14ac:dyDescent="0.2">
      <c r="A8" s="214"/>
      <c r="B8" s="237"/>
      <c r="C8" s="238"/>
      <c r="D8" s="239"/>
      <c r="E8" s="212"/>
      <c r="F8" s="471"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8"/>
      <c r="V8" s="498"/>
      <c r="W8" s="498"/>
      <c r="X8" s="498" t="str">
        <f>IF(O8="","",1)</f>
        <v/>
      </c>
      <c r="Y8" s="498"/>
      <c r="Z8" s="498"/>
      <c r="AA8" s="498"/>
      <c r="AB8" s="498"/>
      <c r="AC8" s="221"/>
    </row>
    <row r="9" spans="1:29" ht="12.75" customHeight="1" x14ac:dyDescent="0.2">
      <c r="A9" s="214"/>
      <c r="B9" s="219"/>
      <c r="C9" s="240" t="s">
        <v>87</v>
      </c>
      <c r="D9" s="354"/>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8"/>
      <c r="V9" s="498"/>
      <c r="W9" s="498"/>
      <c r="X9" s="498" t="str">
        <f t="shared" ref="X9:X44" si="1">IF(O9="","",1)</f>
        <v/>
      </c>
      <c r="Y9" s="498"/>
      <c r="Z9" s="498"/>
      <c r="AA9" s="498"/>
      <c r="AB9" s="498"/>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8"/>
      <c r="V10" s="498"/>
      <c r="W10" s="498"/>
      <c r="X10" s="498" t="str">
        <f t="shared" si="1"/>
        <v/>
      </c>
      <c r="Y10" s="498"/>
      <c r="Z10" s="498"/>
      <c r="AA10" s="498"/>
      <c r="AB10" s="498"/>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8"/>
      <c r="V11" s="498"/>
      <c r="W11" s="498"/>
      <c r="X11" s="498" t="str">
        <f t="shared" si="1"/>
        <v/>
      </c>
      <c r="Y11" s="498"/>
      <c r="Z11" s="498"/>
      <c r="AA11" s="498"/>
      <c r="AB11" s="498"/>
      <c r="AC11" s="221"/>
    </row>
    <row r="12" spans="1:29" x14ac:dyDescent="0.2">
      <c r="A12" s="214"/>
      <c r="B12" s="219"/>
      <c r="C12" s="240" t="s">
        <v>116</v>
      </c>
      <c r="D12" s="440"/>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8"/>
      <c r="V12" s="498"/>
      <c r="W12" s="498"/>
      <c r="X12" s="498" t="str">
        <f t="shared" si="1"/>
        <v/>
      </c>
      <c r="Y12" s="498"/>
      <c r="Z12" s="498"/>
      <c r="AA12" s="498"/>
      <c r="AB12" s="498"/>
      <c r="AC12" s="221"/>
    </row>
    <row r="13" spans="1:29" x14ac:dyDescent="0.2">
      <c r="A13" s="214"/>
      <c r="B13" s="241"/>
      <c r="C13" s="242" t="s">
        <v>115</v>
      </c>
      <c r="D13" s="441"/>
      <c r="E13" s="212"/>
      <c r="F13" s="245"/>
      <c r="G13" s="246" t="str">
        <f>IF(Access_Data!$C$52=1,"!!!!! OVEN OVERSHOT IN POINTS 15-28 !!!!!","")</f>
        <v/>
      </c>
      <c r="H13" s="212"/>
      <c r="I13" s="212"/>
      <c r="J13" s="426" t="s">
        <v>3824</v>
      </c>
      <c r="K13" s="599"/>
      <c r="L13" s="600"/>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8"/>
      <c r="V13" s="498"/>
      <c r="W13" s="498"/>
      <c r="X13" s="498" t="str">
        <f t="shared" si="1"/>
        <v/>
      </c>
      <c r="Y13" s="498"/>
      <c r="Z13" s="498"/>
      <c r="AA13" s="498"/>
      <c r="AB13" s="498"/>
      <c r="AC13" s="221"/>
    </row>
    <row r="14" spans="1:29" x14ac:dyDescent="0.2">
      <c r="A14" s="214"/>
      <c r="B14" s="219"/>
      <c r="C14" s="240" t="s">
        <v>117</v>
      </c>
      <c r="D14" s="602" t="str">
        <f>IF(MONTH(D13-D12)=1,D9&amp;TEXT(D12,"mmddyy"),CONCATENATE(D9&amp;"_"&amp;TEXT(D12,"mmyy")))</f>
        <v>010000</v>
      </c>
      <c r="E14" s="603"/>
      <c r="F14" s="212"/>
      <c r="G14" s="217" t="str">
        <f>IF(Access_Data!$D$52=1,"!!!!! OVEN OVERSHOT IN POINTS 29-40","")</f>
        <v/>
      </c>
      <c r="H14" s="212"/>
      <c r="I14" s="212"/>
      <c r="J14" s="247" t="s">
        <v>209</v>
      </c>
      <c r="K14" s="593"/>
      <c r="L14" s="594"/>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8"/>
      <c r="V14" s="498"/>
      <c r="W14" s="498"/>
      <c r="X14" s="498" t="str">
        <f t="shared" si="1"/>
        <v/>
      </c>
      <c r="Y14" s="498"/>
      <c r="Z14" s="498"/>
      <c r="AA14" s="498"/>
      <c r="AB14" s="498"/>
      <c r="AC14" s="221"/>
    </row>
    <row r="15" spans="1:29" x14ac:dyDescent="0.2">
      <c r="A15" s="214"/>
      <c r="B15" s="365"/>
      <c r="C15" s="362" t="s">
        <v>86</v>
      </c>
      <c r="D15" s="364"/>
      <c r="E15" s="361"/>
      <c r="F15" s="212"/>
      <c r="G15" s="212"/>
      <c r="H15" s="468" t="b">
        <v>1</v>
      </c>
      <c r="I15" s="212"/>
      <c r="J15" s="248" t="s">
        <v>203</v>
      </c>
      <c r="K15" s="591"/>
      <c r="L15" s="592"/>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8"/>
      <c r="V15" s="498"/>
      <c r="W15" s="498"/>
      <c r="X15" s="498" t="str">
        <f t="shared" si="1"/>
        <v/>
      </c>
      <c r="Y15" s="498"/>
      <c r="Z15" s="498"/>
      <c r="AA15" s="498"/>
      <c r="AB15" s="498"/>
      <c r="AC15" s="221"/>
    </row>
    <row r="16" spans="1:29" x14ac:dyDescent="0.2">
      <c r="A16" s="214"/>
      <c r="B16" s="249"/>
      <c r="C16" s="363" t="s">
        <v>1881</v>
      </c>
      <c r="D16" s="442"/>
      <c r="E16" s="212"/>
      <c r="F16" s="247" t="s">
        <v>106</v>
      </c>
      <c r="G16" s="355" t="s">
        <v>1949</v>
      </c>
      <c r="H16" s="251"/>
      <c r="I16" s="212"/>
      <c r="J16" s="610" t="s">
        <v>254</v>
      </c>
      <c r="K16" s="611"/>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8"/>
      <c r="V16" s="498"/>
      <c r="W16" s="498"/>
      <c r="X16" s="498" t="str">
        <f t="shared" si="1"/>
        <v/>
      </c>
      <c r="Y16" s="498"/>
      <c r="Z16" s="498"/>
      <c r="AA16" s="498"/>
      <c r="AB16" s="498"/>
      <c r="AC16" s="221"/>
    </row>
    <row r="17" spans="1:29" x14ac:dyDescent="0.2">
      <c r="A17" s="214"/>
      <c r="B17" s="219"/>
      <c r="C17" s="220" t="s">
        <v>85</v>
      </c>
      <c r="D17" s="443"/>
      <c r="E17" s="212"/>
      <c r="F17" s="248" t="s">
        <v>125</v>
      </c>
      <c r="G17" s="467" t="e">
        <f>'Header Info'!CC2</f>
        <v>#N/A</v>
      </c>
      <c r="I17" s="217"/>
      <c r="J17" s="610" t="s">
        <v>255</v>
      </c>
      <c r="K17" s="611"/>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8"/>
      <c r="V17" s="498"/>
      <c r="W17" s="498"/>
      <c r="X17" s="498" t="str">
        <f t="shared" si="1"/>
        <v/>
      </c>
      <c r="Y17" s="498"/>
      <c r="Z17" s="498"/>
      <c r="AA17" s="498"/>
      <c r="AB17" s="498"/>
      <c r="AC17" s="221"/>
    </row>
    <row r="18" spans="1:29" x14ac:dyDescent="0.2">
      <c r="A18" s="214"/>
      <c r="B18" s="241"/>
      <c r="C18" s="254" t="s">
        <v>88</v>
      </c>
      <c r="D18" s="444">
        <v>4</v>
      </c>
      <c r="E18" s="212"/>
      <c r="F18" s="256" t="s">
        <v>107</v>
      </c>
      <c r="G18" s="355"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8"/>
      <c r="V18" s="498"/>
      <c r="W18" s="498"/>
      <c r="X18" s="498" t="str">
        <f t="shared" si="1"/>
        <v/>
      </c>
      <c r="Y18" s="498"/>
      <c r="Z18" s="498"/>
      <c r="AA18" s="498"/>
      <c r="AB18" s="498"/>
      <c r="AC18" s="221"/>
    </row>
    <row r="19" spans="1:29" x14ac:dyDescent="0.2">
      <c r="A19" s="214"/>
      <c r="B19" s="219"/>
      <c r="C19" s="220" t="s">
        <v>22</v>
      </c>
      <c r="D19" s="445"/>
      <c r="E19" s="212"/>
      <c r="F19" s="248" t="s">
        <v>108</v>
      </c>
      <c r="G19" s="589" t="str">
        <f>IF(K15="Salt",0, IF(OR(K15="Hot",K15="SIM Load Hot"),IF(OR(D26="",D28=""),"N/A",IF(ISBLANK(D26),"N/A",D28-D26)),"N/A"))</f>
        <v>N/A</v>
      </c>
      <c r="H19" s="590"/>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8"/>
      <c r="V19" s="498"/>
      <c r="W19" s="498"/>
      <c r="X19" s="498" t="str">
        <f t="shared" si="1"/>
        <v/>
      </c>
      <c r="Y19" s="498"/>
      <c r="Z19" s="498"/>
      <c r="AA19" s="498"/>
      <c r="AB19" s="498"/>
      <c r="AC19" s="221"/>
    </row>
    <row r="20" spans="1:29" ht="13.7" customHeight="1" x14ac:dyDescent="0.2">
      <c r="A20" s="214"/>
      <c r="B20" s="595" t="str">
        <f>IF(I94=TRUE,"SAT Tolerance (per AMS2750):","SAT Tolerance (per BAC5621):")</f>
        <v>SAT Tolerance (per AMS2750):</v>
      </c>
      <c r="C20" s="596"/>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8"/>
      <c r="V20" s="498"/>
      <c r="W20" s="498"/>
      <c r="X20" s="498" t="str">
        <f t="shared" si="1"/>
        <v/>
      </c>
      <c r="Y20" s="498"/>
      <c r="Z20" s="498"/>
      <c r="AA20" s="498"/>
      <c r="AB20" s="498"/>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8"/>
      <c r="V21" s="498"/>
      <c r="W21" s="498"/>
      <c r="X21" s="498" t="str">
        <f t="shared" si="1"/>
        <v/>
      </c>
      <c r="Y21" s="498"/>
      <c r="Z21" s="498"/>
      <c r="AA21" s="498"/>
      <c r="AB21" s="498"/>
      <c r="AC21" s="221"/>
    </row>
    <row r="22" spans="1:29" x14ac:dyDescent="0.2">
      <c r="A22" s="214"/>
      <c r="B22" s="249"/>
      <c r="C22" s="250" t="s">
        <v>55</v>
      </c>
      <c r="D22" s="446"/>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8"/>
      <c r="V22" s="498"/>
      <c r="W22" s="498"/>
      <c r="X22" s="498" t="str">
        <f t="shared" si="1"/>
        <v/>
      </c>
      <c r="Y22" s="498"/>
      <c r="Z22" s="498"/>
      <c r="AA22" s="498"/>
      <c r="AB22" s="498"/>
      <c r="AC22" s="221"/>
    </row>
    <row r="23" spans="1:29" x14ac:dyDescent="0.2">
      <c r="A23" s="214"/>
      <c r="B23" s="219"/>
      <c r="C23" s="220" t="s">
        <v>89</v>
      </c>
      <c r="D23" s="444"/>
      <c r="E23" s="212"/>
      <c r="F23" s="263" t="s">
        <v>126</v>
      </c>
      <c r="G23" s="369" t="s">
        <v>5468</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8" t="str">
        <f>IF(X45=10,Z23,IF(X45=11,Z24,IF(X45=12,Z25,IF(X45=13,Z26,IF(X45=14,Z27,"")))))</f>
        <v/>
      </c>
      <c r="V23" s="498"/>
      <c r="W23" s="498"/>
      <c r="X23" s="498" t="str">
        <f t="shared" si="1"/>
        <v/>
      </c>
      <c r="Y23" s="498">
        <v>10</v>
      </c>
      <c r="Z23" s="498" t="s">
        <v>5463</v>
      </c>
      <c r="AA23" s="498"/>
      <c r="AB23" s="498"/>
      <c r="AC23" s="221"/>
    </row>
    <row r="24" spans="1:29" x14ac:dyDescent="0.2">
      <c r="A24" s="214"/>
      <c r="B24" s="597" t="s">
        <v>5320</v>
      </c>
      <c r="C24" s="598"/>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8" t="b">
        <v>0</v>
      </c>
      <c r="V24" s="498"/>
      <c r="W24" s="498"/>
      <c r="X24" s="498" t="str">
        <f t="shared" si="1"/>
        <v/>
      </c>
      <c r="Y24" s="498">
        <v>11</v>
      </c>
      <c r="Z24" s="498" t="s">
        <v>5464</v>
      </c>
      <c r="AA24" s="498"/>
      <c r="AB24" s="498"/>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8" t="str">
        <f>IF(U24=TRUE,U23,IF(U30=TRUE,U29,""))</f>
        <v/>
      </c>
      <c r="V25" s="498"/>
      <c r="W25" s="498"/>
      <c r="X25" s="498" t="str">
        <f t="shared" si="1"/>
        <v/>
      </c>
      <c r="Y25" s="498">
        <v>12</v>
      </c>
      <c r="Z25" s="498" t="s">
        <v>5465</v>
      </c>
      <c r="AA25" s="498"/>
      <c r="AB25" s="498"/>
      <c r="AC25" s="221"/>
    </row>
    <row r="26" spans="1:29" x14ac:dyDescent="0.2">
      <c r="A26" s="214"/>
      <c r="B26" s="249"/>
      <c r="C26" s="250" t="s">
        <v>81</v>
      </c>
      <c r="D26" s="447"/>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8"/>
      <c r="V26" s="498"/>
      <c r="W26" s="498"/>
      <c r="X26" s="498" t="str">
        <f t="shared" si="1"/>
        <v/>
      </c>
      <c r="Y26" s="498">
        <v>13</v>
      </c>
      <c r="Z26" s="498" t="s">
        <v>5466</v>
      </c>
      <c r="AA26" s="498"/>
      <c r="AB26" s="498"/>
      <c r="AC26" s="221"/>
    </row>
    <row r="27" spans="1:29" x14ac:dyDescent="0.2">
      <c r="A27" s="214"/>
      <c r="B27" s="270">
        <v>10</v>
      </c>
      <c r="C27" s="220" t="s">
        <v>82</v>
      </c>
      <c r="D27" s="447"/>
      <c r="E27" s="269"/>
      <c r="F27" s="426" t="s">
        <v>2178</v>
      </c>
      <c r="G27" s="424" t="e">
        <f>IF('Header Info'!CB$2="y","Cal by Customer",D$3)</f>
        <v>#N/A</v>
      </c>
      <c r="H27" s="616" t="str">
        <f>IF(ISBLANK(D6),"",IF('Header Info'!CB2="x","CHECK INSTRUMENT CAL DATES!!!!             CHECK INSTRUMENT CAL DATES!!!!",""))</f>
        <v/>
      </c>
      <c r="I27" s="617"/>
      <c r="J27" s="617"/>
      <c r="K27" s="617"/>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8"/>
      <c r="V27" s="498"/>
      <c r="W27" s="498"/>
      <c r="X27" s="498" t="str">
        <f t="shared" si="1"/>
        <v/>
      </c>
      <c r="Y27" s="498">
        <v>14</v>
      </c>
      <c r="Z27" s="498" t="s">
        <v>5467</v>
      </c>
      <c r="AA27" s="498"/>
      <c r="AB27" s="498"/>
      <c r="AC27" s="221"/>
    </row>
    <row r="28" spans="1:29" x14ac:dyDescent="0.2">
      <c r="A28" s="214"/>
      <c r="B28" s="271">
        <v>30</v>
      </c>
      <c r="C28" s="254" t="s">
        <v>83</v>
      </c>
      <c r="D28" s="447"/>
      <c r="E28" s="269"/>
      <c r="F28" s="426" t="s">
        <v>2179</v>
      </c>
      <c r="G28" s="424" t="e">
        <f>IF('Header Info'!CB$2="y","Cal by Customer",D$3)</f>
        <v>#N/A</v>
      </c>
      <c r="H28" s="616"/>
      <c r="I28" s="617"/>
      <c r="J28" s="617"/>
      <c r="K28" s="617"/>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8"/>
      <c r="V28" s="498"/>
      <c r="W28" s="498"/>
      <c r="X28" s="498" t="str">
        <f t="shared" si="1"/>
        <v/>
      </c>
      <c r="Y28" s="498"/>
      <c r="Z28" s="498"/>
      <c r="AA28" s="498"/>
      <c r="AB28" s="498"/>
      <c r="AC28" s="221"/>
    </row>
    <row r="29" spans="1:29" x14ac:dyDescent="0.2">
      <c r="A29" s="214"/>
      <c r="B29" s="270">
        <v>40</v>
      </c>
      <c r="C29" s="220" t="s">
        <v>102</v>
      </c>
      <c r="D29" s="272" t="str">
        <f>(IF(OR(D27="",D28=""),"",IF(ISBLANK(D27),"",D28-D27)))</f>
        <v/>
      </c>
      <c r="E29" s="273" t="e">
        <f>IF(D29=0,"&lt;2",ROUND(IF(LEN(D29)&gt;3,D29*1440,TEXT(D29,"hh:mm")),0)) &amp;" MINUTES"</f>
        <v>#VALUE!</v>
      </c>
      <c r="F29" s="375"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8" t="str">
        <f>IF(X45=10,Z29,IF(X45=11,Z30,IF(X45=12,Z31,"")))</f>
        <v/>
      </c>
      <c r="V29" s="498"/>
      <c r="W29" s="498"/>
      <c r="X29" s="498" t="str">
        <f t="shared" si="1"/>
        <v/>
      </c>
      <c r="Y29" s="498">
        <v>10</v>
      </c>
      <c r="Z29" s="498" t="s">
        <v>5469</v>
      </c>
      <c r="AA29" s="498"/>
      <c r="AB29" s="498"/>
      <c r="AC29" s="221"/>
    </row>
    <row r="30" spans="1:29" x14ac:dyDescent="0.2">
      <c r="A30" s="214"/>
      <c r="B30" s="499">
        <v>45</v>
      </c>
      <c r="C30" s="254" t="s">
        <v>84</v>
      </c>
      <c r="D30" s="556"/>
      <c r="E30" s="274" t="str">
        <f>IF(ISBLANK(D30), "", TEXT(D30, "H:mm"))</f>
        <v/>
      </c>
      <c r="G30" s="479">
        <f>IF(D29="",0,D29)</f>
        <v>0</v>
      </c>
      <c r="H30" s="478">
        <f>D28-D26</f>
        <v>0</v>
      </c>
      <c r="I30" s="217"/>
      <c r="J30" s="217"/>
      <c r="K30" s="217"/>
      <c r="L30" s="475"/>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8" t="b">
        <v>0</v>
      </c>
      <c r="V30" s="498"/>
      <c r="W30" s="498"/>
      <c r="X30" s="498" t="str">
        <f t="shared" si="1"/>
        <v/>
      </c>
      <c r="Y30" s="498">
        <v>11</v>
      </c>
      <c r="Z30" s="498" t="s">
        <v>5470</v>
      </c>
      <c r="AA30" s="498"/>
      <c r="AB30" s="498"/>
      <c r="AC30" s="221"/>
    </row>
    <row r="31" spans="1:29" x14ac:dyDescent="0.2">
      <c r="A31" s="214"/>
      <c r="B31" s="219"/>
      <c r="C31" s="220" t="s">
        <v>70</v>
      </c>
      <c r="D31" s="557">
        <f>D30+TIME(0,D32,0)</f>
        <v>2.0833333333333332E-2</v>
      </c>
      <c r="E31" s="212"/>
      <c r="F31" s="474" t="e">
        <f>IF(AND(L31&gt;0,G30&gt;L31),"LAG TIME TOO HIGH!!!","")</f>
        <v>#N/A</v>
      </c>
      <c r="G31" s="217"/>
      <c r="H31" s="477" t="e">
        <f>IF(AND(M31&gt;0,H30&gt;M31),"RECOVERY TIME TOO HIGH!!!!","")</f>
        <v>#N/A</v>
      </c>
      <c r="I31" s="217"/>
      <c r="J31" s="217"/>
      <c r="K31" s="217"/>
      <c r="L31" s="476" t="e">
        <f>'Header Info'!CD2</f>
        <v>#N/A</v>
      </c>
      <c r="M31" s="476"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8"/>
      <c r="V31" s="498"/>
      <c r="W31" s="498"/>
      <c r="X31" s="498" t="str">
        <f t="shared" si="1"/>
        <v/>
      </c>
      <c r="Y31" s="498">
        <v>12</v>
      </c>
      <c r="Z31" s="498" t="s">
        <v>5471</v>
      </c>
      <c r="AA31" s="498"/>
      <c r="AB31" s="498"/>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8"/>
      <c r="V32" s="498"/>
      <c r="W32" s="498"/>
      <c r="X32" s="498" t="str">
        <f t="shared" si="1"/>
        <v/>
      </c>
      <c r="Y32" s="498"/>
      <c r="Z32" s="498"/>
      <c r="AA32" s="498"/>
      <c r="AB32" s="498"/>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8"/>
      <c r="V33" s="498"/>
      <c r="W33" s="498"/>
      <c r="X33" s="498" t="str">
        <f t="shared" si="1"/>
        <v/>
      </c>
      <c r="Y33" s="498"/>
      <c r="Z33" s="498"/>
      <c r="AA33" s="498"/>
      <c r="AB33" s="498"/>
      <c r="AC33" s="221"/>
    </row>
    <row r="34" spans="1:29" ht="12.75" customHeight="1" x14ac:dyDescent="0.2">
      <c r="A34" s="214"/>
      <c r="B34" s="582" t="s">
        <v>63</v>
      </c>
      <c r="C34" s="583"/>
      <c r="D34" s="583"/>
      <c r="E34" s="583"/>
      <c r="F34" s="583"/>
      <c r="G34" s="583"/>
      <c r="H34" s="583"/>
      <c r="I34" s="583"/>
      <c r="J34" s="583"/>
      <c r="K34" s="583"/>
      <c r="L34" s="584"/>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8"/>
      <c r="V34" s="498"/>
      <c r="W34" s="498"/>
      <c r="X34" s="498" t="str">
        <f t="shared" si="1"/>
        <v/>
      </c>
      <c r="Y34" s="498"/>
      <c r="Z34" s="498"/>
      <c r="AA34" s="498"/>
      <c r="AB34" s="498"/>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8"/>
      <c r="V35" s="498"/>
      <c r="W35" s="498"/>
      <c r="X35" s="498" t="str">
        <f t="shared" si="1"/>
        <v/>
      </c>
      <c r="Y35" s="498"/>
      <c r="Z35" s="498"/>
      <c r="AA35" s="498"/>
      <c r="AB35" s="498"/>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8"/>
      <c r="V36" s="498"/>
      <c r="W36" s="498"/>
      <c r="X36" s="498" t="str">
        <f t="shared" si="1"/>
        <v/>
      </c>
      <c r="Y36" s="498"/>
      <c r="Z36" s="498"/>
      <c r="AA36" s="498"/>
      <c r="AB36" s="498"/>
      <c r="AC36" s="221"/>
    </row>
    <row r="37" spans="1:29" x14ac:dyDescent="0.2">
      <c r="A37" s="214"/>
      <c r="B37" s="371"/>
      <c r="C37" s="356"/>
      <c r="D37" s="372"/>
      <c r="E37" s="372"/>
      <c r="F37" s="372"/>
      <c r="G37" s="372"/>
      <c r="H37" s="372"/>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8"/>
      <c r="V37" s="498"/>
      <c r="W37" s="498"/>
      <c r="X37" s="498" t="str">
        <f t="shared" si="1"/>
        <v/>
      </c>
      <c r="Y37" s="498"/>
      <c r="Z37" s="498"/>
      <c r="AA37" s="498"/>
      <c r="AB37" s="498"/>
      <c r="AC37" s="221"/>
    </row>
    <row r="38" spans="1:29" x14ac:dyDescent="0.2">
      <c r="A38" s="214"/>
      <c r="B38" s="373"/>
      <c r="C38" s="357"/>
      <c r="D38" s="372"/>
      <c r="E38" s="372"/>
      <c r="F38" s="372"/>
      <c r="G38" s="372"/>
      <c r="H38" s="372"/>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8"/>
      <c r="V38" s="498"/>
      <c r="W38" s="498"/>
      <c r="X38" s="498" t="str">
        <f t="shared" si="1"/>
        <v/>
      </c>
      <c r="Y38" s="498"/>
      <c r="Z38" s="498"/>
      <c r="AA38" s="498"/>
      <c r="AB38" s="498"/>
      <c r="AC38" s="221"/>
    </row>
    <row r="39" spans="1:29" x14ac:dyDescent="0.2">
      <c r="A39" s="214"/>
      <c r="B39" s="373"/>
      <c r="C39" s="357"/>
      <c r="D39" s="372"/>
      <c r="E39" s="372"/>
      <c r="F39" s="372"/>
      <c r="G39" s="372"/>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8"/>
      <c r="V39" s="498"/>
      <c r="W39" s="498"/>
      <c r="X39" s="498" t="str">
        <f t="shared" si="1"/>
        <v/>
      </c>
      <c r="Y39" s="498"/>
      <c r="Z39" s="498"/>
      <c r="AA39" s="498"/>
      <c r="AB39" s="498"/>
      <c r="AC39" s="221"/>
    </row>
    <row r="40" spans="1:29" x14ac:dyDescent="0.2">
      <c r="A40" s="214"/>
      <c r="B40" s="373"/>
      <c r="C40" s="357"/>
      <c r="D40" s="372"/>
      <c r="E40" s="372"/>
      <c r="F40" s="372"/>
      <c r="G40" s="372"/>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8"/>
      <c r="V40" s="498"/>
      <c r="W40" s="498"/>
      <c r="X40" s="498" t="str">
        <f t="shared" si="1"/>
        <v/>
      </c>
      <c r="Y40" s="498"/>
      <c r="Z40" s="498"/>
      <c r="AA40" s="498"/>
      <c r="AB40" s="498"/>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8"/>
      <c r="V41" s="498"/>
      <c r="W41" s="498"/>
      <c r="X41" s="498" t="str">
        <f t="shared" si="1"/>
        <v/>
      </c>
      <c r="Y41" s="498"/>
      <c r="Z41" s="498"/>
      <c r="AA41" s="498"/>
      <c r="AB41" s="498"/>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8"/>
      <c r="V42" s="498"/>
      <c r="W42" s="498"/>
      <c r="X42" s="498" t="str">
        <f t="shared" si="1"/>
        <v/>
      </c>
      <c r="Y42" s="498"/>
      <c r="Z42" s="498"/>
      <c r="AA42" s="498"/>
      <c r="AB42" s="498"/>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8"/>
      <c r="V43" s="498"/>
      <c r="W43" s="498"/>
      <c r="X43" s="498" t="str">
        <f t="shared" si="1"/>
        <v/>
      </c>
      <c r="Y43" s="498"/>
      <c r="Z43" s="498"/>
      <c r="AA43" s="498"/>
      <c r="AB43" s="498"/>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8"/>
      <c r="V44" s="498"/>
      <c r="W44" s="498"/>
      <c r="X44" s="498" t="str">
        <f t="shared" si="1"/>
        <v/>
      </c>
      <c r="Y44" s="498"/>
      <c r="Z44" s="498"/>
      <c r="AA44" s="498"/>
      <c r="AB44" s="498"/>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8"/>
      <c r="V45" s="498"/>
      <c r="W45" s="498"/>
      <c r="X45" s="498">
        <f>SUM(X5:X44)</f>
        <v>0</v>
      </c>
      <c r="Y45" s="498"/>
      <c r="Z45" s="498"/>
      <c r="AA45" s="498"/>
      <c r="AB45" s="498"/>
      <c r="AC45" s="221"/>
    </row>
    <row r="46" spans="1:29" x14ac:dyDescent="0.2">
      <c r="A46" s="238"/>
      <c r="B46" s="293"/>
      <c r="C46" s="294"/>
      <c r="D46" s="607" t="s">
        <v>46</v>
      </c>
      <c r="E46" s="608"/>
      <c r="F46" s="608"/>
      <c r="G46" s="608"/>
      <c r="H46" s="608"/>
      <c r="I46" s="609"/>
      <c r="J46" s="427"/>
      <c r="K46" s="427"/>
      <c r="L46" s="427"/>
      <c r="M46" s="561" t="s">
        <v>3903</v>
      </c>
      <c r="N46" s="562"/>
      <c r="O46" s="563"/>
      <c r="P46" s="564"/>
      <c r="Q46" s="375"/>
      <c r="R46" s="375"/>
      <c r="S46" s="428"/>
      <c r="T46" s="428"/>
      <c r="U46" s="428"/>
    </row>
    <row r="47" spans="1:29" x14ac:dyDescent="0.2">
      <c r="A47" s="238"/>
      <c r="B47" s="293"/>
      <c r="C47" s="435" t="s">
        <v>80</v>
      </c>
      <c r="D47" s="358"/>
      <c r="E47" s="358"/>
      <c r="F47" s="358"/>
      <c r="G47" s="358"/>
      <c r="H47" s="358"/>
      <c r="I47" s="358"/>
      <c r="J47" s="427" t="str">
        <f>IF(ISBLANK(D$47),"",VLOOKUP($D$47,Standards_Info!$G$2:$H$4,2))</f>
        <v/>
      </c>
      <c r="K47" s="427" t="str">
        <f ca="1">IF(ISBLANK(Main!D48),"",INDEX(OFFSET(Furnace_Data!$V:$V,,-5),MATCH(Main!D48,Furnace_Data!$V:$V,0)))</f>
        <v/>
      </c>
      <c r="L47" s="427"/>
      <c r="M47" s="430" t="s">
        <v>3904</v>
      </c>
      <c r="N47" s="452" t="s">
        <v>3905</v>
      </c>
      <c r="O47" s="453"/>
      <c r="P47" s="614" t="s">
        <v>3906</v>
      </c>
      <c r="Q47" s="614"/>
      <c r="R47" s="432" t="s">
        <v>3907</v>
      </c>
      <c r="S47" s="428"/>
      <c r="T47" s="428"/>
      <c r="U47" s="428"/>
    </row>
    <row r="48" spans="1:29" x14ac:dyDescent="0.2">
      <c r="A48" s="214"/>
      <c r="B48" s="293"/>
      <c r="C48" s="435" t="s">
        <v>47</v>
      </c>
      <c r="D48" s="359"/>
      <c r="E48" s="359"/>
      <c r="F48" s="359"/>
      <c r="G48" s="359"/>
      <c r="H48" s="359"/>
      <c r="I48" s="359"/>
      <c r="J48" s="427" t="str">
        <f>IF(ISBLANK(Main!E$47),"",VLOOKUP($D$47,Standards_Info!$G$2:$H$4,2))</f>
        <v/>
      </c>
      <c r="K48" s="427" t="str">
        <f ca="1">IF(ISBLANK(Main!E48),"",INDEX(OFFSET(Furnace_Data!$V:$V,,-5),MATCH(Main!E48,Furnace_Data!$V:$V,0)))</f>
        <v/>
      </c>
      <c r="L48" s="427"/>
      <c r="M48" s="615" t="s">
        <v>3908</v>
      </c>
      <c r="N48" s="615"/>
      <c r="O48" s="454"/>
      <c r="P48" s="577" t="s">
        <v>5709</v>
      </c>
      <c r="Q48" s="578"/>
      <c r="R48" s="579"/>
      <c r="S48" s="504"/>
      <c r="T48" s="508"/>
      <c r="U48" s="577" t="s">
        <v>5712</v>
      </c>
      <c r="V48" s="578"/>
      <c r="W48" s="579"/>
    </row>
    <row r="49" spans="1:24" x14ac:dyDescent="0.2">
      <c r="A49" s="214"/>
      <c r="B49" s="295"/>
      <c r="C49" s="435" t="s">
        <v>48</v>
      </c>
      <c r="D49" s="374"/>
      <c r="E49" s="374"/>
      <c r="F49" s="374"/>
      <c r="G49" s="374"/>
      <c r="H49" s="374"/>
      <c r="I49" s="374"/>
      <c r="J49" s="427" t="str">
        <f>IF(ISBLANK(Main!F$47),"",VLOOKUP($D$47,Standards_Info!$G$2:$H$4,2))</f>
        <v/>
      </c>
      <c r="K49" s="427" t="str">
        <f ca="1">IF(ISBLANK(Main!F48),"",INDEX(OFFSET(Furnace_Data!$V:$V,,-5),MATCH(Main!F48,Furnace_Data!$V:$V,0)))</f>
        <v/>
      </c>
      <c r="L49" s="427"/>
      <c r="M49" s="430" t="s">
        <v>3909</v>
      </c>
      <c r="N49" s="433" t="e">
        <f>IF('Header Info'!BV2="","",'Header Info'!BV2)</f>
        <v>#N/A</v>
      </c>
      <c r="O49" s="350"/>
      <c r="P49" s="565" t="s">
        <v>5714</v>
      </c>
      <c r="Q49" s="566"/>
      <c r="R49" s="567"/>
      <c r="S49" s="528"/>
      <c r="T49" s="510"/>
      <c r="U49" s="565" t="s">
        <v>5713</v>
      </c>
      <c r="V49" s="566"/>
      <c r="W49" s="567"/>
      <c r="X49" s="455"/>
    </row>
    <row r="50" spans="1:24" x14ac:dyDescent="0.2">
      <c r="A50" s="214"/>
      <c r="B50" s="296"/>
      <c r="C50" s="435" t="s">
        <v>49</v>
      </c>
      <c r="D50" s="374"/>
      <c r="E50" s="374"/>
      <c r="F50" s="374"/>
      <c r="G50" s="374"/>
      <c r="H50" s="374"/>
      <c r="I50" s="374"/>
      <c r="J50" s="427" t="str">
        <f>IF(ISBLANK(Main!G$47),"",VLOOKUP($D$47,Standards_Info!$G$2:$H$4,2))</f>
        <v/>
      </c>
      <c r="K50" s="427" t="str">
        <f ca="1">IF(ISBLANK(Main!G48),"",INDEX(OFFSET(Furnace_Data!$V:$V,,-5),MATCH(Main!G48,Furnace_Data!$V:$V,0)))</f>
        <v/>
      </c>
      <c r="L50" s="427"/>
      <c r="M50" s="430" t="s">
        <v>3910</v>
      </c>
      <c r="N50" s="433" t="e">
        <f>IF('Header Info'!BW2="","",'Header Info'!BW2)</f>
        <v>#N/A</v>
      </c>
      <c r="O50" s="350"/>
      <c r="P50" s="568" t="s">
        <v>3911</v>
      </c>
      <c r="Q50" s="569"/>
      <c r="R50" s="570"/>
      <c r="S50" s="507"/>
      <c r="T50" s="511"/>
      <c r="U50" s="568" t="s">
        <v>3911</v>
      </c>
      <c r="V50" s="569"/>
      <c r="W50" s="570"/>
      <c r="X50" s="428"/>
    </row>
    <row r="51" spans="1:24" x14ac:dyDescent="0.2">
      <c r="A51" s="214"/>
      <c r="B51" s="297"/>
      <c r="C51" s="435" t="s">
        <v>78</v>
      </c>
      <c r="D51" s="359"/>
      <c r="E51" s="359"/>
      <c r="F51" s="359"/>
      <c r="G51" s="359"/>
      <c r="H51" s="359"/>
      <c r="I51" s="359"/>
      <c r="J51" s="427" t="str">
        <f>IF(ISBLANK(Main!H$47),"",VLOOKUP($D$47,Standards_Info!$G$2:$H$4,2))</f>
        <v/>
      </c>
      <c r="K51" s="496" t="str">
        <f ca="1">IF(ISBLANK(Main!H48),"",INDEX(OFFSET(Furnace_Data!$V:$V,,-5),MATCH(Main!H48,Furnace_Data!$V:$V,0)))</f>
        <v/>
      </c>
      <c r="L51" s="427"/>
      <c r="M51" s="434" t="s">
        <v>3912</v>
      </c>
      <c r="N51" s="433" t="e">
        <f>IF('Header Info'!BX2="","",'Header Info'!BX2)</f>
        <v>#N/A</v>
      </c>
      <c r="P51" s="565" t="s">
        <v>5710</v>
      </c>
      <c r="Q51" s="566"/>
      <c r="R51" s="567"/>
      <c r="S51" s="528"/>
      <c r="T51" s="513"/>
      <c r="U51" s="565" t="s">
        <v>5715</v>
      </c>
      <c r="V51" s="566"/>
      <c r="W51" s="567"/>
      <c r="X51" s="455"/>
    </row>
    <row r="52" spans="1:24" x14ac:dyDescent="0.2">
      <c r="A52" s="214"/>
      <c r="B52" s="293"/>
      <c r="C52" s="435" t="s">
        <v>3918</v>
      </c>
      <c r="D52" s="359"/>
      <c r="E52" s="359"/>
      <c r="F52" s="359"/>
      <c r="G52" s="359"/>
      <c r="H52" s="359"/>
      <c r="I52" s="359"/>
      <c r="J52" s="427" t="str">
        <f>IF(ISBLANK(I$47),"",VLOOKUP($D$47,Standards_Info!$G$2:$H$4,2))</f>
        <v/>
      </c>
      <c r="K52" s="496" t="str">
        <f ca="1">IF(ISBLANK(Main!I48),"",INDEX(OFFSET(Furnace_Data!$V:$V,,-5),MATCH(Main!I48,Furnace_Data!$V:$V,0)))</f>
        <v/>
      </c>
      <c r="L52" s="427"/>
      <c r="M52" s="434" t="s">
        <v>3913</v>
      </c>
      <c r="N52" s="433" t="e">
        <f>IF('Header Info'!BY2="","",'Header Info'!BY2)</f>
        <v>#N/A</v>
      </c>
      <c r="O52" s="350"/>
      <c r="P52" s="568" t="s">
        <v>3911</v>
      </c>
      <c r="Q52" s="569"/>
      <c r="R52" s="570"/>
      <c r="S52" s="507"/>
      <c r="T52" s="512"/>
      <c r="U52" s="568" t="s">
        <v>3911</v>
      </c>
      <c r="V52" s="569"/>
      <c r="W52" s="570"/>
      <c r="X52" s="428"/>
    </row>
    <row r="53" spans="1:24" ht="12.75" customHeight="1" x14ac:dyDescent="0.2">
      <c r="A53" s="214"/>
      <c r="B53" s="293"/>
      <c r="C53" s="435" t="s">
        <v>79</v>
      </c>
      <c r="D53" s="439"/>
      <c r="E53" s="439"/>
      <c r="F53" s="439"/>
      <c r="G53" s="439"/>
      <c r="H53" s="439"/>
      <c r="I53" s="439"/>
      <c r="J53" s="427"/>
      <c r="K53" s="497"/>
      <c r="L53" s="497"/>
      <c r="M53" s="481" t="s">
        <v>3913</v>
      </c>
      <c r="N53" s="433" t="e">
        <f>IF('Header Info'!BZ2="","",'Header Info'!BZ2)</f>
        <v>#N/A</v>
      </c>
      <c r="O53" s="350"/>
      <c r="P53" s="571" t="s">
        <v>5711</v>
      </c>
      <c r="Q53" s="572"/>
      <c r="R53" s="573"/>
      <c r="S53" s="529"/>
      <c r="T53" s="509"/>
      <c r="U53" s="571" t="s">
        <v>5716</v>
      </c>
      <c r="V53" s="572"/>
      <c r="W53" s="573"/>
      <c r="X53" s="456"/>
    </row>
    <row r="54" spans="1:24" x14ac:dyDescent="0.2">
      <c r="A54" s="214"/>
      <c r="B54" s="293"/>
      <c r="C54" s="436" t="s">
        <v>111</v>
      </c>
      <c r="D54" s="359"/>
      <c r="E54" s="359"/>
      <c r="F54" s="359"/>
      <c r="G54" s="359"/>
      <c r="H54" s="359"/>
      <c r="I54" s="359"/>
      <c r="J54" s="351"/>
      <c r="K54" s="482"/>
      <c r="L54" s="483"/>
      <c r="M54" s="484" t="s">
        <v>5112</v>
      </c>
      <c r="N54" s="493" t="s">
        <v>5116</v>
      </c>
      <c r="O54" s="269"/>
      <c r="P54" s="574"/>
      <c r="Q54" s="575"/>
      <c r="R54" s="576"/>
      <c r="S54" s="506"/>
      <c r="T54" s="503"/>
      <c r="U54" s="574"/>
      <c r="V54" s="575"/>
      <c r="W54" s="576"/>
    </row>
    <row r="55" spans="1:24" x14ac:dyDescent="0.2">
      <c r="A55" s="214"/>
      <c r="B55" s="293"/>
      <c r="C55" s="436" t="s">
        <v>236</v>
      </c>
      <c r="D55" s="359"/>
      <c r="E55" s="359"/>
      <c r="F55" s="359"/>
      <c r="G55" s="359"/>
      <c r="H55" s="359"/>
      <c r="I55" s="359"/>
      <c r="J55" s="352"/>
      <c r="K55" s="485"/>
      <c r="L55" s="486"/>
      <c r="M55" s="487" t="s">
        <v>5113</v>
      </c>
      <c r="N55" s="494" t="s">
        <v>5116</v>
      </c>
      <c r="O55" s="269"/>
      <c r="P55" s="457" t="s">
        <v>3914</v>
      </c>
      <c r="Q55" s="457" t="s">
        <v>26</v>
      </c>
      <c r="R55" s="514" t="s">
        <v>3915</v>
      </c>
      <c r="S55" s="518"/>
      <c r="T55" s="516"/>
      <c r="U55" s="460" t="s">
        <v>3916</v>
      </c>
      <c r="V55" s="457" t="s">
        <v>26</v>
      </c>
      <c r="W55" s="457" t="s">
        <v>3917</v>
      </c>
    </row>
    <row r="56" spans="1:24" x14ac:dyDescent="0.2">
      <c r="A56" s="214"/>
      <c r="B56" s="298"/>
      <c r="C56" s="436" t="s">
        <v>237</v>
      </c>
      <c r="D56" s="359"/>
      <c r="E56" s="359"/>
      <c r="F56" s="359"/>
      <c r="G56" s="359"/>
      <c r="H56" s="359"/>
      <c r="I56" s="359"/>
      <c r="J56" s="349"/>
      <c r="K56" s="488"/>
      <c r="L56" s="489"/>
      <c r="M56" s="487" t="s">
        <v>5114</v>
      </c>
      <c r="N56" s="494" t="s">
        <v>5116</v>
      </c>
      <c r="O56" s="269"/>
      <c r="P56" s="458"/>
      <c r="Q56" s="459"/>
      <c r="R56" s="515"/>
      <c r="S56" s="519"/>
      <c r="T56" s="517"/>
      <c r="U56" s="461"/>
      <c r="V56" s="459"/>
      <c r="W56" s="458"/>
    </row>
    <row r="57" spans="1:24" x14ac:dyDescent="0.2">
      <c r="A57" s="214"/>
      <c r="B57" s="291"/>
      <c r="C57" s="426" t="s">
        <v>3919</v>
      </c>
      <c r="D57" s="431"/>
      <c r="E57" s="431"/>
      <c r="F57" s="431"/>
      <c r="G57" s="431"/>
      <c r="H57" s="431"/>
      <c r="I57" s="431"/>
      <c r="J57" s="212"/>
      <c r="K57" s="490"/>
      <c r="L57" s="491"/>
      <c r="M57" s="492" t="s">
        <v>5115</v>
      </c>
      <c r="N57" s="494" t="s">
        <v>5116</v>
      </c>
      <c r="O57" s="269"/>
    </row>
    <row r="58" spans="1:24" x14ac:dyDescent="0.2">
      <c r="A58" s="214"/>
      <c r="B58" s="291"/>
      <c r="C58" s="607" t="s">
        <v>247</v>
      </c>
      <c r="D58" s="608"/>
      <c r="E58" s="608"/>
      <c r="F58" s="608"/>
      <c r="G58" s="608"/>
      <c r="H58" s="608"/>
      <c r="I58" s="608"/>
      <c r="J58" s="608"/>
      <c r="K58" s="612"/>
      <c r="L58" s="613"/>
      <c r="M58" s="375"/>
      <c r="N58" s="375"/>
      <c r="O58" s="375"/>
      <c r="P58" s="375"/>
      <c r="Q58" s="375"/>
      <c r="R58" s="428"/>
      <c r="S58" s="428"/>
      <c r="T58" s="428"/>
      <c r="U58" s="428"/>
    </row>
    <row r="59" spans="1:24" x14ac:dyDescent="0.2">
      <c r="A59" s="214"/>
      <c r="B59" s="291"/>
      <c r="C59" s="607" t="s">
        <v>252</v>
      </c>
      <c r="D59" s="608"/>
      <c r="E59" s="608"/>
      <c r="F59" s="608"/>
      <c r="G59" s="608"/>
      <c r="H59" s="608"/>
      <c r="I59" s="608"/>
      <c r="J59" s="608"/>
      <c r="K59" s="608"/>
      <c r="L59" s="609"/>
      <c r="M59" s="375"/>
      <c r="N59" s="350" t="str">
        <f>"DOORS OPENED FOR " &amp;L16&amp; " SECONDS TO SIMULATE LOAD ENTRY AT " &amp;L17&amp; "."</f>
        <v>DOORS OPENED FOR  SECONDS TO SIMULATE LOAD ENTRY AT .</v>
      </c>
      <c r="O59" s="350"/>
      <c r="P59" s="350"/>
      <c r="Q59" s="350"/>
      <c r="R59" s="448"/>
      <c r="S59" s="448"/>
      <c r="T59" s="448"/>
      <c r="U59" s="448"/>
      <c r="V59" s="448"/>
    </row>
    <row r="60" spans="1:24" x14ac:dyDescent="0.2">
      <c r="A60" s="299"/>
      <c r="B60" s="300"/>
      <c r="C60" s="301"/>
      <c r="D60" s="302" t="s">
        <v>250</v>
      </c>
      <c r="E60" s="303"/>
      <c r="F60" s="304" t="s">
        <v>248</v>
      </c>
      <c r="G60" s="305"/>
      <c r="H60" s="305"/>
      <c r="I60" s="305"/>
      <c r="J60" s="306"/>
      <c r="K60" s="303"/>
      <c r="L60" s="307" t="s">
        <v>249</v>
      </c>
      <c r="M60" s="429"/>
      <c r="N60" s="449" t="str">
        <f>"AFTER TUS, HIGH LIMIT SET AT " &amp;E60&amp; "°F AND OVEN SETPOINT RAISED UNTIL HIGH LIMIT SYSTEM ACTIVATED AT " &amp;K60&amp; "°F."</f>
        <v>AFTER TUS, HIGH LIMIT SET AT °F AND OVEN SETPOINT RAISED UNTIL HIGH LIMIT SYSTEM ACTIVATED AT °F.</v>
      </c>
      <c r="O60" s="449"/>
      <c r="P60" s="350"/>
      <c r="Q60" s="350"/>
      <c r="R60" s="448"/>
      <c r="S60" s="448"/>
      <c r="T60" s="448"/>
      <c r="U60" s="448"/>
      <c r="V60" s="448"/>
    </row>
    <row r="61" spans="1:24" x14ac:dyDescent="0.2">
      <c r="A61" s="308"/>
      <c r="C61" s="302"/>
      <c r="D61" s="302" t="s">
        <v>251</v>
      </c>
      <c r="E61" s="303"/>
      <c r="F61" s="310" t="s">
        <v>253</v>
      </c>
      <c r="G61" s="311"/>
      <c r="H61" s="311"/>
      <c r="I61" s="312"/>
      <c r="J61" s="303"/>
      <c r="K61" s="313" t="s">
        <v>249</v>
      </c>
      <c r="M61" s="428"/>
      <c r="N61" s="449" t="str">
        <f>"AFTER TUS, HIGH LIMIT READING " &amp;E61&amp; "°F AND HIGH LIMIT SETPOINT LOWERED UNTIL ACTIVATION AT " &amp;J61&amp; "°F."</f>
        <v>AFTER TUS, HIGH LIMIT READING °F AND HIGH LIMIT SETPOINT LOWERED UNTIL ACTIVATION AT °F.</v>
      </c>
      <c r="O61" s="450"/>
      <c r="P61" s="448"/>
      <c r="Q61" s="448"/>
      <c r="R61" s="448"/>
      <c r="S61" s="448"/>
      <c r="T61" s="448"/>
      <c r="U61" s="448"/>
      <c r="V61" s="448"/>
    </row>
    <row r="62" spans="1:24" x14ac:dyDescent="0.2">
      <c r="A62" s="308"/>
      <c r="F62" s="375" t="s">
        <v>4421</v>
      </c>
      <c r="G62" s="278"/>
      <c r="H62" s="315"/>
      <c r="I62" s="315"/>
      <c r="M62" s="462"/>
      <c r="N62" s="450"/>
      <c r="O62" s="450"/>
      <c r="P62" s="448"/>
      <c r="Q62" s="448"/>
      <c r="R62" s="448"/>
      <c r="S62" s="448"/>
      <c r="T62" s="448"/>
      <c r="U62" s="448"/>
      <c r="V62" s="448"/>
    </row>
    <row r="63" spans="1:24" x14ac:dyDescent="0.2">
      <c r="A63" s="308"/>
      <c r="C63" s="314"/>
      <c r="D63" s="315"/>
      <c r="E63" s="315"/>
      <c r="F63" s="315"/>
      <c r="G63" s="315"/>
      <c r="H63" s="315"/>
      <c r="I63" s="315"/>
      <c r="M63" s="428"/>
      <c r="N63" s="427"/>
      <c r="O63" s="427"/>
      <c r="P63" s="428"/>
      <c r="Q63" s="428"/>
      <c r="R63" s="428"/>
      <c r="S63" s="428"/>
      <c r="T63" s="428"/>
      <c r="U63" s="428"/>
    </row>
    <row r="64" spans="1:24" x14ac:dyDescent="0.2">
      <c r="A64" s="317"/>
      <c r="C64" s="314"/>
      <c r="D64" s="315"/>
      <c r="E64" s="315"/>
      <c r="F64" s="315"/>
      <c r="G64" s="315"/>
      <c r="H64" s="315"/>
      <c r="I64" s="315"/>
      <c r="M64" s="428"/>
      <c r="N64" s="427"/>
      <c r="O64" s="427"/>
      <c r="P64" s="428"/>
      <c r="Q64" s="428"/>
      <c r="R64" s="428"/>
      <c r="S64" s="428"/>
      <c r="T64" s="428"/>
      <c r="U64" s="428"/>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70">
        <f>MAX(I86:J86)</f>
        <v>2</v>
      </c>
      <c r="I86" s="345">
        <f>D16*0.002</f>
        <v>0</v>
      </c>
      <c r="J86" s="469">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70">
        <f t="shared" ref="H87:H91" si="2">MAX(I87:J87)</f>
        <v>3</v>
      </c>
      <c r="I87" s="345">
        <f>D16*0.003</f>
        <v>0</v>
      </c>
      <c r="J87" s="469">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70">
        <f t="shared" si="2"/>
        <v>4</v>
      </c>
      <c r="I88" s="345">
        <f>D16*0.004</f>
        <v>0</v>
      </c>
      <c r="J88" s="469">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70">
        <f t="shared" si="2"/>
        <v>4</v>
      </c>
      <c r="I89" s="345">
        <f>D16*0.004</f>
        <v>0</v>
      </c>
      <c r="J89" s="469">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70">
        <f t="shared" si="2"/>
        <v>5</v>
      </c>
      <c r="I90" s="345">
        <f>D16*0.005</f>
        <v>0</v>
      </c>
      <c r="J90" s="469">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70">
        <f t="shared" si="2"/>
        <v>10</v>
      </c>
      <c r="I91" s="345">
        <f>D16*0.01</f>
        <v>0</v>
      </c>
      <c r="J91" s="469">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FZAL50aohd00VoPc+Z24hN8Zc0RHSM8X/XtokOjX4u8NWuojJEEvy09HwQPwAQJwHJH05LDgQKKOdJc3zKlw0w==" saltValue="eqWRRbfcpikbLtZ4ekR6XA=="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20">
        <f>Main!D3</f>
        <v>0</v>
      </c>
      <c r="E10" s="620"/>
      <c r="F10" s="620"/>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9" t="s">
        <v>5623</v>
      </c>
      <c r="F15" s="619"/>
      <c r="G15" s="619"/>
      <c r="H15" s="619"/>
    </row>
    <row r="16" spans="3:8" ht="15" x14ac:dyDescent="0.2">
      <c r="C16" s="178"/>
      <c r="D16" s="111"/>
      <c r="E16" s="618" t="s">
        <v>196</v>
      </c>
      <c r="F16" s="618"/>
      <c r="G16" s="618"/>
      <c r="H16" s="618"/>
    </row>
    <row r="17" spans="3:8" ht="15" x14ac:dyDescent="0.2">
      <c r="C17" s="178"/>
      <c r="D17" s="111"/>
      <c r="E17" s="618" t="s">
        <v>197</v>
      </c>
      <c r="F17" s="618"/>
      <c r="G17" s="618"/>
      <c r="H17" s="618"/>
    </row>
    <row r="18" spans="3:8" ht="15" x14ac:dyDescent="0.2">
      <c r="C18" s="178"/>
      <c r="D18" s="111"/>
      <c r="E18" s="618" t="s">
        <v>18</v>
      </c>
      <c r="F18" s="618"/>
      <c r="G18" s="618"/>
      <c r="H18" s="618"/>
    </row>
    <row r="19" spans="3:8" ht="15" x14ac:dyDescent="0.2">
      <c r="C19" s="178"/>
      <c r="D19" s="111"/>
      <c r="E19" s="618" t="s">
        <v>202</v>
      </c>
      <c r="F19" s="618"/>
      <c r="G19" s="618"/>
      <c r="H19" s="618"/>
    </row>
    <row r="20" spans="3:8" ht="15" x14ac:dyDescent="0.2">
      <c r="C20" s="178"/>
      <c r="D20" s="111"/>
      <c r="E20" s="618" t="s">
        <v>199</v>
      </c>
      <c r="F20" s="618"/>
      <c r="G20" s="618"/>
      <c r="H20" s="618"/>
    </row>
    <row r="21" spans="3:8" ht="15" x14ac:dyDescent="0.2">
      <c r="C21" s="178"/>
      <c r="D21" s="111"/>
      <c r="E21" s="618" t="s">
        <v>200</v>
      </c>
      <c r="F21" s="618"/>
      <c r="G21" s="618"/>
      <c r="H21" s="618"/>
    </row>
    <row r="22" spans="3:8" ht="15" x14ac:dyDescent="0.2">
      <c r="C22" s="178"/>
      <c r="D22" s="111"/>
      <c r="E22" s="618" t="s">
        <v>135</v>
      </c>
      <c r="F22" s="618"/>
      <c r="G22" s="618"/>
      <c r="H22" s="618"/>
    </row>
    <row r="23" spans="3:8" ht="15" x14ac:dyDescent="0.2">
      <c r="C23" s="178"/>
      <c r="D23" s="111"/>
      <c r="E23" s="618" t="s">
        <v>201</v>
      </c>
      <c r="F23" s="618"/>
      <c r="G23" s="618"/>
      <c r="H23" s="618"/>
    </row>
    <row r="24" spans="3:8" ht="15" x14ac:dyDescent="0.2">
      <c r="C24" s="120"/>
      <c r="D24" s="111"/>
      <c r="E24" s="618" t="s">
        <v>227</v>
      </c>
      <c r="F24" s="618"/>
      <c r="G24" s="618"/>
      <c r="H24" s="618"/>
    </row>
    <row r="25" spans="3:8" ht="15" x14ac:dyDescent="0.2">
      <c r="C25" s="120"/>
      <c r="D25" s="111"/>
      <c r="E25" s="618"/>
      <c r="F25" s="618"/>
      <c r="G25" s="618"/>
      <c r="H25" s="618"/>
    </row>
    <row r="26" spans="3:8" ht="15" x14ac:dyDescent="0.2">
      <c r="C26" s="120"/>
      <c r="D26" s="111"/>
      <c r="E26" s="618"/>
      <c r="F26" s="618"/>
      <c r="G26" s="618"/>
      <c r="H26" s="618"/>
    </row>
    <row r="27" spans="3:8" ht="15" x14ac:dyDescent="0.2">
      <c r="C27" s="120"/>
      <c r="D27" s="111"/>
      <c r="E27" s="618"/>
      <c r="F27" s="618"/>
      <c r="G27" s="618"/>
      <c r="H27" s="618"/>
    </row>
    <row r="28" spans="3:8" ht="15" x14ac:dyDescent="0.2">
      <c r="C28" s="120"/>
      <c r="D28" s="111"/>
      <c r="E28" s="618"/>
      <c r="F28" s="618"/>
      <c r="G28" s="618"/>
      <c r="H28" s="618"/>
    </row>
    <row r="29" spans="3:8" ht="15" x14ac:dyDescent="0.2">
      <c r="C29" s="120"/>
      <c r="D29" s="111"/>
      <c r="E29" s="618"/>
      <c r="F29" s="618"/>
      <c r="G29" s="618"/>
      <c r="H29" s="618"/>
    </row>
    <row r="30" spans="3:8" ht="15" x14ac:dyDescent="0.2">
      <c r="C30" s="120"/>
      <c r="D30" s="111"/>
      <c r="E30" s="618"/>
      <c r="F30" s="618"/>
      <c r="G30" s="618"/>
      <c r="H30" s="618"/>
    </row>
    <row r="31" spans="3:8" ht="15" x14ac:dyDescent="0.2">
      <c r="C31" s="500" t="s">
        <v>5624</v>
      </c>
      <c r="E31" s="618"/>
      <c r="F31" s="618"/>
      <c r="G31" s="618"/>
      <c r="H31" s="618"/>
    </row>
    <row r="32" spans="3:8" ht="15" x14ac:dyDescent="0.2">
      <c r="C32" s="120"/>
      <c r="D32" s="111"/>
      <c r="E32" s="618"/>
      <c r="F32" s="618"/>
      <c r="G32" s="618"/>
      <c r="H32" s="618"/>
    </row>
    <row r="33" spans="3:8" ht="15" x14ac:dyDescent="0.2">
      <c r="C33" s="120"/>
      <c r="D33" s="111"/>
      <c r="E33" s="618"/>
      <c r="F33" s="618"/>
      <c r="G33" s="618"/>
      <c r="H33" s="618"/>
    </row>
    <row r="34" spans="3:8" ht="15" x14ac:dyDescent="0.2">
      <c r="C34" s="120"/>
      <c r="D34" s="111"/>
      <c r="E34" s="618"/>
      <c r="F34" s="618"/>
      <c r="G34" s="618"/>
      <c r="H34" s="618"/>
    </row>
    <row r="35" spans="3:8" ht="15" x14ac:dyDescent="0.2">
      <c r="C35" s="120"/>
      <c r="D35" s="111"/>
      <c r="E35" s="618"/>
      <c r="F35" s="618"/>
      <c r="G35" s="618"/>
      <c r="H35" s="618"/>
    </row>
    <row r="36" spans="3:8" ht="15" x14ac:dyDescent="0.2">
      <c r="C36" s="111"/>
      <c r="D36" s="111"/>
      <c r="E36" s="618"/>
      <c r="F36" s="618"/>
      <c r="G36" s="618"/>
      <c r="H36" s="618"/>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2"/>
      <c r="D1" s="636" t="s">
        <v>188</v>
      </c>
      <c r="E1" s="636"/>
      <c r="F1" s="636"/>
      <c r="G1" s="636"/>
      <c r="H1" s="636"/>
      <c r="I1" s="636"/>
      <c r="J1" s="636"/>
      <c r="K1" s="636"/>
      <c r="L1" s="636"/>
      <c r="M1" s="636"/>
    </row>
    <row r="2" spans="1:18" ht="23.25" customHeight="1" x14ac:dyDescent="0.3">
      <c r="C2" s="413"/>
      <c r="D2" s="413" t="s">
        <v>2254</v>
      </c>
      <c r="E2" s="413"/>
      <c r="F2" s="413"/>
      <c r="G2" s="413"/>
      <c r="H2" s="413"/>
      <c r="I2" s="413"/>
      <c r="J2" s="413"/>
      <c r="K2" s="413"/>
      <c r="L2" s="413"/>
      <c r="M2" s="413"/>
    </row>
    <row r="3" spans="1:18" ht="23.25" x14ac:dyDescent="0.35">
      <c r="C3" s="637"/>
      <c r="D3" s="637"/>
      <c r="E3" s="637"/>
      <c r="F3" s="637"/>
      <c r="G3" s="637"/>
      <c r="H3" s="637"/>
      <c r="I3" s="637"/>
      <c r="J3" s="637"/>
      <c r="K3" s="637"/>
      <c r="L3" s="637"/>
      <c r="M3" s="637"/>
    </row>
    <row r="4" spans="1:18" ht="23.25" x14ac:dyDescent="0.35">
      <c r="C4" s="397"/>
      <c r="D4" s="397"/>
      <c r="E4" s="397"/>
      <c r="F4" s="397"/>
      <c r="G4" s="397"/>
      <c r="H4" s="397"/>
      <c r="I4" s="397"/>
      <c r="J4" s="397"/>
      <c r="K4" s="397"/>
      <c r="L4" s="397"/>
      <c r="M4" s="397"/>
    </row>
    <row r="5" spans="1:18" ht="23.25" x14ac:dyDescent="0.35">
      <c r="C5" s="654" t="s">
        <v>18</v>
      </c>
      <c r="D5" s="654"/>
      <c r="E5" s="654"/>
      <c r="F5" s="654"/>
      <c r="G5" s="654"/>
      <c r="H5" s="654"/>
      <c r="I5" s="654"/>
      <c r="J5" s="654"/>
      <c r="K5" s="654"/>
      <c r="L5" s="654"/>
      <c r="M5" s="654"/>
    </row>
    <row r="6" spans="1:18" ht="23.25" x14ac:dyDescent="0.35">
      <c r="C6" s="398"/>
      <c r="D6" s="398"/>
      <c r="E6" s="621" t="str">
        <f>IF(Main!K14="","",CONCATENATE("Report Number: ",Main!K14,Main!D24))</f>
        <v/>
      </c>
      <c r="F6" s="621"/>
      <c r="G6" s="621"/>
      <c r="H6" s="621"/>
      <c r="I6" s="621"/>
      <c r="J6" s="621"/>
      <c r="K6" s="621"/>
      <c r="L6" s="398"/>
      <c r="M6" s="398"/>
    </row>
    <row r="7" spans="1:18" ht="18.75" customHeight="1" x14ac:dyDescent="0.3">
      <c r="G7" s="633"/>
      <c r="H7" s="633"/>
      <c r="I7" s="370"/>
      <c r="R7" t="str">
        <f>CONCATENATE("Page ",Main!L9," of ",Main!L10)</f>
        <v xml:space="preserve">Page  of </v>
      </c>
    </row>
    <row r="8" spans="1:18" ht="18" customHeight="1" x14ac:dyDescent="0.25">
      <c r="G8" s="649"/>
      <c r="H8" s="649"/>
      <c r="J8" s="117"/>
      <c r="K8" s="399" t="s">
        <v>2251</v>
      </c>
      <c r="L8" s="394" t="e">
        <f>'Header Info'!AX2</f>
        <v>#N/A</v>
      </c>
      <c r="M8" s="394"/>
      <c r="N8" s="394"/>
      <c r="O8" s="394"/>
    </row>
    <row r="9" spans="1:18" ht="18" customHeight="1" x14ac:dyDescent="0.25">
      <c r="A9" s="399" t="s">
        <v>2203</v>
      </c>
      <c r="B9" s="38">
        <f>Main!D5</f>
        <v>0</v>
      </c>
      <c r="J9" s="117"/>
      <c r="K9" s="399" t="s">
        <v>2252</v>
      </c>
      <c r="L9" s="634" t="e">
        <f>'Header Info'!AY2</f>
        <v>#N/A</v>
      </c>
      <c r="M9" s="634"/>
      <c r="N9" s="634"/>
      <c r="O9" s="634"/>
    </row>
    <row r="10" spans="1:18" ht="18" customHeight="1" x14ac:dyDescent="0.25">
      <c r="A10" s="129"/>
      <c r="B10" s="394" t="e">
        <f>IF('Header Info'!AU2=0,"",'Header Info'!AU2)</f>
        <v>#N/A</v>
      </c>
      <c r="J10" s="117"/>
      <c r="K10" s="399"/>
      <c r="L10" s="634"/>
      <c r="M10" s="634"/>
      <c r="N10" s="634"/>
      <c r="O10" s="634"/>
    </row>
    <row r="11" spans="1:18" ht="18" customHeight="1" x14ac:dyDescent="0.25">
      <c r="A11" s="129"/>
      <c r="B11" s="394" t="e">
        <f>IF('Header Info'!AV2=0,"",'Header Info'!AV2)</f>
        <v>#N/A</v>
      </c>
      <c r="J11" s="117"/>
      <c r="K11" s="399" t="s">
        <v>2253</v>
      </c>
      <c r="L11" s="394" t="e">
        <f>'Header Info'!AZ2</f>
        <v>#N/A</v>
      </c>
      <c r="M11" s="394"/>
      <c r="N11" s="394"/>
      <c r="O11" s="394"/>
    </row>
    <row r="12" spans="1:18" ht="18" customHeight="1" x14ac:dyDescent="0.25">
      <c r="A12" s="129"/>
      <c r="B12" s="394" t="e">
        <f>IF('Header Info'!AW2=0,"",'Header Info'!AW2)</f>
        <v>#N/A</v>
      </c>
      <c r="J12" s="117"/>
      <c r="K12" s="399"/>
      <c r="L12" s="400"/>
      <c r="M12" s="400"/>
      <c r="N12" s="400"/>
      <c r="O12" s="400"/>
    </row>
    <row r="13" spans="1:18" ht="8.1" customHeight="1" x14ac:dyDescent="0.2">
      <c r="A13" s="129"/>
      <c r="K13" s="387"/>
    </row>
    <row r="14" spans="1:18" ht="18" customHeight="1" x14ac:dyDescent="0.25">
      <c r="A14" s="404" t="s">
        <v>2204</v>
      </c>
      <c r="B14" s="401" t="e">
        <f>'Header Info'!BA2</f>
        <v>#N/A</v>
      </c>
      <c r="C14" s="402"/>
      <c r="D14" s="402"/>
      <c r="E14" s="402"/>
      <c r="F14" s="376"/>
      <c r="G14" s="390" t="s">
        <v>2209</v>
      </c>
      <c r="H14" s="401" t="e">
        <f>'Header Info'!BF2</f>
        <v>#N/A</v>
      </c>
      <c r="I14" s="376"/>
      <c r="J14" s="376"/>
      <c r="K14" s="376"/>
      <c r="L14" s="376"/>
      <c r="M14" s="390" t="s">
        <v>2214</v>
      </c>
      <c r="N14" s="401">
        <f>Main!D7</f>
        <v>0</v>
      </c>
      <c r="O14" s="377"/>
    </row>
    <row r="15" spans="1:18" ht="18" customHeight="1" x14ac:dyDescent="0.25">
      <c r="A15" s="405" t="s">
        <v>2205</v>
      </c>
      <c r="B15" s="403" t="e">
        <f>'Header Info'!BB2</f>
        <v>#N/A</v>
      </c>
      <c r="C15" s="394"/>
      <c r="D15" s="394"/>
      <c r="E15" s="394"/>
      <c r="G15" s="399" t="s">
        <v>2210</v>
      </c>
      <c r="H15" s="403" t="e">
        <f>'Header Info'!BG2</f>
        <v>#N/A</v>
      </c>
      <c r="M15" s="399" t="s">
        <v>2215</v>
      </c>
      <c r="N15" s="407">
        <f>Main!D3</f>
        <v>0</v>
      </c>
      <c r="O15" s="378"/>
    </row>
    <row r="16" spans="1:18" ht="18" customHeight="1" x14ac:dyDescent="0.25">
      <c r="A16" s="405" t="s">
        <v>2206</v>
      </c>
      <c r="B16" s="651" t="e">
        <f>'Header Info'!BC2</f>
        <v>#N/A</v>
      </c>
      <c r="C16" s="651"/>
      <c r="D16" s="651"/>
      <c r="E16" s="651"/>
      <c r="G16" s="399" t="s">
        <v>2211</v>
      </c>
      <c r="H16" s="403" t="e">
        <f>'Header Info'!BH2</f>
        <v>#N/A</v>
      </c>
      <c r="M16" s="399" t="s">
        <v>2216</v>
      </c>
      <c r="N16" s="407" t="e">
        <f>IF('Header Info'!BK2="M",EDATE(N15,1),IF('Header Info'!BK2="2 Mo",EDATE(N15,2),IF('Header Info'!BK2="Q",EDATE(N15,3),IF('Header Info'!BK2="4 Mo",EDATE(N15,4),IF('Header Info'!BK2="6 Mo",EDATE(N15,6),IF('Header Info'!BK2="A",EDATE(N15,12),IF('Header Info'!BK2="2Yr",EDATE(N15,24),IF('Header Info'!BK2="3Yr",EDATE(N15,36),IF('Header Info'!BK2="N/A","N/A","")))))))))</f>
        <v>#N/A</v>
      </c>
      <c r="O16" s="378"/>
    </row>
    <row r="17" spans="1:19" ht="18" customHeight="1" x14ac:dyDescent="0.25">
      <c r="A17" s="405" t="s">
        <v>2207</v>
      </c>
      <c r="B17" s="466" t="e">
        <f>'Header Info'!BD2</f>
        <v>#N/A</v>
      </c>
      <c r="C17" s="394"/>
      <c r="D17" s="394"/>
      <c r="E17" s="394"/>
      <c r="G17" s="399" t="s">
        <v>2212</v>
      </c>
      <c r="H17" s="403" t="e">
        <f>'Header Info'!BI2</f>
        <v>#N/A</v>
      </c>
      <c r="M17" s="399" t="str">
        <f>IF(Main!K13="","","PO:")</f>
        <v/>
      </c>
      <c r="N17" s="403" t="str">
        <f>IF(Main!K13="","",Main!K13)</f>
        <v/>
      </c>
      <c r="O17" s="378"/>
    </row>
    <row r="18" spans="1:19" ht="18" customHeight="1" x14ac:dyDescent="0.25">
      <c r="A18" s="405" t="s">
        <v>2208</v>
      </c>
      <c r="B18" s="640" t="e">
        <f>'Header Info'!BE2</f>
        <v>#N/A</v>
      </c>
      <c r="C18" s="640"/>
      <c r="D18" s="640"/>
      <c r="E18" s="640"/>
      <c r="G18" s="399" t="s">
        <v>2213</v>
      </c>
      <c r="H18" s="403" t="e">
        <f>'Header Info'!BJ2</f>
        <v>#N/A</v>
      </c>
      <c r="M18" s="399" t="s">
        <v>2217</v>
      </c>
      <c r="N18" s="403" t="str">
        <f>Main!G18</f>
        <v>ACCEPTED</v>
      </c>
      <c r="O18" s="378"/>
    </row>
    <row r="19" spans="1:19" ht="18" customHeight="1" x14ac:dyDescent="0.25">
      <c r="A19" s="389"/>
      <c r="B19" s="641"/>
      <c r="C19" s="641"/>
      <c r="D19" s="641"/>
      <c r="E19" s="641"/>
      <c r="F19" s="379"/>
      <c r="G19" s="391"/>
      <c r="H19" s="406"/>
      <c r="I19" s="379"/>
      <c r="J19" s="379"/>
      <c r="K19" s="379"/>
      <c r="L19" s="379"/>
      <c r="M19" s="391"/>
      <c r="N19" s="406"/>
      <c r="O19" s="380"/>
    </row>
    <row r="20" spans="1:19" ht="8.1" customHeight="1" x14ac:dyDescent="0.2">
      <c r="A20" s="44"/>
      <c r="B20" s="383"/>
      <c r="C20" s="383"/>
      <c r="D20" s="383"/>
      <c r="N20" s="386"/>
    </row>
    <row r="21" spans="1:19" ht="18" customHeight="1" x14ac:dyDescent="0.25">
      <c r="A21" s="404" t="s">
        <v>2222</v>
      </c>
      <c r="B21" s="652" t="e">
        <f>'Header Info'!BL2</f>
        <v>#N/A</v>
      </c>
      <c r="C21" s="652"/>
      <c r="D21" s="652"/>
      <c r="E21" s="652"/>
      <c r="F21" s="390" t="s">
        <v>2224</v>
      </c>
      <c r="G21" s="652" t="e">
        <f>'Header Info'!BM2</f>
        <v>#N/A</v>
      </c>
      <c r="H21" s="652"/>
      <c r="I21" s="652"/>
      <c r="J21" s="390" t="s">
        <v>2225</v>
      </c>
      <c r="K21" s="402" t="e">
        <f>'Header Info'!BN2</f>
        <v>#N/A</v>
      </c>
      <c r="L21" s="376"/>
      <c r="M21" s="390" t="s">
        <v>2226</v>
      </c>
      <c r="N21" s="415" t="e">
        <f>Main!G27</f>
        <v>#N/A</v>
      </c>
      <c r="O21" s="377"/>
    </row>
    <row r="22" spans="1:19" ht="18" customHeight="1" x14ac:dyDescent="0.25">
      <c r="A22" s="408" t="s">
        <v>2223</v>
      </c>
      <c r="B22" s="653" t="e">
        <f>'Header Info'!BO2</f>
        <v>#N/A</v>
      </c>
      <c r="C22" s="653"/>
      <c r="D22" s="653"/>
      <c r="E22" s="653"/>
      <c r="F22" s="391" t="s">
        <v>2224</v>
      </c>
      <c r="G22" s="653" t="e">
        <f>'Header Info'!BP2</f>
        <v>#N/A</v>
      </c>
      <c r="H22" s="653"/>
      <c r="I22" s="653"/>
      <c r="J22" s="391" t="s">
        <v>2225</v>
      </c>
      <c r="K22" s="414" t="e">
        <f>'Header Info'!BQ2</f>
        <v>#N/A</v>
      </c>
      <c r="L22" s="379"/>
      <c r="M22" s="391" t="s">
        <v>2226</v>
      </c>
      <c r="N22" s="416" t="e">
        <f>Main!G28</f>
        <v>#N/A</v>
      </c>
      <c r="O22" s="380"/>
    </row>
    <row r="23" spans="1:19" ht="8.1" customHeight="1" x14ac:dyDescent="0.25">
      <c r="A23" s="117"/>
      <c r="B23" s="394"/>
      <c r="C23" s="394"/>
      <c r="D23" s="394"/>
      <c r="E23" s="383"/>
    </row>
    <row r="24" spans="1:19" ht="18" customHeight="1" x14ac:dyDescent="0.25">
      <c r="A24" s="404" t="s">
        <v>2227</v>
      </c>
      <c r="B24" s="410">
        <f>Main!D16</f>
        <v>0</v>
      </c>
      <c r="C24" s="402"/>
      <c r="D24" s="402"/>
      <c r="E24" s="384"/>
      <c r="F24" s="376"/>
      <c r="G24" s="390" t="s">
        <v>2230</v>
      </c>
      <c r="H24" s="392">
        <f>Main!D26</f>
        <v>0</v>
      </c>
      <c r="I24" s="376"/>
      <c r="J24" s="376"/>
      <c r="K24" s="376"/>
      <c r="L24" s="388"/>
      <c r="M24" s="390" t="s">
        <v>2234</v>
      </c>
      <c r="N24" s="402" t="str">
        <f ca="1">TEXT(Access_Data!D33,"0.0") &amp; "°F / " &amp; TEXT(Access_Data!H33,"0.0") &amp; "°F"</f>
        <v>0.0°F / 0.0°F</v>
      </c>
      <c r="O24" s="377"/>
    </row>
    <row r="25" spans="1:19" ht="18" customHeight="1" x14ac:dyDescent="0.25">
      <c r="A25" s="405" t="s">
        <v>2228</v>
      </c>
      <c r="B25" s="411">
        <f>Main!D15</f>
        <v>0</v>
      </c>
      <c r="C25" s="394"/>
      <c r="D25" s="394"/>
      <c r="E25" s="383"/>
      <c r="G25" s="399" t="s">
        <v>2231</v>
      </c>
      <c r="H25" s="393" t="e">
        <f>Main!E29</f>
        <v>#VALUE!</v>
      </c>
      <c r="L25" s="117"/>
      <c r="M25" s="399" t="s">
        <v>2235</v>
      </c>
      <c r="N25" s="394" t="e">
        <f>IF(Main!H15=TRUE,Main!G17,"VERIFY LOAD!!!")</f>
        <v>#N/A</v>
      </c>
      <c r="O25" s="378"/>
      <c r="R25" s="205"/>
      <c r="S25" s="111"/>
    </row>
    <row r="26" spans="1:19" ht="18" customHeight="1" x14ac:dyDescent="0.25">
      <c r="A26" s="405" t="s">
        <v>2229</v>
      </c>
      <c r="B26" s="394" t="s">
        <v>1949</v>
      </c>
      <c r="C26" s="394"/>
      <c r="D26" s="394"/>
      <c r="E26" s="383"/>
      <c r="G26" s="399" t="s">
        <v>2232</v>
      </c>
      <c r="H26" s="394" t="str">
        <f>Main!I19</f>
        <v>N/A</v>
      </c>
      <c r="L26" s="117"/>
      <c r="M26" s="399" t="s">
        <v>2233</v>
      </c>
      <c r="N26" s="394" t="e">
        <f ca="1">TEXT(Access_Data!K33,"0.0") &amp; "°F"</f>
        <v>#VALUE!</v>
      </c>
      <c r="O26" s="378"/>
    </row>
    <row r="27" spans="1:19" ht="18" customHeight="1" x14ac:dyDescent="0.2">
      <c r="A27" s="409"/>
      <c r="B27" s="379"/>
      <c r="C27" s="650" t="s">
        <v>2236</v>
      </c>
      <c r="D27" s="650"/>
      <c r="E27" s="650"/>
      <c r="F27" s="650"/>
      <c r="G27" s="650"/>
      <c r="H27" s="650"/>
      <c r="I27" s="650"/>
      <c r="J27" s="650"/>
      <c r="K27" s="650"/>
      <c r="L27" s="650"/>
      <c r="M27" s="650"/>
      <c r="N27" s="379"/>
      <c r="O27" s="380"/>
    </row>
    <row r="28" spans="1:19" ht="8.1" customHeight="1" x14ac:dyDescent="0.2"/>
    <row r="29" spans="1:19" ht="18" customHeight="1" x14ac:dyDescent="0.2">
      <c r="A29" s="646" t="s">
        <v>2183</v>
      </c>
      <c r="B29" s="647"/>
      <c r="C29" s="648"/>
      <c r="D29" s="646" t="s">
        <v>2237</v>
      </c>
      <c r="E29" s="647"/>
      <c r="F29" s="647"/>
      <c r="G29" s="648"/>
      <c r="H29" s="646" t="s">
        <v>2184</v>
      </c>
      <c r="I29" s="647"/>
      <c r="J29" s="647"/>
      <c r="K29" s="648"/>
      <c r="L29" s="646" t="s">
        <v>1758</v>
      </c>
      <c r="M29" s="647"/>
      <c r="N29" s="647"/>
      <c r="O29" s="648"/>
    </row>
    <row r="30" spans="1:19" ht="18" customHeight="1" x14ac:dyDescent="0.2">
      <c r="A30" s="395"/>
      <c r="B30" s="385" t="e">
        <f>'Header Info'!BS2</f>
        <v>#N/A</v>
      </c>
      <c r="C30" s="396"/>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18" t="s">
        <v>2238</v>
      </c>
      <c r="B32" s="635" t="s">
        <v>2239</v>
      </c>
      <c r="C32" s="635"/>
      <c r="D32" s="418" t="s">
        <v>2160</v>
      </c>
      <c r="E32" s="418" t="s">
        <v>2159</v>
      </c>
      <c r="F32" s="418" t="s">
        <v>2240</v>
      </c>
      <c r="G32" s="117"/>
      <c r="H32" s="117"/>
      <c r="I32" s="418" t="s">
        <v>2238</v>
      </c>
      <c r="J32" s="635" t="s">
        <v>2239</v>
      </c>
      <c r="K32" s="635"/>
      <c r="L32" s="418" t="s">
        <v>2160</v>
      </c>
      <c r="M32" s="418" t="s">
        <v>2159</v>
      </c>
      <c r="N32" s="418" t="s">
        <v>2240</v>
      </c>
    </row>
    <row r="33" spans="1:14" ht="18" customHeight="1" x14ac:dyDescent="0.2">
      <c r="A33" s="419" t="str">
        <f>IF(B33="","",1)</f>
        <v/>
      </c>
      <c r="B33" s="633" t="str">
        <f>IF(Main!O5="","",Main!O5)</f>
        <v/>
      </c>
      <c r="C33" s="633"/>
      <c r="D33" s="420" t="str">
        <f ca="1">IF(Access_Data!B27="","",Access_Data!B27)</f>
        <v/>
      </c>
      <c r="E33" s="420" t="str">
        <f ca="1">IF(Access_Data!B29="","",Access_Data!B29)</f>
        <v/>
      </c>
      <c r="F33" s="420" t="str">
        <f ca="1">IF(Access_Data!B31="","",Access_Data!B31)</f>
        <v/>
      </c>
      <c r="G33" s="117"/>
      <c r="H33" s="117"/>
      <c r="I33" s="419" t="str">
        <f>IF(J33="","",21)</f>
        <v/>
      </c>
      <c r="J33" s="633" t="str">
        <f>IF(Main!O25="","",Main!O25)</f>
        <v/>
      </c>
      <c r="K33" s="633"/>
      <c r="L33" s="420" t="str">
        <f ca="1">IF(Access_Data!AB27="","",Access_Data!AB27)</f>
        <v/>
      </c>
      <c r="M33" s="420" t="str">
        <f ca="1">IF(Access_Data!AB29="","",Access_Data!AB29)</f>
        <v/>
      </c>
      <c r="N33" s="420" t="str">
        <f ca="1">IF(Access_Data!AB31="","",Access_Data!AB31)</f>
        <v/>
      </c>
    </row>
    <row r="34" spans="1:14" ht="18" customHeight="1" x14ac:dyDescent="0.2">
      <c r="A34" s="419" t="str">
        <f>IF(B34="","",2)</f>
        <v/>
      </c>
      <c r="B34" s="633" t="str">
        <f>IF(Main!O6="","",Main!O6)</f>
        <v/>
      </c>
      <c r="C34" s="633"/>
      <c r="D34" s="420" t="str">
        <f ca="1">IF(Access_Data!C27="","",Access_Data!C27)</f>
        <v/>
      </c>
      <c r="E34" s="420" t="str">
        <f ca="1">IF(Access_Data!C29="","",Access_Data!C29)</f>
        <v/>
      </c>
      <c r="F34" s="420" t="str">
        <f ca="1">IF(Access_Data!C31="","",Access_Data!C31)</f>
        <v/>
      </c>
      <c r="G34" s="117"/>
      <c r="H34" s="117"/>
      <c r="I34" s="419" t="str">
        <f>IF(J34="","",22)</f>
        <v/>
      </c>
      <c r="J34" s="633" t="str">
        <f>IF(Main!O26="","",Main!O26)</f>
        <v/>
      </c>
      <c r="K34" s="633"/>
      <c r="L34" s="420" t="str">
        <f ca="1">IF(Access_Data!AC27="","",Access_Data!AC27)</f>
        <v/>
      </c>
      <c r="M34" s="420" t="str">
        <f ca="1">IF(Access_Data!AC29="","",Access_Data!AC29)</f>
        <v/>
      </c>
      <c r="N34" s="420" t="str">
        <f ca="1">IF(Access_Data!AC31="","",Access_Data!AC31)</f>
        <v/>
      </c>
    </row>
    <row r="35" spans="1:14" ht="18" customHeight="1" x14ac:dyDescent="0.2">
      <c r="A35" s="419" t="str">
        <f>IF(B35="","",3)</f>
        <v/>
      </c>
      <c r="B35" s="633" t="str">
        <f>IF(Main!O7="","",Main!O7)</f>
        <v/>
      </c>
      <c r="C35" s="633"/>
      <c r="D35" s="420" t="str">
        <f ca="1">IF(Access_Data!D27="","",Access_Data!D27)</f>
        <v/>
      </c>
      <c r="E35" s="420" t="str">
        <f ca="1">IF(Access_Data!D29="","",Access_Data!D29)</f>
        <v/>
      </c>
      <c r="F35" s="420" t="str">
        <f ca="1">IF(Access_Data!D31="","",Access_Data!D31)</f>
        <v/>
      </c>
      <c r="G35" s="117"/>
      <c r="H35" s="117"/>
      <c r="I35" s="419" t="str">
        <f>IF(J35="","",23)</f>
        <v/>
      </c>
      <c r="J35" s="633" t="str">
        <f>IF(Main!O27="","",Main!O27)</f>
        <v/>
      </c>
      <c r="K35" s="633"/>
      <c r="L35" s="420" t="str">
        <f ca="1">IF(Access_Data!AD27="","",Access_Data!AD27)</f>
        <v/>
      </c>
      <c r="M35" s="420" t="str">
        <f ca="1">IF(Access_Data!AD29="","",Access_Data!AD29)</f>
        <v/>
      </c>
      <c r="N35" s="420" t="str">
        <f ca="1">IF(Access_Data!AD31="","",Access_Data!AD31)</f>
        <v/>
      </c>
    </row>
    <row r="36" spans="1:14" ht="18" customHeight="1" x14ac:dyDescent="0.2">
      <c r="A36" s="419" t="str">
        <f>IF(B36="","",4)</f>
        <v/>
      </c>
      <c r="B36" s="633" t="str">
        <f>IF(Main!O8="","",Main!O8)</f>
        <v/>
      </c>
      <c r="C36" s="633"/>
      <c r="D36" s="420" t="str">
        <f ca="1">IF(Access_Data!E27="","",Access_Data!E27)</f>
        <v/>
      </c>
      <c r="E36" s="420" t="str">
        <f ca="1">IF(Access_Data!E29="","",Access_Data!E29)</f>
        <v/>
      </c>
      <c r="F36" s="420" t="str">
        <f ca="1">IF(Access_Data!E31="","",Access_Data!E31)</f>
        <v/>
      </c>
      <c r="G36" s="117"/>
      <c r="H36" s="117"/>
      <c r="I36" s="419" t="str">
        <f>IF(J36="","",24)</f>
        <v/>
      </c>
      <c r="J36" s="633" t="str">
        <f>IF(Main!O28="","",Main!O28)</f>
        <v/>
      </c>
      <c r="K36" s="633"/>
      <c r="L36" s="420" t="str">
        <f ca="1">IF(Access_Data!AE27="","",Access_Data!AE27)</f>
        <v/>
      </c>
      <c r="M36" s="420" t="str">
        <f ca="1">IF(Access_Data!AE29="","",Access_Data!AE29)</f>
        <v/>
      </c>
      <c r="N36" s="420" t="str">
        <f ca="1">IF(Access_Data!AE31="","",Access_Data!AE31)</f>
        <v/>
      </c>
    </row>
    <row r="37" spans="1:14" ht="18" customHeight="1" x14ac:dyDescent="0.2">
      <c r="A37" s="419" t="str">
        <f>IF(B37="","",5)</f>
        <v/>
      </c>
      <c r="B37" s="633" t="str">
        <f>IF(Main!O9="","",Main!O9)</f>
        <v/>
      </c>
      <c r="C37" s="633"/>
      <c r="D37" s="420" t="str">
        <f ca="1">IF(Access_Data!F27="","",Access_Data!F27)</f>
        <v/>
      </c>
      <c r="E37" s="420" t="str">
        <f ca="1">IF(Access_Data!F29="","",Access_Data!F29)</f>
        <v/>
      </c>
      <c r="F37" s="420" t="str">
        <f ca="1">IF(Access_Data!F31="","",Access_Data!F31)</f>
        <v/>
      </c>
      <c r="G37" s="117"/>
      <c r="H37" s="117"/>
      <c r="I37" s="419" t="str">
        <f>IF(J37="","",25)</f>
        <v/>
      </c>
      <c r="J37" s="633" t="str">
        <f>IF(Main!O29="","",Main!O29)</f>
        <v/>
      </c>
      <c r="K37" s="633"/>
      <c r="L37" s="420" t="str">
        <f ca="1">IF(Access_Data!AF27="","",Access_Data!AF27)</f>
        <v/>
      </c>
      <c r="M37" s="420" t="str">
        <f ca="1">IF(Access_Data!AF29="","",Access_Data!AF29)</f>
        <v/>
      </c>
      <c r="N37" s="420" t="str">
        <f ca="1">IF(Access_Data!AF31="","",Access_Data!AF31)</f>
        <v/>
      </c>
    </row>
    <row r="38" spans="1:14" ht="18" customHeight="1" x14ac:dyDescent="0.2">
      <c r="A38" s="419" t="str">
        <f>IF(B38="","",6)</f>
        <v/>
      </c>
      <c r="B38" s="633" t="str">
        <f>IF(Main!O10="","",Main!O10)</f>
        <v/>
      </c>
      <c r="C38" s="633"/>
      <c r="D38" s="420" t="str">
        <f ca="1">IF(Access_Data!G27="","",Access_Data!G27)</f>
        <v/>
      </c>
      <c r="E38" s="420" t="str">
        <f ca="1">IF(Access_Data!G29="","",Access_Data!G29)</f>
        <v/>
      </c>
      <c r="F38" s="420" t="str">
        <f ca="1">IF(Access_Data!G31="","",Access_Data!G31)</f>
        <v/>
      </c>
      <c r="G38" s="117"/>
      <c r="H38" s="117"/>
      <c r="I38" s="419" t="str">
        <f>IF(J38="","",26)</f>
        <v/>
      </c>
      <c r="J38" s="633" t="str">
        <f>IF(Main!O30="","",Main!O30)</f>
        <v/>
      </c>
      <c r="K38" s="633"/>
      <c r="L38" s="420" t="str">
        <f ca="1">IF(Access_Data!AG27="","",Access_Data!AG27)</f>
        <v/>
      </c>
      <c r="M38" s="420" t="str">
        <f ca="1">IF(Access_Data!AG29="","",Access_Data!AG29)</f>
        <v/>
      </c>
      <c r="N38" s="420" t="str">
        <f ca="1">IF(Access_Data!AG31="","",Access_Data!AG31)</f>
        <v/>
      </c>
    </row>
    <row r="39" spans="1:14" ht="18" customHeight="1" x14ac:dyDescent="0.2">
      <c r="A39" s="419" t="str">
        <f>IF(B39="","",7)</f>
        <v/>
      </c>
      <c r="B39" s="633" t="str">
        <f>IF(Main!O11="","",Main!O11)</f>
        <v/>
      </c>
      <c r="C39" s="633"/>
      <c r="D39" s="420" t="str">
        <f ca="1">IF(Access_Data!H27="","",Access_Data!H27)</f>
        <v/>
      </c>
      <c r="E39" s="420" t="str">
        <f ca="1">IF(Access_Data!H29="","",Access_Data!H29)</f>
        <v/>
      </c>
      <c r="F39" s="420" t="str">
        <f ca="1">IF(Access_Data!H31="","",Access_Data!H31)</f>
        <v/>
      </c>
      <c r="G39" s="117"/>
      <c r="H39" s="117"/>
      <c r="I39" s="419" t="str">
        <f>IF(J39="","",27)</f>
        <v/>
      </c>
      <c r="J39" s="633" t="str">
        <f>IF(Main!O31="","",Main!O31)</f>
        <v/>
      </c>
      <c r="K39" s="633"/>
      <c r="L39" s="420" t="str">
        <f ca="1">IF(Access_Data!AH27="","",Access_Data!AH27)</f>
        <v/>
      </c>
      <c r="M39" s="420" t="str">
        <f ca="1">IF(Access_Data!AH29="","",Access_Data!AH29)</f>
        <v/>
      </c>
      <c r="N39" s="420" t="str">
        <f ca="1">IF(Access_Data!AH31="","",Access_Data!AH31)</f>
        <v/>
      </c>
    </row>
    <row r="40" spans="1:14" ht="18" customHeight="1" x14ac:dyDescent="0.2">
      <c r="A40" s="419" t="str">
        <f>IF(B40="","",8)</f>
        <v/>
      </c>
      <c r="B40" s="633" t="str">
        <f>IF(Main!O12="","",Main!O12)</f>
        <v/>
      </c>
      <c r="C40" s="633"/>
      <c r="D40" s="420" t="str">
        <f ca="1">IF(Access_Data!I27="","",Access_Data!I27)</f>
        <v/>
      </c>
      <c r="E40" s="420" t="str">
        <f ca="1">IF(Access_Data!I29="","",Access_Data!I29)</f>
        <v/>
      </c>
      <c r="F40" s="420" t="str">
        <f ca="1">IF(Access_Data!I31="","",Access_Data!I31)</f>
        <v/>
      </c>
      <c r="G40" s="117"/>
      <c r="H40" s="117"/>
      <c r="I40" s="419" t="str">
        <f>IF(J40="","",28)</f>
        <v/>
      </c>
      <c r="J40" s="633" t="str">
        <f>IF(Main!O32="","",Main!O32)</f>
        <v/>
      </c>
      <c r="K40" s="633"/>
      <c r="L40" s="420" t="str">
        <f ca="1">IF(Access_Data!AI27="","",Access_Data!AI27)</f>
        <v/>
      </c>
      <c r="M40" s="420" t="str">
        <f ca="1">IF(Access_Data!AI29="","",Access_Data!AI29)</f>
        <v/>
      </c>
      <c r="N40" s="420" t="str">
        <f ca="1">IF(Access_Data!AI31="","",Access_Data!AI31)</f>
        <v/>
      </c>
    </row>
    <row r="41" spans="1:14" ht="18" customHeight="1" x14ac:dyDescent="0.2">
      <c r="A41" s="419" t="str">
        <f>IF(B41="","",9)</f>
        <v/>
      </c>
      <c r="B41" s="633" t="str">
        <f>IF(Main!O13="","",Main!O13)</f>
        <v/>
      </c>
      <c r="C41" s="633"/>
      <c r="D41" s="420" t="str">
        <f ca="1">IF(Access_Data!J27="","",Access_Data!J27)</f>
        <v/>
      </c>
      <c r="E41" s="420" t="str">
        <f ca="1">IF(Access_Data!J29="","",Access_Data!J29)</f>
        <v/>
      </c>
      <c r="F41" s="420" t="str">
        <f ca="1">IF(Access_Data!J31="","",Access_Data!J31)</f>
        <v/>
      </c>
      <c r="G41" s="117"/>
      <c r="H41" s="117"/>
      <c r="I41" s="419" t="str">
        <f>IF(J41="","",29)</f>
        <v/>
      </c>
      <c r="J41" s="633" t="str">
        <f>IF(Main!O33="","",Main!O33)</f>
        <v/>
      </c>
      <c r="K41" s="633"/>
      <c r="L41" s="420" t="str">
        <f ca="1">IF(Access_Data!AP27="","",Access_Data!AP27)</f>
        <v/>
      </c>
      <c r="M41" s="420" t="str">
        <f ca="1">IF(Access_Data!AP29="","",Access_Data!AP29)</f>
        <v/>
      </c>
      <c r="N41" s="420" t="str">
        <f ca="1">IF(Access_Data!AP31="","",Access_Data!AP31)</f>
        <v/>
      </c>
    </row>
    <row r="42" spans="1:14" ht="18" customHeight="1" x14ac:dyDescent="0.2">
      <c r="A42" s="419" t="str">
        <f>IF(B42="","",10)</f>
        <v/>
      </c>
      <c r="B42" s="633" t="str">
        <f>IF(Main!O14="","",Main!O14)</f>
        <v/>
      </c>
      <c r="C42" s="633"/>
      <c r="D42" s="420" t="str">
        <f ca="1">IF(Access_Data!K27="","",Access_Data!K27)</f>
        <v/>
      </c>
      <c r="E42" s="420" t="str">
        <f ca="1">IF(Access_Data!K29="","",Access_Data!K29)</f>
        <v/>
      </c>
      <c r="F42" s="420" t="str">
        <f ca="1">IF(Access_Data!K31="","",Access_Data!K31)</f>
        <v/>
      </c>
      <c r="G42" s="117"/>
      <c r="H42" s="117"/>
      <c r="I42" s="419" t="str">
        <f>IF(J42="","",30)</f>
        <v/>
      </c>
      <c r="J42" s="633" t="str">
        <f>IF(Main!O34="","",Main!O34)</f>
        <v/>
      </c>
      <c r="K42" s="633"/>
      <c r="L42" s="420" t="str">
        <f ca="1">IF(Access_Data!AQ27="","",Access_Data!AQ27)</f>
        <v/>
      </c>
      <c r="M42" s="420" t="str">
        <f ca="1">IF(Access_Data!AQ29="","",Access_Data!AQ29)</f>
        <v/>
      </c>
      <c r="N42" s="420">
        <f ca="1">IF(Access_Data!AQ31="","",Access_Data!AQ31)</f>
        <v>0</v>
      </c>
    </row>
    <row r="43" spans="1:14" ht="18" customHeight="1" x14ac:dyDescent="0.2">
      <c r="A43" s="419" t="str">
        <f>IF(B43="","",11)</f>
        <v/>
      </c>
      <c r="B43" s="633" t="str">
        <f>IF(Main!O15="","",Main!O15)</f>
        <v/>
      </c>
      <c r="C43" s="633"/>
      <c r="D43" s="420" t="str">
        <f ca="1">IF(Access_Data!L27="","",Access_Data!L27)</f>
        <v/>
      </c>
      <c r="E43" s="420" t="str">
        <f ca="1">IF(Access_Data!L29="","",Access_Data!L29)</f>
        <v/>
      </c>
      <c r="F43" s="420" t="str">
        <f ca="1">IF(Access_Data!L31="","",Access_Data!L31)</f>
        <v/>
      </c>
      <c r="G43" s="117"/>
      <c r="H43" s="117"/>
      <c r="I43" s="419" t="str">
        <f>IF(J43="","",31)</f>
        <v/>
      </c>
      <c r="J43" s="633" t="str">
        <f>IF(Main!O35="","",Main!O35)</f>
        <v/>
      </c>
      <c r="K43" s="633"/>
      <c r="L43" s="420" t="str">
        <f ca="1">IF(Access_Data!AR27="","",Access_Data!AR27)</f>
        <v/>
      </c>
      <c r="M43" s="420" t="str">
        <f ca="1">IF(Access_Data!AR29="","",Access_Data!AR29)</f>
        <v/>
      </c>
      <c r="N43" s="420">
        <f ca="1">IF(Access_Data!AR31="","",Access_Data!AR31)</f>
        <v>0</v>
      </c>
    </row>
    <row r="44" spans="1:14" ht="18" customHeight="1" x14ac:dyDescent="0.2">
      <c r="A44" s="419" t="str">
        <f>IF(B44="","",12)</f>
        <v/>
      </c>
      <c r="B44" s="633" t="str">
        <f>IF(Main!O16="","",Main!O16)</f>
        <v/>
      </c>
      <c r="C44" s="633"/>
      <c r="D44" s="420" t="str">
        <f ca="1">IF(Access_Data!M27="","",Access_Data!M27)</f>
        <v/>
      </c>
      <c r="E44" s="420" t="str">
        <f ca="1">IF(Access_Data!M29="","",Access_Data!M29)</f>
        <v/>
      </c>
      <c r="F44" s="420" t="str">
        <f ca="1">IF(Access_Data!M31="","",Access_Data!M31)</f>
        <v/>
      </c>
      <c r="G44" s="117"/>
      <c r="H44" s="117"/>
      <c r="I44" s="419" t="str">
        <f>IF(J44="","",32)</f>
        <v/>
      </c>
      <c r="J44" s="633" t="str">
        <f>IF(Main!O36="","",Main!O36)</f>
        <v/>
      </c>
      <c r="K44" s="633"/>
      <c r="L44" s="420" t="str">
        <f ca="1">IF(Access_Data!AS27="","",Access_Data!AS27)</f>
        <v/>
      </c>
      <c r="M44" s="420" t="str">
        <f ca="1">IF(Access_Data!AS29="","",Access_Data!AS29)</f>
        <v/>
      </c>
      <c r="N44" s="420">
        <f ca="1">IF(Access_Data!AS31="","",Access_Data!AS31)</f>
        <v>0</v>
      </c>
    </row>
    <row r="45" spans="1:14" ht="18" customHeight="1" x14ac:dyDescent="0.2">
      <c r="A45" s="419" t="str">
        <f>IF(B45="","",13)</f>
        <v/>
      </c>
      <c r="B45" s="633" t="str">
        <f>IF(Main!O17="","",Main!O17)</f>
        <v/>
      </c>
      <c r="C45" s="633"/>
      <c r="D45" s="420" t="str">
        <f ca="1">IF(Access_Data!N27="","",Access_Data!N27)</f>
        <v/>
      </c>
      <c r="E45" s="420" t="str">
        <f ca="1">IF(Access_Data!N29="","",Access_Data!N29)</f>
        <v/>
      </c>
      <c r="F45" s="420" t="str">
        <f ca="1">IF(Access_Data!N31="","",Access_Data!N31)</f>
        <v/>
      </c>
      <c r="G45" s="117"/>
      <c r="H45" s="117"/>
      <c r="I45" s="419" t="str">
        <f>IF(J45="","",33)</f>
        <v/>
      </c>
      <c r="J45" s="633" t="str">
        <f>IF(Main!O37="","",Main!O37)</f>
        <v/>
      </c>
      <c r="K45" s="633"/>
      <c r="L45" s="420" t="str">
        <f ca="1">IF(Access_Data!AT27="","",Access_Data!AT27)</f>
        <v/>
      </c>
      <c r="M45" s="420" t="str">
        <f ca="1">IF(Access_Data!AT29="","",Access_Data!AT29)</f>
        <v/>
      </c>
      <c r="N45" s="420">
        <f ca="1">IF(Access_Data!AT31="","",Access_Data!AT31)</f>
        <v>0</v>
      </c>
    </row>
    <row r="46" spans="1:14" ht="18" customHeight="1" x14ac:dyDescent="0.2">
      <c r="A46" s="419" t="str">
        <f>IF(B46="","",14)</f>
        <v/>
      </c>
      <c r="B46" s="633" t="str">
        <f>IF(Main!O18="","",Main!O18)</f>
        <v/>
      </c>
      <c r="C46" s="633"/>
      <c r="D46" s="420" t="str">
        <f ca="1">IF(Access_Data!O27="","",Access_Data!O27)</f>
        <v/>
      </c>
      <c r="E46" s="420" t="str">
        <f ca="1">IF(Access_Data!O29="","",Access_Data!O29)</f>
        <v/>
      </c>
      <c r="F46" s="420" t="str">
        <f ca="1">IF(Access_Data!O31="","",Access_Data!O31)</f>
        <v/>
      </c>
      <c r="G46" s="117"/>
      <c r="H46" s="117"/>
      <c r="I46" s="419" t="str">
        <f>IF(J46="","",34)</f>
        <v/>
      </c>
      <c r="J46" s="633" t="str">
        <f>IF(Main!O38="","",Main!O38)</f>
        <v/>
      </c>
      <c r="K46" s="633"/>
      <c r="L46" s="420" t="str">
        <f ca="1">IF(Access_Data!AU27="","",Access_Data!AU27)</f>
        <v/>
      </c>
      <c r="M46" s="420" t="str">
        <f ca="1">IF(Access_Data!AU29="","",Access_Data!AU29)</f>
        <v/>
      </c>
      <c r="N46" s="420">
        <f ca="1">IF(Access_Data!AU31="","",Access_Data!AU31)</f>
        <v>0</v>
      </c>
    </row>
    <row r="47" spans="1:14" ht="18" customHeight="1" x14ac:dyDescent="0.2">
      <c r="A47" s="419" t="str">
        <f>IF(B47="","",15)</f>
        <v/>
      </c>
      <c r="B47" s="633" t="str">
        <f>IF(Main!O19="","",Main!O19)</f>
        <v/>
      </c>
      <c r="C47" s="633"/>
      <c r="D47" s="420" t="str">
        <f ca="1">IF(Access_Data!V27="","",Access_Data!V27)</f>
        <v/>
      </c>
      <c r="E47" s="420" t="str">
        <f ca="1">IF(Access_Data!V29="","",Access_Data!V29)</f>
        <v/>
      </c>
      <c r="F47" s="420" t="str">
        <f ca="1">IF(Access_Data!V31="","",Access_Data!V31)</f>
        <v/>
      </c>
      <c r="G47" s="117"/>
      <c r="H47" s="117"/>
      <c r="I47" s="419" t="str">
        <f>IF(J47="","",35)</f>
        <v/>
      </c>
      <c r="J47" s="633" t="str">
        <f>IF(Main!O39="","",Main!O39)</f>
        <v/>
      </c>
      <c r="K47" s="633"/>
      <c r="L47" s="420" t="str">
        <f ca="1">IF(Access_Data!AV27="","",Access_Data!AV27)</f>
        <v/>
      </c>
      <c r="M47" s="420" t="str">
        <f ca="1">IF(Access_Data!AV29="","",Access_Data!AV29)</f>
        <v/>
      </c>
      <c r="N47" s="420">
        <f ca="1">IF(Access_Data!AV31="","",Access_Data!AV31)</f>
        <v>0</v>
      </c>
    </row>
    <row r="48" spans="1:14" ht="18" customHeight="1" x14ac:dyDescent="0.2">
      <c r="A48" s="419" t="str">
        <f>IF(B48="","",16)</f>
        <v/>
      </c>
      <c r="B48" s="633" t="str">
        <f>IF(Main!O20="","",Main!O20)</f>
        <v/>
      </c>
      <c r="C48" s="633"/>
      <c r="D48" s="420" t="str">
        <f ca="1">IF(Access_Data!W27="","",Access_Data!W27)</f>
        <v/>
      </c>
      <c r="E48" s="420" t="str">
        <f ca="1">IF(Access_Data!W29="","",Access_Data!W29)</f>
        <v/>
      </c>
      <c r="F48" s="420" t="str">
        <f ca="1">IF(Access_Data!W31="","",Access_Data!W31)</f>
        <v/>
      </c>
      <c r="G48" s="117"/>
      <c r="H48" s="117"/>
      <c r="I48" s="419" t="str">
        <f>IF(J48="","",36)</f>
        <v/>
      </c>
      <c r="J48" s="633" t="str">
        <f>IF(Main!O40="","",Main!O40)</f>
        <v/>
      </c>
      <c r="K48" s="633"/>
      <c r="L48" s="420" t="str">
        <f ca="1">IF(Access_Data!AW27="","",Access_Data!AW27)</f>
        <v/>
      </c>
      <c r="M48" s="420" t="str">
        <f ca="1">IF(Access_Data!AW29="","",Access_Data!AW29)</f>
        <v/>
      </c>
      <c r="N48" s="420">
        <f ca="1">IF(Access_Data!AW31="","",Access_Data!AW31)</f>
        <v>0</v>
      </c>
    </row>
    <row r="49" spans="1:23" ht="18" customHeight="1" x14ac:dyDescent="0.2">
      <c r="A49" s="419" t="str">
        <f>IF(B49="","",17)</f>
        <v/>
      </c>
      <c r="B49" s="633" t="str">
        <f>IF(Main!O21="","",Main!O21)</f>
        <v/>
      </c>
      <c r="C49" s="633"/>
      <c r="D49" s="420" t="str">
        <f ca="1">IF(Access_Data!X27="","",Access_Data!X27)</f>
        <v/>
      </c>
      <c r="E49" s="420" t="str">
        <f ca="1">IF(Access_Data!X29="","",Access_Data!X29)</f>
        <v/>
      </c>
      <c r="F49" s="420" t="str">
        <f ca="1">IF(Access_Data!X31="","",Access_Data!X31)</f>
        <v/>
      </c>
      <c r="G49" s="117"/>
      <c r="H49" s="117"/>
      <c r="I49" s="419" t="str">
        <f>IF(J49="","",37)</f>
        <v/>
      </c>
      <c r="J49" s="633" t="str">
        <f>IF(Main!O41="","",Main!O41)</f>
        <v/>
      </c>
      <c r="K49" s="633"/>
      <c r="L49" s="420" t="str">
        <f ca="1">IF(Access_Data!AX27="","",Access_Data!AX27)</f>
        <v/>
      </c>
      <c r="M49" s="420" t="str">
        <f ca="1">IF(Access_Data!AX29="","",Access_Data!AX29)</f>
        <v/>
      </c>
      <c r="N49" s="420">
        <f ca="1">IF(Access_Data!AX31="","",Access_Data!AX31)</f>
        <v>0</v>
      </c>
    </row>
    <row r="50" spans="1:23" ht="18" customHeight="1" x14ac:dyDescent="0.2">
      <c r="A50" s="419" t="str">
        <f>IF(B50="","",18)</f>
        <v/>
      </c>
      <c r="B50" s="633" t="str">
        <f>IF(Main!O22="","",Main!O22)</f>
        <v/>
      </c>
      <c r="C50" s="633"/>
      <c r="D50" s="420" t="str">
        <f ca="1">IF(Access_Data!Y27="","",Access_Data!Y27)</f>
        <v/>
      </c>
      <c r="E50" s="420" t="str">
        <f ca="1">IF(Access_Data!Y29="","",Access_Data!Y29)</f>
        <v/>
      </c>
      <c r="F50" s="420" t="str">
        <f ca="1">IF(Access_Data!Y31="","",Access_Data!Y31)</f>
        <v/>
      </c>
      <c r="G50" s="117"/>
      <c r="H50" s="117"/>
      <c r="I50" s="419" t="str">
        <f>IF(J50="","",38)</f>
        <v/>
      </c>
      <c r="J50" s="633" t="str">
        <f>IF(Main!O42="","",Main!O42)</f>
        <v/>
      </c>
      <c r="K50" s="633"/>
      <c r="L50" s="420" t="str">
        <f ca="1">IF(Access_Data!AY27="","",Access_Data!AY27)</f>
        <v/>
      </c>
      <c r="M50" s="420" t="str">
        <f ca="1">IF(Access_Data!AY29="","",Access_Data!AY29)</f>
        <v/>
      </c>
      <c r="N50" s="420">
        <f ca="1">IF(Access_Data!AY31="","",Access_Data!AY31)</f>
        <v>0</v>
      </c>
    </row>
    <row r="51" spans="1:23" ht="18" customHeight="1" x14ac:dyDescent="0.2">
      <c r="A51" s="419" t="str">
        <f>IF(B51="","",19)</f>
        <v/>
      </c>
      <c r="B51" s="633" t="str">
        <f>IF(Main!O23="","",Main!O23)</f>
        <v/>
      </c>
      <c r="C51" s="633"/>
      <c r="D51" s="420" t="str">
        <f ca="1">IF(Access_Data!Z27="","",Access_Data!X27)</f>
        <v/>
      </c>
      <c r="E51" s="420" t="str">
        <f ca="1">IF(Access_Data!Z29="","",Access_Data!Z29)</f>
        <v/>
      </c>
      <c r="F51" s="420" t="str">
        <f ca="1">IF(Access_Data!Z31="","",Access_Data!Z31)</f>
        <v/>
      </c>
      <c r="G51" s="117"/>
      <c r="H51" s="117"/>
      <c r="I51" s="419" t="str">
        <f>IF(J51="","",39)</f>
        <v/>
      </c>
      <c r="J51" s="633" t="str">
        <f>IF(Main!O43="","",Main!O43)</f>
        <v/>
      </c>
      <c r="K51" s="633"/>
      <c r="L51" s="420" t="str">
        <f ca="1">IF(Access_Data!AZ27="","",Access_Data!AZ27)</f>
        <v/>
      </c>
      <c r="M51" s="420" t="str">
        <f ca="1">IF(Access_Data!AZ29="","",Access_Data!AZ29)</f>
        <v/>
      </c>
      <c r="N51" s="420">
        <f ca="1">IF(Access_Data!AZ31="","",Access_Data!AZ31)</f>
        <v>0</v>
      </c>
    </row>
    <row r="52" spans="1:23" ht="18" customHeight="1" x14ac:dyDescent="0.2">
      <c r="A52" s="419" t="str">
        <f>IF(B52="","",20)</f>
        <v/>
      </c>
      <c r="B52" s="633" t="str">
        <f>IF(Main!O24="","",Main!O24)</f>
        <v/>
      </c>
      <c r="C52" s="633"/>
      <c r="D52" s="420" t="str">
        <f ca="1">IF(Access_Data!AA27="","",Access_Data!AA27)</f>
        <v/>
      </c>
      <c r="E52" s="420" t="str">
        <f ca="1">IF(Access_Data!AA29="","",Access_Data!AA29)</f>
        <v/>
      </c>
      <c r="F52" s="420" t="str">
        <f ca="1">IF(Access_Data!AA31="","",Access_Data!AA31)</f>
        <v/>
      </c>
      <c r="G52" s="117"/>
      <c r="H52" s="117"/>
      <c r="I52" s="419" t="str">
        <f>IF(J52="","",40)</f>
        <v/>
      </c>
      <c r="J52" s="633" t="str">
        <f>IF(Main!O44="","",Main!O44)</f>
        <v/>
      </c>
      <c r="K52" s="633"/>
      <c r="L52" s="420" t="str">
        <f ca="1">IF(Access_Data!BA27="","",Access_Data!BA27)</f>
        <v/>
      </c>
      <c r="M52" s="420" t="str">
        <f ca="1">IF(Access_Data!BA29="","",Access_Data!BA29)</f>
        <v/>
      </c>
      <c r="N52" s="420">
        <f ca="1">IF(Access_Data!BA31="","",Access_Data!BA31)</f>
        <v>0</v>
      </c>
    </row>
    <row r="53" spans="1:23" ht="18" customHeight="1" x14ac:dyDescent="0.2">
      <c r="B53" s="639" t="s">
        <v>2241</v>
      </c>
      <c r="C53" s="639"/>
      <c r="D53" s="639"/>
      <c r="E53" s="639"/>
      <c r="F53" s="639"/>
      <c r="G53" s="639"/>
      <c r="H53" s="639"/>
      <c r="I53" s="639"/>
      <c r="J53" s="639"/>
      <c r="K53" s="639"/>
      <c r="L53" s="639"/>
      <c r="M53" s="639"/>
      <c r="N53" s="639"/>
    </row>
    <row r="54" spans="1:23" ht="18" customHeight="1" x14ac:dyDescent="0.25">
      <c r="A54" s="421" t="s">
        <v>2242</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4"/>
      <c r="B55" s="634"/>
      <c r="C55" s="634"/>
      <c r="D55" s="634"/>
      <c r="E55" s="634"/>
      <c r="F55" s="634"/>
      <c r="G55" s="634"/>
      <c r="H55" s="634"/>
      <c r="I55" s="634"/>
      <c r="J55" s="634"/>
      <c r="K55" s="634"/>
      <c r="L55" s="634"/>
      <c r="M55" s="634"/>
      <c r="N55" s="634"/>
      <c r="O55" s="634"/>
    </row>
    <row r="56" spans="1:23" ht="18" customHeight="1" x14ac:dyDescent="0.25">
      <c r="A56" s="114"/>
      <c r="B56" s="634"/>
      <c r="C56" s="634"/>
      <c r="D56" s="634"/>
      <c r="E56" s="634"/>
      <c r="F56" s="634"/>
      <c r="G56" s="634"/>
      <c r="H56" s="634"/>
      <c r="I56" s="634"/>
      <c r="J56" s="634"/>
      <c r="K56" s="634"/>
      <c r="L56" s="634"/>
      <c r="M56" s="634"/>
      <c r="N56" s="634"/>
      <c r="O56" s="634"/>
    </row>
    <row r="57" spans="1:23" ht="18" customHeight="1" x14ac:dyDescent="0.25">
      <c r="A57" s="114"/>
      <c r="B57" s="634"/>
      <c r="C57" s="634"/>
      <c r="D57" s="634"/>
      <c r="E57" s="634"/>
      <c r="F57" s="634"/>
      <c r="G57" s="634"/>
      <c r="H57" s="634"/>
      <c r="I57" s="634"/>
      <c r="J57" s="634"/>
      <c r="K57" s="634"/>
      <c r="L57" s="634"/>
      <c r="M57" s="634"/>
      <c r="N57" s="634"/>
      <c r="O57" s="634"/>
    </row>
    <row r="58" spans="1:23" ht="18" customHeight="1" x14ac:dyDescent="0.25">
      <c r="A58" s="114"/>
      <c r="B58" s="634"/>
      <c r="C58" s="634"/>
      <c r="D58" s="634"/>
      <c r="E58" s="634"/>
      <c r="F58" s="634"/>
      <c r="G58" s="634"/>
      <c r="H58" s="634"/>
      <c r="I58" s="634"/>
      <c r="J58" s="634"/>
      <c r="K58" s="634"/>
      <c r="L58" s="634"/>
      <c r="M58" s="634"/>
      <c r="N58" s="634"/>
      <c r="O58" s="634"/>
    </row>
    <row r="59" spans="1:23" ht="18" customHeight="1" x14ac:dyDescent="0.25">
      <c r="A59" s="114"/>
      <c r="B59" s="634"/>
      <c r="C59" s="634"/>
      <c r="D59" s="634"/>
      <c r="E59" s="634"/>
      <c r="F59" s="634"/>
      <c r="G59" s="634"/>
      <c r="H59" s="634"/>
      <c r="I59" s="634"/>
      <c r="J59" s="634"/>
      <c r="K59" s="634"/>
      <c r="L59" s="634"/>
      <c r="M59" s="634"/>
      <c r="N59" s="634"/>
      <c r="O59" s="634"/>
    </row>
    <row r="60" spans="1:23" ht="18" customHeight="1" x14ac:dyDescent="0.2">
      <c r="A60" s="638" t="s">
        <v>2250</v>
      </c>
      <c r="B60" s="638"/>
      <c r="C60" s="638"/>
      <c r="D60" s="638"/>
      <c r="E60" s="638"/>
      <c r="F60" s="638"/>
      <c r="G60" s="638"/>
      <c r="H60" s="638"/>
      <c r="I60" s="638"/>
      <c r="J60" s="638"/>
      <c r="K60" s="638"/>
      <c r="L60" s="638"/>
      <c r="M60" s="638"/>
      <c r="N60" s="638"/>
      <c r="O60" s="638"/>
    </row>
    <row r="61" spans="1:23" ht="18" customHeight="1" x14ac:dyDescent="0.2">
      <c r="A61" s="642" t="s">
        <v>2243</v>
      </c>
      <c r="B61" s="642"/>
      <c r="C61" s="642"/>
      <c r="D61" s="642"/>
      <c r="E61" s="642"/>
      <c r="F61" s="632" t="s">
        <v>2244</v>
      </c>
      <c r="G61" s="632"/>
      <c r="H61" s="632"/>
      <c r="I61" s="632" t="s">
        <v>2245</v>
      </c>
      <c r="J61" s="632"/>
      <c r="K61" s="632" t="s">
        <v>2246</v>
      </c>
      <c r="L61" s="632"/>
      <c r="M61" s="632" t="s">
        <v>2247</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76" t="str">
        <f ca="1">IF(ISBLANK(Main!D9),"",INDEX(OFFSET(Furnace_Data!$U:$U,,-2),MATCH(Main!D9,Furnace_Data!$U:$U,0)))</f>
        <v/>
      </c>
      <c r="T62" s="376" t="str">
        <f ca="1">IF(ISBLANK(Main!D9),"",INDEX(OFFSET(Furnace_Data!$U:$U,,-1),MATCH(Main!D9,Furnace_Data!$U:$U,0)))</f>
        <v/>
      </c>
      <c r="W62" s="376"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76" t="str">
        <f>IF(Main!$L$47="","",VLOOKUP(Main!$L$47,Furnace_Data!$Q$1:$V$100,3,FALSE))</f>
        <v/>
      </c>
      <c r="T63" s="376" t="str">
        <f>IF(Main!$L$47="","",VLOOKUP(Main!$L$47,Furnace_Data!$Q$1:$V$100,4,FALSE))</f>
        <v/>
      </c>
      <c r="V63" s="376"/>
      <c r="W63" s="376"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76" t="str">
        <f>IF(Main!$L$48="","",VLOOKUP(Main!$L$48,Furnace_Data!$Q$1:$V$100,3,FALSE))</f>
        <v/>
      </c>
      <c r="T64" s="376" t="str">
        <f>IF(Main!$L$48="","",VLOOKUP(Main!$L$48,Furnace_Data!$Q$1:$V$100,4,FALSE))</f>
        <v/>
      </c>
      <c r="V64" s="376"/>
      <c r="W64" s="376"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76" t="str">
        <f>IF(Main!$L49="","",VLOOKUP(Main!$L49,Furnace_Data!$Q$1:$V$100,3,FALSE))</f>
        <v/>
      </c>
      <c r="T65" s="376" t="str">
        <f>IF(Main!$L49="","",VLOOKUP(Main!$L49,Furnace_Data!$Q$1:$V$100,4,FALSE))</f>
        <v/>
      </c>
      <c r="V65" s="376"/>
      <c r="W65" s="376"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76" t="str">
        <f>IF(Main!$L50="","",VLOOKUP(Main!$L50,Furnace_Data!$Q$1:$V$100,3,FALSE))</f>
        <v/>
      </c>
      <c r="T66" s="376" t="str">
        <f>IF(Main!$L50="","",VLOOKUP(Main!$L50,Furnace_Data!$Q$1:$V$100,4,FALSE))</f>
        <v/>
      </c>
      <c r="V66" s="376"/>
      <c r="W66" s="376"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76" t="str">
        <f>IF(Main!$L51="","",VLOOKUP(Main!$L51,Furnace_Data!$Q$1:$V$100,3,FALSE))</f>
        <v/>
      </c>
      <c r="T67" s="376" t="str">
        <f>IF(Main!$L51="","",VLOOKUP(Main!$L51,Furnace_Data!$Q$1:$V$100,4,FALSE))</f>
        <v/>
      </c>
      <c r="V67" s="376"/>
      <c r="W67" s="376"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76" t="str">
        <f>IF(Main!$L52="","",VLOOKUP(Main!$L52,Furnace_Data!$Q$1:$V$100,3,FALSE))</f>
        <v/>
      </c>
      <c r="T68" s="376" t="str">
        <f>IF(Main!$L52="","",VLOOKUP(Main!$L52,Furnace_Data!$Q$1:$V$100,4,FALSE))</f>
        <v/>
      </c>
      <c r="V68" s="376"/>
      <c r="W68" s="376"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1"/>
      <c r="C70" s="381"/>
      <c r="D70" s="381"/>
      <c r="E70" s="381"/>
      <c r="F70" s="381"/>
      <c r="G70" s="381"/>
      <c r="H70" s="381"/>
      <c r="I70" s="382"/>
      <c r="J70" s="382"/>
      <c r="K70" s="382"/>
      <c r="L70" s="382"/>
      <c r="M70" s="381"/>
      <c r="N70" s="381"/>
      <c r="O70" s="381"/>
    </row>
    <row r="71" spans="1:23" ht="18" customHeight="1" x14ac:dyDescent="0.2">
      <c r="A71" s="655" t="s">
        <v>5229</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7" t="s">
        <v>2248</v>
      </c>
      <c r="N80" s="417" t="s">
        <v>2249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4" t="s">
        <v>132</v>
      </c>
      <c r="N2" s="664"/>
      <c r="O2" s="664"/>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5" t="s">
        <v>133</v>
      </c>
      <c r="N3" s="666"/>
      <c r="O3" s="667"/>
      <c r="P3" s="146"/>
      <c r="Q3" s="146"/>
    </row>
    <row r="4" spans="1:18" ht="15" x14ac:dyDescent="0.25">
      <c r="B4" s="157" t="s">
        <v>38</v>
      </c>
      <c r="C4" s="93"/>
      <c r="D4" s="44"/>
      <c r="E4" s="44"/>
      <c r="F4" s="44"/>
      <c r="G4" s="44"/>
      <c r="H4" s="44"/>
      <c r="I4" s="44"/>
      <c r="J4" s="44"/>
      <c r="K4" s="44"/>
      <c r="L4" s="44"/>
      <c r="M4" s="668" t="s">
        <v>221</v>
      </c>
      <c r="N4" s="669"/>
      <c r="O4" s="670"/>
      <c r="P4" s="127"/>
    </row>
    <row r="5" spans="1:18" x14ac:dyDescent="0.2">
      <c r="B5" s="158" t="s">
        <v>39</v>
      </c>
      <c r="C5" s="87">
        <f>Main!D3</f>
        <v>0</v>
      </c>
      <c r="D5" s="44"/>
      <c r="E5" s="44"/>
      <c r="F5" s="44"/>
      <c r="G5" s="44"/>
      <c r="H5" s="44"/>
      <c r="I5" s="85" t="s">
        <v>9</v>
      </c>
      <c r="J5" s="44">
        <f>Main!D5</f>
        <v>0</v>
      </c>
      <c r="L5" s="44"/>
      <c r="M5" s="671" t="s">
        <v>220</v>
      </c>
      <c r="N5" s="672"/>
      <c r="O5" s="673"/>
      <c r="P5" s="177"/>
    </row>
    <row r="6" spans="1:18" ht="13.5" thickBot="1" x14ac:dyDescent="0.25">
      <c r="B6" s="158" t="s">
        <v>7</v>
      </c>
      <c r="C6" s="88">
        <f>Main!D6</f>
        <v>0</v>
      </c>
      <c r="D6" s="44"/>
      <c r="E6" s="44"/>
      <c r="F6" s="44"/>
      <c r="G6" s="44"/>
      <c r="H6" s="44"/>
      <c r="I6" s="85" t="s">
        <v>10</v>
      </c>
      <c r="J6" s="84">
        <f>Main!D16</f>
        <v>0</v>
      </c>
      <c r="L6" s="44"/>
      <c r="M6" s="674" t="s">
        <v>219</v>
      </c>
      <c r="N6" s="675"/>
      <c r="O6" s="676"/>
      <c r="P6" s="128"/>
    </row>
    <row r="7" spans="1:18" ht="13.5" thickBot="1" x14ac:dyDescent="0.25">
      <c r="B7" s="158" t="s">
        <v>40</v>
      </c>
      <c r="C7" s="88">
        <f>Main!D7</f>
        <v>0</v>
      </c>
      <c r="D7" s="44"/>
      <c r="E7" s="44"/>
      <c r="F7" s="44"/>
      <c r="G7" s="44"/>
      <c r="H7" s="44"/>
      <c r="I7" s="90" t="s">
        <v>260</v>
      </c>
      <c r="J7" s="662">
        <f>Main!$D$30</f>
        <v>0</v>
      </c>
      <c r="K7" s="663"/>
      <c r="L7" s="143"/>
      <c r="M7" s="661" t="s">
        <v>218</v>
      </c>
      <c r="N7" s="661"/>
      <c r="O7" s="661"/>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7" t="s">
        <v>132</v>
      </c>
      <c r="N2" s="677"/>
      <c r="O2" s="677"/>
      <c r="P2" s="155" t="str">
        <f>IF(Main!$E$30="","A10",ADDRESS(13+Standards_Info!W2+(MATCH(Main!$E$30,Data_Sheet!$A$14:$A$903,0)),1,4))</f>
        <v>A10</v>
      </c>
    </row>
    <row r="3" spans="1:16" ht="15" x14ac:dyDescent="0.25">
      <c r="B3" s="170" t="s">
        <v>0</v>
      </c>
      <c r="C3" s="4"/>
      <c r="M3" s="665" t="s">
        <v>133</v>
      </c>
      <c r="N3" s="666"/>
      <c r="O3" s="667"/>
      <c r="P3" s="47"/>
    </row>
    <row r="4" spans="1:16" ht="15" x14ac:dyDescent="0.25">
      <c r="B4" s="157" t="s">
        <v>38</v>
      </c>
      <c r="C4" s="5"/>
      <c r="M4" s="668" t="s">
        <v>221</v>
      </c>
      <c r="N4" s="669"/>
      <c r="O4" s="670"/>
    </row>
    <row r="5" spans="1:16" x14ac:dyDescent="0.2">
      <c r="B5" s="158" t="s">
        <v>39</v>
      </c>
      <c r="C5" s="87">
        <f>Main!D3</f>
        <v>0</v>
      </c>
      <c r="D5" s="44"/>
      <c r="E5" s="44"/>
      <c r="F5" s="44"/>
      <c r="G5" s="44"/>
      <c r="H5" s="44"/>
      <c r="I5" s="85" t="s">
        <v>9</v>
      </c>
      <c r="J5">
        <f>Main!D5</f>
        <v>0</v>
      </c>
      <c r="M5" s="678" t="s">
        <v>220</v>
      </c>
      <c r="N5" s="679"/>
      <c r="O5" s="680"/>
    </row>
    <row r="6" spans="1:16" ht="13.5" thickBot="1" x14ac:dyDescent="0.25">
      <c r="B6" s="158" t="s">
        <v>7</v>
      </c>
      <c r="C6" s="88">
        <f>Main!D6</f>
        <v>0</v>
      </c>
      <c r="D6" s="44"/>
      <c r="E6" s="44"/>
      <c r="F6" s="44"/>
      <c r="G6" s="44"/>
      <c r="H6" s="44"/>
      <c r="I6" s="85" t="s">
        <v>10</v>
      </c>
      <c r="J6" s="46">
        <f>Main!D16</f>
        <v>0</v>
      </c>
      <c r="M6" s="674" t="s">
        <v>219</v>
      </c>
      <c r="N6" s="675"/>
      <c r="O6" s="676"/>
    </row>
    <row r="7" spans="1:16" ht="13.5" thickBot="1" x14ac:dyDescent="0.25">
      <c r="B7" s="158" t="s">
        <v>40</v>
      </c>
      <c r="C7" s="88">
        <f>Main!D7</f>
        <v>0</v>
      </c>
      <c r="D7" s="44"/>
      <c r="E7" s="44"/>
      <c r="F7" s="44"/>
      <c r="G7" s="44"/>
      <c r="H7" s="44"/>
      <c r="I7" s="90" t="s">
        <v>260</v>
      </c>
      <c r="J7" s="662">
        <f>Main!$D$30</f>
        <v>0</v>
      </c>
      <c r="K7" s="663"/>
      <c r="L7" s="143"/>
      <c r="M7" s="661" t="s">
        <v>218</v>
      </c>
      <c r="N7" s="661"/>
      <c r="O7" s="661"/>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7" t="s">
        <v>132</v>
      </c>
      <c r="N2" s="677"/>
      <c r="O2" s="677"/>
      <c r="P2" s="47" t="str">
        <f>IF(Main!$E$30="","A10",ADDRESS(13+Standards_Info!W2+(MATCH(Main!$E$30,Data_Sheet!$A$14:$A$903,0)),1,4))</f>
        <v>A10</v>
      </c>
    </row>
    <row r="3" spans="1:16" ht="15" x14ac:dyDescent="0.25">
      <c r="B3" s="170" t="s">
        <v>0</v>
      </c>
      <c r="C3" s="4"/>
      <c r="M3" s="665" t="s">
        <v>133</v>
      </c>
      <c r="N3" s="666"/>
      <c r="O3" s="667"/>
      <c r="P3" s="47"/>
    </row>
    <row r="4" spans="1:16" ht="15" x14ac:dyDescent="0.25">
      <c r="B4" s="157" t="s">
        <v>38</v>
      </c>
      <c r="C4" s="5"/>
      <c r="M4" s="668" t="s">
        <v>221</v>
      </c>
      <c r="N4" s="669"/>
      <c r="O4" s="670"/>
    </row>
    <row r="5" spans="1:16" x14ac:dyDescent="0.2">
      <c r="B5" s="158" t="s">
        <v>39</v>
      </c>
      <c r="C5" s="87">
        <f>Main!D3</f>
        <v>0</v>
      </c>
      <c r="D5" s="44"/>
      <c r="E5" s="44"/>
      <c r="F5" s="44"/>
      <c r="G5" s="44"/>
      <c r="H5" s="44"/>
      <c r="I5" s="85" t="s">
        <v>9</v>
      </c>
      <c r="J5" s="44">
        <f>Main!D5</f>
        <v>0</v>
      </c>
      <c r="L5" s="44"/>
      <c r="M5" s="671" t="s">
        <v>220</v>
      </c>
      <c r="N5" s="672"/>
      <c r="O5" s="673"/>
    </row>
    <row r="6" spans="1:16" ht="13.5" thickBot="1" x14ac:dyDescent="0.25">
      <c r="B6" s="158" t="s">
        <v>7</v>
      </c>
      <c r="C6" s="88">
        <f>Main!D6</f>
        <v>0</v>
      </c>
      <c r="D6" s="44"/>
      <c r="E6" s="44"/>
      <c r="F6" s="44"/>
      <c r="G6" s="44"/>
      <c r="H6" s="44"/>
      <c r="I6" s="85" t="s">
        <v>10</v>
      </c>
      <c r="J6" s="84">
        <f>Main!D16</f>
        <v>0</v>
      </c>
      <c r="L6" s="44"/>
      <c r="M6" s="674" t="s">
        <v>219</v>
      </c>
      <c r="N6" s="675"/>
      <c r="O6" s="676"/>
    </row>
    <row r="7" spans="1:16" ht="13.5" thickBot="1" x14ac:dyDescent="0.25">
      <c r="B7" s="158" t="s">
        <v>40</v>
      </c>
      <c r="C7" s="88">
        <f>Main!D7</f>
        <v>0</v>
      </c>
      <c r="D7" s="44"/>
      <c r="E7" s="44"/>
      <c r="F7" s="44"/>
      <c r="G7" s="44"/>
      <c r="H7" s="44"/>
      <c r="I7" s="90" t="s">
        <v>260</v>
      </c>
      <c r="J7" s="662">
        <f>Main!$D$30</f>
        <v>0</v>
      </c>
      <c r="K7" s="663"/>
      <c r="L7" s="143"/>
      <c r="M7" s="661" t="s">
        <v>218</v>
      </c>
      <c r="N7" s="661"/>
      <c r="O7" s="661"/>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51"/>
    <col min="17" max="17" width="9.140625" style="553"/>
    <col min="18" max="18" width="37.85546875" style="551" bestFit="1" customWidth="1"/>
    <col min="19" max="19" width="9.85546875" style="551" bestFit="1" customWidth="1"/>
    <col min="20" max="20" width="21.85546875" style="551" bestFit="1" customWidth="1"/>
    <col min="21" max="21" width="14.42578125" style="551" customWidth="1"/>
    <col min="22" max="22" width="16" style="551" customWidth="1"/>
    <col min="23" max="23" width="9.140625" style="551"/>
    <col min="24" max="25" width="9.140625" style="16"/>
    <col min="26" max="16384" width="9.140625" style="8"/>
  </cols>
  <sheetData>
    <row r="1" spans="1:29" x14ac:dyDescent="0.25">
      <c r="G1" s="10" t="s">
        <v>0</v>
      </c>
      <c r="H1" s="8"/>
      <c r="I1" s="9"/>
      <c r="K1" s="8"/>
      <c r="M1" s="8" t="s">
        <v>19</v>
      </c>
      <c r="O1" s="366"/>
      <c r="R1" s="551" t="e">
        <f ca="1">IF(T1=0, 0, IF(T1 &gt; Main!G93 + (1-D19)*0.4, 1, ""))</f>
        <v>#VALUE!</v>
      </c>
      <c r="T1" s="551" t="e" cm="1">
        <f t="array" aca="1" ref="T1" ca="1">MAX(ABS(E10:E18))</f>
        <v>#VALUE!</v>
      </c>
      <c r="U1" s="551" t="e" cm="1">
        <f t="array" aca="1" ref="U1" ca="1">MAX(ABS(H10:H18))</f>
        <v>#VALUE!</v>
      </c>
      <c r="X1" s="366"/>
      <c r="Y1" s="366"/>
      <c r="Z1" s="368"/>
      <c r="AA1" s="368"/>
      <c r="AB1" s="368"/>
      <c r="AC1" s="368"/>
    </row>
    <row r="2" spans="1:29" ht="18.75" customHeight="1" x14ac:dyDescent="0.25">
      <c r="H2" s="11" t="s">
        <v>20</v>
      </c>
      <c r="I2" s="9"/>
      <c r="K2" s="8"/>
      <c r="M2" s="8" t="s">
        <v>33</v>
      </c>
      <c r="O2" s="366"/>
      <c r="R2" s="551" t="e">
        <f ca="1">IF(U1=0, 0, IF(U1 &gt; Main!G93 + (1-D31)*0.4, 1, ""))</f>
        <v>#VALUE!</v>
      </c>
      <c r="T2" s="551" t="e" cm="1">
        <f t="array" aca="1" ref="T2" ca="1">MAX(ABS(K10:K18))</f>
        <v>#VALUE!</v>
      </c>
      <c r="U2" s="551" t="e" cm="1">
        <f t="array" aca="1" ref="U2" ca="1">MAX(ABS(N10:N18))</f>
        <v>#VALUE!</v>
      </c>
      <c r="X2" s="366"/>
      <c r="Y2" s="366"/>
      <c r="Z2" s="368"/>
      <c r="AA2" s="368"/>
      <c r="AB2" s="368"/>
      <c r="AC2" s="368"/>
    </row>
    <row r="3" spans="1:29" ht="23.25" customHeight="1" x14ac:dyDescent="0.25">
      <c r="D3" s="35" t="s">
        <v>39</v>
      </c>
      <c r="E3" s="42">
        <f>Main!D3</f>
        <v>0</v>
      </c>
      <c r="G3" s="12"/>
      <c r="H3" s="8"/>
      <c r="J3" s="35" t="s">
        <v>54</v>
      </c>
      <c r="K3" s="13">
        <f>Main!D5</f>
        <v>0</v>
      </c>
      <c r="L3" s="9"/>
      <c r="O3" s="366"/>
      <c r="R3" s="551" t="e">
        <f ca="1">IF(T2=0, 0, IF(T2 &gt; Main!G93 + (1-G19)*0.4, 1, ""))</f>
        <v>#VALUE!</v>
      </c>
      <c r="T3" s="551" t="e" cm="1">
        <f t="array" ref="T3">MAX(ABS(E22:E30))</f>
        <v>#VALUE!</v>
      </c>
      <c r="U3" s="551" t="e" cm="1">
        <f t="array" ref="U3">MAX(ABS(H22:H30))</f>
        <v>#VALUE!</v>
      </c>
      <c r="X3" s="366"/>
      <c r="Y3" s="366"/>
      <c r="Z3" s="368"/>
      <c r="AA3" s="368"/>
      <c r="AB3" s="368"/>
      <c r="AC3" s="368"/>
    </row>
    <row r="4" spans="1:29" x14ac:dyDescent="0.25">
      <c r="D4" s="36" t="s">
        <v>53</v>
      </c>
      <c r="E4" s="10">
        <f>Main!D6</f>
        <v>0</v>
      </c>
      <c r="H4" s="8"/>
      <c r="J4" s="36" t="s">
        <v>55</v>
      </c>
      <c r="K4" s="14">
        <f>Main!D16</f>
        <v>0</v>
      </c>
      <c r="L4" s="9"/>
      <c r="O4" s="366"/>
      <c r="R4" s="551" t="e">
        <f ca="1">IF(U2=0, 0, IF(U2 &gt; Main!G93 + (1-G31)*0.4, 1, ""))</f>
        <v>#VALUE!</v>
      </c>
      <c r="T4" s="551" t="e" cm="1">
        <f t="array" ref="T4">MAX(ABS(K22:K30))</f>
        <v>#VALUE!</v>
      </c>
      <c r="U4" s="551" t="e" cm="1">
        <f t="array" ref="U4">MAX(ABS(N22:N30))</f>
        <v>#N/A</v>
      </c>
      <c r="X4" s="366"/>
      <c r="Y4" s="366"/>
      <c r="Z4" s="368"/>
      <c r="AA4" s="368"/>
      <c r="AB4" s="368"/>
      <c r="AC4" s="368"/>
    </row>
    <row r="5" spans="1:29" x14ac:dyDescent="0.25">
      <c r="D5" s="36" t="s">
        <v>40</v>
      </c>
      <c r="E5" s="8">
        <f>Main!D7</f>
        <v>0</v>
      </c>
      <c r="H5" s="8"/>
      <c r="J5" s="37" t="s">
        <v>21</v>
      </c>
      <c r="K5" s="48">
        <f>Main!D18</f>
        <v>4</v>
      </c>
      <c r="O5" s="366"/>
      <c r="R5" s="551" t="e">
        <f>IF(T3=0, 0, IF(T3 &gt; Main!G93 + (1-J19)*0.4, 1, ""))</f>
        <v>#VALUE!</v>
      </c>
      <c r="T5" s="553"/>
      <c r="X5" s="366"/>
      <c r="Y5" s="366"/>
      <c r="Z5" s="368"/>
      <c r="AA5" s="368"/>
      <c r="AB5" s="368"/>
      <c r="AC5" s="368"/>
    </row>
    <row r="6" spans="1:29" ht="15.75" customHeight="1" x14ac:dyDescent="0.25">
      <c r="D6" s="36" t="s">
        <v>22</v>
      </c>
      <c r="E6" s="472" t="e">
        <f>IF(ISBLANK(Main!G95),"",Main!G95)</f>
        <v>#N/A</v>
      </c>
      <c r="G6" s="15" t="e">
        <f ca="1">IF(OR(R1:R8),"CHECK READINGS!!!","")</f>
        <v>#VALUE!</v>
      </c>
      <c r="J6" s="16"/>
      <c r="L6" s="9"/>
      <c r="O6" s="366"/>
      <c r="R6" s="551" t="e">
        <f>IF(U3=0, 0, IF(U3 &gt; Main!G93 + (1-J31)*0.4, 1, ""))</f>
        <v>#VALUE!</v>
      </c>
      <c r="T6" s="553"/>
      <c r="X6" s="366"/>
      <c r="Y6" s="366"/>
      <c r="Z6" s="368"/>
      <c r="AA6" s="368"/>
      <c r="AB6" s="368"/>
      <c r="AC6" s="368"/>
    </row>
    <row r="7" spans="1:29" x14ac:dyDescent="0.25">
      <c r="E7" s="8"/>
      <c r="F7" s="34" t="s">
        <v>23</v>
      </c>
      <c r="O7" s="366"/>
      <c r="R7" s="551" t="e">
        <f>IF(T4=0, 0, IF(T4 &gt; Main!G93 + (1-M19)*0.4, 1, ""))</f>
        <v>#VALUE!</v>
      </c>
      <c r="T7" s="553"/>
      <c r="X7" s="366"/>
      <c r="Y7" s="366"/>
      <c r="Z7" s="368"/>
      <c r="AA7" s="368"/>
      <c r="AB7" s="368"/>
      <c r="AC7" s="36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6"/>
      <c r="R8" s="551" t="e">
        <f>IF(U4=0, 0, IF(U4 &gt; Main!G93 + (1-M31)*0.4, 1, ""))</f>
        <v>#N/A</v>
      </c>
      <c r="T8" s="553"/>
      <c r="X8" s="366"/>
      <c r="Y8" s="366"/>
      <c r="Z8" s="368"/>
      <c r="AA8" s="368"/>
      <c r="AB8" s="368"/>
      <c r="AC8" s="36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6"/>
      <c r="T9" s="553"/>
      <c r="X9" s="366"/>
      <c r="Y9" s="366"/>
      <c r="Z9" s="368"/>
      <c r="AA9" s="368"/>
      <c r="AB9" s="368"/>
      <c r="AC9" s="368"/>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6" t="e">
        <f ca="1">IF(R1,D9 &amp; " IS OOT!!!","")</f>
        <v>#VALUE!</v>
      </c>
      <c r="R10" s="552"/>
      <c r="T10" s="553"/>
      <c r="X10" s="366"/>
      <c r="Y10" s="366"/>
      <c r="Z10" s="368"/>
      <c r="AA10" s="368"/>
      <c r="AB10" s="368"/>
      <c r="AC10" s="368"/>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6" t="e">
        <f ca="1">IF(R2, G9 &amp; " IS OOT!!!","")</f>
        <v>#VALUE!</v>
      </c>
      <c r="R11" s="553"/>
      <c r="S11" s="552"/>
      <c r="T11" s="554" t="s">
        <v>5911</v>
      </c>
      <c r="U11" s="551" t="s">
        <v>5912</v>
      </c>
      <c r="V11" s="551" t="s">
        <v>5913</v>
      </c>
      <c r="X11" s="366"/>
      <c r="Y11" s="366"/>
      <c r="Z11" s="368"/>
      <c r="AA11" s="368"/>
      <c r="AB11" s="368"/>
      <c r="AC11" s="368"/>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6" t="e">
        <f ca="1">IF(R3, J9 &amp; " IS OOT!!!","")</f>
        <v>#VALUE!</v>
      </c>
      <c r="S12" s="551" cm="1">
        <f t="array" ref="S12">LOOKUP($K$5,Table7[#Headers]+0,Table7[#This Row])</f>
        <v>2</v>
      </c>
      <c r="U12" s="551">
        <v>2</v>
      </c>
      <c r="V12" s="551">
        <v>2</v>
      </c>
      <c r="X12" s="366"/>
      <c r="Y12" s="366"/>
      <c r="Z12" s="368"/>
      <c r="AA12" s="368"/>
      <c r="AB12" s="368"/>
      <c r="AC12" s="368"/>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6" t="e">
        <f ca="1">IF(R4, M9 &amp;" IS OOT!!!","")</f>
        <v>#VALUE!</v>
      </c>
      <c r="S13" s="551" cm="1">
        <f t="array" ref="S13">LOOKUP($K$5,Table7[#Headers]+0,Table7[#This Row])</f>
        <v>4</v>
      </c>
      <c r="U13" s="551">
        <v>4</v>
      </c>
      <c r="V13" s="551">
        <v>7</v>
      </c>
      <c r="X13" s="366"/>
      <c r="Y13" s="366"/>
      <c r="Z13" s="368"/>
      <c r="AA13" s="368"/>
      <c r="AB13" s="368"/>
      <c r="AC13" s="368"/>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7"/>
      <c r="S14" s="551" cm="1">
        <f t="array" ref="S14">LOOKUP($K$5,Table7[#Headers]+0,Table7[#This Row])</f>
        <v>6</v>
      </c>
      <c r="U14" s="551">
        <v>6</v>
      </c>
      <c r="V14" s="551">
        <v>12</v>
      </c>
      <c r="X14" s="366"/>
      <c r="Y14" s="366"/>
      <c r="Z14" s="368"/>
      <c r="AA14" s="368"/>
      <c r="AB14" s="368"/>
      <c r="AC14" s="368"/>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7"/>
      <c r="S15" s="551" cm="1">
        <f t="array" ref="S15">LOOKUP($K$5,Table7[#Headers]+0,Table7[#This Row])</f>
        <v>8</v>
      </c>
      <c r="U15" s="551">
        <v>8</v>
      </c>
      <c r="V15" s="551">
        <v>17</v>
      </c>
      <c r="X15" s="366"/>
      <c r="Y15" s="366"/>
      <c r="Z15" s="368"/>
      <c r="AA15" s="368"/>
      <c r="AB15" s="368"/>
      <c r="AC15" s="368"/>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7"/>
      <c r="S16" s="551" cm="1">
        <f t="array" ref="S16">LOOKUP($K$5,Table7[#Headers]+0,Table7[#This Row])</f>
        <v>10</v>
      </c>
      <c r="U16" s="551">
        <v>10</v>
      </c>
      <c r="V16" s="551">
        <v>22</v>
      </c>
      <c r="X16" s="366"/>
      <c r="Y16" s="366"/>
      <c r="Z16" s="368"/>
      <c r="AA16" s="368"/>
      <c r="AB16" s="368"/>
      <c r="AC16" s="368"/>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51" cm="1">
        <f t="array" ref="S17">LOOKUP($K$5,Table7[#Headers]+0,Table7[#This Row])</f>
        <v>12</v>
      </c>
      <c r="U17" s="551">
        <v>12</v>
      </c>
      <c r="V17" s="551"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51" cm="1">
        <f t="array" ref="S18">LOOKUP($K$5,Table7[#Headers]+0,Table7[#This Row])</f>
        <v>14</v>
      </c>
      <c r="U18" s="551">
        <v>14</v>
      </c>
      <c r="V18" s="551"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51" cm="1">
        <f t="array" ref="S19">LOOKUP($K$5,Table7[#Headers]+0,Table7[#This Row])</f>
        <v>16</v>
      </c>
      <c r="U19" s="551">
        <v>16</v>
      </c>
      <c r="V19" s="551" t="s">
        <v>34</v>
      </c>
    </row>
    <row r="20" spans="1:22" x14ac:dyDescent="0.25">
      <c r="C20" s="18" t="s">
        <v>24</v>
      </c>
      <c r="D20" s="18" t="s">
        <v>25</v>
      </c>
      <c r="F20" s="18" t="s">
        <v>24</v>
      </c>
      <c r="G20" s="18" t="s">
        <v>25</v>
      </c>
      <c r="H20" s="18"/>
      <c r="I20" s="18" t="s">
        <v>24</v>
      </c>
      <c r="J20" s="18" t="s">
        <v>25</v>
      </c>
      <c r="K20" s="18"/>
      <c r="L20" s="18" t="s">
        <v>24</v>
      </c>
      <c r="M20" s="18" t="s">
        <v>25</v>
      </c>
      <c r="O20" s="29"/>
      <c r="S20" s="551" cm="1">
        <f t="array" ref="S20">LOOKUP($K$5,Table7[#Headers]+0,Table7[#This Row])</f>
        <v>17</v>
      </c>
      <c r="U20" s="551">
        <v>17</v>
      </c>
      <c r="V20" s="55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51" cm="1">
        <f t="array" ref="S21">LOOKUP($K$5,Table7[#Headers]+0,Table7[#This Row])</f>
        <v>21</v>
      </c>
      <c r="U21" s="551">
        <v>21</v>
      </c>
      <c r="V21" s="55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51" t="str" cm="1">
        <f t="array" ref="S22">LOOKUP($K$5,Table7[#Headers]+0,Table7[#This Row])</f>
        <v/>
      </c>
      <c r="U22" s="551" t="s">
        <v>34</v>
      </c>
      <c r="V22" s="55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1" t="s">
        <v>34</v>
      </c>
      <c r="V23" s="55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5" t="str">
        <f>TEXT(Main!D3,"mmddyy")</f>
        <v>010000</v>
      </c>
      <c r="U24" s="551" t="s">
        <v>34</v>
      </c>
      <c r="V24" s="55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1" t="s">
        <v>34</v>
      </c>
      <c r="V25" s="55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1" t="s">
        <v>3920</v>
      </c>
      <c r="I28" s="701"/>
      <c r="J28" s="701"/>
      <c r="K28" s="701"/>
      <c r="L28" s="701"/>
      <c r="M28" s="701"/>
      <c r="N28" s="701"/>
      <c r="O28" s="701"/>
      <c r="P28" s="701"/>
      <c r="Q28" s="701"/>
      <c r="R28" s="701"/>
    </row>
    <row r="29" spans="1:20" x14ac:dyDescent="0.2">
      <c r="A29" s="690" t="s">
        <v>47</v>
      </c>
      <c r="B29" s="691"/>
      <c r="C29" s="65" t="str">
        <f>IF(Main!D48="","",Main!D48)</f>
        <v/>
      </c>
      <c r="D29" s="65" t="str">
        <f>IF(Main!E48="","",Main!E48)</f>
        <v/>
      </c>
      <c r="E29" s="65" t="str">
        <f>IF(Main!F48="","",Main!F48)</f>
        <v/>
      </c>
      <c r="F29" s="65" t="str">
        <f>IF(Main!G48="","",Main!G48)</f>
        <v/>
      </c>
      <c r="G29" s="530"/>
      <c r="H29" s="525" t="s">
        <v>3921</v>
      </c>
      <c r="I29" s="156" t="str">
        <f>IF(Main!N47="","",Main!N47)</f>
        <v>Periodic</v>
      </c>
      <c r="J29" s="709" t="s">
        <v>3922</v>
      </c>
      <c r="K29" s="710"/>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2"/>
      <c r="H30" s="702" t="s">
        <v>3908</v>
      </c>
      <c r="I30" s="702"/>
      <c r="J30" s="711" t="s">
        <v>5709</v>
      </c>
      <c r="K30" s="712"/>
      <c r="L30" s="713"/>
      <c r="M30" s="522"/>
      <c r="O30" s="703" t="s">
        <v>5712</v>
      </c>
      <c r="P30" s="704"/>
      <c r="Q30" s="705"/>
      <c r="T30" s="44"/>
    </row>
    <row r="31" spans="1:20" x14ac:dyDescent="0.2">
      <c r="A31" s="690" t="s">
        <v>49</v>
      </c>
      <c r="B31" s="691"/>
      <c r="C31" s="66" t="str">
        <f>IF(Main!D50="","",Main!D50)</f>
        <v/>
      </c>
      <c r="D31" s="66" t="str">
        <f>IF(Main!E50="","",Main!E50)</f>
        <v/>
      </c>
      <c r="E31" s="66" t="str">
        <f>IF(Main!F50="","",Main!F50)</f>
        <v/>
      </c>
      <c r="F31" s="66" t="str">
        <f>IF(Main!G50="","",Main!G50)</f>
        <v/>
      </c>
      <c r="G31" s="532"/>
      <c r="H31" s="438" t="s">
        <v>3923</v>
      </c>
      <c r="I31" s="465" t="e">
        <f>IF(Main!N49="","",Main!N49)</f>
        <v>#N/A</v>
      </c>
      <c r="J31" s="692" t="s">
        <v>5717</v>
      </c>
      <c r="K31" s="693"/>
      <c r="L31" s="694"/>
      <c r="M31" s="523" t="str">
        <f>IF(Main!S49="","",Main!S49)</f>
        <v/>
      </c>
      <c r="O31" s="706" t="s">
        <v>5719</v>
      </c>
      <c r="P31" s="707"/>
      <c r="Q31" s="708"/>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30"/>
      <c r="H32" s="438" t="s">
        <v>4496</v>
      </c>
      <c r="I32" s="465" t="e">
        <f>IF(Main!N50="","",Main!N50)</f>
        <v>#N/A</v>
      </c>
      <c r="J32" s="695" t="s">
        <v>3911</v>
      </c>
      <c r="K32" s="696"/>
      <c r="L32" s="697"/>
      <c r="M32" s="505"/>
      <c r="O32" s="695" t="s">
        <v>3911</v>
      </c>
      <c r="P32" s="696"/>
      <c r="Q32" s="697"/>
      <c r="T32" s="44"/>
    </row>
    <row r="33" spans="1:20" ht="12.75" customHeight="1" x14ac:dyDescent="0.2">
      <c r="A33" s="690" t="s">
        <v>3924</v>
      </c>
      <c r="B33" s="691"/>
      <c r="C33" s="65" t="str">
        <f>IF(Main!D52="","",Main!D52)</f>
        <v/>
      </c>
      <c r="D33" s="65" t="str">
        <f>IF(Main!E52="","",Main!E52)</f>
        <v/>
      </c>
      <c r="E33" s="65" t="str">
        <f>IF(Main!F52="","",Main!F52)</f>
        <v/>
      </c>
      <c r="F33" s="65" t="str">
        <f>IF(Main!G52="","",Main!G52)</f>
        <v/>
      </c>
      <c r="G33" s="530"/>
      <c r="H33" s="438" t="s">
        <v>3925</v>
      </c>
      <c r="I33" s="465" t="e">
        <f>IF(Main!N51="","",Main!N51)</f>
        <v>#N/A</v>
      </c>
      <c r="J33" s="698" t="s">
        <v>5718</v>
      </c>
      <c r="K33" s="699"/>
      <c r="L33" s="700"/>
      <c r="M33" s="502" t="str">
        <f>IF(Main!S51="","",Main!S51)</f>
        <v/>
      </c>
      <c r="O33" s="698" t="s">
        <v>5720</v>
      </c>
      <c r="P33" s="699"/>
      <c r="Q33" s="700"/>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3"/>
      <c r="H34" s="438" t="s">
        <v>3926</v>
      </c>
      <c r="I34" s="437" t="e">
        <f>IF(Main!N52="","",Main!N52)</f>
        <v>#N/A</v>
      </c>
      <c r="J34" s="695" t="s">
        <v>3911</v>
      </c>
      <c r="K34" s="696"/>
      <c r="L34" s="697"/>
      <c r="O34" s="695" t="s">
        <v>3911</v>
      </c>
      <c r="P34" s="696"/>
      <c r="Q34" s="697"/>
      <c r="T34" s="44"/>
    </row>
    <row r="35" spans="1:20" ht="12.75" customHeight="1" x14ac:dyDescent="0.2">
      <c r="A35" s="90"/>
      <c r="B35" s="92" t="s">
        <v>114</v>
      </c>
      <c r="C35" s="105" t="str">
        <f>IF(Main!D54="","",Main!D54)</f>
        <v/>
      </c>
      <c r="D35" s="105" t="str">
        <f>IF(Main!E54="","",Main!E54)</f>
        <v/>
      </c>
      <c r="E35" s="105" t="str">
        <f>IF(Main!F54="","",Main!F54)</f>
        <v/>
      </c>
      <c r="F35" s="105" t="str">
        <f>IF(Main!G54="","",Main!G54)</f>
        <v/>
      </c>
      <c r="G35" s="534"/>
      <c r="H35" s="438" t="s">
        <v>3926</v>
      </c>
      <c r="I35" s="437" t="e">
        <f>IF(Main!N53="","",Main!N53)</f>
        <v>#N/A</v>
      </c>
      <c r="J35" s="684" t="s">
        <v>5721</v>
      </c>
      <c r="K35" s="685"/>
      <c r="L35" s="686"/>
      <c r="M35" s="526" t="str">
        <f>IF(Main!S53="","",Main!S53)</f>
        <v/>
      </c>
      <c r="O35" s="684" t="s">
        <v>5722</v>
      </c>
      <c r="P35" s="685"/>
      <c r="Q35" s="686"/>
      <c r="R35" s="527" t="str">
        <f>IF(Main!X53="","",Main!X53)</f>
        <v/>
      </c>
    </row>
    <row r="36" spans="1:20" ht="13.5" thickBot="1" x14ac:dyDescent="0.25">
      <c r="B36" s="92" t="s">
        <v>3927</v>
      </c>
      <c r="C36" s="65" t="str">
        <f>IF(Main!D56="","",Main!D56)</f>
        <v/>
      </c>
      <c r="D36" s="65" t="str">
        <f>IF(Main!E56="","",Main!E56)</f>
        <v/>
      </c>
      <c r="E36" s="65" t="str">
        <f>IF(Main!F56="","",Main!F56)</f>
        <v/>
      </c>
      <c r="F36" s="65" t="str">
        <f>IF(Main!G56="","",Main!G56)</f>
        <v/>
      </c>
      <c r="G36" s="530"/>
      <c r="H36" s="531"/>
      <c r="J36" s="687"/>
      <c r="K36" s="688"/>
      <c r="L36" s="689"/>
      <c r="M36" s="521"/>
      <c r="O36" s="687"/>
      <c r="P36" s="688"/>
      <c r="Q36" s="689"/>
      <c r="T36" s="44"/>
    </row>
    <row r="37" spans="1:20" ht="13.5" thickBot="1" x14ac:dyDescent="0.25">
      <c r="B37" s="90" t="s">
        <v>3928</v>
      </c>
      <c r="C37" s="65" t="str">
        <f>IF(Main!D57="","",Main!D57)</f>
        <v/>
      </c>
      <c r="D37" s="65" t="str">
        <f>IF(Main!E57="","",Main!E57)</f>
        <v/>
      </c>
      <c r="E37" s="65" t="str">
        <f>IF(Main!F57="","",Main!F57)</f>
        <v/>
      </c>
      <c r="F37" s="65" t="str">
        <f>IF(Main!G57="","",Main!G57)</f>
        <v/>
      </c>
      <c r="G37" s="530"/>
      <c r="H37" s="531"/>
      <c r="J37" s="538" t="s">
        <v>3914</v>
      </c>
      <c r="K37" s="539" t="s">
        <v>26</v>
      </c>
      <c r="L37" s="540" t="s">
        <v>3915</v>
      </c>
      <c r="M37" s="521"/>
      <c r="O37" s="538" t="s">
        <v>3916</v>
      </c>
      <c r="P37" s="539" t="s">
        <v>26</v>
      </c>
      <c r="Q37" s="540" t="s">
        <v>3917</v>
      </c>
    </row>
    <row r="38" spans="1:20" ht="13.5" thickBot="1" x14ac:dyDescent="0.25">
      <c r="B38" s="52" t="s">
        <v>52</v>
      </c>
      <c r="J38" s="535" t="str">
        <f>IF(Main!P56="","",Main!P56)</f>
        <v/>
      </c>
      <c r="K38" s="536" t="str">
        <f>IF(Main!Q56="","",Main!Q56)</f>
        <v/>
      </c>
      <c r="L38" s="537" t="str">
        <f>IF(Main!R56="","",Main!R56)</f>
        <v/>
      </c>
      <c r="O38" s="535" t="str">
        <f>IF(Main!U56="","",Main!U56)</f>
        <v/>
      </c>
      <c r="P38" s="536" t="str">
        <f>IF(Main!V56="","",Main!V56)</f>
        <v/>
      </c>
      <c r="Q38" s="537" t="str">
        <f>IF(Main!W56="","",Main!W56)</f>
        <v/>
      </c>
    </row>
    <row r="39" spans="1:20" x14ac:dyDescent="0.2">
      <c r="B39" s="52" t="s">
        <v>4393</v>
      </c>
      <c r="M39" s="541"/>
    </row>
    <row r="40" spans="1:20" ht="15.75" x14ac:dyDescent="0.25">
      <c r="B40" s="520"/>
      <c r="C40" s="520"/>
      <c r="D40" s="520"/>
      <c r="E40" s="520"/>
      <c r="K40" s="90" t="s">
        <v>5112</v>
      </c>
      <c r="L40" t="str">
        <f>IF(Main!N54="","",Main!N54)</f>
        <v>0°F</v>
      </c>
      <c r="O40" s="90" t="s">
        <v>5114</v>
      </c>
      <c r="P40" t="str">
        <f>IF(Main!N56="","",Main!N56)</f>
        <v>0°F</v>
      </c>
    </row>
    <row r="41" spans="1:20" x14ac:dyDescent="0.2">
      <c r="K41" s="90" t="s">
        <v>5113</v>
      </c>
      <c r="L41" t="str">
        <f>IF(Main!N55="","",Main!N55)</f>
        <v>0°F</v>
      </c>
      <c r="O41" s="90" t="s">
        <v>5115</v>
      </c>
      <c r="P41" t="str">
        <f>IF(Main!N57="","",Main!N57)</f>
        <v>0°F</v>
      </c>
    </row>
    <row r="42" spans="1:20" ht="15.75" x14ac:dyDescent="0.25">
      <c r="C42" s="520"/>
      <c r="D42" s="520"/>
      <c r="E42" s="520"/>
      <c r="F42" s="520"/>
      <c r="G42" s="520"/>
      <c r="H42" s="520"/>
      <c r="I42" s="520"/>
      <c r="J42" s="520"/>
    </row>
    <row r="44" spans="1:20" x14ac:dyDescent="0.2">
      <c r="F44" s="2"/>
      <c r="G44" s="2"/>
    </row>
    <row r="45" spans="1:20" ht="12.75" customHeight="1" x14ac:dyDescent="0.2">
      <c r="F45" s="522"/>
    </row>
    <row r="46" spans="1:20" x14ac:dyDescent="0.2">
      <c r="F46" s="169"/>
    </row>
    <row r="47" spans="1:20" ht="12.75" customHeight="1" x14ac:dyDescent="0.2">
      <c r="F47" s="505"/>
    </row>
    <row r="48" spans="1:20" ht="12.75" customHeight="1" x14ac:dyDescent="0.2">
      <c r="F48" s="521"/>
    </row>
    <row r="50" spans="6:6" ht="15.75" customHeight="1" x14ac:dyDescent="0.2">
      <c r="F50" s="505"/>
    </row>
    <row r="51" spans="6:6" x14ac:dyDescent="0.2">
      <c r="F51" s="521"/>
    </row>
    <row r="52" spans="6:6" x14ac:dyDescent="0.2">
      <c r="F52" s="521"/>
    </row>
    <row r="54" spans="6:6" x14ac:dyDescent="0.2">
      <c r="F54" s="524"/>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5462</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1"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3" t="s">
        <v>4873</v>
      </c>
      <c r="AN1" s="473" t="s">
        <v>4985</v>
      </c>
      <c r="AO1" s="473" t="s">
        <v>4986</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4985</v>
      </c>
      <c r="CE1" s="41" t="s">
        <v>4986</v>
      </c>
      <c r="CH1" s="41" t="s">
        <v>4465</v>
      </c>
      <c r="CJ1" s="41" t="s">
        <v>4466</v>
      </c>
    </row>
    <row r="2" spans="1:88" x14ac:dyDescent="0.2">
      <c r="A2">
        <v>1</v>
      </c>
      <c r="B2" s="463" t="s">
        <v>5693</v>
      </c>
      <c r="C2" s="463" t="s">
        <v>1570</v>
      </c>
      <c r="D2" s="463" t="s">
        <v>5694</v>
      </c>
      <c r="E2" s="463" t="s">
        <v>2150</v>
      </c>
      <c r="F2" s="463" t="s">
        <v>2070</v>
      </c>
      <c r="G2" s="463" t="s">
        <v>34</v>
      </c>
      <c r="H2" s="463" t="s">
        <v>2198</v>
      </c>
      <c r="I2" s="463" t="s">
        <v>5723</v>
      </c>
      <c r="J2" s="463" t="s">
        <v>1766</v>
      </c>
      <c r="K2" s="463" t="s">
        <v>1451</v>
      </c>
      <c r="L2" s="463" t="s">
        <v>3701</v>
      </c>
      <c r="M2" s="463">
        <v>400005</v>
      </c>
      <c r="N2" s="463" t="s">
        <v>1570</v>
      </c>
      <c r="O2" s="463" t="s">
        <v>2469</v>
      </c>
      <c r="P2" s="463" t="s">
        <v>2372</v>
      </c>
      <c r="Q2" s="463" t="s">
        <v>2196</v>
      </c>
      <c r="R2" s="463" t="s">
        <v>2255</v>
      </c>
      <c r="S2" s="463" t="s">
        <v>3702</v>
      </c>
      <c r="T2" s="463">
        <v>30</v>
      </c>
      <c r="U2" s="463" t="s">
        <v>2221</v>
      </c>
      <c r="V2" s="463" t="s">
        <v>3690</v>
      </c>
      <c r="W2" s="463">
        <v>84945014029</v>
      </c>
      <c r="X2" s="463" t="s">
        <v>2192</v>
      </c>
      <c r="Y2" s="463" t="s">
        <v>5240</v>
      </c>
      <c r="Z2" s="463" t="s">
        <v>3703</v>
      </c>
      <c r="AA2" s="463" t="s">
        <v>2192</v>
      </c>
      <c r="AB2" s="463" t="s">
        <v>34</v>
      </c>
      <c r="AC2" s="463" t="s">
        <v>2193</v>
      </c>
      <c r="AD2" s="463" t="s">
        <v>2194</v>
      </c>
      <c r="AE2" s="463" t="s">
        <v>1760</v>
      </c>
      <c r="AF2" s="463">
        <v>1</v>
      </c>
      <c r="AG2" s="463">
        <v>0</v>
      </c>
      <c r="AH2" s="463">
        <v>0</v>
      </c>
      <c r="AI2" s="463" t="s">
        <v>4033</v>
      </c>
      <c r="AJ2" s="463" t="s">
        <v>4034</v>
      </c>
      <c r="AK2" s="463" t="s">
        <v>2195</v>
      </c>
      <c r="AL2" s="463" t="s">
        <v>34</v>
      </c>
      <c r="AM2" t="s">
        <v>4874</v>
      </c>
      <c r="AN2" s="480">
        <v>0</v>
      </c>
      <c r="AO2" s="480">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0" t="e">
        <f>VLOOKUP($AP2,$D2:$AO999,37,FALSE)</f>
        <v>#N/A</v>
      </c>
      <c r="CE2" s="480" t="e">
        <f>VLOOKUP($AP2,$D2:$AO999,38,FALSE)</f>
        <v>#N/A</v>
      </c>
      <c r="CF2" t="e">
        <f>MATCH(Main!D$5,B$2:B$500,1)</f>
        <v>#N/A</v>
      </c>
      <c r="CG2" s="463" t="s">
        <v>5693</v>
      </c>
      <c r="CH2" t="e">
        <f>VLOOKUP(CF2,A$2:C$500,3,FALSE)</f>
        <v>#N/A</v>
      </c>
      <c r="CI2" s="501" t="s">
        <v>5693</v>
      </c>
      <c r="CJ2" s="501" t="s">
        <v>5693</v>
      </c>
    </row>
    <row r="3" spans="1:88" x14ac:dyDescent="0.2">
      <c r="A3">
        <v>2</v>
      </c>
      <c r="B3" s="464" t="s">
        <v>5693</v>
      </c>
      <c r="C3" s="162" t="s">
        <v>4747</v>
      </c>
      <c r="D3" s="162" t="s">
        <v>5695</v>
      </c>
      <c r="E3" s="162" t="s">
        <v>2150</v>
      </c>
      <c r="F3" s="162" t="s">
        <v>2070</v>
      </c>
      <c r="G3" s="162" t="s">
        <v>34</v>
      </c>
      <c r="H3" s="162" t="s">
        <v>2198</v>
      </c>
      <c r="I3" s="162" t="s">
        <v>5723</v>
      </c>
      <c r="J3" s="162" t="s">
        <v>1766</v>
      </c>
      <c r="K3" s="162" t="s">
        <v>3681</v>
      </c>
      <c r="L3" s="162" t="s">
        <v>3682</v>
      </c>
      <c r="M3" s="542">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80">
        <v>0</v>
      </c>
      <c r="AO3" s="480">
        <v>0</v>
      </c>
      <c r="BR3" t="e">
        <f>VLOOKUP($AP2,$D2:$AK999,25,FALSE)</f>
        <v>#N/A</v>
      </c>
      <c r="CE3" s="464"/>
      <c r="CF3" t="e">
        <f t="shared" ref="CF3:CF37" si="0">CF2-1</f>
        <v>#N/A</v>
      </c>
      <c r="CG3" s="464" t="s">
        <v>1883</v>
      </c>
      <c r="CH3" t="str">
        <f t="shared" ref="CH3:CH29" si="1">IF(CG4=CG$3,VLOOKUP(CF3,A$2:C$500,3,FALSE),"")</f>
        <v/>
      </c>
      <c r="CI3" s="463" t="s">
        <v>1883</v>
      </c>
      <c r="CJ3" s="463" t="s">
        <v>1883</v>
      </c>
    </row>
    <row r="4" spans="1:88" x14ac:dyDescent="0.2">
      <c r="A4">
        <v>3</v>
      </c>
      <c r="B4" s="162" t="s">
        <v>5693</v>
      </c>
      <c r="C4" s="162" t="s">
        <v>1583</v>
      </c>
      <c r="D4" s="162" t="s">
        <v>5696</v>
      </c>
      <c r="E4" s="162" t="s">
        <v>2150</v>
      </c>
      <c r="F4" s="162" t="s">
        <v>2070</v>
      </c>
      <c r="G4" s="162" t="s">
        <v>34</v>
      </c>
      <c r="H4" s="162" t="s">
        <v>2198</v>
      </c>
      <c r="I4" s="162" t="s">
        <v>5723</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80">
        <v>0</v>
      </c>
      <c r="AO4" s="480">
        <v>0</v>
      </c>
      <c r="CE4" s="464"/>
      <c r="CF4" t="e">
        <f t="shared" si="0"/>
        <v>#N/A</v>
      </c>
      <c r="CG4" s="464" t="s">
        <v>847</v>
      </c>
      <c r="CH4" t="str">
        <f t="shared" si="1"/>
        <v/>
      </c>
      <c r="CI4" s="464" t="s">
        <v>847</v>
      </c>
      <c r="CJ4" s="464" t="s">
        <v>847</v>
      </c>
    </row>
    <row r="5" spans="1:88" x14ac:dyDescent="0.2">
      <c r="A5">
        <v>4</v>
      </c>
      <c r="B5" s="464" t="s">
        <v>5693</v>
      </c>
      <c r="C5" s="162" t="s">
        <v>1576</v>
      </c>
      <c r="D5" s="162" t="s">
        <v>5697</v>
      </c>
      <c r="E5" s="162" t="s">
        <v>2150</v>
      </c>
      <c r="F5" s="162" t="s">
        <v>2070</v>
      </c>
      <c r="G5" s="162" t="s">
        <v>34</v>
      </c>
      <c r="H5" s="162" t="s">
        <v>2198</v>
      </c>
      <c r="I5" s="162" t="s">
        <v>5723</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80">
        <v>0</v>
      </c>
      <c r="AO5" s="480">
        <v>0</v>
      </c>
      <c r="CE5" s="464"/>
      <c r="CF5" t="e">
        <f t="shared" si="0"/>
        <v>#N/A</v>
      </c>
      <c r="CG5" s="464" t="s">
        <v>853</v>
      </c>
      <c r="CH5" t="str">
        <f t="shared" si="1"/>
        <v/>
      </c>
      <c r="CI5" s="464" t="s">
        <v>853</v>
      </c>
      <c r="CJ5" s="464" t="s">
        <v>853</v>
      </c>
    </row>
    <row r="6" spans="1:88" x14ac:dyDescent="0.2">
      <c r="A6">
        <v>5</v>
      </c>
      <c r="B6" s="464" t="s">
        <v>5693</v>
      </c>
      <c r="C6" s="162" t="s">
        <v>1581</v>
      </c>
      <c r="D6" s="162" t="s">
        <v>5698</v>
      </c>
      <c r="E6" s="162" t="s">
        <v>2150</v>
      </c>
      <c r="F6" s="162" t="s">
        <v>2070</v>
      </c>
      <c r="G6" s="162" t="s">
        <v>34</v>
      </c>
      <c r="H6" s="162" t="s">
        <v>2198</v>
      </c>
      <c r="I6" s="162" t="s">
        <v>5723</v>
      </c>
      <c r="J6" s="162" t="s">
        <v>1766</v>
      </c>
      <c r="K6" s="162" t="s">
        <v>1239</v>
      </c>
      <c r="L6" s="162" t="s">
        <v>3665</v>
      </c>
      <c r="M6" s="162">
        <v>116010</v>
      </c>
      <c r="N6" s="162" t="s">
        <v>1581</v>
      </c>
      <c r="O6" s="162" t="s">
        <v>2469</v>
      </c>
      <c r="P6" s="162" t="s">
        <v>2256</v>
      </c>
      <c r="Q6" s="162" t="s">
        <v>2196</v>
      </c>
      <c r="R6" s="162" t="s">
        <v>2191</v>
      </c>
      <c r="S6" s="162" t="s">
        <v>5156</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80">
        <v>0</v>
      </c>
      <c r="AO6" s="480">
        <v>0</v>
      </c>
      <c r="CE6" s="464"/>
      <c r="CF6" t="e">
        <f t="shared" si="0"/>
        <v>#N/A</v>
      </c>
      <c r="CG6" s="464" t="s">
        <v>859</v>
      </c>
      <c r="CH6" t="str">
        <f t="shared" si="1"/>
        <v/>
      </c>
      <c r="CI6" s="464" t="s">
        <v>859</v>
      </c>
      <c r="CJ6" s="464" t="s">
        <v>859</v>
      </c>
    </row>
    <row r="7" spans="1:88" x14ac:dyDescent="0.2">
      <c r="A7">
        <v>6</v>
      </c>
      <c r="B7" s="464" t="s">
        <v>5693</v>
      </c>
      <c r="C7" s="162" t="s">
        <v>1566</v>
      </c>
      <c r="D7" s="162" t="s">
        <v>5699</v>
      </c>
      <c r="E7" s="162" t="s">
        <v>2150</v>
      </c>
      <c r="F7" s="162" t="s">
        <v>2070</v>
      </c>
      <c r="G7" s="162" t="s">
        <v>34</v>
      </c>
      <c r="H7" s="162" t="s">
        <v>2198</v>
      </c>
      <c r="I7" s="162" t="s">
        <v>5723</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5812</v>
      </c>
      <c r="AC7" s="162" t="s">
        <v>2193</v>
      </c>
      <c r="AD7" s="162" t="s">
        <v>2194</v>
      </c>
      <c r="AE7" s="162" t="s">
        <v>1760</v>
      </c>
      <c r="AF7" s="162" t="s">
        <v>3417</v>
      </c>
      <c r="AG7" s="162" t="s">
        <v>34</v>
      </c>
      <c r="AH7" s="162" t="s">
        <v>34</v>
      </c>
      <c r="AI7" s="162" t="s">
        <v>34</v>
      </c>
      <c r="AJ7" s="162" t="s">
        <v>34</v>
      </c>
      <c r="AK7" s="162" t="s">
        <v>2195</v>
      </c>
      <c r="AL7" s="162" t="s">
        <v>34</v>
      </c>
      <c r="AM7" t="s">
        <v>4874</v>
      </c>
      <c r="AN7" s="480">
        <v>0</v>
      </c>
      <c r="AO7" s="480">
        <v>0</v>
      </c>
      <c r="CE7" s="464"/>
      <c r="CF7" t="e">
        <f t="shared" si="0"/>
        <v>#N/A</v>
      </c>
      <c r="CG7" s="464" t="s">
        <v>863</v>
      </c>
      <c r="CH7" t="str">
        <f t="shared" si="1"/>
        <v/>
      </c>
      <c r="CI7" s="464" t="s">
        <v>863</v>
      </c>
      <c r="CJ7" s="464" t="s">
        <v>863</v>
      </c>
    </row>
    <row r="8" spans="1:88" x14ac:dyDescent="0.2">
      <c r="A8">
        <v>7</v>
      </c>
      <c r="B8" s="464" t="s">
        <v>5693</v>
      </c>
      <c r="C8" s="162" t="s">
        <v>4751</v>
      </c>
      <c r="D8" s="162" t="s">
        <v>5700</v>
      </c>
      <c r="E8" s="162" t="s">
        <v>2150</v>
      </c>
      <c r="F8" s="162" t="s">
        <v>2070</v>
      </c>
      <c r="G8" s="162" t="s">
        <v>34</v>
      </c>
      <c r="H8" s="162" t="s">
        <v>2198</v>
      </c>
      <c r="I8" s="162" t="s">
        <v>5723</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80">
        <v>0</v>
      </c>
      <c r="AO8" s="480">
        <v>0</v>
      </c>
      <c r="CE8" s="464"/>
      <c r="CF8" t="e">
        <f t="shared" si="0"/>
        <v>#N/A</v>
      </c>
      <c r="CG8" s="464" t="s">
        <v>867</v>
      </c>
      <c r="CH8" t="str">
        <f t="shared" si="1"/>
        <v/>
      </c>
      <c r="CI8" s="464" t="s">
        <v>867</v>
      </c>
      <c r="CJ8" s="464" t="s">
        <v>867</v>
      </c>
    </row>
    <row r="9" spans="1:88" x14ac:dyDescent="0.2">
      <c r="A9">
        <v>8</v>
      </c>
      <c r="B9" s="464" t="s">
        <v>5693</v>
      </c>
      <c r="C9" s="162" t="s">
        <v>1578</v>
      </c>
      <c r="D9" s="162" t="s">
        <v>5701</v>
      </c>
      <c r="E9" s="162" t="s">
        <v>2150</v>
      </c>
      <c r="F9" s="162" t="s">
        <v>2070</v>
      </c>
      <c r="G9" s="162" t="s">
        <v>34</v>
      </c>
      <c r="H9" s="162" t="s">
        <v>2198</v>
      </c>
      <c r="I9" s="162" t="s">
        <v>5723</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5554</v>
      </c>
      <c r="W9" s="162" t="s">
        <v>5555</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80">
        <v>0</v>
      </c>
      <c r="AO9" s="480">
        <v>0</v>
      </c>
      <c r="CE9" s="464"/>
      <c r="CF9" t="e">
        <f t="shared" si="0"/>
        <v>#N/A</v>
      </c>
      <c r="CG9" s="464" t="s">
        <v>1886</v>
      </c>
      <c r="CH9" t="str">
        <f t="shared" si="1"/>
        <v/>
      </c>
      <c r="CI9" s="464" t="s">
        <v>1886</v>
      </c>
      <c r="CJ9" s="464" t="s">
        <v>1886</v>
      </c>
    </row>
    <row r="10" spans="1:88" x14ac:dyDescent="0.2">
      <c r="A10">
        <v>9</v>
      </c>
      <c r="B10" s="464" t="s">
        <v>5693</v>
      </c>
      <c r="C10" s="162" t="s">
        <v>1568</v>
      </c>
      <c r="D10" s="162" t="s">
        <v>5702</v>
      </c>
      <c r="E10" s="162" t="s">
        <v>2150</v>
      </c>
      <c r="F10" s="162" t="s">
        <v>2070</v>
      </c>
      <c r="G10" s="162" t="s">
        <v>34</v>
      </c>
      <c r="H10" s="162" t="s">
        <v>2198</v>
      </c>
      <c r="I10" s="162" t="s">
        <v>5723</v>
      </c>
      <c r="J10" s="162" t="s">
        <v>1766</v>
      </c>
      <c r="K10" s="162" t="s">
        <v>2202</v>
      </c>
      <c r="L10" s="162" t="s">
        <v>3696</v>
      </c>
      <c r="M10" s="162">
        <v>633775</v>
      </c>
      <c r="N10" s="162" t="s">
        <v>1568</v>
      </c>
      <c r="O10" s="162" t="s">
        <v>2469</v>
      </c>
      <c r="P10" s="162" t="s">
        <v>5556</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80">
        <v>0</v>
      </c>
      <c r="AO10" s="480">
        <v>0</v>
      </c>
      <c r="CE10" s="464"/>
      <c r="CF10" t="e">
        <f t="shared" si="0"/>
        <v>#N/A</v>
      </c>
      <c r="CG10" s="464" t="s">
        <v>870</v>
      </c>
      <c r="CH10" t="str">
        <f t="shared" si="1"/>
        <v/>
      </c>
      <c r="CI10" s="464" t="s">
        <v>870</v>
      </c>
      <c r="CJ10" s="464" t="s">
        <v>870</v>
      </c>
    </row>
    <row r="11" spans="1:88" x14ac:dyDescent="0.2">
      <c r="A11">
        <v>10</v>
      </c>
      <c r="B11" s="464" t="s">
        <v>5693</v>
      </c>
      <c r="C11" s="162" t="s">
        <v>1842</v>
      </c>
      <c r="D11" s="162" t="s">
        <v>5703</v>
      </c>
      <c r="E11" s="162" t="s">
        <v>2150</v>
      </c>
      <c r="F11" s="162" t="s">
        <v>2070</v>
      </c>
      <c r="G11" s="162" t="s">
        <v>34</v>
      </c>
      <c r="H11" s="162" t="s">
        <v>2198</v>
      </c>
      <c r="I11" s="162" t="s">
        <v>5723</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5111</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80">
        <v>0</v>
      </c>
      <c r="AO11" s="480">
        <v>0</v>
      </c>
      <c r="CE11" s="464"/>
      <c r="CF11" t="e">
        <f t="shared" si="0"/>
        <v>#N/A</v>
      </c>
      <c r="CG11" s="464" t="s">
        <v>882</v>
      </c>
      <c r="CH11" t="str">
        <f t="shared" si="1"/>
        <v/>
      </c>
      <c r="CI11" s="464" t="s">
        <v>882</v>
      </c>
      <c r="CJ11" s="464" t="s">
        <v>882</v>
      </c>
    </row>
    <row r="12" spans="1:88" x14ac:dyDescent="0.2">
      <c r="A12">
        <v>11</v>
      </c>
      <c r="B12" s="464" t="s">
        <v>5693</v>
      </c>
      <c r="C12" s="162" t="s">
        <v>1998</v>
      </c>
      <c r="D12" s="162" t="s">
        <v>5704</v>
      </c>
      <c r="E12" s="162" t="s">
        <v>2150</v>
      </c>
      <c r="F12" s="162" t="s">
        <v>2070</v>
      </c>
      <c r="G12" s="162" t="s">
        <v>34</v>
      </c>
      <c r="H12" s="162" t="s">
        <v>2198</v>
      </c>
      <c r="I12" s="162" t="s">
        <v>5723</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80">
        <v>0</v>
      </c>
      <c r="AO12" s="480">
        <v>0</v>
      </c>
      <c r="CE12" s="464"/>
      <c r="CF12" t="e">
        <f t="shared" si="0"/>
        <v>#N/A</v>
      </c>
      <c r="CG12" s="464" t="s">
        <v>902</v>
      </c>
      <c r="CH12" t="str">
        <f t="shared" si="1"/>
        <v/>
      </c>
      <c r="CI12" s="464" t="s">
        <v>902</v>
      </c>
      <c r="CJ12" s="464" t="s">
        <v>902</v>
      </c>
    </row>
    <row r="13" spans="1:88" x14ac:dyDescent="0.2">
      <c r="A13">
        <v>12</v>
      </c>
      <c r="B13" s="464" t="s">
        <v>5693</v>
      </c>
      <c r="C13" s="162" t="s">
        <v>4536</v>
      </c>
      <c r="D13" s="162" t="s">
        <v>5705</v>
      </c>
      <c r="E13" s="162" t="s">
        <v>2150</v>
      </c>
      <c r="F13" s="162" t="s">
        <v>2070</v>
      </c>
      <c r="G13" s="162" t="s">
        <v>34</v>
      </c>
      <c r="H13" s="162" t="s">
        <v>2198</v>
      </c>
      <c r="I13" s="162" t="s">
        <v>5117</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80">
        <v>0</v>
      </c>
      <c r="AO13" s="480">
        <v>0</v>
      </c>
      <c r="CE13" s="464"/>
      <c r="CF13" t="e">
        <f t="shared" si="0"/>
        <v>#N/A</v>
      </c>
      <c r="CG13" s="464" t="s">
        <v>908</v>
      </c>
      <c r="CH13" t="str">
        <f t="shared" si="1"/>
        <v/>
      </c>
      <c r="CI13" s="464" t="s">
        <v>908</v>
      </c>
      <c r="CJ13" s="464" t="s">
        <v>908</v>
      </c>
    </row>
    <row r="14" spans="1:88" x14ac:dyDescent="0.2">
      <c r="A14">
        <v>13</v>
      </c>
      <c r="B14" s="464" t="s">
        <v>5693</v>
      </c>
      <c r="C14" s="162" t="s">
        <v>4748</v>
      </c>
      <c r="D14" s="162" t="s">
        <v>5705</v>
      </c>
      <c r="E14" s="162" t="s">
        <v>2150</v>
      </c>
      <c r="F14" s="162" t="s">
        <v>2070</v>
      </c>
      <c r="G14" s="162" t="s">
        <v>34</v>
      </c>
      <c r="H14" s="162" t="s">
        <v>2198</v>
      </c>
      <c r="I14" s="162" t="s">
        <v>5723</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80">
        <v>0</v>
      </c>
      <c r="AO14" s="480">
        <v>0</v>
      </c>
      <c r="CE14" s="464"/>
      <c r="CF14" t="e">
        <f t="shared" si="0"/>
        <v>#N/A</v>
      </c>
      <c r="CG14" s="464" t="s">
        <v>917</v>
      </c>
      <c r="CH14" t="str">
        <f t="shared" si="1"/>
        <v/>
      </c>
      <c r="CI14" s="464" t="s">
        <v>958</v>
      </c>
      <c r="CJ14" s="464" t="s">
        <v>958</v>
      </c>
    </row>
    <row r="15" spans="1:88" x14ac:dyDescent="0.2">
      <c r="A15">
        <v>14</v>
      </c>
      <c r="B15" s="464" t="s">
        <v>5693</v>
      </c>
      <c r="C15" s="162" t="s">
        <v>1572</v>
      </c>
      <c r="D15" s="162" t="s">
        <v>5706</v>
      </c>
      <c r="E15" s="162" t="s">
        <v>2150</v>
      </c>
      <c r="F15" s="162" t="s">
        <v>2070</v>
      </c>
      <c r="G15" s="162" t="s">
        <v>34</v>
      </c>
      <c r="H15" s="162" t="s">
        <v>2198</v>
      </c>
      <c r="I15" s="162" t="s">
        <v>5723</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5069</v>
      </c>
      <c r="AA15" s="162" t="s">
        <v>2192</v>
      </c>
      <c r="AB15" s="162" t="s">
        <v>34</v>
      </c>
      <c r="AC15" s="162" t="s">
        <v>2193</v>
      </c>
      <c r="AD15" s="162" t="s">
        <v>2194</v>
      </c>
      <c r="AE15" s="162" t="s">
        <v>1760</v>
      </c>
      <c r="AF15" s="162">
        <v>3</v>
      </c>
      <c r="AG15" s="162">
        <v>0.43</v>
      </c>
      <c r="AH15" s="162">
        <v>2</v>
      </c>
      <c r="AI15" s="162" t="s">
        <v>5070</v>
      </c>
      <c r="AJ15" s="162" t="s">
        <v>4032</v>
      </c>
      <c r="AK15" s="162" t="s">
        <v>2195</v>
      </c>
      <c r="AL15" s="162" t="s">
        <v>34</v>
      </c>
      <c r="AM15" t="s">
        <v>4874</v>
      </c>
      <c r="AN15" s="480">
        <v>0</v>
      </c>
      <c r="AO15" s="480">
        <v>0</v>
      </c>
      <c r="CE15" s="464"/>
      <c r="CF15" t="e">
        <f t="shared" si="0"/>
        <v>#N/A</v>
      </c>
      <c r="CG15" s="464" t="s">
        <v>958</v>
      </c>
      <c r="CH15" t="str">
        <f t="shared" si="1"/>
        <v/>
      </c>
      <c r="CI15" s="464" t="s">
        <v>987</v>
      </c>
      <c r="CJ15" s="464" t="s">
        <v>987</v>
      </c>
    </row>
    <row r="16" spans="1:88" x14ac:dyDescent="0.2">
      <c r="A16">
        <v>15</v>
      </c>
      <c r="B16" s="464" t="s">
        <v>5693</v>
      </c>
      <c r="C16" s="162" t="s">
        <v>1574</v>
      </c>
      <c r="D16" s="162" t="s">
        <v>5707</v>
      </c>
      <c r="E16" s="162" t="s">
        <v>2150</v>
      </c>
      <c r="F16" s="162" t="s">
        <v>2070</v>
      </c>
      <c r="G16" s="162" t="s">
        <v>34</v>
      </c>
      <c r="H16" s="162" t="s">
        <v>2198</v>
      </c>
      <c r="I16" s="162" t="s">
        <v>5723</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80">
        <v>0</v>
      </c>
      <c r="AO16" s="480">
        <v>0</v>
      </c>
      <c r="CE16" s="464"/>
      <c r="CF16" t="e">
        <f t="shared" si="0"/>
        <v>#N/A</v>
      </c>
      <c r="CG16" s="464" t="s">
        <v>987</v>
      </c>
      <c r="CH16" t="str">
        <f t="shared" si="1"/>
        <v/>
      </c>
      <c r="CI16" s="464" t="s">
        <v>333</v>
      </c>
      <c r="CJ16" s="464" t="s">
        <v>333</v>
      </c>
    </row>
    <row r="17" spans="1:88" x14ac:dyDescent="0.2">
      <c r="A17">
        <v>16</v>
      </c>
      <c r="B17" s="464" t="s">
        <v>1883</v>
      </c>
      <c r="C17" s="162" t="s">
        <v>1833</v>
      </c>
      <c r="D17" s="162" t="s">
        <v>4046</v>
      </c>
      <c r="E17" s="162" t="s">
        <v>2019</v>
      </c>
      <c r="F17" s="162" t="s">
        <v>2016</v>
      </c>
      <c r="G17" s="162" t="s">
        <v>34</v>
      </c>
      <c r="H17" s="162" t="s">
        <v>2198</v>
      </c>
      <c r="I17" s="162" t="s">
        <v>5117</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80">
        <v>0</v>
      </c>
      <c r="AO17" s="480">
        <v>0</v>
      </c>
      <c r="CE17" s="464"/>
      <c r="CF17" t="e">
        <f t="shared" si="0"/>
        <v>#N/A</v>
      </c>
      <c r="CG17" s="464" t="s">
        <v>333</v>
      </c>
      <c r="CH17" t="str">
        <f t="shared" si="1"/>
        <v/>
      </c>
      <c r="CI17" s="464" t="s">
        <v>1023</v>
      </c>
      <c r="CJ17" s="464" t="s">
        <v>1023</v>
      </c>
    </row>
    <row r="18" spans="1:88" x14ac:dyDescent="0.2">
      <c r="A18">
        <v>17</v>
      </c>
      <c r="B18" s="464" t="s">
        <v>847</v>
      </c>
      <c r="C18" s="162" t="s">
        <v>851</v>
      </c>
      <c r="D18" s="162" t="s">
        <v>4047</v>
      </c>
      <c r="E18" s="162" t="s">
        <v>2020</v>
      </c>
      <c r="F18" s="162" t="s">
        <v>2016</v>
      </c>
      <c r="G18" s="162" t="s">
        <v>34</v>
      </c>
      <c r="H18" s="162" t="s">
        <v>2198</v>
      </c>
      <c r="I18" s="162" t="s">
        <v>5723</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80">
        <v>0</v>
      </c>
      <c r="AO18" s="480">
        <v>0</v>
      </c>
      <c r="CE18" s="464"/>
      <c r="CF18" t="e">
        <f t="shared" si="0"/>
        <v>#N/A</v>
      </c>
      <c r="CG18" s="464" t="s">
        <v>1023</v>
      </c>
      <c r="CH18" t="str">
        <f t="shared" si="1"/>
        <v/>
      </c>
      <c r="CI18" s="464" t="s">
        <v>1048</v>
      </c>
      <c r="CJ18" s="464" t="s">
        <v>1048</v>
      </c>
    </row>
    <row r="19" spans="1:88" x14ac:dyDescent="0.2">
      <c r="A19">
        <v>18</v>
      </c>
      <c r="B19" s="464" t="s">
        <v>847</v>
      </c>
      <c r="C19" s="162" t="s">
        <v>817</v>
      </c>
      <c r="D19" s="162" t="s">
        <v>4048</v>
      </c>
      <c r="E19" s="162" t="s">
        <v>2020</v>
      </c>
      <c r="F19" s="162" t="s">
        <v>2016</v>
      </c>
      <c r="G19" s="162" t="s">
        <v>34</v>
      </c>
      <c r="H19" s="162" t="s">
        <v>2198</v>
      </c>
      <c r="I19" s="162" t="s">
        <v>5723</v>
      </c>
      <c r="J19" s="162" t="s">
        <v>2186</v>
      </c>
      <c r="K19" s="162" t="s">
        <v>1061</v>
      </c>
      <c r="L19" s="162" t="s">
        <v>2272</v>
      </c>
      <c r="M19" s="162">
        <v>78863</v>
      </c>
      <c r="N19" s="162" t="s">
        <v>817</v>
      </c>
      <c r="O19" s="162" t="s">
        <v>5724</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5289</v>
      </c>
      <c r="AI19" s="162" t="s">
        <v>34</v>
      </c>
      <c r="AJ19" s="162" t="s">
        <v>34</v>
      </c>
      <c r="AK19" s="162" t="s">
        <v>2195</v>
      </c>
      <c r="AL19" s="162" t="s">
        <v>34</v>
      </c>
      <c r="AM19" t="s">
        <v>4874</v>
      </c>
      <c r="AN19" s="480">
        <v>1.4583333333333332E-2</v>
      </c>
      <c r="AO19" s="480">
        <v>0</v>
      </c>
      <c r="CE19" s="464"/>
      <c r="CF19" t="e">
        <f t="shared" si="0"/>
        <v>#N/A</v>
      </c>
      <c r="CG19" s="464" t="s">
        <v>1048</v>
      </c>
      <c r="CH19" t="str">
        <f t="shared" si="1"/>
        <v/>
      </c>
      <c r="CI19" s="464" t="s">
        <v>1051</v>
      </c>
      <c r="CJ19" s="464" t="s">
        <v>1051</v>
      </c>
    </row>
    <row r="20" spans="1:88" x14ac:dyDescent="0.2">
      <c r="A20">
        <v>19</v>
      </c>
      <c r="B20" s="464" t="s">
        <v>853</v>
      </c>
      <c r="C20" s="162" t="s">
        <v>1951</v>
      </c>
      <c r="D20" s="162" t="s">
        <v>4049</v>
      </c>
      <c r="E20" s="162" t="s">
        <v>2021</v>
      </c>
      <c r="F20" s="162" t="s">
        <v>2016</v>
      </c>
      <c r="G20" s="162" t="s">
        <v>34</v>
      </c>
      <c r="H20" s="162" t="s">
        <v>2198</v>
      </c>
      <c r="I20" s="162" t="s">
        <v>5725</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80">
        <v>0</v>
      </c>
      <c r="AO20" s="480">
        <v>0</v>
      </c>
      <c r="CE20" s="464"/>
      <c r="CF20" t="e">
        <f t="shared" si="0"/>
        <v>#N/A</v>
      </c>
      <c r="CG20" s="464" t="s">
        <v>1051</v>
      </c>
      <c r="CH20" t="str">
        <f t="shared" si="1"/>
        <v/>
      </c>
      <c r="CI20" s="464" t="s">
        <v>1069</v>
      </c>
      <c r="CJ20" s="464" t="s">
        <v>1069</v>
      </c>
    </row>
    <row r="21" spans="1:88" x14ac:dyDescent="0.2">
      <c r="A21">
        <v>20</v>
      </c>
      <c r="B21" s="464" t="s">
        <v>853</v>
      </c>
      <c r="C21" s="162" t="s">
        <v>1953</v>
      </c>
      <c r="D21" s="162" t="s">
        <v>4050</v>
      </c>
      <c r="E21" s="162" t="s">
        <v>2021</v>
      </c>
      <c r="F21" s="162" t="s">
        <v>2016</v>
      </c>
      <c r="G21" s="162" t="s">
        <v>34</v>
      </c>
      <c r="H21" s="162" t="s">
        <v>2198</v>
      </c>
      <c r="I21" s="162" t="s">
        <v>5723</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80">
        <v>0</v>
      </c>
      <c r="AO21" s="480">
        <v>0</v>
      </c>
      <c r="CE21" s="464"/>
      <c r="CF21" t="e">
        <f t="shared" si="0"/>
        <v>#N/A</v>
      </c>
      <c r="CG21" s="464" t="s">
        <v>1069</v>
      </c>
      <c r="CH21" t="str">
        <f t="shared" si="1"/>
        <v/>
      </c>
      <c r="CI21" s="464" t="s">
        <v>1074</v>
      </c>
      <c r="CJ21" s="464" t="s">
        <v>1074</v>
      </c>
    </row>
    <row r="22" spans="1:88" x14ac:dyDescent="0.2">
      <c r="A22">
        <v>21</v>
      </c>
      <c r="B22" s="464" t="s">
        <v>853</v>
      </c>
      <c r="C22" s="162" t="s">
        <v>857</v>
      </c>
      <c r="D22" s="162" t="s">
        <v>4051</v>
      </c>
      <c r="E22" s="162" t="s">
        <v>2021</v>
      </c>
      <c r="F22" s="162" t="s">
        <v>2016</v>
      </c>
      <c r="G22" s="162" t="s">
        <v>34</v>
      </c>
      <c r="H22" s="162" t="s">
        <v>2198</v>
      </c>
      <c r="I22" s="162" t="s">
        <v>5723</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80">
        <v>0</v>
      </c>
      <c r="AO22" s="480">
        <v>0</v>
      </c>
      <c r="CE22" s="464"/>
      <c r="CF22" t="e">
        <f t="shared" si="0"/>
        <v>#N/A</v>
      </c>
      <c r="CG22" s="464" t="s">
        <v>1074</v>
      </c>
      <c r="CH22" t="str">
        <f t="shared" si="1"/>
        <v/>
      </c>
      <c r="CI22" s="464" t="s">
        <v>1657</v>
      </c>
      <c r="CJ22" s="464" t="s">
        <v>1657</v>
      </c>
    </row>
    <row r="23" spans="1:88" x14ac:dyDescent="0.2">
      <c r="A23">
        <v>22</v>
      </c>
      <c r="B23" s="464" t="s">
        <v>853</v>
      </c>
      <c r="C23" s="162" t="s">
        <v>855</v>
      </c>
      <c r="D23" s="162" t="s">
        <v>4052</v>
      </c>
      <c r="E23" s="162" t="s">
        <v>2021</v>
      </c>
      <c r="F23" s="162" t="s">
        <v>2016</v>
      </c>
      <c r="G23" s="162" t="s">
        <v>34</v>
      </c>
      <c r="H23" s="162" t="s">
        <v>2198</v>
      </c>
      <c r="I23" s="162" t="s">
        <v>5723</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80">
        <v>0</v>
      </c>
      <c r="AO23" s="480">
        <v>0</v>
      </c>
      <c r="CE23" s="464"/>
      <c r="CF23" t="e">
        <f t="shared" si="0"/>
        <v>#N/A</v>
      </c>
      <c r="CG23" s="464" t="s">
        <v>1657</v>
      </c>
      <c r="CH23" t="str">
        <f t="shared" si="1"/>
        <v/>
      </c>
      <c r="CI23" s="464" t="s">
        <v>1116</v>
      </c>
      <c r="CJ23" s="464" t="s">
        <v>1116</v>
      </c>
    </row>
    <row r="24" spans="1:88" x14ac:dyDescent="0.2">
      <c r="A24">
        <v>23</v>
      </c>
      <c r="B24" s="464" t="s">
        <v>853</v>
      </c>
      <c r="C24" s="162" t="s">
        <v>1955</v>
      </c>
      <c r="D24" s="162" t="s">
        <v>4053</v>
      </c>
      <c r="E24" s="162" t="s">
        <v>2021</v>
      </c>
      <c r="F24" s="162" t="s">
        <v>2016</v>
      </c>
      <c r="G24" s="162" t="s">
        <v>34</v>
      </c>
      <c r="H24" s="162" t="s">
        <v>2198</v>
      </c>
      <c r="I24" s="162" t="s">
        <v>5117</v>
      </c>
      <c r="J24" s="162" t="s">
        <v>1766</v>
      </c>
      <c r="K24" s="162" t="s">
        <v>2284</v>
      </c>
      <c r="L24" s="162" t="s">
        <v>2285</v>
      </c>
      <c r="M24" s="162">
        <v>113316</v>
      </c>
      <c r="N24" s="162" t="s">
        <v>1955</v>
      </c>
      <c r="O24" s="162" t="s">
        <v>904</v>
      </c>
      <c r="P24" s="162" t="s">
        <v>5238</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80">
        <v>0</v>
      </c>
      <c r="AO24" s="480">
        <v>0</v>
      </c>
      <c r="CE24" s="464"/>
      <c r="CF24" t="e">
        <f t="shared" si="0"/>
        <v>#N/A</v>
      </c>
      <c r="CG24" s="464" t="s">
        <v>1116</v>
      </c>
      <c r="CH24" t="str">
        <f t="shared" si="1"/>
        <v/>
      </c>
      <c r="CI24" s="464" t="s">
        <v>1096</v>
      </c>
      <c r="CJ24" s="464" t="s">
        <v>1096</v>
      </c>
    </row>
    <row r="25" spans="1:88" x14ac:dyDescent="0.2">
      <c r="A25">
        <v>24</v>
      </c>
      <c r="B25" s="464" t="s">
        <v>853</v>
      </c>
      <c r="C25" s="162" t="s">
        <v>4675</v>
      </c>
      <c r="D25" s="162" t="s">
        <v>4676</v>
      </c>
      <c r="E25" s="162" t="s">
        <v>2021</v>
      </c>
      <c r="F25" s="162" t="s">
        <v>2016</v>
      </c>
      <c r="G25" s="162" t="s">
        <v>34</v>
      </c>
      <c r="H25" s="162" t="s">
        <v>2198</v>
      </c>
      <c r="I25" s="162" t="s">
        <v>5723</v>
      </c>
      <c r="J25" s="162" t="s">
        <v>1766</v>
      </c>
      <c r="K25" s="162" t="s">
        <v>4677</v>
      </c>
      <c r="L25" s="162" t="s">
        <v>4678</v>
      </c>
      <c r="M25" s="162">
        <v>2019080326</v>
      </c>
      <c r="N25" s="162" t="s">
        <v>4675</v>
      </c>
      <c r="O25" s="162" t="s">
        <v>904</v>
      </c>
      <c r="P25" s="162" t="s">
        <v>4679</v>
      </c>
      <c r="Q25" s="162" t="s">
        <v>4934</v>
      </c>
      <c r="R25" s="162" t="s">
        <v>2191</v>
      </c>
      <c r="S25" s="162" t="s">
        <v>5036</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80">
        <v>0</v>
      </c>
      <c r="AO25" s="480">
        <v>0</v>
      </c>
      <c r="CE25" s="464"/>
      <c r="CF25" t="e">
        <f t="shared" si="0"/>
        <v>#N/A</v>
      </c>
      <c r="CG25" s="464" t="s">
        <v>1096</v>
      </c>
      <c r="CH25" t="str">
        <f t="shared" si="1"/>
        <v/>
      </c>
      <c r="CI25" s="464" t="s">
        <v>1107</v>
      </c>
      <c r="CJ25" s="464" t="s">
        <v>1107</v>
      </c>
    </row>
    <row r="26" spans="1:88" x14ac:dyDescent="0.2">
      <c r="A26">
        <v>25</v>
      </c>
      <c r="B26" s="464" t="s">
        <v>859</v>
      </c>
      <c r="C26" s="162" t="s">
        <v>861</v>
      </c>
      <c r="D26" s="162" t="s">
        <v>4054</v>
      </c>
      <c r="E26" s="162" t="s">
        <v>2302</v>
      </c>
      <c r="F26" s="162" t="s">
        <v>2023</v>
      </c>
      <c r="G26" s="162" t="s">
        <v>34</v>
      </c>
      <c r="H26" s="162" t="s">
        <v>2198</v>
      </c>
      <c r="I26" s="162" t="s">
        <v>5723</v>
      </c>
      <c r="J26" s="162" t="s">
        <v>1766</v>
      </c>
      <c r="K26" s="162" t="s">
        <v>2303</v>
      </c>
      <c r="L26" s="162" t="s">
        <v>2304</v>
      </c>
      <c r="M26" s="542"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80">
        <v>0</v>
      </c>
      <c r="AO26" s="480">
        <v>0</v>
      </c>
      <c r="CE26" s="464"/>
      <c r="CF26" t="e">
        <f t="shared" si="0"/>
        <v>#N/A</v>
      </c>
      <c r="CG26" s="464" t="s">
        <v>1107</v>
      </c>
      <c r="CH26" t="str">
        <f t="shared" si="1"/>
        <v/>
      </c>
      <c r="CI26" s="464" t="s">
        <v>1123</v>
      </c>
      <c r="CJ26" s="464" t="s">
        <v>1123</v>
      </c>
    </row>
    <row r="27" spans="1:88" x14ac:dyDescent="0.2">
      <c r="A27">
        <v>26</v>
      </c>
      <c r="B27" s="464" t="s">
        <v>859</v>
      </c>
      <c r="C27" s="162" t="s">
        <v>1840</v>
      </c>
      <c r="D27" s="162" t="s">
        <v>4055</v>
      </c>
      <c r="E27" s="162" t="s">
        <v>2302</v>
      </c>
      <c r="F27" s="162" t="s">
        <v>2023</v>
      </c>
      <c r="G27" s="162" t="s">
        <v>34</v>
      </c>
      <c r="H27" s="162" t="s">
        <v>2198</v>
      </c>
      <c r="I27" s="162" t="s">
        <v>5723</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80">
        <v>0</v>
      </c>
      <c r="AO27" s="480">
        <v>0</v>
      </c>
      <c r="CE27" s="464"/>
      <c r="CF27" t="e">
        <f t="shared" si="0"/>
        <v>#N/A</v>
      </c>
      <c r="CG27" s="464" t="s">
        <v>1123</v>
      </c>
      <c r="CH27" t="str">
        <f t="shared" si="1"/>
        <v/>
      </c>
      <c r="CI27" s="464" t="s">
        <v>1147</v>
      </c>
      <c r="CJ27" s="464" t="s">
        <v>1147</v>
      </c>
    </row>
    <row r="28" spans="1:88" x14ac:dyDescent="0.2">
      <c r="A28">
        <v>27</v>
      </c>
      <c r="B28" s="464" t="s">
        <v>859</v>
      </c>
      <c r="C28" s="162" t="s">
        <v>4704</v>
      </c>
      <c r="D28" s="162" t="s">
        <v>4705</v>
      </c>
      <c r="E28" s="162" t="s">
        <v>2302</v>
      </c>
      <c r="F28" s="162" t="s">
        <v>2023</v>
      </c>
      <c r="G28" s="162" t="s">
        <v>34</v>
      </c>
      <c r="H28" s="162" t="s">
        <v>2198</v>
      </c>
      <c r="I28" s="162" t="s">
        <v>5723</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5779</v>
      </c>
      <c r="AC28" s="162" t="s">
        <v>2193</v>
      </c>
      <c r="AD28" s="162" t="s">
        <v>2194</v>
      </c>
      <c r="AE28" s="162" t="s">
        <v>1760</v>
      </c>
      <c r="AF28" s="162" t="s">
        <v>3417</v>
      </c>
      <c r="AG28" s="162" t="s">
        <v>34</v>
      </c>
      <c r="AH28" s="162" t="s">
        <v>34</v>
      </c>
      <c r="AI28" s="162" t="s">
        <v>34</v>
      </c>
      <c r="AJ28" s="162" t="s">
        <v>34</v>
      </c>
      <c r="AK28" s="162" t="s">
        <v>2195</v>
      </c>
      <c r="AL28" s="162" t="s">
        <v>34</v>
      </c>
      <c r="AM28" t="s">
        <v>4874</v>
      </c>
      <c r="AN28" s="480">
        <v>0</v>
      </c>
      <c r="AO28" s="480">
        <v>0</v>
      </c>
      <c r="CE28" s="464"/>
      <c r="CF28" t="e">
        <f t="shared" si="0"/>
        <v>#N/A</v>
      </c>
      <c r="CG28" s="464" t="s">
        <v>1147</v>
      </c>
      <c r="CH28" t="str">
        <f t="shared" si="1"/>
        <v/>
      </c>
      <c r="CI28" s="464" t="s">
        <v>3771</v>
      </c>
      <c r="CJ28" s="464" t="s">
        <v>3771</v>
      </c>
    </row>
    <row r="29" spans="1:88" x14ac:dyDescent="0.2">
      <c r="A29">
        <v>28</v>
      </c>
      <c r="B29" s="464" t="s">
        <v>863</v>
      </c>
      <c r="C29" s="162" t="s">
        <v>865</v>
      </c>
      <c r="D29" s="162" t="s">
        <v>4056</v>
      </c>
      <c r="E29" s="162" t="s">
        <v>2024</v>
      </c>
      <c r="F29" s="162" t="s">
        <v>2025</v>
      </c>
      <c r="G29" s="162" t="s">
        <v>34</v>
      </c>
      <c r="H29" s="162" t="s">
        <v>2198</v>
      </c>
      <c r="I29" s="162" t="s">
        <v>5723</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80">
        <v>0</v>
      </c>
      <c r="AO29" s="480">
        <v>0</v>
      </c>
      <c r="CE29" s="464"/>
      <c r="CF29" t="e">
        <f t="shared" si="0"/>
        <v>#N/A</v>
      </c>
      <c r="CG29" s="464" t="s">
        <v>3771</v>
      </c>
      <c r="CH29" t="str">
        <f t="shared" si="1"/>
        <v/>
      </c>
      <c r="CI29" s="464" t="s">
        <v>1166</v>
      </c>
      <c r="CJ29" s="464" t="s">
        <v>1166</v>
      </c>
    </row>
    <row r="30" spans="1:88" x14ac:dyDescent="0.2">
      <c r="A30">
        <v>29</v>
      </c>
      <c r="B30" s="464" t="s">
        <v>867</v>
      </c>
      <c r="C30" s="162" t="s">
        <v>4521</v>
      </c>
      <c r="D30" s="162" t="s">
        <v>4522</v>
      </c>
      <c r="E30" s="162" t="s">
        <v>2050</v>
      </c>
      <c r="F30" s="162" t="s">
        <v>4523</v>
      </c>
      <c r="G30" s="162" t="s">
        <v>34</v>
      </c>
      <c r="H30" s="162" t="s">
        <v>2198</v>
      </c>
      <c r="I30" s="162" t="s">
        <v>5117</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80">
        <v>0</v>
      </c>
      <c r="AO30" s="480">
        <v>0</v>
      </c>
      <c r="CE30" s="464"/>
      <c r="CF30" t="e">
        <f t="shared" si="0"/>
        <v>#N/A</v>
      </c>
      <c r="CG30" s="464" t="s">
        <v>1166</v>
      </c>
      <c r="CH30" t="str">
        <f t="shared" ref="CH30:CH37" si="2">IF(CG32=CG$3,VLOOKUP(CF30,A$2:C$500,3,FALSE),"")</f>
        <v/>
      </c>
      <c r="CI30" s="464" t="s">
        <v>1171</v>
      </c>
      <c r="CJ30" s="464" t="s">
        <v>1171</v>
      </c>
    </row>
    <row r="31" spans="1:88" x14ac:dyDescent="0.2">
      <c r="A31">
        <v>30</v>
      </c>
      <c r="B31" s="464" t="s">
        <v>1886</v>
      </c>
      <c r="C31" s="162" t="s">
        <v>1889</v>
      </c>
      <c r="D31" s="162" t="s">
        <v>4057</v>
      </c>
      <c r="E31" s="162" t="s">
        <v>2323</v>
      </c>
      <c r="F31" s="162" t="s">
        <v>2028</v>
      </c>
      <c r="G31" s="162" t="s">
        <v>34</v>
      </c>
      <c r="H31" s="162" t="s">
        <v>2198</v>
      </c>
      <c r="I31" s="162" t="s">
        <v>5723</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80">
        <v>0</v>
      </c>
      <c r="AO31" s="480">
        <v>0</v>
      </c>
      <c r="CE31" s="464"/>
      <c r="CF31" t="e">
        <f t="shared" si="0"/>
        <v>#N/A</v>
      </c>
      <c r="CG31" s="464" t="s">
        <v>5560</v>
      </c>
      <c r="CH31" t="str">
        <f t="shared" si="2"/>
        <v/>
      </c>
      <c r="CI31" s="464" t="s">
        <v>1188</v>
      </c>
      <c r="CJ31" s="464" t="s">
        <v>1188</v>
      </c>
    </row>
    <row r="32" spans="1:88" x14ac:dyDescent="0.2">
      <c r="A32">
        <v>31</v>
      </c>
      <c r="B32" s="464" t="s">
        <v>1886</v>
      </c>
      <c r="C32" s="162" t="s">
        <v>1846</v>
      </c>
      <c r="D32" s="162" t="s">
        <v>4058</v>
      </c>
      <c r="E32" s="162" t="s">
        <v>2323</v>
      </c>
      <c r="F32" s="162" t="s">
        <v>2028</v>
      </c>
      <c r="G32" s="162" t="s">
        <v>34</v>
      </c>
      <c r="H32" s="162" t="s">
        <v>2198</v>
      </c>
      <c r="I32" s="162" t="s">
        <v>5723</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80">
        <v>0</v>
      </c>
      <c r="AO32" s="480">
        <v>0</v>
      </c>
      <c r="CE32" s="464"/>
      <c r="CF32" t="e">
        <f t="shared" si="0"/>
        <v>#N/A</v>
      </c>
      <c r="CG32" s="464" t="s">
        <v>1171</v>
      </c>
      <c r="CH32" t="str">
        <f t="shared" si="2"/>
        <v/>
      </c>
      <c r="CI32" s="464" t="s">
        <v>1196</v>
      </c>
      <c r="CJ32" s="464" t="s">
        <v>1196</v>
      </c>
    </row>
    <row r="33" spans="1:88" x14ac:dyDescent="0.2">
      <c r="A33">
        <v>32</v>
      </c>
      <c r="B33" s="464" t="s">
        <v>1886</v>
      </c>
      <c r="C33" s="162" t="s">
        <v>1855</v>
      </c>
      <c r="D33" s="162" t="s">
        <v>4059</v>
      </c>
      <c r="E33" s="162" t="s">
        <v>2323</v>
      </c>
      <c r="F33" s="162" t="s">
        <v>2028</v>
      </c>
      <c r="G33" s="162" t="s">
        <v>34</v>
      </c>
      <c r="H33" s="162" t="s">
        <v>2198</v>
      </c>
      <c r="I33" s="162" t="s">
        <v>5723</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80">
        <v>0</v>
      </c>
      <c r="AO33" s="480">
        <v>0</v>
      </c>
      <c r="CE33" s="464"/>
      <c r="CF33" t="e">
        <f t="shared" si="0"/>
        <v>#N/A</v>
      </c>
      <c r="CG33" s="464" t="s">
        <v>1188</v>
      </c>
      <c r="CH33" t="str">
        <f t="shared" si="2"/>
        <v/>
      </c>
      <c r="CI33" s="464" t="s">
        <v>1964</v>
      </c>
      <c r="CJ33" s="464" t="s">
        <v>1964</v>
      </c>
    </row>
    <row r="34" spans="1:88" x14ac:dyDescent="0.2">
      <c r="A34">
        <v>33</v>
      </c>
      <c r="B34" s="464" t="s">
        <v>1886</v>
      </c>
      <c r="C34" s="162" t="s">
        <v>1892</v>
      </c>
      <c r="D34" s="162" t="s">
        <v>4060</v>
      </c>
      <c r="E34" s="162" t="s">
        <v>2323</v>
      </c>
      <c r="F34" s="162" t="s">
        <v>2028</v>
      </c>
      <c r="G34" s="162" t="s">
        <v>34</v>
      </c>
      <c r="H34" s="162" t="s">
        <v>2198</v>
      </c>
      <c r="I34" s="162" t="s">
        <v>5723</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80">
        <v>0</v>
      </c>
      <c r="AO34" s="480">
        <v>0</v>
      </c>
      <c r="CE34" s="464"/>
      <c r="CF34" t="e">
        <f t="shared" si="0"/>
        <v>#N/A</v>
      </c>
      <c r="CG34" s="464" t="s">
        <v>1196</v>
      </c>
      <c r="CH34" t="str">
        <f t="shared" si="2"/>
        <v/>
      </c>
      <c r="CI34" s="464" t="s">
        <v>1203</v>
      </c>
      <c r="CJ34" s="464" t="s">
        <v>1203</v>
      </c>
    </row>
    <row r="35" spans="1:88" x14ac:dyDescent="0.2">
      <c r="A35">
        <v>34</v>
      </c>
      <c r="B35" s="464" t="s">
        <v>1886</v>
      </c>
      <c r="C35" s="162" t="s">
        <v>5122</v>
      </c>
      <c r="D35" s="162" t="s">
        <v>5123</v>
      </c>
      <c r="E35" s="162" t="s">
        <v>2323</v>
      </c>
      <c r="F35" s="162" t="s">
        <v>2028</v>
      </c>
      <c r="G35" s="162" t="s">
        <v>34</v>
      </c>
      <c r="H35" s="162" t="s">
        <v>2198</v>
      </c>
      <c r="I35" s="162" t="s">
        <v>5723</v>
      </c>
      <c r="J35" s="162" t="s">
        <v>1766</v>
      </c>
      <c r="K35" s="162" t="s">
        <v>5124</v>
      </c>
      <c r="L35" s="162" t="s">
        <v>2325</v>
      </c>
      <c r="M35" s="162" t="s">
        <v>5124</v>
      </c>
      <c r="N35" s="162" t="s">
        <v>5122</v>
      </c>
      <c r="O35" s="162" t="s">
        <v>904</v>
      </c>
      <c r="P35" s="162" t="s">
        <v>5125</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80"/>
      <c r="AO35" s="480"/>
      <c r="CE35" s="464"/>
      <c r="CF35" t="e">
        <f t="shared" si="0"/>
        <v>#N/A</v>
      </c>
      <c r="CG35" s="464" t="s">
        <v>5082</v>
      </c>
      <c r="CH35" t="str">
        <f t="shared" si="2"/>
        <v/>
      </c>
      <c r="CI35" s="464" t="s">
        <v>1228</v>
      </c>
      <c r="CJ35" s="464" t="s">
        <v>1228</v>
      </c>
    </row>
    <row r="36" spans="1:88" x14ac:dyDescent="0.2">
      <c r="A36">
        <v>35</v>
      </c>
      <c r="B36" s="464" t="s">
        <v>1886</v>
      </c>
      <c r="C36" s="162" t="s">
        <v>1896</v>
      </c>
      <c r="D36" s="162" t="s">
        <v>4061</v>
      </c>
      <c r="E36" s="162" t="s">
        <v>2323</v>
      </c>
      <c r="F36" s="162" t="s">
        <v>2028</v>
      </c>
      <c r="G36" s="162" t="s">
        <v>34</v>
      </c>
      <c r="H36" s="162" t="s">
        <v>2198</v>
      </c>
      <c r="I36" s="162" t="s">
        <v>5723</v>
      </c>
      <c r="J36" s="162" t="s">
        <v>1766</v>
      </c>
      <c r="K36" s="162" t="s">
        <v>2341</v>
      </c>
      <c r="L36" s="162" t="s">
        <v>2325</v>
      </c>
      <c r="M36" s="162" t="s">
        <v>2341</v>
      </c>
      <c r="N36" s="162" t="s">
        <v>1896</v>
      </c>
      <c r="O36" s="162" t="s">
        <v>904</v>
      </c>
      <c r="P36" s="162" t="s">
        <v>5126</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80">
        <v>0</v>
      </c>
      <c r="AO36" s="480">
        <v>0</v>
      </c>
      <c r="CE36" s="464"/>
      <c r="CF36" t="e">
        <f t="shared" si="0"/>
        <v>#N/A</v>
      </c>
      <c r="CG36" s="464" t="s">
        <v>1964</v>
      </c>
      <c r="CH36" t="str">
        <f t="shared" si="2"/>
        <v/>
      </c>
      <c r="CI36" s="464" t="s">
        <v>4805</v>
      </c>
      <c r="CJ36" s="464" t="s">
        <v>4805</v>
      </c>
    </row>
    <row r="37" spans="1:88" x14ac:dyDescent="0.2">
      <c r="A37">
        <v>36</v>
      </c>
      <c r="B37" s="464" t="s">
        <v>1886</v>
      </c>
      <c r="C37" s="162" t="s">
        <v>5127</v>
      </c>
      <c r="D37" s="162" t="s">
        <v>5128</v>
      </c>
      <c r="E37" s="162" t="s">
        <v>2323</v>
      </c>
      <c r="F37" s="162" t="s">
        <v>2028</v>
      </c>
      <c r="G37" s="162" t="s">
        <v>34</v>
      </c>
      <c r="H37" s="162" t="s">
        <v>2198</v>
      </c>
      <c r="I37" s="162" t="s">
        <v>5723</v>
      </c>
      <c r="J37" s="162" t="s">
        <v>1766</v>
      </c>
      <c r="K37" s="162" t="s">
        <v>5129</v>
      </c>
      <c r="L37" s="162" t="s">
        <v>2325</v>
      </c>
      <c r="M37" s="162" t="s">
        <v>5129</v>
      </c>
      <c r="N37" s="162" t="s">
        <v>5127</v>
      </c>
      <c r="O37" s="162" t="s">
        <v>904</v>
      </c>
      <c r="P37" s="162" t="s">
        <v>5125</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80"/>
      <c r="AO37" s="480"/>
      <c r="CE37" s="464"/>
      <c r="CF37" t="e">
        <f t="shared" si="0"/>
        <v>#N/A</v>
      </c>
      <c r="CG37" s="464" t="s">
        <v>1203</v>
      </c>
      <c r="CH37" t="str">
        <f t="shared" si="2"/>
        <v/>
      </c>
      <c r="CI37" s="464" t="s">
        <v>1775</v>
      </c>
      <c r="CJ37" s="464" t="s">
        <v>1775</v>
      </c>
    </row>
    <row r="38" spans="1:88" x14ac:dyDescent="0.2">
      <c r="A38">
        <v>37</v>
      </c>
      <c r="B38" s="464" t="s">
        <v>1886</v>
      </c>
      <c r="C38" s="162" t="s">
        <v>1894</v>
      </c>
      <c r="D38" s="162" t="s">
        <v>4062</v>
      </c>
      <c r="E38" s="162" t="s">
        <v>2323</v>
      </c>
      <c r="F38" s="162" t="s">
        <v>2028</v>
      </c>
      <c r="G38" s="162" t="s">
        <v>34</v>
      </c>
      <c r="H38" s="162" t="s">
        <v>2198</v>
      </c>
      <c r="I38" s="162" t="s">
        <v>5723</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80">
        <v>0</v>
      </c>
      <c r="AO38" s="480">
        <v>0</v>
      </c>
      <c r="CE38" s="464"/>
      <c r="CG38" s="464" t="s">
        <v>1228</v>
      </c>
      <c r="CI38" s="464" t="s">
        <v>1237</v>
      </c>
      <c r="CJ38" s="464" t="s">
        <v>1237</v>
      </c>
    </row>
    <row r="39" spans="1:88" x14ac:dyDescent="0.2">
      <c r="A39">
        <v>38</v>
      </c>
      <c r="B39" s="464" t="s">
        <v>1886</v>
      </c>
      <c r="C39" s="162" t="s">
        <v>1898</v>
      </c>
      <c r="D39" s="162" t="s">
        <v>4063</v>
      </c>
      <c r="E39" s="162" t="s">
        <v>2323</v>
      </c>
      <c r="F39" s="162" t="s">
        <v>2028</v>
      </c>
      <c r="G39" s="162" t="s">
        <v>34</v>
      </c>
      <c r="H39" s="162" t="s">
        <v>2198</v>
      </c>
      <c r="I39" s="162" t="s">
        <v>5723</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80">
        <v>0</v>
      </c>
      <c r="AO39" s="480">
        <v>0</v>
      </c>
      <c r="CE39" s="464"/>
      <c r="CG39" s="464" t="s">
        <v>4805</v>
      </c>
      <c r="CI39" s="464" t="s">
        <v>1243</v>
      </c>
      <c r="CJ39" s="464" t="s">
        <v>1243</v>
      </c>
    </row>
    <row r="40" spans="1:88" x14ac:dyDescent="0.2">
      <c r="A40">
        <v>39</v>
      </c>
      <c r="B40" s="464" t="s">
        <v>1886</v>
      </c>
      <c r="C40" s="162" t="s">
        <v>1900</v>
      </c>
      <c r="D40" s="162" t="s">
        <v>4064</v>
      </c>
      <c r="E40" s="162" t="s">
        <v>2323</v>
      </c>
      <c r="F40" s="162" t="s">
        <v>2028</v>
      </c>
      <c r="G40" s="162" t="s">
        <v>34</v>
      </c>
      <c r="H40" s="162" t="s">
        <v>2198</v>
      </c>
      <c r="I40" s="162" t="s">
        <v>5723</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80">
        <v>0</v>
      </c>
      <c r="AO40" s="480">
        <v>0</v>
      </c>
      <c r="CE40" s="464"/>
      <c r="CG40" s="464" t="s">
        <v>1775</v>
      </c>
      <c r="CI40" s="464" t="s">
        <v>1247</v>
      </c>
      <c r="CJ40" s="464" t="s">
        <v>1247</v>
      </c>
    </row>
    <row r="41" spans="1:88" x14ac:dyDescent="0.2">
      <c r="A41">
        <v>40</v>
      </c>
      <c r="B41" s="464" t="s">
        <v>1886</v>
      </c>
      <c r="C41" s="162" t="s">
        <v>1887</v>
      </c>
      <c r="D41" s="162" t="s">
        <v>4065</v>
      </c>
      <c r="E41" s="162" t="s">
        <v>2323</v>
      </c>
      <c r="F41" s="162" t="s">
        <v>2028</v>
      </c>
      <c r="G41" s="162" t="s">
        <v>34</v>
      </c>
      <c r="H41" s="162" t="s">
        <v>2198</v>
      </c>
      <c r="I41" s="162" t="s">
        <v>5723</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80">
        <v>0</v>
      </c>
      <c r="AO41" s="480">
        <v>0</v>
      </c>
      <c r="CE41" s="464"/>
      <c r="CG41" s="464" t="s">
        <v>1237</v>
      </c>
      <c r="CI41" s="464" t="s">
        <v>1250</v>
      </c>
      <c r="CJ41" s="464" t="s">
        <v>1250</v>
      </c>
    </row>
    <row r="42" spans="1:88" x14ac:dyDescent="0.2">
      <c r="A42">
        <v>41</v>
      </c>
      <c r="B42" s="464" t="s">
        <v>1886</v>
      </c>
      <c r="C42" s="162" t="s">
        <v>5130</v>
      </c>
      <c r="D42" s="162" t="s">
        <v>5131</v>
      </c>
      <c r="E42" s="162" t="s">
        <v>2323</v>
      </c>
      <c r="F42" s="162" t="s">
        <v>2028</v>
      </c>
      <c r="G42" s="162" t="s">
        <v>34</v>
      </c>
      <c r="H42" s="162" t="s">
        <v>2198</v>
      </c>
      <c r="I42" s="162" t="s">
        <v>5117</v>
      </c>
      <c r="J42" s="162" t="s">
        <v>1766</v>
      </c>
      <c r="K42" s="162" t="s">
        <v>5132</v>
      </c>
      <c r="L42" s="162" t="s">
        <v>2325</v>
      </c>
      <c r="M42" s="162" t="s">
        <v>5132</v>
      </c>
      <c r="N42" s="162" t="s">
        <v>5130</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80"/>
      <c r="AO42" s="480"/>
      <c r="CE42" s="464"/>
      <c r="CG42" s="464" t="s">
        <v>1243</v>
      </c>
      <c r="CI42" s="464" t="s">
        <v>1860</v>
      </c>
      <c r="CJ42" s="464" t="s">
        <v>1860</v>
      </c>
    </row>
    <row r="43" spans="1:88" x14ac:dyDescent="0.2">
      <c r="A43">
        <v>42</v>
      </c>
      <c r="B43" s="464" t="s">
        <v>870</v>
      </c>
      <c r="C43" s="162" t="s">
        <v>878</v>
      </c>
      <c r="D43" s="162" t="s">
        <v>4066</v>
      </c>
      <c r="E43" s="162" t="s">
        <v>2029</v>
      </c>
      <c r="F43" s="162" t="s">
        <v>2030</v>
      </c>
      <c r="G43" s="162" t="s">
        <v>34</v>
      </c>
      <c r="H43" s="162" t="s">
        <v>2198</v>
      </c>
      <c r="I43" s="162" t="s">
        <v>5723</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80">
        <v>0</v>
      </c>
      <c r="AO43" s="480">
        <v>0</v>
      </c>
      <c r="CE43" s="464"/>
      <c r="CG43" s="464" t="s">
        <v>1247</v>
      </c>
      <c r="CI43" s="464" t="s">
        <v>1255</v>
      </c>
      <c r="CJ43" s="464" t="s">
        <v>1255</v>
      </c>
    </row>
    <row r="44" spans="1:88" x14ac:dyDescent="0.2">
      <c r="A44">
        <v>43</v>
      </c>
      <c r="B44" s="464" t="s">
        <v>870</v>
      </c>
      <c r="C44" s="162" t="s">
        <v>876</v>
      </c>
      <c r="D44" s="162" t="s">
        <v>4067</v>
      </c>
      <c r="E44" s="162" t="s">
        <v>2029</v>
      </c>
      <c r="F44" s="162" t="s">
        <v>2030</v>
      </c>
      <c r="G44" s="162" t="s">
        <v>34</v>
      </c>
      <c r="H44" s="162" t="s">
        <v>2198</v>
      </c>
      <c r="I44" s="162" t="s">
        <v>5723</v>
      </c>
      <c r="J44" s="162" t="s">
        <v>1766</v>
      </c>
      <c r="K44" s="162" t="s">
        <v>2374</v>
      </c>
      <c r="L44" s="162" t="s">
        <v>2376</v>
      </c>
      <c r="M44" s="162">
        <v>5514</v>
      </c>
      <c r="N44" s="162" t="s">
        <v>876</v>
      </c>
      <c r="O44" s="162" t="s">
        <v>904</v>
      </c>
      <c r="P44" s="162" t="s">
        <v>5252</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80">
        <v>0</v>
      </c>
      <c r="AO44" s="480">
        <v>0</v>
      </c>
      <c r="CE44" s="464"/>
      <c r="CG44" s="464" t="s">
        <v>1250</v>
      </c>
      <c r="CI44" s="464" t="s">
        <v>1281</v>
      </c>
      <c r="CJ44" s="464" t="s">
        <v>1281</v>
      </c>
    </row>
    <row r="45" spans="1:88" x14ac:dyDescent="0.2">
      <c r="A45">
        <v>44</v>
      </c>
      <c r="B45" s="464" t="s">
        <v>870</v>
      </c>
      <c r="C45" s="162" t="s">
        <v>4709</v>
      </c>
      <c r="D45" s="162" t="s">
        <v>4710</v>
      </c>
      <c r="E45" s="162" t="s">
        <v>2029</v>
      </c>
      <c r="F45" s="162" t="s">
        <v>2030</v>
      </c>
      <c r="G45" s="162" t="s">
        <v>34</v>
      </c>
      <c r="H45" s="162" t="s">
        <v>4711</v>
      </c>
      <c r="I45" s="162" t="s">
        <v>5723</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80">
        <v>0</v>
      </c>
      <c r="AO45" s="480">
        <v>0</v>
      </c>
      <c r="CE45" s="464"/>
      <c r="CG45" s="464" t="s">
        <v>1860</v>
      </c>
      <c r="CI45" s="464" t="s">
        <v>1906</v>
      </c>
      <c r="CJ45" s="464" t="s">
        <v>1906</v>
      </c>
    </row>
    <row r="46" spans="1:88" x14ac:dyDescent="0.2">
      <c r="A46">
        <v>45</v>
      </c>
      <c r="B46" s="464" t="s">
        <v>870</v>
      </c>
      <c r="C46" s="162" t="s">
        <v>829</v>
      </c>
      <c r="D46" s="162" t="s">
        <v>4068</v>
      </c>
      <c r="E46" s="162" t="s">
        <v>2029</v>
      </c>
      <c r="F46" s="162" t="s">
        <v>2030</v>
      </c>
      <c r="G46" s="162" t="s">
        <v>34</v>
      </c>
      <c r="H46" s="162" t="s">
        <v>2198</v>
      </c>
      <c r="I46" s="162" t="s">
        <v>5723</v>
      </c>
      <c r="J46" s="162" t="s">
        <v>2186</v>
      </c>
      <c r="K46" s="162" t="s">
        <v>2362</v>
      </c>
      <c r="L46" s="162" t="s">
        <v>2325</v>
      </c>
      <c r="M46" s="162" t="s">
        <v>2363</v>
      </c>
      <c r="N46" s="162" t="s">
        <v>2363</v>
      </c>
      <c r="O46" s="162" t="s">
        <v>5724</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80">
        <v>0</v>
      </c>
      <c r="AO46" s="480">
        <v>0</v>
      </c>
      <c r="CE46" s="464"/>
      <c r="CG46" s="464" t="s">
        <v>1255</v>
      </c>
      <c r="CI46" s="464" t="s">
        <v>3842</v>
      </c>
      <c r="CJ46" s="464" t="s">
        <v>3842</v>
      </c>
    </row>
    <row r="47" spans="1:88" x14ac:dyDescent="0.2">
      <c r="A47">
        <v>46</v>
      </c>
      <c r="B47" s="464" t="s">
        <v>882</v>
      </c>
      <c r="C47" s="162" t="s">
        <v>886</v>
      </c>
      <c r="D47" s="162" t="s">
        <v>4069</v>
      </c>
      <c r="E47" s="162" t="s">
        <v>2031</v>
      </c>
      <c r="F47" s="162" t="s">
        <v>2032</v>
      </c>
      <c r="G47" s="162" t="s">
        <v>34</v>
      </c>
      <c r="H47" s="162" t="s">
        <v>2198</v>
      </c>
      <c r="I47" s="162" t="s">
        <v>5723</v>
      </c>
      <c r="J47" s="162" t="s">
        <v>2186</v>
      </c>
      <c r="K47" s="162" t="s">
        <v>1420</v>
      </c>
      <c r="L47" s="162" t="s">
        <v>2392</v>
      </c>
      <c r="M47" s="162">
        <v>3199</v>
      </c>
      <c r="N47" s="162" t="s">
        <v>886</v>
      </c>
      <c r="O47" s="162" t="s">
        <v>5726</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80">
        <v>1.4583333333333332E-2</v>
      </c>
      <c r="AO47" s="480">
        <v>0</v>
      </c>
      <c r="CE47" s="464"/>
      <c r="CG47" s="464" t="s">
        <v>1281</v>
      </c>
      <c r="CI47" s="464" t="s">
        <v>1300</v>
      </c>
      <c r="CJ47" s="464" t="s">
        <v>1300</v>
      </c>
    </row>
    <row r="48" spans="1:88" x14ac:dyDescent="0.2">
      <c r="A48">
        <v>47</v>
      </c>
      <c r="B48" s="464" t="s">
        <v>882</v>
      </c>
      <c r="C48" s="162" t="s">
        <v>892</v>
      </c>
      <c r="D48" s="162" t="s">
        <v>4070</v>
      </c>
      <c r="E48" s="162" t="s">
        <v>2031</v>
      </c>
      <c r="F48" s="162" t="s">
        <v>2032</v>
      </c>
      <c r="G48" s="162" t="s">
        <v>34</v>
      </c>
      <c r="H48" s="162" t="s">
        <v>2198</v>
      </c>
      <c r="I48" s="162" t="s">
        <v>5723</v>
      </c>
      <c r="J48" s="162" t="s">
        <v>2186</v>
      </c>
      <c r="K48" s="162" t="s">
        <v>2413</v>
      </c>
      <c r="L48" s="162" t="s">
        <v>2414</v>
      </c>
      <c r="M48" s="162">
        <v>1240</v>
      </c>
      <c r="N48" s="162" t="s">
        <v>892</v>
      </c>
      <c r="O48" s="162" t="s">
        <v>5726</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80">
        <v>0</v>
      </c>
      <c r="AO48" s="480">
        <v>0</v>
      </c>
      <c r="CE48" s="464"/>
      <c r="CG48" s="464" t="s">
        <v>1906</v>
      </c>
      <c r="CI48" s="464" t="s">
        <v>4483</v>
      </c>
      <c r="CJ48" s="464" t="s">
        <v>4483</v>
      </c>
    </row>
    <row r="49" spans="1:88" x14ac:dyDescent="0.2">
      <c r="A49">
        <v>48</v>
      </c>
      <c r="B49" s="464" t="s">
        <v>882</v>
      </c>
      <c r="C49" s="162" t="s">
        <v>888</v>
      </c>
      <c r="D49" s="162" t="s">
        <v>4071</v>
      </c>
      <c r="E49" s="162" t="s">
        <v>2031</v>
      </c>
      <c r="F49" s="162" t="s">
        <v>2032</v>
      </c>
      <c r="G49" s="162" t="s">
        <v>34</v>
      </c>
      <c r="H49" s="162" t="s">
        <v>2198</v>
      </c>
      <c r="I49" s="162" t="s">
        <v>5723</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80">
        <v>0</v>
      </c>
      <c r="AO49" s="480">
        <v>0</v>
      </c>
      <c r="CE49" s="464"/>
      <c r="CG49" s="464" t="s">
        <v>3842</v>
      </c>
      <c r="CI49" s="464" t="s">
        <v>3083</v>
      </c>
      <c r="CJ49" s="464" t="s">
        <v>3083</v>
      </c>
    </row>
    <row r="50" spans="1:88" x14ac:dyDescent="0.2">
      <c r="A50">
        <v>49</v>
      </c>
      <c r="B50" s="464" t="s">
        <v>882</v>
      </c>
      <c r="C50" s="162" t="s">
        <v>1767</v>
      </c>
      <c r="D50" s="162" t="s">
        <v>4072</v>
      </c>
      <c r="E50" s="162" t="s">
        <v>2031</v>
      </c>
      <c r="F50" s="162" t="s">
        <v>2032</v>
      </c>
      <c r="G50" s="162" t="s">
        <v>34</v>
      </c>
      <c r="H50" s="162" t="s">
        <v>2198</v>
      </c>
      <c r="I50" s="162" t="s">
        <v>5723</v>
      </c>
      <c r="J50" s="162" t="s">
        <v>2186</v>
      </c>
      <c r="K50" s="162" t="s">
        <v>2396</v>
      </c>
      <c r="L50" s="162" t="s">
        <v>2325</v>
      </c>
      <c r="M50" s="162" t="s">
        <v>1767</v>
      </c>
      <c r="N50" s="162" t="s">
        <v>1767</v>
      </c>
      <c r="O50" s="162" t="s">
        <v>5724</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80">
        <v>1.4583333333333332E-2</v>
      </c>
      <c r="AO50" s="480">
        <v>2.1527777777777781E-2</v>
      </c>
      <c r="CE50" s="464"/>
      <c r="CG50" s="464" t="s">
        <v>5587</v>
      </c>
      <c r="CI50" s="464" t="s">
        <v>1339</v>
      </c>
      <c r="CJ50" s="464" t="s">
        <v>1339</v>
      </c>
    </row>
    <row r="51" spans="1:88" x14ac:dyDescent="0.2">
      <c r="A51">
        <v>50</v>
      </c>
      <c r="B51" s="464" t="s">
        <v>882</v>
      </c>
      <c r="C51" s="162" t="s">
        <v>890</v>
      </c>
      <c r="D51" s="162" t="s">
        <v>4073</v>
      </c>
      <c r="E51" s="162" t="s">
        <v>2031</v>
      </c>
      <c r="F51" s="162" t="s">
        <v>2032</v>
      </c>
      <c r="G51" s="162" t="s">
        <v>34</v>
      </c>
      <c r="H51" s="162" t="s">
        <v>2198</v>
      </c>
      <c r="I51" s="162" t="s">
        <v>5723</v>
      </c>
      <c r="J51" s="162" t="s">
        <v>2186</v>
      </c>
      <c r="K51" s="162" t="s">
        <v>2417</v>
      </c>
      <c r="L51" s="162" t="s">
        <v>2418</v>
      </c>
      <c r="M51" s="162" t="s">
        <v>2419</v>
      </c>
      <c r="N51" s="162" t="s">
        <v>890</v>
      </c>
      <c r="O51" s="162" t="s">
        <v>5727</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80">
        <v>0</v>
      </c>
      <c r="AO51" s="480">
        <v>0</v>
      </c>
      <c r="CE51" s="464"/>
      <c r="CG51" s="464" t="s">
        <v>1300</v>
      </c>
      <c r="CI51" s="464" t="s">
        <v>1779</v>
      </c>
      <c r="CJ51" s="464" t="s">
        <v>1779</v>
      </c>
    </row>
    <row r="52" spans="1:88" x14ac:dyDescent="0.2">
      <c r="A52">
        <v>51</v>
      </c>
      <c r="B52" s="464" t="s">
        <v>882</v>
      </c>
      <c r="C52" s="162" t="s">
        <v>873</v>
      </c>
      <c r="D52" s="162" t="s">
        <v>4074</v>
      </c>
      <c r="E52" s="162" t="s">
        <v>2031</v>
      </c>
      <c r="F52" s="162" t="s">
        <v>2032</v>
      </c>
      <c r="G52" s="162" t="s">
        <v>34</v>
      </c>
      <c r="H52" s="162" t="s">
        <v>2198</v>
      </c>
      <c r="I52" s="162" t="s">
        <v>5723</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80">
        <v>0</v>
      </c>
      <c r="AO52" s="480">
        <v>0</v>
      </c>
      <c r="CE52" s="464"/>
      <c r="CG52" s="464" t="s">
        <v>4483</v>
      </c>
      <c r="CI52" s="464" t="s">
        <v>1344</v>
      </c>
      <c r="CJ52" s="464" t="s">
        <v>1344</v>
      </c>
    </row>
    <row r="53" spans="1:88" x14ac:dyDescent="0.2">
      <c r="A53">
        <v>52</v>
      </c>
      <c r="B53" s="464" t="s">
        <v>882</v>
      </c>
      <c r="C53" s="162" t="s">
        <v>1768</v>
      </c>
      <c r="D53" s="162" t="s">
        <v>4075</v>
      </c>
      <c r="E53" s="162" t="s">
        <v>2031</v>
      </c>
      <c r="F53" s="162" t="s">
        <v>2032</v>
      </c>
      <c r="G53" s="162" t="s">
        <v>34</v>
      </c>
      <c r="H53" s="162" t="s">
        <v>2198</v>
      </c>
      <c r="I53" s="162" t="s">
        <v>5723</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80">
        <v>0</v>
      </c>
      <c r="AO53" s="480">
        <v>0</v>
      </c>
      <c r="CE53" s="464"/>
      <c r="CG53" s="464" t="s">
        <v>3083</v>
      </c>
      <c r="CI53" s="464" t="s">
        <v>1379</v>
      </c>
      <c r="CJ53" s="464" t="s">
        <v>1379</v>
      </c>
    </row>
    <row r="54" spans="1:88" x14ac:dyDescent="0.2">
      <c r="A54">
        <v>53</v>
      </c>
      <c r="B54" s="464" t="s">
        <v>882</v>
      </c>
      <c r="C54" s="162" t="s">
        <v>899</v>
      </c>
      <c r="D54" s="162" t="s">
        <v>4076</v>
      </c>
      <c r="E54" s="162" t="s">
        <v>2031</v>
      </c>
      <c r="F54" s="162" t="s">
        <v>2032</v>
      </c>
      <c r="G54" s="162" t="s">
        <v>34</v>
      </c>
      <c r="H54" s="162" t="s">
        <v>2198</v>
      </c>
      <c r="I54" s="162" t="s">
        <v>5723</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80">
        <v>0</v>
      </c>
      <c r="AO54" s="480">
        <v>0</v>
      </c>
      <c r="CE54" s="464"/>
      <c r="CG54" s="464" t="s">
        <v>1339</v>
      </c>
      <c r="CI54" s="464" t="s">
        <v>1349</v>
      </c>
      <c r="CJ54" s="464" t="s">
        <v>1349</v>
      </c>
    </row>
    <row r="55" spans="1:88" x14ac:dyDescent="0.2">
      <c r="A55">
        <v>54</v>
      </c>
      <c r="B55" s="464" t="s">
        <v>882</v>
      </c>
      <c r="C55" s="162" t="s">
        <v>897</v>
      </c>
      <c r="D55" s="162" t="s">
        <v>4077</v>
      </c>
      <c r="E55" s="162" t="s">
        <v>2031</v>
      </c>
      <c r="F55" s="162" t="s">
        <v>2032</v>
      </c>
      <c r="G55" s="162" t="s">
        <v>34</v>
      </c>
      <c r="H55" s="162" t="s">
        <v>2198</v>
      </c>
      <c r="I55" s="162" t="s">
        <v>5723</v>
      </c>
      <c r="J55" s="162" t="s">
        <v>1766</v>
      </c>
      <c r="K55" s="162" t="s">
        <v>1451</v>
      </c>
      <c r="L55" s="162" t="s">
        <v>2402</v>
      </c>
      <c r="M55" s="162">
        <v>79175</v>
      </c>
      <c r="N55" s="162" t="s">
        <v>897</v>
      </c>
      <c r="O55" s="162" t="s">
        <v>5728</v>
      </c>
      <c r="P55" s="162" t="s">
        <v>2403</v>
      </c>
      <c r="Q55" s="162" t="s">
        <v>4934</v>
      </c>
      <c r="R55" s="162" t="s">
        <v>2292</v>
      </c>
      <c r="S55" s="162" t="s">
        <v>2404</v>
      </c>
      <c r="T55" s="162">
        <v>172.5</v>
      </c>
      <c r="U55" s="162" t="s">
        <v>2218</v>
      </c>
      <c r="V55" s="162" t="s">
        <v>2611</v>
      </c>
      <c r="W55" s="162" t="s">
        <v>5071</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80">
        <v>0</v>
      </c>
      <c r="AO55" s="480">
        <v>0</v>
      </c>
      <c r="CE55" s="464"/>
      <c r="CG55" s="464" t="s">
        <v>1779</v>
      </c>
      <c r="CI55" s="464" t="s">
        <v>1385</v>
      </c>
      <c r="CJ55" s="464" t="s">
        <v>1385</v>
      </c>
    </row>
    <row r="56" spans="1:88" x14ac:dyDescent="0.2">
      <c r="A56">
        <v>55</v>
      </c>
      <c r="B56" s="464" t="s">
        <v>882</v>
      </c>
      <c r="C56" s="162" t="s">
        <v>884</v>
      </c>
      <c r="D56" s="162" t="s">
        <v>4078</v>
      </c>
      <c r="E56" s="162" t="s">
        <v>2031</v>
      </c>
      <c r="F56" s="162" t="s">
        <v>2032</v>
      </c>
      <c r="G56" s="162" t="s">
        <v>34</v>
      </c>
      <c r="H56" s="162" t="s">
        <v>2198</v>
      </c>
      <c r="I56" s="162" t="s">
        <v>5723</v>
      </c>
      <c r="J56" s="162" t="s">
        <v>2186</v>
      </c>
      <c r="K56" s="162" t="s">
        <v>2382</v>
      </c>
      <c r="L56" s="162" t="s">
        <v>2383</v>
      </c>
      <c r="M56" s="162" t="s">
        <v>2384</v>
      </c>
      <c r="N56" s="162" t="s">
        <v>884</v>
      </c>
      <c r="O56" s="162" t="s">
        <v>5729</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80">
        <v>1.3888888888888888E-2</v>
      </c>
      <c r="AO56" s="480">
        <v>0</v>
      </c>
      <c r="CE56" s="464"/>
      <c r="CG56" s="464" t="s">
        <v>1344</v>
      </c>
      <c r="CI56" s="464" t="s">
        <v>1389</v>
      </c>
      <c r="CJ56" s="464" t="s">
        <v>1389</v>
      </c>
    </row>
    <row r="57" spans="1:88" x14ac:dyDescent="0.2">
      <c r="A57">
        <v>56</v>
      </c>
      <c r="B57" s="464" t="s">
        <v>882</v>
      </c>
      <c r="C57" s="162" t="s">
        <v>5009</v>
      </c>
      <c r="D57" s="162" t="s">
        <v>5010</v>
      </c>
      <c r="E57" s="162" t="s">
        <v>2031</v>
      </c>
      <c r="F57" s="162" t="s">
        <v>2032</v>
      </c>
      <c r="G57" s="162" t="s">
        <v>34</v>
      </c>
      <c r="H57" s="162" t="s">
        <v>2198</v>
      </c>
      <c r="I57" s="162" t="s">
        <v>5723</v>
      </c>
      <c r="J57" s="162" t="s">
        <v>2186</v>
      </c>
      <c r="K57" s="162" t="s">
        <v>5011</v>
      </c>
      <c r="L57" s="162" t="s">
        <v>5012</v>
      </c>
      <c r="M57" s="162" t="s">
        <v>5013</v>
      </c>
      <c r="N57" s="162" t="s">
        <v>5009</v>
      </c>
      <c r="O57" s="162" t="s">
        <v>5730</v>
      </c>
      <c r="P57" s="162" t="s">
        <v>5014</v>
      </c>
      <c r="Q57" s="162" t="s">
        <v>4932</v>
      </c>
      <c r="R57" s="162" t="s">
        <v>4442</v>
      </c>
      <c r="S57" s="162" t="s">
        <v>5015</v>
      </c>
      <c r="T57" s="162">
        <v>70</v>
      </c>
      <c r="U57" s="162" t="s">
        <v>2220</v>
      </c>
      <c r="V57" s="162" t="s">
        <v>4955</v>
      </c>
      <c r="W57" s="162">
        <v>26304</v>
      </c>
      <c r="X57" s="162" t="s">
        <v>5056</v>
      </c>
      <c r="Y57" s="162" t="s">
        <v>2401</v>
      </c>
      <c r="Z57" s="162" t="s">
        <v>2390</v>
      </c>
      <c r="AA57" s="162" t="s">
        <v>5056</v>
      </c>
      <c r="AB57" s="162" t="s">
        <v>34</v>
      </c>
      <c r="AC57" s="162" t="s">
        <v>2193</v>
      </c>
      <c r="AD57" s="162" t="s">
        <v>2194</v>
      </c>
      <c r="AE57" s="162" t="s">
        <v>1760</v>
      </c>
      <c r="AF57" s="162">
        <v>111</v>
      </c>
      <c r="AG57" s="162">
        <v>208</v>
      </c>
      <c r="AH57" s="162">
        <v>35</v>
      </c>
      <c r="AI57" s="162" t="s">
        <v>5016</v>
      </c>
      <c r="AJ57" s="162" t="s">
        <v>34</v>
      </c>
      <c r="AK57" s="162" t="s">
        <v>2195</v>
      </c>
      <c r="AL57" s="162" t="s">
        <v>34</v>
      </c>
      <c r="AM57" t="s">
        <v>5017</v>
      </c>
      <c r="AN57" s="480"/>
      <c r="AO57" s="480"/>
      <c r="CE57" s="464"/>
      <c r="CG57" s="464" t="s">
        <v>1379</v>
      </c>
      <c r="CI57" s="464" t="s">
        <v>1403</v>
      </c>
      <c r="CJ57" s="464" t="s">
        <v>1403</v>
      </c>
    </row>
    <row r="58" spans="1:88" x14ac:dyDescent="0.2">
      <c r="A58">
        <v>57</v>
      </c>
      <c r="B58" s="464" t="s">
        <v>902</v>
      </c>
      <c r="C58" s="162" t="s">
        <v>906</v>
      </c>
      <c r="D58" s="162" t="s">
        <v>4079</v>
      </c>
      <c r="E58" s="162" t="s">
        <v>2033</v>
      </c>
      <c r="F58" s="162" t="s">
        <v>2034</v>
      </c>
      <c r="G58" s="162" t="s">
        <v>34</v>
      </c>
      <c r="H58" s="162" t="s">
        <v>2198</v>
      </c>
      <c r="I58" s="162" t="s">
        <v>5723</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80">
        <v>0</v>
      </c>
      <c r="AO58" s="480">
        <v>0</v>
      </c>
      <c r="CE58" s="464"/>
      <c r="CG58" s="464" t="s">
        <v>1349</v>
      </c>
      <c r="CI58" s="464" t="s">
        <v>1981</v>
      </c>
      <c r="CJ58" s="464" t="s">
        <v>1981</v>
      </c>
    </row>
    <row r="59" spans="1:88" x14ac:dyDescent="0.2">
      <c r="A59">
        <v>58</v>
      </c>
      <c r="B59" s="464" t="s">
        <v>902</v>
      </c>
      <c r="C59" s="162" t="s">
        <v>1769</v>
      </c>
      <c r="D59" s="162" t="s">
        <v>4080</v>
      </c>
      <c r="E59" s="162" t="s">
        <v>2033</v>
      </c>
      <c r="F59" s="162" t="s">
        <v>2034</v>
      </c>
      <c r="G59" s="162" t="s">
        <v>34</v>
      </c>
      <c r="H59" s="162" t="s">
        <v>2198</v>
      </c>
      <c r="I59" s="162" t="s">
        <v>5723</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80">
        <v>0</v>
      </c>
      <c r="AO59" s="480">
        <v>0</v>
      </c>
      <c r="CE59" s="464"/>
      <c r="CG59" s="464" t="s">
        <v>1385</v>
      </c>
      <c r="CI59" s="464" t="s">
        <v>1745</v>
      </c>
      <c r="CJ59" s="464" t="s">
        <v>1745</v>
      </c>
    </row>
    <row r="60" spans="1:88" x14ac:dyDescent="0.2">
      <c r="A60">
        <v>59</v>
      </c>
      <c r="B60" s="464" t="s">
        <v>908</v>
      </c>
      <c r="C60" s="162" t="s">
        <v>910</v>
      </c>
      <c r="D60" s="162" t="s">
        <v>4081</v>
      </c>
      <c r="E60" s="162" t="s">
        <v>2035</v>
      </c>
      <c r="F60" s="162" t="s">
        <v>2036</v>
      </c>
      <c r="G60" s="162" t="s">
        <v>34</v>
      </c>
      <c r="H60" s="162" t="s">
        <v>2198</v>
      </c>
      <c r="I60" s="162" t="s">
        <v>5723</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80">
        <v>0</v>
      </c>
      <c r="AO60" s="480">
        <v>0</v>
      </c>
      <c r="CE60" s="464"/>
      <c r="CG60" s="464" t="s">
        <v>1389</v>
      </c>
      <c r="CI60" s="464" t="s">
        <v>1416</v>
      </c>
      <c r="CJ60" s="464" t="s">
        <v>1416</v>
      </c>
    </row>
    <row r="61" spans="1:88" x14ac:dyDescent="0.2">
      <c r="A61">
        <v>60</v>
      </c>
      <c r="B61" s="464" t="s">
        <v>908</v>
      </c>
      <c r="C61" s="162" t="s">
        <v>912</v>
      </c>
      <c r="D61" s="162" t="s">
        <v>4082</v>
      </c>
      <c r="E61" s="162" t="s">
        <v>2035</v>
      </c>
      <c r="F61" s="162" t="s">
        <v>2036</v>
      </c>
      <c r="G61" s="162" t="s">
        <v>34</v>
      </c>
      <c r="H61" s="162" t="s">
        <v>2198</v>
      </c>
      <c r="I61" s="162" t="s">
        <v>5723</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80">
        <v>0</v>
      </c>
      <c r="AO61" s="480">
        <v>0</v>
      </c>
      <c r="CE61" s="464"/>
      <c r="CG61" s="464" t="s">
        <v>5337</v>
      </c>
      <c r="CI61" s="464" t="s">
        <v>1785</v>
      </c>
      <c r="CJ61" s="464" t="s">
        <v>1785</v>
      </c>
    </row>
    <row r="62" spans="1:88" x14ac:dyDescent="0.2">
      <c r="A62">
        <v>61</v>
      </c>
      <c r="B62" s="464" t="s">
        <v>917</v>
      </c>
      <c r="C62" s="162" t="s">
        <v>5373</v>
      </c>
      <c r="D62" s="162" t="s">
        <v>5374</v>
      </c>
      <c r="E62" s="162" t="s">
        <v>2039</v>
      </c>
      <c r="F62" s="162" t="s">
        <v>2016</v>
      </c>
      <c r="G62" s="162" t="s">
        <v>34</v>
      </c>
      <c r="H62" s="162" t="s">
        <v>2198</v>
      </c>
      <c r="I62" s="162" t="s">
        <v>5723</v>
      </c>
      <c r="J62" s="162" t="s">
        <v>2186</v>
      </c>
      <c r="K62" s="162" t="s">
        <v>5375</v>
      </c>
      <c r="L62" s="162" t="s">
        <v>5376</v>
      </c>
      <c r="M62" s="162" t="s">
        <v>5373</v>
      </c>
      <c r="N62" s="162" t="s">
        <v>5373</v>
      </c>
      <c r="O62" s="162" t="s">
        <v>5731</v>
      </c>
      <c r="P62" s="162" t="s">
        <v>5377</v>
      </c>
      <c r="Q62" s="162" t="s">
        <v>5378</v>
      </c>
      <c r="R62" s="162" t="s">
        <v>2191</v>
      </c>
      <c r="S62" s="162" t="s">
        <v>5379</v>
      </c>
      <c r="T62" s="162">
        <v>24.89</v>
      </c>
      <c r="U62" s="162" t="s">
        <v>5380</v>
      </c>
      <c r="V62" s="162" t="s">
        <v>5381</v>
      </c>
      <c r="W62" s="162">
        <v>162408210</v>
      </c>
      <c r="X62" s="162" t="s">
        <v>2192</v>
      </c>
      <c r="Y62" s="162" t="s">
        <v>5382</v>
      </c>
      <c r="Z62" s="162" t="s">
        <v>5383</v>
      </c>
      <c r="AA62" s="162" t="s">
        <v>2192</v>
      </c>
      <c r="AB62" s="162" t="s">
        <v>5384</v>
      </c>
      <c r="AC62" s="162" t="s">
        <v>2193</v>
      </c>
      <c r="AD62" s="162" t="s">
        <v>2194</v>
      </c>
      <c r="AE62" s="162" t="s">
        <v>1760</v>
      </c>
      <c r="AF62" s="162" t="s">
        <v>3417</v>
      </c>
      <c r="AG62" s="162" t="s">
        <v>34</v>
      </c>
      <c r="AH62" s="162" t="s">
        <v>34</v>
      </c>
      <c r="AI62" s="162" t="s">
        <v>34</v>
      </c>
      <c r="AJ62" s="162" t="s">
        <v>34</v>
      </c>
      <c r="AK62" s="162" t="s">
        <v>2195</v>
      </c>
      <c r="AL62" s="162" t="s">
        <v>34</v>
      </c>
      <c r="AM62" t="s">
        <v>4879</v>
      </c>
      <c r="AN62" s="480"/>
      <c r="AO62" s="480"/>
      <c r="CE62" s="464"/>
      <c r="CG62" s="464" t="s">
        <v>1403</v>
      </c>
      <c r="CI62" s="464" t="s">
        <v>1422</v>
      </c>
      <c r="CJ62" s="464" t="s">
        <v>1422</v>
      </c>
    </row>
    <row r="63" spans="1:88" x14ac:dyDescent="0.2">
      <c r="A63">
        <v>62</v>
      </c>
      <c r="B63" s="464" t="s">
        <v>958</v>
      </c>
      <c r="C63" s="162" t="s">
        <v>5637</v>
      </c>
      <c r="D63" s="162" t="s">
        <v>5638</v>
      </c>
      <c r="E63" s="162" t="s">
        <v>2041</v>
      </c>
      <c r="F63" s="162" t="s">
        <v>2025</v>
      </c>
      <c r="G63" s="162" t="s">
        <v>34</v>
      </c>
      <c r="H63" s="162" t="s">
        <v>2198</v>
      </c>
      <c r="I63" s="162" t="s">
        <v>5723</v>
      </c>
      <c r="J63" s="162" t="s">
        <v>2186</v>
      </c>
      <c r="K63" s="162" t="s">
        <v>5639</v>
      </c>
      <c r="L63" s="162" t="s">
        <v>5640</v>
      </c>
      <c r="M63" s="162">
        <v>49518</v>
      </c>
      <c r="N63" s="162" t="s">
        <v>5641</v>
      </c>
      <c r="O63" s="162" t="s">
        <v>5642</v>
      </c>
      <c r="P63" s="162" t="s">
        <v>5643</v>
      </c>
      <c r="Q63" s="162" t="s">
        <v>2190</v>
      </c>
      <c r="R63" s="162" t="s">
        <v>5644</v>
      </c>
      <c r="S63" s="162" t="s">
        <v>5645</v>
      </c>
      <c r="T63" s="162">
        <v>468.02</v>
      </c>
      <c r="U63" s="162" t="s">
        <v>2218</v>
      </c>
      <c r="V63" s="162" t="s">
        <v>2863</v>
      </c>
      <c r="W63" s="162">
        <v>4.25</v>
      </c>
      <c r="X63" s="162" t="s">
        <v>2192</v>
      </c>
      <c r="Y63" s="162" t="s">
        <v>109</v>
      </c>
      <c r="Z63" s="162" t="s">
        <v>109</v>
      </c>
      <c r="AA63" s="162" t="s">
        <v>109</v>
      </c>
      <c r="AB63" s="162" t="s">
        <v>34</v>
      </c>
      <c r="AC63" s="162" t="s">
        <v>2193</v>
      </c>
      <c r="AD63" s="162" t="s">
        <v>5646</v>
      </c>
      <c r="AE63" s="162" t="s">
        <v>1760</v>
      </c>
      <c r="AF63" s="162">
        <v>2.5</v>
      </c>
      <c r="AG63" s="162">
        <v>0.15</v>
      </c>
      <c r="AH63" s="162">
        <v>5.0000000000000001E-3</v>
      </c>
      <c r="AI63" s="162" t="s">
        <v>5647</v>
      </c>
      <c r="AJ63" s="162" t="s">
        <v>34</v>
      </c>
      <c r="AK63" s="162" t="s">
        <v>2195</v>
      </c>
      <c r="AL63" s="162" t="s">
        <v>34</v>
      </c>
      <c r="AM63" t="s">
        <v>4874</v>
      </c>
      <c r="AN63" s="480">
        <v>0</v>
      </c>
      <c r="AO63" s="480">
        <v>0</v>
      </c>
      <c r="CE63" s="464"/>
      <c r="CG63" s="464" t="s">
        <v>1981</v>
      </c>
      <c r="CI63" s="464" t="s">
        <v>1432</v>
      </c>
      <c r="CJ63" s="464" t="s">
        <v>1432</v>
      </c>
    </row>
    <row r="64" spans="1:88" x14ac:dyDescent="0.2">
      <c r="A64">
        <v>63</v>
      </c>
      <c r="B64" s="464" t="s">
        <v>958</v>
      </c>
      <c r="C64" s="162" t="s">
        <v>1857</v>
      </c>
      <c r="D64" s="162" t="s">
        <v>4083</v>
      </c>
      <c r="E64" s="162" t="s">
        <v>2041</v>
      </c>
      <c r="F64" s="162" t="s">
        <v>2025</v>
      </c>
      <c r="G64" s="162" t="s">
        <v>34</v>
      </c>
      <c r="H64" s="162" t="s">
        <v>2198</v>
      </c>
      <c r="I64" s="162" t="s">
        <v>5723</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80">
        <v>0</v>
      </c>
      <c r="AO64" s="480">
        <v>0</v>
      </c>
      <c r="CE64" s="464"/>
      <c r="CG64" s="464" t="s">
        <v>5237</v>
      </c>
      <c r="CI64" s="464" t="s">
        <v>1445</v>
      </c>
      <c r="CJ64" s="464" t="s">
        <v>1445</v>
      </c>
    </row>
    <row r="65" spans="1:88" x14ac:dyDescent="0.2">
      <c r="A65">
        <v>64</v>
      </c>
      <c r="B65" s="464" t="s">
        <v>987</v>
      </c>
      <c r="C65" s="162" t="s">
        <v>1910</v>
      </c>
      <c r="D65" s="162" t="s">
        <v>4844</v>
      </c>
      <c r="E65" s="162" t="s">
        <v>2042</v>
      </c>
      <c r="F65" s="162" t="s">
        <v>2043</v>
      </c>
      <c r="G65" s="162" t="s">
        <v>34</v>
      </c>
      <c r="H65" s="162" t="s">
        <v>2198</v>
      </c>
      <c r="I65" s="162" t="s">
        <v>5732</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5429</v>
      </c>
      <c r="AC65" s="162" t="s">
        <v>2193</v>
      </c>
      <c r="AD65" s="162" t="s">
        <v>2194</v>
      </c>
      <c r="AE65" s="162" t="s">
        <v>1760</v>
      </c>
      <c r="AF65" s="162">
        <v>2</v>
      </c>
      <c r="AG65" s="162">
        <v>2.5</v>
      </c>
      <c r="AH65" s="162">
        <v>1</v>
      </c>
      <c r="AI65" s="162" t="s">
        <v>34</v>
      </c>
      <c r="AJ65" s="162" t="s">
        <v>34</v>
      </c>
      <c r="AK65" s="162" t="s">
        <v>2195</v>
      </c>
      <c r="AL65" s="162" t="s">
        <v>34</v>
      </c>
      <c r="AM65" t="s">
        <v>4880</v>
      </c>
      <c r="AN65" s="480">
        <v>0</v>
      </c>
      <c r="AO65" s="480">
        <v>0</v>
      </c>
      <c r="CE65" s="464"/>
      <c r="CG65" s="464" t="s">
        <v>1745</v>
      </c>
      <c r="CI65" s="464" t="s">
        <v>1449</v>
      </c>
      <c r="CJ65" s="464" t="s">
        <v>1449</v>
      </c>
    </row>
    <row r="66" spans="1:88" x14ac:dyDescent="0.2">
      <c r="A66">
        <v>65</v>
      </c>
      <c r="B66" s="464" t="s">
        <v>987</v>
      </c>
      <c r="C66" s="162" t="s">
        <v>4636</v>
      </c>
      <c r="D66" s="162" t="s">
        <v>4637</v>
      </c>
      <c r="E66" s="162" t="s">
        <v>2042</v>
      </c>
      <c r="F66" s="162" t="s">
        <v>2043</v>
      </c>
      <c r="G66" s="162" t="s">
        <v>34</v>
      </c>
      <c r="H66" s="162" t="s">
        <v>2198</v>
      </c>
      <c r="I66" s="162" t="s">
        <v>5732</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80">
        <v>0</v>
      </c>
      <c r="AO66" s="480">
        <v>0</v>
      </c>
      <c r="CG66" t="s">
        <v>1416</v>
      </c>
      <c r="CI66" s="464" t="s">
        <v>1457</v>
      </c>
      <c r="CJ66" s="464" t="s">
        <v>1457</v>
      </c>
    </row>
    <row r="67" spans="1:88" x14ac:dyDescent="0.2">
      <c r="A67">
        <v>66</v>
      </c>
      <c r="B67" s="464" t="s">
        <v>987</v>
      </c>
      <c r="C67" s="162" t="s">
        <v>990</v>
      </c>
      <c r="D67" s="162" t="s">
        <v>4084</v>
      </c>
      <c r="E67" s="162" t="s">
        <v>2042</v>
      </c>
      <c r="F67" s="162" t="s">
        <v>2043</v>
      </c>
      <c r="G67" s="162" t="s">
        <v>34</v>
      </c>
      <c r="H67" s="162" t="s">
        <v>2198</v>
      </c>
      <c r="I67" s="162" t="s">
        <v>5723</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80">
        <v>0</v>
      </c>
      <c r="AO67" s="480">
        <v>0</v>
      </c>
      <c r="CG67" t="s">
        <v>1785</v>
      </c>
      <c r="CI67" s="464" t="s">
        <v>1494</v>
      </c>
      <c r="CJ67" s="464" t="s">
        <v>1494</v>
      </c>
    </row>
    <row r="68" spans="1:88" x14ac:dyDescent="0.2">
      <c r="A68">
        <v>67</v>
      </c>
      <c r="B68" s="464" t="s">
        <v>987</v>
      </c>
      <c r="C68" s="162" t="s">
        <v>1925</v>
      </c>
      <c r="D68" s="162" t="s">
        <v>4085</v>
      </c>
      <c r="E68" s="162" t="s">
        <v>2042</v>
      </c>
      <c r="F68" s="162" t="s">
        <v>2043</v>
      </c>
      <c r="G68" s="162" t="s">
        <v>34</v>
      </c>
      <c r="H68" s="162" t="s">
        <v>2198</v>
      </c>
      <c r="I68" s="162" t="s">
        <v>5732</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80">
        <v>0</v>
      </c>
      <c r="AO68" s="480">
        <v>0</v>
      </c>
      <c r="CG68" t="s">
        <v>1422</v>
      </c>
      <c r="CI68" t="s">
        <v>1831</v>
      </c>
      <c r="CJ68" t="s">
        <v>1831</v>
      </c>
    </row>
    <row r="69" spans="1:88" x14ac:dyDescent="0.2">
      <c r="A69">
        <v>68</v>
      </c>
      <c r="B69" s="464" t="s">
        <v>987</v>
      </c>
      <c r="C69" s="162" t="s">
        <v>837</v>
      </c>
      <c r="D69" s="162" t="s">
        <v>4086</v>
      </c>
      <c r="E69" s="162" t="s">
        <v>2042</v>
      </c>
      <c r="F69" s="162" t="s">
        <v>2043</v>
      </c>
      <c r="G69" s="162" t="s">
        <v>34</v>
      </c>
      <c r="H69" s="162" t="s">
        <v>2198</v>
      </c>
      <c r="I69" s="162" t="s">
        <v>5732</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80">
        <v>0</v>
      </c>
      <c r="AO69" s="480">
        <v>0</v>
      </c>
      <c r="CG69" t="s">
        <v>5519</v>
      </c>
      <c r="CI69" t="s">
        <v>4978</v>
      </c>
      <c r="CJ69" t="s">
        <v>4978</v>
      </c>
    </row>
    <row r="70" spans="1:88" x14ac:dyDescent="0.2">
      <c r="A70">
        <v>69</v>
      </c>
      <c r="B70" s="464" t="s">
        <v>987</v>
      </c>
      <c r="C70" s="162" t="s">
        <v>825</v>
      </c>
      <c r="D70" s="162" t="s">
        <v>4573</v>
      </c>
      <c r="E70" s="162" t="s">
        <v>2042</v>
      </c>
      <c r="F70" s="162" t="s">
        <v>2043</v>
      </c>
      <c r="G70" s="162" t="s">
        <v>34</v>
      </c>
      <c r="H70" s="162" t="s">
        <v>2198</v>
      </c>
      <c r="I70" s="162" t="s">
        <v>5723</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80">
        <v>0</v>
      </c>
      <c r="AO70" s="480">
        <v>0</v>
      </c>
      <c r="CG70" t="s">
        <v>1432</v>
      </c>
      <c r="CI70" t="s">
        <v>3876</v>
      </c>
      <c r="CJ70" t="s">
        <v>3876</v>
      </c>
    </row>
    <row r="71" spans="1:88" x14ac:dyDescent="0.2">
      <c r="A71">
        <v>70</v>
      </c>
      <c r="B71" s="464" t="s">
        <v>987</v>
      </c>
      <c r="C71" s="162" t="s">
        <v>823</v>
      </c>
      <c r="D71" s="162" t="s">
        <v>4087</v>
      </c>
      <c r="E71" s="162" t="s">
        <v>2042</v>
      </c>
      <c r="F71" s="162" t="s">
        <v>2043</v>
      </c>
      <c r="G71" s="162" t="s">
        <v>34</v>
      </c>
      <c r="H71" s="162" t="s">
        <v>2198</v>
      </c>
      <c r="I71" s="162" t="s">
        <v>5723</v>
      </c>
      <c r="J71" s="162" t="s">
        <v>1766</v>
      </c>
      <c r="K71" s="162" t="s">
        <v>2202</v>
      </c>
      <c r="L71" s="162" t="s">
        <v>2480</v>
      </c>
      <c r="M71" s="162">
        <v>27676</v>
      </c>
      <c r="N71" s="162" t="s">
        <v>823</v>
      </c>
      <c r="O71" s="162" t="s">
        <v>904</v>
      </c>
      <c r="P71" s="162" t="s">
        <v>3652</v>
      </c>
      <c r="Q71" s="162" t="s">
        <v>2274</v>
      </c>
      <c r="R71" s="162" t="s">
        <v>2365</v>
      </c>
      <c r="S71" s="162" t="s">
        <v>5557</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80">
        <v>0</v>
      </c>
      <c r="AO71" s="480">
        <v>0</v>
      </c>
      <c r="CG71" t="s">
        <v>1445</v>
      </c>
      <c r="CI71" t="s">
        <v>1587</v>
      </c>
      <c r="CJ71" t="s">
        <v>1587</v>
      </c>
    </row>
    <row r="72" spans="1:88" x14ac:dyDescent="0.2">
      <c r="A72">
        <v>71</v>
      </c>
      <c r="B72" s="464" t="s">
        <v>333</v>
      </c>
      <c r="C72" s="162" t="s">
        <v>1019</v>
      </c>
      <c r="D72" s="162" t="s">
        <v>4088</v>
      </c>
      <c r="E72" s="162" t="s">
        <v>2044</v>
      </c>
      <c r="F72" s="162" t="s">
        <v>2016</v>
      </c>
      <c r="G72" s="162" t="s">
        <v>34</v>
      </c>
      <c r="H72" s="162" t="s">
        <v>2198</v>
      </c>
      <c r="I72" s="162" t="s">
        <v>5733</v>
      </c>
      <c r="J72" s="162" t="s">
        <v>2466</v>
      </c>
      <c r="K72" s="162" t="s">
        <v>1061</v>
      </c>
      <c r="L72" s="162" t="s">
        <v>2489</v>
      </c>
      <c r="M72" s="162" t="s">
        <v>2490</v>
      </c>
      <c r="N72" s="162" t="s">
        <v>1019</v>
      </c>
      <c r="O72" s="162" t="s">
        <v>5734</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5780</v>
      </c>
      <c r="AC72" s="162" t="s">
        <v>2193</v>
      </c>
      <c r="AD72" s="162" t="s">
        <v>2194</v>
      </c>
      <c r="AE72" s="162" t="s">
        <v>1760</v>
      </c>
      <c r="AF72" s="162">
        <v>8</v>
      </c>
      <c r="AG72" s="162">
        <v>251</v>
      </c>
      <c r="AH72" s="162">
        <v>43</v>
      </c>
      <c r="AI72" s="162" t="s">
        <v>3969</v>
      </c>
      <c r="AJ72" s="162" t="s">
        <v>3970</v>
      </c>
      <c r="AK72" s="162" t="s">
        <v>2195</v>
      </c>
      <c r="AL72" s="162" t="s">
        <v>3795</v>
      </c>
      <c r="AM72" t="s">
        <v>4877</v>
      </c>
      <c r="AN72" s="480">
        <v>1.4583333333333332E-2</v>
      </c>
      <c r="AO72" s="480">
        <v>0</v>
      </c>
      <c r="CG72" t="s">
        <v>1449</v>
      </c>
      <c r="CI72" t="s">
        <v>1621</v>
      </c>
      <c r="CJ72" t="s">
        <v>1621</v>
      </c>
    </row>
    <row r="73" spans="1:88" x14ac:dyDescent="0.2">
      <c r="A73">
        <v>72</v>
      </c>
      <c r="B73" s="464" t="s">
        <v>333</v>
      </c>
      <c r="C73" s="162" t="s">
        <v>1021</v>
      </c>
      <c r="D73" s="162" t="s">
        <v>4089</v>
      </c>
      <c r="E73" s="162" t="s">
        <v>2044</v>
      </c>
      <c r="F73" s="162" t="s">
        <v>2016</v>
      </c>
      <c r="G73" s="162" t="s">
        <v>34</v>
      </c>
      <c r="H73" s="162" t="s">
        <v>2198</v>
      </c>
      <c r="I73" s="162" t="s">
        <v>5733</v>
      </c>
      <c r="J73" s="162" t="s">
        <v>2466</v>
      </c>
      <c r="K73" s="162" t="s">
        <v>2507</v>
      </c>
      <c r="L73" s="162" t="s">
        <v>2508</v>
      </c>
      <c r="M73" s="162" t="s">
        <v>2512</v>
      </c>
      <c r="N73" s="162" t="s">
        <v>1021</v>
      </c>
      <c r="O73" s="162" t="s">
        <v>5734</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5780</v>
      </c>
      <c r="AC73" s="162" t="s">
        <v>2193</v>
      </c>
      <c r="AD73" s="162" t="s">
        <v>2194</v>
      </c>
      <c r="AE73" s="162" t="s">
        <v>1760</v>
      </c>
      <c r="AF73" s="162">
        <v>4</v>
      </c>
      <c r="AG73" s="162" t="s">
        <v>3934</v>
      </c>
      <c r="AH73" s="162">
        <v>13</v>
      </c>
      <c r="AI73" s="162" t="s">
        <v>3973</v>
      </c>
      <c r="AJ73" s="162" t="s">
        <v>34</v>
      </c>
      <c r="AK73" s="162" t="s">
        <v>2195</v>
      </c>
      <c r="AL73" s="162" t="s">
        <v>3795</v>
      </c>
      <c r="AM73" t="s">
        <v>4875</v>
      </c>
      <c r="AN73" s="480">
        <v>1.4583333333333332E-2</v>
      </c>
      <c r="AO73" s="480">
        <v>0</v>
      </c>
      <c r="CG73" t="s">
        <v>1457</v>
      </c>
      <c r="CI73" t="s">
        <v>1625</v>
      </c>
      <c r="CJ73" t="s">
        <v>1625</v>
      </c>
    </row>
    <row r="74" spans="1:88" x14ac:dyDescent="0.2">
      <c r="A74">
        <v>73</v>
      </c>
      <c r="B74" s="464" t="s">
        <v>333</v>
      </c>
      <c r="C74" s="162" t="s">
        <v>1011</v>
      </c>
      <c r="D74" s="162" t="s">
        <v>4090</v>
      </c>
      <c r="E74" s="162" t="s">
        <v>2044</v>
      </c>
      <c r="F74" s="162" t="s">
        <v>2016</v>
      </c>
      <c r="G74" s="162" t="s">
        <v>34</v>
      </c>
      <c r="H74" s="162" t="s">
        <v>2198</v>
      </c>
      <c r="I74" s="162" t="s">
        <v>5733</v>
      </c>
      <c r="J74" s="162" t="s">
        <v>2466</v>
      </c>
      <c r="K74" s="162" t="s">
        <v>2507</v>
      </c>
      <c r="L74" s="162" t="s">
        <v>2508</v>
      </c>
      <c r="M74" s="162" t="s">
        <v>2509</v>
      </c>
      <c r="N74" s="162" t="s">
        <v>1011</v>
      </c>
      <c r="O74" s="162" t="s">
        <v>5734</v>
      </c>
      <c r="P74" s="162" t="s">
        <v>2491</v>
      </c>
      <c r="Q74" s="162" t="s">
        <v>4936</v>
      </c>
      <c r="R74" s="162" t="s">
        <v>2191</v>
      </c>
      <c r="S74" s="162" t="s">
        <v>2510</v>
      </c>
      <c r="T74" s="162">
        <v>24.8</v>
      </c>
      <c r="U74" s="162" t="s">
        <v>2220</v>
      </c>
      <c r="V74" s="162" t="s">
        <v>2493</v>
      </c>
      <c r="W74" s="162" t="s">
        <v>5475</v>
      </c>
      <c r="X74" s="162" t="s">
        <v>4935</v>
      </c>
      <c r="Y74" s="162" t="s">
        <v>2487</v>
      </c>
      <c r="Z74" s="162" t="s">
        <v>2488</v>
      </c>
      <c r="AA74" s="162" t="s">
        <v>4935</v>
      </c>
      <c r="AB74" s="162" t="s">
        <v>5780</v>
      </c>
      <c r="AC74" s="162" t="s">
        <v>2193</v>
      </c>
      <c r="AD74" s="162" t="s">
        <v>2194</v>
      </c>
      <c r="AE74" s="162" t="s">
        <v>1760</v>
      </c>
      <c r="AF74" s="162">
        <v>8</v>
      </c>
      <c r="AG74" s="162">
        <v>140</v>
      </c>
      <c r="AH74" s="162">
        <v>20</v>
      </c>
      <c r="AI74" s="162" t="s">
        <v>3971</v>
      </c>
      <c r="AJ74" s="162" t="s">
        <v>3972</v>
      </c>
      <c r="AK74" s="162" t="s">
        <v>2195</v>
      </c>
      <c r="AL74" s="162" t="s">
        <v>3795</v>
      </c>
      <c r="AM74" t="s">
        <v>4875</v>
      </c>
      <c r="AN74" s="480">
        <v>1.4583333333333332E-2</v>
      </c>
      <c r="AO74" s="480">
        <v>0</v>
      </c>
      <c r="CG74" t="s">
        <v>1494</v>
      </c>
    </row>
    <row r="75" spans="1:88" x14ac:dyDescent="0.2">
      <c r="A75">
        <v>74</v>
      </c>
      <c r="B75" s="464" t="s">
        <v>333</v>
      </c>
      <c r="C75" s="162" t="s">
        <v>334</v>
      </c>
      <c r="D75" s="162" t="s">
        <v>4091</v>
      </c>
      <c r="E75" s="162" t="s">
        <v>2044</v>
      </c>
      <c r="F75" s="162" t="s">
        <v>2016</v>
      </c>
      <c r="G75" s="162"/>
      <c r="H75" s="162" t="s">
        <v>2198</v>
      </c>
      <c r="I75" s="162" t="s">
        <v>5733</v>
      </c>
      <c r="J75" s="162" t="s">
        <v>2466</v>
      </c>
      <c r="K75" s="162" t="s">
        <v>1061</v>
      </c>
      <c r="L75" s="162" t="s">
        <v>2482</v>
      </c>
      <c r="M75" s="162">
        <v>11108</v>
      </c>
      <c r="N75" s="162" t="s">
        <v>334</v>
      </c>
      <c r="O75" s="162" t="s">
        <v>5735</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5781</v>
      </c>
      <c r="AC75" s="162" t="s">
        <v>2193</v>
      </c>
      <c r="AD75" s="162" t="s">
        <v>2194</v>
      </c>
      <c r="AE75" s="162" t="s">
        <v>1760</v>
      </c>
      <c r="AF75" s="162">
        <v>8</v>
      </c>
      <c r="AG75" s="162">
        <v>101</v>
      </c>
      <c r="AH75" s="162">
        <v>16</v>
      </c>
      <c r="AI75" s="162" t="s">
        <v>3968</v>
      </c>
      <c r="AJ75" s="162"/>
      <c r="AK75" s="162" t="s">
        <v>2195</v>
      </c>
      <c r="AL75" s="162" t="s">
        <v>3795</v>
      </c>
      <c r="AM75" t="s">
        <v>4877</v>
      </c>
      <c r="AN75" s="480">
        <v>1.4583333333333332E-2</v>
      </c>
      <c r="AO75" s="480"/>
      <c r="CG75" t="s">
        <v>1831</v>
      </c>
    </row>
    <row r="76" spans="1:88" x14ac:dyDescent="0.2">
      <c r="A76">
        <v>75</v>
      </c>
      <c r="B76" s="464" t="s">
        <v>333</v>
      </c>
      <c r="C76" s="162" t="s">
        <v>1661</v>
      </c>
      <c r="D76" s="162" t="s">
        <v>5157</v>
      </c>
      <c r="E76" s="162" t="s">
        <v>2044</v>
      </c>
      <c r="F76" s="162" t="s">
        <v>2016</v>
      </c>
      <c r="G76" s="162" t="s">
        <v>34</v>
      </c>
      <c r="H76" s="162" t="s">
        <v>2198</v>
      </c>
      <c r="I76" s="162" t="s">
        <v>5733</v>
      </c>
      <c r="J76" s="162" t="s">
        <v>2466</v>
      </c>
      <c r="K76" s="162" t="s">
        <v>1061</v>
      </c>
      <c r="L76" s="162" t="s">
        <v>5158</v>
      </c>
      <c r="M76" s="162" t="s">
        <v>5159</v>
      </c>
      <c r="N76" s="162" t="s">
        <v>1661</v>
      </c>
      <c r="O76" s="162" t="s">
        <v>5734</v>
      </c>
      <c r="P76" s="162" t="s">
        <v>2491</v>
      </c>
      <c r="Q76" s="162" t="s">
        <v>4936</v>
      </c>
      <c r="R76" s="162" t="s">
        <v>5160</v>
      </c>
      <c r="S76" s="162" t="s">
        <v>5161</v>
      </c>
      <c r="T76" s="162">
        <v>495</v>
      </c>
      <c r="U76" s="162" t="s">
        <v>2220</v>
      </c>
      <c r="V76" s="162" t="s">
        <v>2611</v>
      </c>
      <c r="W76" s="162" t="s">
        <v>5162</v>
      </c>
      <c r="X76" s="162" t="s">
        <v>4935</v>
      </c>
      <c r="Y76" s="162" t="s">
        <v>2487</v>
      </c>
      <c r="Z76" s="162" t="s">
        <v>2488</v>
      </c>
      <c r="AA76" s="162" t="s">
        <v>4935</v>
      </c>
      <c r="AB76" s="162" t="s">
        <v>5782</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80"/>
      <c r="AO76" s="480"/>
      <c r="CG76" t="s">
        <v>5351</v>
      </c>
    </row>
    <row r="77" spans="1:88" x14ac:dyDescent="0.2">
      <c r="A77">
        <v>76</v>
      </c>
      <c r="B77" s="464" t="s">
        <v>333</v>
      </c>
      <c r="C77" s="162" t="s">
        <v>1007</v>
      </c>
      <c r="D77" s="162" t="s">
        <v>4092</v>
      </c>
      <c r="E77" s="162" t="s">
        <v>2044</v>
      </c>
      <c r="F77" s="162" t="s">
        <v>2016</v>
      </c>
      <c r="G77" s="162" t="s">
        <v>34</v>
      </c>
      <c r="H77" s="162" t="s">
        <v>2198</v>
      </c>
      <c r="I77" s="162" t="s">
        <v>5733</v>
      </c>
      <c r="J77" s="162" t="s">
        <v>2466</v>
      </c>
      <c r="K77" s="162" t="s">
        <v>1063</v>
      </c>
      <c r="L77" s="162" t="s">
        <v>2505</v>
      </c>
      <c r="M77" s="162">
        <v>146046</v>
      </c>
      <c r="N77" s="162" t="s">
        <v>1007</v>
      </c>
      <c r="O77" s="162" t="s">
        <v>5736</v>
      </c>
      <c r="P77" s="162" t="s">
        <v>4696</v>
      </c>
      <c r="Q77" s="162" t="s">
        <v>4934</v>
      </c>
      <c r="R77" s="162" t="s">
        <v>2191</v>
      </c>
      <c r="S77" s="162" t="s">
        <v>2506</v>
      </c>
      <c r="T77" s="162">
        <v>1185.7</v>
      </c>
      <c r="U77" s="162" t="s">
        <v>2220</v>
      </c>
      <c r="V77" s="162" t="s">
        <v>5418</v>
      </c>
      <c r="W77" s="162" t="s">
        <v>5419</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80">
        <v>1.4583333333333332E-2</v>
      </c>
      <c r="AO77" s="480">
        <v>2.1527777777777781E-2</v>
      </c>
      <c r="CG77" t="s">
        <v>3876</v>
      </c>
    </row>
    <row r="78" spans="1:88" x14ac:dyDescent="0.2">
      <c r="A78">
        <v>77</v>
      </c>
      <c r="B78" s="464" t="s">
        <v>333</v>
      </c>
      <c r="C78" s="162" t="s">
        <v>3836</v>
      </c>
      <c r="D78" s="162" t="s">
        <v>4410</v>
      </c>
      <c r="E78" s="162" t="s">
        <v>2044</v>
      </c>
      <c r="F78" s="162" t="s">
        <v>2016</v>
      </c>
      <c r="G78" s="162" t="s">
        <v>34</v>
      </c>
      <c r="H78" s="162" t="s">
        <v>2198</v>
      </c>
      <c r="I78" s="162" t="s">
        <v>5733</v>
      </c>
      <c r="J78" s="162" t="s">
        <v>2466</v>
      </c>
      <c r="K78" s="162" t="s">
        <v>2495</v>
      </c>
      <c r="L78" s="162" t="s">
        <v>2496</v>
      </c>
      <c r="M78" s="162">
        <v>146905</v>
      </c>
      <c r="N78" s="162" t="s">
        <v>2497</v>
      </c>
      <c r="O78" s="162" t="s">
        <v>5736</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80">
        <v>1.4583333333333332E-2</v>
      </c>
      <c r="AO78" s="480">
        <v>2.1527777777777781E-2</v>
      </c>
      <c r="CG78" t="s">
        <v>1587</v>
      </c>
    </row>
    <row r="79" spans="1:88" x14ac:dyDescent="0.2">
      <c r="A79">
        <v>78</v>
      </c>
      <c r="B79" s="464" t="s">
        <v>333</v>
      </c>
      <c r="C79" s="162" t="s">
        <v>1013</v>
      </c>
      <c r="D79" s="162" t="s">
        <v>4093</v>
      </c>
      <c r="E79" s="162" t="s">
        <v>2044</v>
      </c>
      <c r="F79" s="162" t="s">
        <v>2016</v>
      </c>
      <c r="G79" s="162" t="s">
        <v>34</v>
      </c>
      <c r="H79" s="162" t="s">
        <v>2198</v>
      </c>
      <c r="I79" s="162" t="s">
        <v>5723</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80">
        <v>0</v>
      </c>
      <c r="AO79" s="480">
        <v>0</v>
      </c>
      <c r="CG79" t="s">
        <v>1621</v>
      </c>
    </row>
    <row r="80" spans="1:88" x14ac:dyDescent="0.2">
      <c r="A80">
        <v>79</v>
      </c>
      <c r="B80" s="464" t="s">
        <v>1023</v>
      </c>
      <c r="C80" s="162" t="s">
        <v>1046</v>
      </c>
      <c r="D80" s="162" t="s">
        <v>4094</v>
      </c>
      <c r="E80" s="162" t="s">
        <v>2045</v>
      </c>
      <c r="F80" s="162" t="s">
        <v>2016</v>
      </c>
      <c r="G80" s="162" t="s">
        <v>34</v>
      </c>
      <c r="H80" s="162" t="s">
        <v>2198</v>
      </c>
      <c r="I80" s="162" t="s">
        <v>5737</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80">
        <v>0</v>
      </c>
      <c r="AO80" s="480">
        <v>0</v>
      </c>
      <c r="CG80" t="s">
        <v>1625</v>
      </c>
    </row>
    <row r="81" spans="1:41" x14ac:dyDescent="0.2">
      <c r="A81">
        <v>80</v>
      </c>
      <c r="B81" s="464" t="s">
        <v>1023</v>
      </c>
      <c r="C81" s="162" t="s">
        <v>1044</v>
      </c>
      <c r="D81" s="162" t="s">
        <v>4095</v>
      </c>
      <c r="E81" s="162" t="s">
        <v>2045</v>
      </c>
      <c r="F81" s="162" t="s">
        <v>2016</v>
      </c>
      <c r="G81" s="162" t="s">
        <v>34</v>
      </c>
      <c r="H81" s="162" t="s">
        <v>2198</v>
      </c>
      <c r="I81" s="162" t="s">
        <v>5723</v>
      </c>
      <c r="J81" s="162" t="s">
        <v>2466</v>
      </c>
      <c r="K81" s="162" t="s">
        <v>1212</v>
      </c>
      <c r="L81" s="162" t="s">
        <v>2513</v>
      </c>
      <c r="M81" s="162" t="s">
        <v>2514</v>
      </c>
      <c r="N81" s="162" t="s">
        <v>1044</v>
      </c>
      <c r="O81" s="162" t="s">
        <v>4987</v>
      </c>
      <c r="P81" s="162" t="s">
        <v>2515</v>
      </c>
      <c r="Q81" s="162" t="s">
        <v>4947</v>
      </c>
      <c r="R81" s="162" t="s">
        <v>2255</v>
      </c>
      <c r="S81" s="162" t="s">
        <v>2516</v>
      </c>
      <c r="T81" s="162">
        <v>80</v>
      </c>
      <c r="U81" s="162" t="s">
        <v>2220</v>
      </c>
      <c r="V81" s="162" t="s">
        <v>2517</v>
      </c>
      <c r="W81" s="162" t="s">
        <v>5049</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80">
        <v>0</v>
      </c>
      <c r="AO81" s="480">
        <v>0</v>
      </c>
    </row>
    <row r="82" spans="1:41" x14ac:dyDescent="0.2">
      <c r="A82">
        <v>81</v>
      </c>
      <c r="B82" s="464" t="s">
        <v>1023</v>
      </c>
      <c r="C82" s="162" t="s">
        <v>1025</v>
      </c>
      <c r="D82" s="162" t="s">
        <v>4096</v>
      </c>
      <c r="E82" s="162" t="s">
        <v>2045</v>
      </c>
      <c r="F82" s="162" t="s">
        <v>2016</v>
      </c>
      <c r="G82" s="162" t="s">
        <v>34</v>
      </c>
      <c r="H82" s="162" t="s">
        <v>2198</v>
      </c>
      <c r="I82" s="162" t="s">
        <v>5723</v>
      </c>
      <c r="J82" s="162" t="s">
        <v>2466</v>
      </c>
      <c r="K82" s="162" t="s">
        <v>2525</v>
      </c>
      <c r="L82" s="162" t="s">
        <v>2513</v>
      </c>
      <c r="M82" s="162" t="s">
        <v>2526</v>
      </c>
      <c r="N82" s="162" t="s">
        <v>1025</v>
      </c>
      <c r="O82" s="162" t="s">
        <v>5728</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80">
        <v>0</v>
      </c>
      <c r="AO82" s="480">
        <v>0</v>
      </c>
    </row>
    <row r="83" spans="1:41" x14ac:dyDescent="0.2">
      <c r="A83">
        <v>82</v>
      </c>
      <c r="B83" s="464" t="s">
        <v>1023</v>
      </c>
      <c r="C83" s="162" t="s">
        <v>1027</v>
      </c>
      <c r="D83" s="162" t="s">
        <v>4097</v>
      </c>
      <c r="E83" s="162" t="s">
        <v>2045</v>
      </c>
      <c r="F83" s="162" t="s">
        <v>2016</v>
      </c>
      <c r="G83" s="162" t="s">
        <v>34</v>
      </c>
      <c r="H83" s="162" t="s">
        <v>2198</v>
      </c>
      <c r="I83" s="162" t="s">
        <v>5723</v>
      </c>
      <c r="J83" s="162" t="s">
        <v>2466</v>
      </c>
      <c r="K83" s="162" t="s">
        <v>1121</v>
      </c>
      <c r="L83" s="162" t="s">
        <v>2520</v>
      </c>
      <c r="M83" s="162">
        <v>389</v>
      </c>
      <c r="N83" s="162" t="s">
        <v>1027</v>
      </c>
      <c r="O83" s="162" t="s">
        <v>5728</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80">
        <v>0</v>
      </c>
      <c r="AO83" s="480">
        <v>0</v>
      </c>
    </row>
    <row r="84" spans="1:41" x14ac:dyDescent="0.2">
      <c r="A84">
        <v>83</v>
      </c>
      <c r="B84" s="464" t="s">
        <v>1023</v>
      </c>
      <c r="C84" s="162" t="s">
        <v>1009</v>
      </c>
      <c r="D84" s="162" t="s">
        <v>4098</v>
      </c>
      <c r="E84" s="162" t="s">
        <v>2045</v>
      </c>
      <c r="F84" s="162" t="s">
        <v>2016</v>
      </c>
      <c r="G84" s="162" t="s">
        <v>34</v>
      </c>
      <c r="H84" s="162" t="s">
        <v>2198</v>
      </c>
      <c r="I84" s="162" t="s">
        <v>5737</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80">
        <v>0</v>
      </c>
      <c r="AO84" s="480">
        <v>0</v>
      </c>
    </row>
    <row r="85" spans="1:41" x14ac:dyDescent="0.2">
      <c r="A85">
        <v>84</v>
      </c>
      <c r="B85" s="464" t="s">
        <v>1023</v>
      </c>
      <c r="C85" s="162" t="s">
        <v>1031</v>
      </c>
      <c r="D85" s="162" t="s">
        <v>4099</v>
      </c>
      <c r="E85" s="162" t="s">
        <v>2045</v>
      </c>
      <c r="F85" s="162" t="s">
        <v>2016</v>
      </c>
      <c r="G85" s="162" t="s">
        <v>34</v>
      </c>
      <c r="H85" s="162" t="s">
        <v>2198</v>
      </c>
      <c r="I85" s="162" t="s">
        <v>5737</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80">
        <v>0</v>
      </c>
      <c r="AO85" s="480">
        <v>0</v>
      </c>
    </row>
    <row r="86" spans="1:41" x14ac:dyDescent="0.2">
      <c r="A86">
        <v>85</v>
      </c>
      <c r="B86" s="464" t="s">
        <v>1023</v>
      </c>
      <c r="C86" s="162" t="s">
        <v>1005</v>
      </c>
      <c r="D86" s="162" t="s">
        <v>4100</v>
      </c>
      <c r="E86" s="162" t="s">
        <v>2045</v>
      </c>
      <c r="F86" s="162" t="s">
        <v>2016</v>
      </c>
      <c r="G86" s="162" t="s">
        <v>34</v>
      </c>
      <c r="H86" s="162" t="s">
        <v>2198</v>
      </c>
      <c r="I86" s="162" t="s">
        <v>5737</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80">
        <v>0</v>
      </c>
      <c r="AO86" s="480">
        <v>0</v>
      </c>
    </row>
    <row r="87" spans="1:41" x14ac:dyDescent="0.2">
      <c r="A87">
        <v>86</v>
      </c>
      <c r="B87" s="464" t="s">
        <v>1023</v>
      </c>
      <c r="C87" s="162" t="s">
        <v>1003</v>
      </c>
      <c r="D87" s="162" t="s">
        <v>4101</v>
      </c>
      <c r="E87" s="162" t="s">
        <v>2045</v>
      </c>
      <c r="F87" s="162" t="s">
        <v>2016</v>
      </c>
      <c r="G87" s="162" t="s">
        <v>34</v>
      </c>
      <c r="H87" s="162" t="s">
        <v>2198</v>
      </c>
      <c r="I87" s="162" t="s">
        <v>5737</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80">
        <v>0</v>
      </c>
      <c r="AO87" s="480">
        <v>0</v>
      </c>
    </row>
    <row r="88" spans="1:41" x14ac:dyDescent="0.2">
      <c r="A88">
        <v>87</v>
      </c>
      <c r="B88" s="464" t="s">
        <v>1023</v>
      </c>
      <c r="C88" s="162" t="s">
        <v>1040</v>
      </c>
      <c r="D88" s="162" t="s">
        <v>4102</v>
      </c>
      <c r="E88" s="162" t="s">
        <v>2045</v>
      </c>
      <c r="F88" s="162" t="s">
        <v>2016</v>
      </c>
      <c r="G88" s="162" t="s">
        <v>34</v>
      </c>
      <c r="H88" s="162" t="s">
        <v>2198</v>
      </c>
      <c r="I88" s="162" t="s">
        <v>5737</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80">
        <v>0</v>
      </c>
      <c r="AO88" s="480">
        <v>0</v>
      </c>
    </row>
    <row r="89" spans="1:41" x14ac:dyDescent="0.2">
      <c r="A89">
        <v>88</v>
      </c>
      <c r="B89" s="464" t="s">
        <v>1023</v>
      </c>
      <c r="C89" s="162" t="s">
        <v>1037</v>
      </c>
      <c r="D89" s="162" t="s">
        <v>4103</v>
      </c>
      <c r="E89" s="162" t="s">
        <v>2045</v>
      </c>
      <c r="F89" s="162" t="s">
        <v>2016</v>
      </c>
      <c r="G89" s="162" t="s">
        <v>34</v>
      </c>
      <c r="H89" s="162" t="s">
        <v>2198</v>
      </c>
      <c r="I89" s="162" t="s">
        <v>5737</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80">
        <v>0</v>
      </c>
      <c r="AO89" s="480">
        <v>0</v>
      </c>
    </row>
    <row r="90" spans="1:41" x14ac:dyDescent="0.2">
      <c r="A90">
        <v>89</v>
      </c>
      <c r="B90" s="464" t="s">
        <v>1023</v>
      </c>
      <c r="C90" s="162" t="s">
        <v>1033</v>
      </c>
      <c r="D90" s="162" t="s">
        <v>4104</v>
      </c>
      <c r="E90" s="162" t="s">
        <v>2045</v>
      </c>
      <c r="F90" s="162" t="s">
        <v>2016</v>
      </c>
      <c r="G90" s="162" t="s">
        <v>34</v>
      </c>
      <c r="H90" s="162" t="s">
        <v>2198</v>
      </c>
      <c r="I90" s="162" t="s">
        <v>5737</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80">
        <v>0</v>
      </c>
      <c r="AO90" s="480">
        <v>0</v>
      </c>
    </row>
    <row r="91" spans="1:41" x14ac:dyDescent="0.2">
      <c r="A91">
        <v>90</v>
      </c>
      <c r="B91" s="464" t="s">
        <v>1023</v>
      </c>
      <c r="C91" s="162" t="s">
        <v>1029</v>
      </c>
      <c r="D91" s="162" t="s">
        <v>4105</v>
      </c>
      <c r="E91" s="162" t="s">
        <v>2045</v>
      </c>
      <c r="F91" s="162" t="s">
        <v>2016</v>
      </c>
      <c r="G91" s="162" t="s">
        <v>34</v>
      </c>
      <c r="H91" s="162" t="s">
        <v>2198</v>
      </c>
      <c r="I91" s="162" t="s">
        <v>5737</v>
      </c>
      <c r="J91" s="162" t="s">
        <v>2466</v>
      </c>
      <c r="K91" s="162" t="s">
        <v>3804</v>
      </c>
      <c r="L91" s="162" t="s">
        <v>2313</v>
      </c>
      <c r="M91" s="542"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80">
        <v>0</v>
      </c>
      <c r="AO91" s="480">
        <v>0</v>
      </c>
    </row>
    <row r="92" spans="1:41" x14ac:dyDescent="0.2">
      <c r="A92">
        <v>91</v>
      </c>
      <c r="B92" s="464" t="s">
        <v>1023</v>
      </c>
      <c r="C92" s="162" t="s">
        <v>1035</v>
      </c>
      <c r="D92" s="162" t="s">
        <v>4106</v>
      </c>
      <c r="E92" s="162" t="s">
        <v>2045</v>
      </c>
      <c r="F92" s="162" t="s">
        <v>2016</v>
      </c>
      <c r="G92" s="162" t="s">
        <v>34</v>
      </c>
      <c r="H92" s="162" t="s">
        <v>2198</v>
      </c>
      <c r="I92" s="162" t="s">
        <v>5737</v>
      </c>
      <c r="J92" s="162" t="s">
        <v>2466</v>
      </c>
      <c r="K92" s="162" t="s">
        <v>5257</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80">
        <v>0</v>
      </c>
      <c r="AO92" s="480">
        <v>0</v>
      </c>
    </row>
    <row r="93" spans="1:41" x14ac:dyDescent="0.2">
      <c r="A93">
        <v>92</v>
      </c>
      <c r="B93" s="464" t="s">
        <v>1048</v>
      </c>
      <c r="C93" s="162" t="s">
        <v>817</v>
      </c>
      <c r="D93" s="162" t="s">
        <v>4107</v>
      </c>
      <c r="E93" s="162" t="s">
        <v>2046</v>
      </c>
      <c r="F93" s="162" t="s">
        <v>2047</v>
      </c>
      <c r="G93" s="162" t="s">
        <v>34</v>
      </c>
      <c r="H93" s="162" t="s">
        <v>2198</v>
      </c>
      <c r="I93" s="162" t="s">
        <v>5723</v>
      </c>
      <c r="J93" s="162" t="s">
        <v>2466</v>
      </c>
      <c r="K93" s="162" t="s">
        <v>1118</v>
      </c>
      <c r="L93" s="162" t="s">
        <v>2528</v>
      </c>
      <c r="M93" s="162">
        <v>1</v>
      </c>
      <c r="N93" s="162" t="s">
        <v>817</v>
      </c>
      <c r="O93" s="162" t="s">
        <v>5738</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80">
        <v>0</v>
      </c>
      <c r="AO93" s="480">
        <v>0</v>
      </c>
    </row>
    <row r="94" spans="1:41" x14ac:dyDescent="0.2">
      <c r="A94">
        <v>93</v>
      </c>
      <c r="B94" s="464" t="s">
        <v>1051</v>
      </c>
      <c r="C94" s="162" t="s">
        <v>1055</v>
      </c>
      <c r="D94" s="162" t="s">
        <v>4108</v>
      </c>
      <c r="E94" s="162" t="s">
        <v>2532</v>
      </c>
      <c r="F94" s="162" t="s">
        <v>2048</v>
      </c>
      <c r="G94" s="162" t="s">
        <v>34</v>
      </c>
      <c r="H94" s="162" t="s">
        <v>2198</v>
      </c>
      <c r="I94" s="162" t="s">
        <v>5723</v>
      </c>
      <c r="J94" s="162" t="s">
        <v>2466</v>
      </c>
      <c r="K94" s="162" t="s">
        <v>1061</v>
      </c>
      <c r="L94" s="162" t="s">
        <v>2545</v>
      </c>
      <c r="M94" s="162">
        <v>411110</v>
      </c>
      <c r="N94" s="162" t="s">
        <v>1055</v>
      </c>
      <c r="O94" s="162" t="s">
        <v>5728</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80">
        <v>1.4583333333333332E-2</v>
      </c>
      <c r="AO94" s="480">
        <v>0</v>
      </c>
    </row>
    <row r="95" spans="1:41" x14ac:dyDescent="0.2">
      <c r="A95">
        <v>94</v>
      </c>
      <c r="B95" s="464" t="s">
        <v>1051</v>
      </c>
      <c r="C95" s="162" t="s">
        <v>1057</v>
      </c>
      <c r="D95" s="162" t="s">
        <v>4109</v>
      </c>
      <c r="E95" s="162" t="s">
        <v>2532</v>
      </c>
      <c r="F95" s="162" t="s">
        <v>2048</v>
      </c>
      <c r="G95" s="162" t="s">
        <v>34</v>
      </c>
      <c r="H95" s="162" t="s">
        <v>2198</v>
      </c>
      <c r="I95" s="162" t="s">
        <v>5723</v>
      </c>
      <c r="J95" s="162" t="s">
        <v>2466</v>
      </c>
      <c r="K95" s="162" t="s">
        <v>1061</v>
      </c>
      <c r="L95" s="162">
        <v>501</v>
      </c>
      <c r="M95" s="162">
        <v>212</v>
      </c>
      <c r="N95" s="162" t="s">
        <v>1057</v>
      </c>
      <c r="O95" s="162" t="s">
        <v>5728</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80">
        <v>1.4583333333333332E-2</v>
      </c>
      <c r="AO95" s="480">
        <v>0</v>
      </c>
    </row>
    <row r="96" spans="1:41" x14ac:dyDescent="0.2">
      <c r="A96">
        <v>95</v>
      </c>
      <c r="B96" s="464" t="s">
        <v>1051</v>
      </c>
      <c r="C96" s="162" t="s">
        <v>5309</v>
      </c>
      <c r="D96" s="162" t="s">
        <v>5310</v>
      </c>
      <c r="E96" s="162" t="s">
        <v>2532</v>
      </c>
      <c r="F96" s="162" t="s">
        <v>2048</v>
      </c>
      <c r="G96" s="162" t="s">
        <v>34</v>
      </c>
      <c r="H96" s="162" t="s">
        <v>2198</v>
      </c>
      <c r="I96" s="162" t="s">
        <v>5723</v>
      </c>
      <c r="J96" s="162" t="s">
        <v>2466</v>
      </c>
      <c r="K96" s="162" t="s">
        <v>5311</v>
      </c>
      <c r="L96" s="162" t="s">
        <v>5312</v>
      </c>
      <c r="M96" s="162" t="s">
        <v>5313</v>
      </c>
      <c r="N96" s="162" t="s">
        <v>5309</v>
      </c>
      <c r="O96" s="162" t="s">
        <v>5739</v>
      </c>
      <c r="P96" s="162" t="s">
        <v>5314</v>
      </c>
      <c r="Q96" s="162" t="s">
        <v>4934</v>
      </c>
      <c r="R96" s="162" t="s">
        <v>2365</v>
      </c>
      <c r="S96" s="162" t="s">
        <v>5315</v>
      </c>
      <c r="T96" s="162">
        <v>39.6</v>
      </c>
      <c r="U96" s="162" t="s">
        <v>5783</v>
      </c>
      <c r="V96" s="162" t="s">
        <v>3410</v>
      </c>
      <c r="W96" s="162" t="s">
        <v>5316</v>
      </c>
      <c r="X96" s="162" t="s">
        <v>4935</v>
      </c>
      <c r="Y96" s="162" t="s">
        <v>5317</v>
      </c>
      <c r="Z96" s="162" t="s">
        <v>5318</v>
      </c>
      <c r="AA96" s="162" t="s">
        <v>4935</v>
      </c>
      <c r="AB96" s="162" t="s">
        <v>34</v>
      </c>
      <c r="AC96" s="162" t="s">
        <v>2193</v>
      </c>
      <c r="AD96" s="162" t="s">
        <v>2194</v>
      </c>
      <c r="AE96" s="162" t="s">
        <v>1760</v>
      </c>
      <c r="AF96" s="162">
        <v>40</v>
      </c>
      <c r="AG96" s="162">
        <v>200</v>
      </c>
      <c r="AH96" s="162">
        <v>15</v>
      </c>
      <c r="AI96" s="162" t="s">
        <v>5476</v>
      </c>
      <c r="AJ96" s="162" t="s">
        <v>5477</v>
      </c>
      <c r="AK96" s="162" t="s">
        <v>2195</v>
      </c>
      <c r="AL96" s="162" t="s">
        <v>34</v>
      </c>
      <c r="AM96" t="s">
        <v>4874</v>
      </c>
      <c r="AN96" s="480"/>
      <c r="AO96" s="480"/>
    </row>
    <row r="97" spans="1:41" x14ac:dyDescent="0.2">
      <c r="A97">
        <v>96</v>
      </c>
      <c r="B97" s="464" t="s">
        <v>1051</v>
      </c>
      <c r="C97" s="162" t="s">
        <v>1053</v>
      </c>
      <c r="D97" s="162" t="s">
        <v>4110</v>
      </c>
      <c r="E97" s="162" t="s">
        <v>2532</v>
      </c>
      <c r="F97" s="162" t="s">
        <v>2048</v>
      </c>
      <c r="G97" s="162" t="s">
        <v>34</v>
      </c>
      <c r="H97" s="162" t="s">
        <v>2198</v>
      </c>
      <c r="I97" s="162" t="s">
        <v>5723</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80">
        <v>1.4583333333333332E-2</v>
      </c>
      <c r="AO97" s="480">
        <v>2.1527777777777781E-2</v>
      </c>
    </row>
    <row r="98" spans="1:41" x14ac:dyDescent="0.2">
      <c r="A98">
        <v>97</v>
      </c>
      <c r="B98" s="464" t="s">
        <v>1069</v>
      </c>
      <c r="C98" s="162" t="s">
        <v>1071</v>
      </c>
      <c r="D98" s="162" t="s">
        <v>4111</v>
      </c>
      <c r="E98" s="162" t="s">
        <v>2055</v>
      </c>
      <c r="F98" s="162" t="s">
        <v>2056</v>
      </c>
      <c r="G98" s="162" t="s">
        <v>34</v>
      </c>
      <c r="H98" s="162" t="s">
        <v>2198</v>
      </c>
      <c r="I98" s="162" t="s">
        <v>5737</v>
      </c>
      <c r="J98" s="162" t="s">
        <v>2466</v>
      </c>
      <c r="K98" s="162" t="s">
        <v>1011</v>
      </c>
      <c r="L98" s="162" t="s">
        <v>2553</v>
      </c>
      <c r="M98" s="162" t="s">
        <v>1071</v>
      </c>
      <c r="N98" s="162" t="s">
        <v>1071</v>
      </c>
      <c r="O98" s="162" t="s">
        <v>5740</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80">
        <v>1.4583333333333332E-2</v>
      </c>
      <c r="AO98" s="480">
        <v>0</v>
      </c>
    </row>
    <row r="99" spans="1:41" x14ac:dyDescent="0.2">
      <c r="A99">
        <v>98</v>
      </c>
      <c r="B99" s="464" t="s">
        <v>1069</v>
      </c>
      <c r="C99" s="162">
        <v>411623</v>
      </c>
      <c r="D99" s="162" t="s">
        <v>4112</v>
      </c>
      <c r="E99" s="162" t="s">
        <v>2055</v>
      </c>
      <c r="F99" s="162" t="s">
        <v>2056</v>
      </c>
      <c r="G99" s="162" t="s">
        <v>34</v>
      </c>
      <c r="H99" s="162" t="s">
        <v>2198</v>
      </c>
      <c r="I99" s="162" t="s">
        <v>5737</v>
      </c>
      <c r="J99" s="162" t="s">
        <v>2466</v>
      </c>
      <c r="K99" s="162" t="s">
        <v>1061</v>
      </c>
      <c r="L99" s="162" t="s">
        <v>2549</v>
      </c>
      <c r="M99" s="162">
        <v>411623</v>
      </c>
      <c r="N99" s="162">
        <v>411623</v>
      </c>
      <c r="O99" s="162" t="s">
        <v>5740</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80">
        <v>1.4583333333333332E-2</v>
      </c>
      <c r="AO99" s="480">
        <v>0</v>
      </c>
    </row>
    <row r="100" spans="1:41" x14ac:dyDescent="0.2">
      <c r="A100">
        <v>99</v>
      </c>
      <c r="B100" s="464" t="s">
        <v>1074</v>
      </c>
      <c r="C100" s="162" t="s">
        <v>817</v>
      </c>
      <c r="D100" s="162" t="s">
        <v>4113</v>
      </c>
      <c r="E100" s="162" t="s">
        <v>2555</v>
      </c>
      <c r="F100" s="162" t="s">
        <v>2048</v>
      </c>
      <c r="G100" s="162" t="s">
        <v>34</v>
      </c>
      <c r="H100" s="162" t="s">
        <v>2198</v>
      </c>
      <c r="I100" s="162" t="s">
        <v>5723</v>
      </c>
      <c r="J100" s="162" t="s">
        <v>2466</v>
      </c>
      <c r="K100" s="162" t="s">
        <v>1121</v>
      </c>
      <c r="L100" s="162" t="s">
        <v>2556</v>
      </c>
      <c r="M100" s="162" t="s">
        <v>2557</v>
      </c>
      <c r="N100" s="162" t="s">
        <v>817</v>
      </c>
      <c r="O100" s="162" t="s">
        <v>5741</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80">
        <v>0</v>
      </c>
      <c r="AO100" s="480">
        <v>0</v>
      </c>
    </row>
    <row r="101" spans="1:41" x14ac:dyDescent="0.2">
      <c r="A101">
        <v>100</v>
      </c>
      <c r="B101" s="464"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80">
        <v>0</v>
      </c>
      <c r="AO101" s="480">
        <v>0</v>
      </c>
    </row>
    <row r="102" spans="1:41" x14ac:dyDescent="0.2">
      <c r="A102">
        <v>101</v>
      </c>
      <c r="B102" s="464" t="s">
        <v>1074</v>
      </c>
      <c r="C102" s="162" t="s">
        <v>837</v>
      </c>
      <c r="D102" s="162" t="s">
        <v>4115</v>
      </c>
      <c r="E102" s="162" t="s">
        <v>2555</v>
      </c>
      <c r="F102" s="162" t="s">
        <v>2048</v>
      </c>
      <c r="G102" s="162" t="s">
        <v>34</v>
      </c>
      <c r="H102" s="162" t="s">
        <v>2198</v>
      </c>
      <c r="I102" s="162" t="s">
        <v>5723</v>
      </c>
      <c r="J102" s="162" t="s">
        <v>2466</v>
      </c>
      <c r="K102" s="162" t="s">
        <v>2589</v>
      </c>
      <c r="L102" s="162" t="s">
        <v>2590</v>
      </c>
      <c r="M102" s="162" t="s">
        <v>2591</v>
      </c>
      <c r="N102" s="162" t="s">
        <v>837</v>
      </c>
      <c r="O102" s="162" t="s">
        <v>5741</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80">
        <v>0</v>
      </c>
      <c r="AO102" s="480">
        <v>0</v>
      </c>
    </row>
    <row r="103" spans="1:41" x14ac:dyDescent="0.2">
      <c r="A103">
        <v>102</v>
      </c>
      <c r="B103" s="464" t="s">
        <v>1074</v>
      </c>
      <c r="C103" s="162" t="s">
        <v>825</v>
      </c>
      <c r="D103" s="162" t="s">
        <v>4116</v>
      </c>
      <c r="E103" s="162" t="s">
        <v>2555</v>
      </c>
      <c r="F103" s="162" t="s">
        <v>2048</v>
      </c>
      <c r="G103" s="162" t="s">
        <v>34</v>
      </c>
      <c r="H103" s="162" t="s">
        <v>2198</v>
      </c>
      <c r="I103" s="162" t="s">
        <v>5723</v>
      </c>
      <c r="J103" s="162" t="s">
        <v>2466</v>
      </c>
      <c r="K103" s="162" t="s">
        <v>1121</v>
      </c>
      <c r="L103" s="162" t="s">
        <v>2556</v>
      </c>
      <c r="M103" s="162" t="s">
        <v>2596</v>
      </c>
      <c r="N103" s="162" t="s">
        <v>825</v>
      </c>
      <c r="O103" s="162" t="s">
        <v>5742</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80">
        <v>0</v>
      </c>
      <c r="AO103" s="480">
        <v>0</v>
      </c>
    </row>
    <row r="104" spans="1:41" x14ac:dyDescent="0.2">
      <c r="A104">
        <v>103</v>
      </c>
      <c r="B104" s="464" t="s">
        <v>1074</v>
      </c>
      <c r="C104" s="162" t="s">
        <v>1091</v>
      </c>
      <c r="D104" s="162" t="s">
        <v>4117</v>
      </c>
      <c r="E104" s="162" t="s">
        <v>2555</v>
      </c>
      <c r="F104" s="162" t="s">
        <v>2048</v>
      </c>
      <c r="G104" s="162" t="s">
        <v>34</v>
      </c>
      <c r="H104" s="162" t="s">
        <v>2198</v>
      </c>
      <c r="I104" s="162" t="s">
        <v>5723</v>
      </c>
      <c r="J104" s="162" t="s">
        <v>2466</v>
      </c>
      <c r="K104" s="162" t="s">
        <v>1118</v>
      </c>
      <c r="L104" s="162" t="s">
        <v>2583</v>
      </c>
      <c r="M104" s="162" t="s">
        <v>2584</v>
      </c>
      <c r="N104" s="162" t="s">
        <v>1091</v>
      </c>
      <c r="O104" s="162" t="s">
        <v>5728</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5186</v>
      </c>
      <c r="AG104" s="162" t="s">
        <v>34</v>
      </c>
      <c r="AH104" s="162" t="s">
        <v>34</v>
      </c>
      <c r="AI104" s="162" t="s">
        <v>34</v>
      </c>
      <c r="AJ104" s="162" t="s">
        <v>34</v>
      </c>
      <c r="AK104" s="162" t="s">
        <v>2195</v>
      </c>
      <c r="AL104" s="162" t="s">
        <v>4980</v>
      </c>
      <c r="AM104" t="s">
        <v>4874</v>
      </c>
      <c r="AN104" s="480">
        <v>0</v>
      </c>
      <c r="AO104" s="480">
        <v>0</v>
      </c>
    </row>
    <row r="105" spans="1:41" x14ac:dyDescent="0.2">
      <c r="A105">
        <v>104</v>
      </c>
      <c r="B105" s="464" t="s">
        <v>1074</v>
      </c>
      <c r="C105" s="162" t="s">
        <v>823</v>
      </c>
      <c r="D105" s="162" t="s">
        <v>4118</v>
      </c>
      <c r="E105" s="162" t="s">
        <v>2555</v>
      </c>
      <c r="F105" s="162" t="s">
        <v>2048</v>
      </c>
      <c r="G105" s="162" t="s">
        <v>34</v>
      </c>
      <c r="H105" s="162" t="s">
        <v>2198</v>
      </c>
      <c r="I105" s="162" t="s">
        <v>5723</v>
      </c>
      <c r="J105" s="162" t="s">
        <v>2466</v>
      </c>
      <c r="K105" s="162" t="s">
        <v>2417</v>
      </c>
      <c r="L105" s="162">
        <v>80573</v>
      </c>
      <c r="M105" s="162" t="s">
        <v>2609</v>
      </c>
      <c r="N105" s="162" t="s">
        <v>823</v>
      </c>
      <c r="O105" s="162" t="s">
        <v>5743</v>
      </c>
      <c r="P105" s="162" t="s">
        <v>5018</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80">
        <v>0</v>
      </c>
      <c r="AO105" s="480">
        <v>0</v>
      </c>
    </row>
    <row r="106" spans="1:41" x14ac:dyDescent="0.2">
      <c r="A106">
        <v>105</v>
      </c>
      <c r="B106" s="464" t="s">
        <v>1074</v>
      </c>
      <c r="C106" s="162" t="s">
        <v>839</v>
      </c>
      <c r="D106" s="162" t="s">
        <v>4119</v>
      </c>
      <c r="E106" s="162" t="s">
        <v>2555</v>
      </c>
      <c r="F106" s="162" t="s">
        <v>2048</v>
      </c>
      <c r="G106" s="162" t="s">
        <v>34</v>
      </c>
      <c r="H106" s="162" t="s">
        <v>2198</v>
      </c>
      <c r="I106" s="162" t="s">
        <v>5723</v>
      </c>
      <c r="J106" s="162" t="s">
        <v>2466</v>
      </c>
      <c r="K106" s="162" t="s">
        <v>2613</v>
      </c>
      <c r="L106" s="162" t="s">
        <v>2614</v>
      </c>
      <c r="M106" s="162" t="s">
        <v>2615</v>
      </c>
      <c r="N106" s="162" t="s">
        <v>839</v>
      </c>
      <c r="O106" s="162" t="s">
        <v>5742</v>
      </c>
      <c r="P106" s="162" t="s">
        <v>5430</v>
      </c>
      <c r="Q106" s="162" t="s">
        <v>4947</v>
      </c>
      <c r="R106" s="162" t="s">
        <v>2255</v>
      </c>
      <c r="S106" s="162" t="s">
        <v>5431</v>
      </c>
      <c r="T106" s="162">
        <v>12</v>
      </c>
      <c r="U106" s="162" t="s">
        <v>2220</v>
      </c>
      <c r="V106" s="162" t="s">
        <v>5432</v>
      </c>
      <c r="W106" s="162" t="s">
        <v>5433</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80">
        <v>0</v>
      </c>
      <c r="AO106" s="480">
        <v>0</v>
      </c>
    </row>
    <row r="107" spans="1:41" x14ac:dyDescent="0.2">
      <c r="A107">
        <v>106</v>
      </c>
      <c r="B107" s="464" t="s">
        <v>1074</v>
      </c>
      <c r="C107" s="162" t="s">
        <v>1748</v>
      </c>
      <c r="D107" s="162" t="s">
        <v>4120</v>
      </c>
      <c r="E107" s="162" t="s">
        <v>2555</v>
      </c>
      <c r="F107" s="162" t="s">
        <v>2048</v>
      </c>
      <c r="G107" s="162" t="s">
        <v>34</v>
      </c>
      <c r="H107" s="162" t="s">
        <v>2198</v>
      </c>
      <c r="I107" s="162" t="s">
        <v>5723</v>
      </c>
      <c r="J107" s="162" t="s">
        <v>2466</v>
      </c>
      <c r="K107" s="162" t="s">
        <v>831</v>
      </c>
      <c r="L107" s="162" t="s">
        <v>2564</v>
      </c>
      <c r="M107" s="162" t="s">
        <v>2565</v>
      </c>
      <c r="N107" s="162" t="s">
        <v>1748</v>
      </c>
      <c r="O107" s="162" t="s">
        <v>5741</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80">
        <v>0</v>
      </c>
      <c r="AO107" s="480">
        <v>0</v>
      </c>
    </row>
    <row r="108" spans="1:41" x14ac:dyDescent="0.2">
      <c r="A108">
        <v>107</v>
      </c>
      <c r="B108" s="464" t="s">
        <v>1074</v>
      </c>
      <c r="C108" s="162" t="s">
        <v>1957</v>
      </c>
      <c r="D108" s="162" t="s">
        <v>4121</v>
      </c>
      <c r="E108" s="162" t="s">
        <v>2555</v>
      </c>
      <c r="F108" s="162" t="s">
        <v>2048</v>
      </c>
      <c r="G108" s="162" t="s">
        <v>34</v>
      </c>
      <c r="H108" s="162" t="s">
        <v>2198</v>
      </c>
      <c r="I108" s="162" t="s">
        <v>5723</v>
      </c>
      <c r="J108" s="162" t="s">
        <v>2466</v>
      </c>
      <c r="K108" s="162" t="s">
        <v>833</v>
      </c>
      <c r="L108" s="162" t="s">
        <v>2561</v>
      </c>
      <c r="M108" s="162">
        <v>1280</v>
      </c>
      <c r="N108" s="162" t="s">
        <v>1957</v>
      </c>
      <c r="O108" s="162" t="s">
        <v>5728</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80">
        <v>0</v>
      </c>
      <c r="AO108" s="480">
        <v>0</v>
      </c>
    </row>
    <row r="109" spans="1:41" x14ac:dyDescent="0.2">
      <c r="A109">
        <v>108</v>
      </c>
      <c r="B109" s="464" t="s">
        <v>1074</v>
      </c>
      <c r="C109" s="162" t="s">
        <v>1903</v>
      </c>
      <c r="D109" s="162" t="s">
        <v>4122</v>
      </c>
      <c r="E109" s="162" t="s">
        <v>2555</v>
      </c>
      <c r="F109" s="162" t="s">
        <v>2048</v>
      </c>
      <c r="G109" s="162" t="s">
        <v>34</v>
      </c>
      <c r="H109" s="162" t="s">
        <v>2198</v>
      </c>
      <c r="I109" s="162" t="s">
        <v>5723</v>
      </c>
      <c r="J109" s="162" t="s">
        <v>2466</v>
      </c>
      <c r="K109" s="162" t="s">
        <v>2573</v>
      </c>
      <c r="L109" s="162" t="s">
        <v>2574</v>
      </c>
      <c r="M109" s="542">
        <v>54087</v>
      </c>
      <c r="N109" s="162" t="s">
        <v>1903</v>
      </c>
      <c r="O109" s="162" t="s">
        <v>5742</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80">
        <v>0</v>
      </c>
      <c r="AO109" s="480">
        <v>0</v>
      </c>
    </row>
    <row r="110" spans="1:41" x14ac:dyDescent="0.2">
      <c r="A110">
        <v>109</v>
      </c>
      <c r="B110" s="464" t="s">
        <v>1074</v>
      </c>
      <c r="C110" s="162" t="s">
        <v>1771</v>
      </c>
      <c r="D110" s="162" t="s">
        <v>4123</v>
      </c>
      <c r="E110" s="162" t="s">
        <v>2555</v>
      </c>
      <c r="F110" s="162" t="s">
        <v>2048</v>
      </c>
      <c r="G110" s="162" t="s">
        <v>34</v>
      </c>
      <c r="H110" s="162" t="s">
        <v>2198</v>
      </c>
      <c r="I110" s="162" t="s">
        <v>5723</v>
      </c>
      <c r="J110" s="162" t="s">
        <v>2466</v>
      </c>
      <c r="K110" s="162" t="s">
        <v>821</v>
      </c>
      <c r="L110" s="162" t="s">
        <v>2578</v>
      </c>
      <c r="M110" s="162">
        <v>370334</v>
      </c>
      <c r="N110" s="162" t="s">
        <v>1771</v>
      </c>
      <c r="O110" s="162" t="s">
        <v>5728</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80">
        <v>0</v>
      </c>
      <c r="AO110" s="480">
        <v>0</v>
      </c>
    </row>
    <row r="111" spans="1:41" x14ac:dyDescent="0.2">
      <c r="A111">
        <v>110</v>
      </c>
      <c r="B111" s="464" t="s">
        <v>1074</v>
      </c>
      <c r="C111" s="162" t="s">
        <v>3825</v>
      </c>
      <c r="D111" s="162" t="s">
        <v>4124</v>
      </c>
      <c r="E111" s="162" t="s">
        <v>2555</v>
      </c>
      <c r="F111" s="162" t="s">
        <v>2048</v>
      </c>
      <c r="G111" s="162" t="s">
        <v>34</v>
      </c>
      <c r="H111" s="162" t="s">
        <v>2198</v>
      </c>
      <c r="I111" s="162" t="s">
        <v>5723</v>
      </c>
      <c r="J111" s="162" t="s">
        <v>2466</v>
      </c>
      <c r="K111" s="162" t="s">
        <v>841</v>
      </c>
      <c r="L111" s="162" t="s">
        <v>2570</v>
      </c>
      <c r="M111" s="162">
        <v>70773</v>
      </c>
      <c r="N111" s="162" t="s">
        <v>1086</v>
      </c>
      <c r="O111" s="162" t="s">
        <v>5728</v>
      </c>
      <c r="P111" s="162" t="s">
        <v>5744</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80">
        <v>0</v>
      </c>
      <c r="AO111" s="480">
        <v>0</v>
      </c>
    </row>
    <row r="112" spans="1:41" x14ac:dyDescent="0.2">
      <c r="A112">
        <v>111</v>
      </c>
      <c r="B112" s="464" t="s">
        <v>1074</v>
      </c>
      <c r="C112" s="162" t="s">
        <v>3827</v>
      </c>
      <c r="D112" s="162" t="s">
        <v>4125</v>
      </c>
      <c r="E112" s="162" t="s">
        <v>2555</v>
      </c>
      <c r="F112" s="162" t="s">
        <v>2048</v>
      </c>
      <c r="G112" s="162" t="s">
        <v>34</v>
      </c>
      <c r="H112" s="162" t="s">
        <v>2198</v>
      </c>
      <c r="I112" s="162" t="s">
        <v>5723</v>
      </c>
      <c r="J112" s="162" t="s">
        <v>2466</v>
      </c>
      <c r="K112" s="162" t="s">
        <v>1121</v>
      </c>
      <c r="L112" s="162" t="s">
        <v>2601</v>
      </c>
      <c r="M112" s="162" t="s">
        <v>2606</v>
      </c>
      <c r="N112" s="162" t="s">
        <v>1080</v>
      </c>
      <c r="O112" s="162" t="s">
        <v>5742</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80">
        <v>0</v>
      </c>
      <c r="AO112" s="480">
        <v>0</v>
      </c>
    </row>
    <row r="113" spans="1:41" x14ac:dyDescent="0.2">
      <c r="A113">
        <v>112</v>
      </c>
      <c r="B113" s="464" t="s">
        <v>1074</v>
      </c>
      <c r="C113" s="162" t="s">
        <v>3826</v>
      </c>
      <c r="D113" s="162" t="s">
        <v>4126</v>
      </c>
      <c r="E113" s="162" t="s">
        <v>2555</v>
      </c>
      <c r="F113" s="162" t="s">
        <v>2048</v>
      </c>
      <c r="G113" s="162" t="s">
        <v>34</v>
      </c>
      <c r="H113" s="162" t="s">
        <v>2198</v>
      </c>
      <c r="I113" s="162" t="s">
        <v>5723</v>
      </c>
      <c r="J113" s="162" t="s">
        <v>2466</v>
      </c>
      <c r="K113" s="162" t="s">
        <v>1121</v>
      </c>
      <c r="L113" s="162" t="s">
        <v>2601</v>
      </c>
      <c r="M113" s="162" t="s">
        <v>2602</v>
      </c>
      <c r="N113" s="162" t="s">
        <v>1078</v>
      </c>
      <c r="O113" s="162" t="s">
        <v>5742</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80">
        <v>0</v>
      </c>
      <c r="AO113" s="480">
        <v>0</v>
      </c>
    </row>
    <row r="114" spans="1:41" x14ac:dyDescent="0.2">
      <c r="A114">
        <v>113</v>
      </c>
      <c r="B114" s="464" t="s">
        <v>1074</v>
      </c>
      <c r="C114" s="162" t="s">
        <v>3828</v>
      </c>
      <c r="D114" s="162" t="s">
        <v>4127</v>
      </c>
      <c r="E114" s="162" t="s">
        <v>2555</v>
      </c>
      <c r="F114" s="162" t="s">
        <v>2048</v>
      </c>
      <c r="G114" s="162" t="s">
        <v>34</v>
      </c>
      <c r="H114" s="162" t="s">
        <v>2198</v>
      </c>
      <c r="I114" s="162" t="s">
        <v>5723</v>
      </c>
      <c r="J114" s="162" t="s">
        <v>2466</v>
      </c>
      <c r="K114" s="162" t="s">
        <v>1118</v>
      </c>
      <c r="L114" s="162" t="s">
        <v>2313</v>
      </c>
      <c r="M114" s="162" t="s">
        <v>3829</v>
      </c>
      <c r="N114" s="162" t="s">
        <v>3830</v>
      </c>
      <c r="O114" s="162" t="s">
        <v>5745</v>
      </c>
      <c r="P114" s="162" t="s">
        <v>5024</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80">
        <v>0</v>
      </c>
      <c r="AO114" s="480">
        <v>0</v>
      </c>
    </row>
    <row r="115" spans="1:41" x14ac:dyDescent="0.2">
      <c r="A115">
        <v>114</v>
      </c>
      <c r="B115" s="464" t="s">
        <v>1074</v>
      </c>
      <c r="C115" s="162" t="s">
        <v>4547</v>
      </c>
      <c r="D115" s="162" t="s">
        <v>4548</v>
      </c>
      <c r="E115" s="162" t="s">
        <v>2555</v>
      </c>
      <c r="F115" s="162" t="s">
        <v>2048</v>
      </c>
      <c r="G115" s="162" t="s">
        <v>34</v>
      </c>
      <c r="H115" s="162" t="s">
        <v>2198</v>
      </c>
      <c r="I115" s="162" t="s">
        <v>5723</v>
      </c>
      <c r="J115" s="162" t="s">
        <v>2466</v>
      </c>
      <c r="K115" s="162" t="s">
        <v>4549</v>
      </c>
      <c r="L115" s="162" t="s">
        <v>4550</v>
      </c>
      <c r="M115" s="162" t="s">
        <v>4551</v>
      </c>
      <c r="N115" s="162" t="s">
        <v>4547</v>
      </c>
      <c r="O115" s="162" t="s">
        <v>5742</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80">
        <v>0</v>
      </c>
      <c r="AO115" s="480">
        <v>0</v>
      </c>
    </row>
    <row r="116" spans="1:41" x14ac:dyDescent="0.2">
      <c r="A116">
        <v>115</v>
      </c>
      <c r="B116" s="464" t="s">
        <v>1074</v>
      </c>
      <c r="C116" s="162" t="s">
        <v>5836</v>
      </c>
      <c r="D116" s="162" t="s">
        <v>5837</v>
      </c>
      <c r="E116" s="162" t="s">
        <v>2555</v>
      </c>
      <c r="F116" s="162" t="s">
        <v>2048</v>
      </c>
      <c r="G116" s="162"/>
      <c r="H116" s="162" t="s">
        <v>2198</v>
      </c>
      <c r="I116" s="162" t="s">
        <v>5723</v>
      </c>
      <c r="J116" s="162" t="s">
        <v>2466</v>
      </c>
      <c r="K116" s="162" t="s">
        <v>2202</v>
      </c>
      <c r="L116" s="162" t="s">
        <v>5802</v>
      </c>
      <c r="M116" s="162" t="s">
        <v>4669</v>
      </c>
      <c r="N116" s="162" t="s">
        <v>5838</v>
      </c>
      <c r="O116" s="162" t="s">
        <v>5742</v>
      </c>
      <c r="P116" s="162" t="s">
        <v>2258</v>
      </c>
      <c r="Q116" s="162" t="s">
        <v>4947</v>
      </c>
      <c r="R116" s="162" t="s">
        <v>2365</v>
      </c>
      <c r="S116" s="162" t="s">
        <v>5804</v>
      </c>
      <c r="T116" s="162">
        <v>1300</v>
      </c>
      <c r="U116" s="162" t="s">
        <v>2220</v>
      </c>
      <c r="V116" s="162" t="s">
        <v>5805</v>
      </c>
      <c r="W116" s="162" t="s">
        <v>5839</v>
      </c>
      <c r="X116" s="162" t="s">
        <v>4935</v>
      </c>
      <c r="Y116" s="162" t="s">
        <v>5807</v>
      </c>
      <c r="Z116" s="162" t="s">
        <v>5840</v>
      </c>
      <c r="AA116" s="162" t="s">
        <v>4935</v>
      </c>
      <c r="AB116" s="162"/>
      <c r="AC116" s="162" t="s">
        <v>2193</v>
      </c>
      <c r="AD116" s="162" t="s">
        <v>2194</v>
      </c>
      <c r="AE116" s="162" t="s">
        <v>5572</v>
      </c>
      <c r="AF116" s="162" t="s">
        <v>3417</v>
      </c>
      <c r="AG116" s="162"/>
      <c r="AH116" s="162"/>
      <c r="AI116" s="162"/>
      <c r="AJ116" s="162"/>
      <c r="AK116" s="162" t="s">
        <v>2195</v>
      </c>
      <c r="AL116" s="162"/>
      <c r="AM116" t="s">
        <v>5809</v>
      </c>
      <c r="AN116" s="480"/>
      <c r="AO116" s="480"/>
    </row>
    <row r="117" spans="1:41" x14ac:dyDescent="0.2">
      <c r="A117">
        <v>116</v>
      </c>
      <c r="B117" s="464" t="s">
        <v>1074</v>
      </c>
      <c r="C117" s="162" t="s">
        <v>5810</v>
      </c>
      <c r="D117" s="162" t="s">
        <v>5813</v>
      </c>
      <c r="E117" s="162" t="s">
        <v>2555</v>
      </c>
      <c r="F117" s="162" t="s">
        <v>2048</v>
      </c>
      <c r="G117" s="162" t="s">
        <v>4810</v>
      </c>
      <c r="H117" s="162" t="s">
        <v>2198</v>
      </c>
      <c r="I117" s="162" t="s">
        <v>5723</v>
      </c>
      <c r="J117" s="162" t="s">
        <v>2466</v>
      </c>
      <c r="K117" s="162" t="s">
        <v>2202</v>
      </c>
      <c r="L117" s="162" t="s">
        <v>5802</v>
      </c>
      <c r="M117" s="162" t="s">
        <v>4992</v>
      </c>
      <c r="N117" s="162" t="s">
        <v>5811</v>
      </c>
      <c r="O117" s="162" t="s">
        <v>5803</v>
      </c>
      <c r="P117" s="162" t="s">
        <v>2258</v>
      </c>
      <c r="Q117" s="162" t="s">
        <v>4947</v>
      </c>
      <c r="R117" s="162" t="s">
        <v>2365</v>
      </c>
      <c r="S117" s="162" t="s">
        <v>5804</v>
      </c>
      <c r="T117" s="162">
        <v>1300</v>
      </c>
      <c r="U117" s="162" t="s">
        <v>2220</v>
      </c>
      <c r="V117" s="162" t="s">
        <v>5805</v>
      </c>
      <c r="W117" s="162" t="s">
        <v>5806</v>
      </c>
      <c r="X117" s="162" t="s">
        <v>4935</v>
      </c>
      <c r="Y117" s="162" t="s">
        <v>5807</v>
      </c>
      <c r="Z117" s="162" t="s">
        <v>5808</v>
      </c>
      <c r="AA117" s="162" t="s">
        <v>4935</v>
      </c>
      <c r="AB117" s="162"/>
      <c r="AC117" s="162" t="s">
        <v>2193</v>
      </c>
      <c r="AD117" s="162" t="s">
        <v>2194</v>
      </c>
      <c r="AE117" s="162" t="s">
        <v>5572</v>
      </c>
      <c r="AF117" s="162" t="s">
        <v>3417</v>
      </c>
      <c r="AG117" s="162"/>
      <c r="AH117" s="162"/>
      <c r="AI117" s="162"/>
      <c r="AJ117" s="162"/>
      <c r="AK117" s="162" t="s">
        <v>2195</v>
      </c>
      <c r="AL117" s="162"/>
      <c r="AM117" t="s">
        <v>5809</v>
      </c>
      <c r="AN117" s="480"/>
      <c r="AO117" s="480"/>
    </row>
    <row r="118" spans="1:41" x14ac:dyDescent="0.2">
      <c r="A118">
        <v>117</v>
      </c>
      <c r="B118" s="464" t="s">
        <v>1657</v>
      </c>
      <c r="C118" s="162" t="s">
        <v>1661</v>
      </c>
      <c r="D118" s="162" t="s">
        <v>4128</v>
      </c>
      <c r="E118" s="162" t="s">
        <v>2059</v>
      </c>
      <c r="F118" s="162" t="s">
        <v>2623</v>
      </c>
      <c r="G118" s="162" t="s">
        <v>34</v>
      </c>
      <c r="H118" s="162" t="s">
        <v>2198</v>
      </c>
      <c r="I118" s="162" t="s">
        <v>5723</v>
      </c>
      <c r="J118" s="162" t="s">
        <v>2466</v>
      </c>
      <c r="K118" s="162" t="s">
        <v>1061</v>
      </c>
      <c r="L118" s="162" t="s">
        <v>2628</v>
      </c>
      <c r="M118" s="162" t="s">
        <v>2629</v>
      </c>
      <c r="N118" s="162" t="s">
        <v>1661</v>
      </c>
      <c r="O118" s="162" t="s">
        <v>5724</v>
      </c>
      <c r="P118" s="162" t="s">
        <v>2592</v>
      </c>
      <c r="Q118" s="162" t="s">
        <v>4934</v>
      </c>
      <c r="R118" s="162" t="s">
        <v>2191</v>
      </c>
      <c r="S118" s="162" t="s">
        <v>2630</v>
      </c>
      <c r="T118" s="162">
        <v>26.1</v>
      </c>
      <c r="U118" s="162" t="s">
        <v>2218</v>
      </c>
      <c r="V118" s="162" t="s">
        <v>2473</v>
      </c>
      <c r="W118" s="162">
        <v>52012</v>
      </c>
      <c r="X118" s="162" t="s">
        <v>4935</v>
      </c>
      <c r="Y118" s="162" t="s">
        <v>2627</v>
      </c>
      <c r="Z118" s="162" t="s">
        <v>5241</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80">
        <v>1.4583333333333332E-2</v>
      </c>
      <c r="AO118" s="480">
        <v>0</v>
      </c>
    </row>
    <row r="119" spans="1:41" x14ac:dyDescent="0.2">
      <c r="A119">
        <v>118</v>
      </c>
      <c r="B119" s="464" t="s">
        <v>1657</v>
      </c>
      <c r="C119" s="162" t="s">
        <v>1666</v>
      </c>
      <c r="D119" s="162" t="s">
        <v>4129</v>
      </c>
      <c r="E119" s="162" t="s">
        <v>2059</v>
      </c>
      <c r="F119" s="162" t="s">
        <v>2623</v>
      </c>
      <c r="G119" s="162" t="s">
        <v>34</v>
      </c>
      <c r="H119" s="162" t="s">
        <v>2198</v>
      </c>
      <c r="I119" s="162" t="s">
        <v>5723</v>
      </c>
      <c r="J119" s="162" t="s">
        <v>2466</v>
      </c>
      <c r="K119" s="162" t="s">
        <v>2637</v>
      </c>
      <c r="L119" s="162" t="s">
        <v>2638</v>
      </c>
      <c r="M119" s="162" t="s">
        <v>2639</v>
      </c>
      <c r="N119" s="162" t="s">
        <v>1666</v>
      </c>
      <c r="O119" s="162" t="s">
        <v>5724</v>
      </c>
      <c r="P119" s="162" t="s">
        <v>2640</v>
      </c>
      <c r="Q119" s="162" t="s">
        <v>4934</v>
      </c>
      <c r="R119" s="162" t="s">
        <v>2365</v>
      </c>
      <c r="S119" s="162" t="s">
        <v>2641</v>
      </c>
      <c r="T119" s="162">
        <v>61.3</v>
      </c>
      <c r="U119" s="162" t="s">
        <v>2218</v>
      </c>
      <c r="V119" s="162" t="s">
        <v>2276</v>
      </c>
      <c r="W119" s="162" t="s">
        <v>2642</v>
      </c>
      <c r="X119" s="162" t="s">
        <v>5000</v>
      </c>
      <c r="Y119" s="162" t="s">
        <v>2627</v>
      </c>
      <c r="Z119" s="162" t="s">
        <v>5241</v>
      </c>
      <c r="AA119" s="162" t="s">
        <v>5000</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80">
        <v>1.4583333333333332E-2</v>
      </c>
      <c r="AO119" s="480">
        <v>2.1527777777777781E-2</v>
      </c>
    </row>
    <row r="120" spans="1:41" x14ac:dyDescent="0.2">
      <c r="A120">
        <v>119</v>
      </c>
      <c r="B120" s="464" t="s">
        <v>1657</v>
      </c>
      <c r="C120" s="162" t="s">
        <v>837</v>
      </c>
      <c r="D120" s="162" t="s">
        <v>4130</v>
      </c>
      <c r="E120" s="162" t="s">
        <v>2059</v>
      </c>
      <c r="F120" s="162" t="s">
        <v>2623</v>
      </c>
      <c r="G120" s="162" t="s">
        <v>34</v>
      </c>
      <c r="H120" s="162" t="s">
        <v>2198</v>
      </c>
      <c r="I120" s="162" t="s">
        <v>5723</v>
      </c>
      <c r="J120" s="162" t="s">
        <v>2466</v>
      </c>
      <c r="K120" s="162" t="s">
        <v>1061</v>
      </c>
      <c r="L120" s="162" t="s">
        <v>2633</v>
      </c>
      <c r="M120" s="162" t="s">
        <v>2634</v>
      </c>
      <c r="N120" s="162" t="s">
        <v>837</v>
      </c>
      <c r="O120" s="162" t="s">
        <v>5724</v>
      </c>
      <c r="P120" s="162" t="s">
        <v>2592</v>
      </c>
      <c r="Q120" s="162" t="s">
        <v>4934</v>
      </c>
      <c r="R120" s="162" t="s">
        <v>2191</v>
      </c>
      <c r="S120" s="162" t="s">
        <v>2635</v>
      </c>
      <c r="T120" s="162">
        <v>65.8</v>
      </c>
      <c r="U120" s="162" t="s">
        <v>2218</v>
      </c>
      <c r="V120" s="162" t="s">
        <v>2473</v>
      </c>
      <c r="W120" s="162" t="s">
        <v>2636</v>
      </c>
      <c r="X120" s="162" t="s">
        <v>4935</v>
      </c>
      <c r="Y120" s="162" t="s">
        <v>2627</v>
      </c>
      <c r="Z120" s="162" t="s">
        <v>5241</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80">
        <v>1.4583333333333332E-2</v>
      </c>
      <c r="AO120" s="480">
        <v>0</v>
      </c>
    </row>
    <row r="121" spans="1:41" x14ac:dyDescent="0.2">
      <c r="A121">
        <v>120</v>
      </c>
      <c r="B121" s="464" t="s">
        <v>1657</v>
      </c>
      <c r="C121" s="162" t="s">
        <v>1663</v>
      </c>
      <c r="D121" s="162" t="s">
        <v>4131</v>
      </c>
      <c r="E121" s="162" t="s">
        <v>2059</v>
      </c>
      <c r="F121" s="162" t="s">
        <v>2623</v>
      </c>
      <c r="G121" s="162" t="s">
        <v>34</v>
      </c>
      <c r="H121" s="162" t="s">
        <v>2198</v>
      </c>
      <c r="I121" s="162" t="s">
        <v>5723</v>
      </c>
      <c r="J121" s="162" t="s">
        <v>2466</v>
      </c>
      <c r="K121" s="162" t="s">
        <v>1061</v>
      </c>
      <c r="L121" s="162" t="s">
        <v>2624</v>
      </c>
      <c r="M121" s="162" t="s">
        <v>2631</v>
      </c>
      <c r="N121" s="162" t="s">
        <v>1663</v>
      </c>
      <c r="O121" s="162" t="s">
        <v>5724</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5241</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80">
        <v>1.4583333333333332E-2</v>
      </c>
      <c r="AO121" s="480">
        <v>0</v>
      </c>
    </row>
    <row r="122" spans="1:41" x14ac:dyDescent="0.2">
      <c r="A122">
        <v>121</v>
      </c>
      <c r="B122" s="464" t="s">
        <v>1657</v>
      </c>
      <c r="C122" s="162" t="s">
        <v>1659</v>
      </c>
      <c r="D122" s="162" t="s">
        <v>4132</v>
      </c>
      <c r="E122" s="162" t="s">
        <v>2059</v>
      </c>
      <c r="F122" s="162" t="s">
        <v>2623</v>
      </c>
      <c r="G122" s="162" t="s">
        <v>34</v>
      </c>
      <c r="H122" s="162" t="s">
        <v>2198</v>
      </c>
      <c r="I122" s="162" t="s">
        <v>5723</v>
      </c>
      <c r="J122" s="162" t="s">
        <v>2466</v>
      </c>
      <c r="K122" s="162" t="s">
        <v>1061</v>
      </c>
      <c r="L122" s="162" t="s">
        <v>2624</v>
      </c>
      <c r="M122" s="162" t="s">
        <v>2625</v>
      </c>
      <c r="N122" s="162" t="s">
        <v>1659</v>
      </c>
      <c r="O122" s="162" t="s">
        <v>5724</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5241</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80">
        <v>1.4583333333333332E-2</v>
      </c>
      <c r="AO122" s="480">
        <v>0</v>
      </c>
    </row>
    <row r="123" spans="1:41" x14ac:dyDescent="0.2">
      <c r="A123">
        <v>122</v>
      </c>
      <c r="B123" s="464" t="s">
        <v>1116</v>
      </c>
      <c r="C123" s="162" t="s">
        <v>1118</v>
      </c>
      <c r="D123" s="162" t="s">
        <v>4133</v>
      </c>
      <c r="E123" s="162" t="s">
        <v>2698</v>
      </c>
      <c r="F123" s="162" t="s">
        <v>2070</v>
      </c>
      <c r="G123" s="162" t="s">
        <v>34</v>
      </c>
      <c r="H123" s="162" t="s">
        <v>2198</v>
      </c>
      <c r="I123" s="162" t="s">
        <v>5723</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80">
        <v>0</v>
      </c>
      <c r="AO123" s="480">
        <v>0</v>
      </c>
    </row>
    <row r="124" spans="1:41" x14ac:dyDescent="0.2">
      <c r="A124">
        <v>123</v>
      </c>
      <c r="B124" s="464" t="s">
        <v>1116</v>
      </c>
      <c r="C124" s="162" t="s">
        <v>1772</v>
      </c>
      <c r="D124" s="162" t="s">
        <v>4134</v>
      </c>
      <c r="E124" s="162" t="s">
        <v>2698</v>
      </c>
      <c r="F124" s="162" t="s">
        <v>2070</v>
      </c>
      <c r="G124" s="162" t="s">
        <v>34</v>
      </c>
      <c r="H124" s="162" t="s">
        <v>2198</v>
      </c>
      <c r="I124" s="162" t="s">
        <v>5723</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80">
        <v>0</v>
      </c>
      <c r="AO124" s="480">
        <v>0</v>
      </c>
    </row>
    <row r="125" spans="1:41" x14ac:dyDescent="0.2">
      <c r="A125">
        <v>124</v>
      </c>
      <c r="B125" s="464" t="s">
        <v>1116</v>
      </c>
      <c r="C125" s="162" t="s">
        <v>1958</v>
      </c>
      <c r="D125" s="162" t="s">
        <v>4405</v>
      </c>
      <c r="E125" s="162" t="s">
        <v>2698</v>
      </c>
      <c r="F125" s="162" t="s">
        <v>2070</v>
      </c>
      <c r="G125" s="162" t="s">
        <v>34</v>
      </c>
      <c r="H125" s="162" t="s">
        <v>2198</v>
      </c>
      <c r="I125" s="162" t="s">
        <v>5723</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80">
        <v>0</v>
      </c>
      <c r="AO125" s="480">
        <v>0</v>
      </c>
    </row>
    <row r="126" spans="1:41" x14ac:dyDescent="0.2">
      <c r="A126">
        <v>125</v>
      </c>
      <c r="B126" s="464" t="s">
        <v>1116</v>
      </c>
      <c r="C126" s="162" t="s">
        <v>1121</v>
      </c>
      <c r="D126" s="162" t="s">
        <v>4135</v>
      </c>
      <c r="E126" s="162" t="s">
        <v>2698</v>
      </c>
      <c r="F126" s="162" t="s">
        <v>2070</v>
      </c>
      <c r="G126" s="162" t="s">
        <v>34</v>
      </c>
      <c r="H126" s="162" t="s">
        <v>2198</v>
      </c>
      <c r="I126" s="162" t="s">
        <v>5723</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80">
        <v>0</v>
      </c>
      <c r="AO126" s="480">
        <v>0</v>
      </c>
    </row>
    <row r="127" spans="1:41" x14ac:dyDescent="0.2">
      <c r="A127">
        <v>126</v>
      </c>
      <c r="B127" s="464" t="s">
        <v>1096</v>
      </c>
      <c r="C127" s="162" t="s">
        <v>878</v>
      </c>
      <c r="D127" s="162" t="s">
        <v>4136</v>
      </c>
      <c r="E127" s="162" t="s">
        <v>2064</v>
      </c>
      <c r="F127" s="162" t="s">
        <v>2066</v>
      </c>
      <c r="G127" s="162" t="s">
        <v>34</v>
      </c>
      <c r="H127" s="162" t="s">
        <v>2198</v>
      </c>
      <c r="I127" s="162" t="s">
        <v>5723</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80">
        <v>0</v>
      </c>
      <c r="AO127" s="480">
        <v>0</v>
      </c>
    </row>
    <row r="128" spans="1:41" x14ac:dyDescent="0.2">
      <c r="A128">
        <v>127</v>
      </c>
      <c r="B128" s="464" t="s">
        <v>1096</v>
      </c>
      <c r="C128" s="162" t="s">
        <v>999</v>
      </c>
      <c r="D128" s="162" t="s">
        <v>5019</v>
      </c>
      <c r="E128" s="162" t="s">
        <v>2064</v>
      </c>
      <c r="F128" s="162" t="s">
        <v>2066</v>
      </c>
      <c r="G128" s="162" t="s">
        <v>34</v>
      </c>
      <c r="H128" s="162" t="s">
        <v>2198</v>
      </c>
      <c r="I128" s="162" t="s">
        <v>5723</v>
      </c>
      <c r="J128" s="162" t="s">
        <v>1766</v>
      </c>
      <c r="K128" s="162" t="s">
        <v>2374</v>
      </c>
      <c r="L128" s="162" t="s">
        <v>3338</v>
      </c>
      <c r="M128" s="162">
        <v>11408</v>
      </c>
      <c r="N128" s="162" t="s">
        <v>5020</v>
      </c>
      <c r="O128" s="162" t="s">
        <v>1766</v>
      </c>
      <c r="P128" s="162" t="s">
        <v>2462</v>
      </c>
      <c r="Q128" s="162" t="s">
        <v>4934</v>
      </c>
      <c r="R128" s="162" t="s">
        <v>2191</v>
      </c>
      <c r="S128" s="162" t="s">
        <v>5021</v>
      </c>
      <c r="T128" s="162">
        <v>417</v>
      </c>
      <c r="U128" s="162" t="s">
        <v>1950</v>
      </c>
      <c r="V128" s="162" t="s">
        <v>3338</v>
      </c>
      <c r="W128" s="162" t="s">
        <v>2325</v>
      </c>
      <c r="X128" s="162" t="s">
        <v>4935</v>
      </c>
      <c r="Y128" s="162" t="s">
        <v>3338</v>
      </c>
      <c r="Z128" s="162" t="s">
        <v>2325</v>
      </c>
      <c r="AA128" s="162" t="s">
        <v>4935</v>
      </c>
      <c r="AB128" s="162" t="s">
        <v>5022</v>
      </c>
      <c r="AC128" s="162" t="s">
        <v>4443</v>
      </c>
      <c r="AD128" s="162" t="s">
        <v>5023</v>
      </c>
      <c r="AE128" s="162" t="s">
        <v>1760</v>
      </c>
      <c r="AF128" s="162" t="s">
        <v>3417</v>
      </c>
      <c r="AG128" s="162" t="s">
        <v>34</v>
      </c>
      <c r="AH128" s="162" t="s">
        <v>34</v>
      </c>
      <c r="AI128" s="162" t="s">
        <v>34</v>
      </c>
      <c r="AJ128" s="162" t="s">
        <v>34</v>
      </c>
      <c r="AK128" s="162" t="s">
        <v>2195</v>
      </c>
      <c r="AL128" s="162" t="s">
        <v>34</v>
      </c>
      <c r="AM128" t="s">
        <v>4874</v>
      </c>
      <c r="AN128" s="480"/>
      <c r="AO128" s="480"/>
    </row>
    <row r="129" spans="1:41" x14ac:dyDescent="0.2">
      <c r="A129">
        <v>128</v>
      </c>
      <c r="B129" s="464" t="s">
        <v>1096</v>
      </c>
      <c r="C129" s="162" t="s">
        <v>1104</v>
      </c>
      <c r="D129" s="162" t="s">
        <v>4137</v>
      </c>
      <c r="E129" s="162" t="s">
        <v>2064</v>
      </c>
      <c r="F129" s="162" t="s">
        <v>2066</v>
      </c>
      <c r="G129" s="162" t="s">
        <v>34</v>
      </c>
      <c r="H129" s="162" t="s">
        <v>2198</v>
      </c>
      <c r="I129" s="162" t="s">
        <v>5723</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80">
        <v>0</v>
      </c>
      <c r="AO129" s="480">
        <v>0</v>
      </c>
    </row>
    <row r="130" spans="1:41" x14ac:dyDescent="0.2">
      <c r="A130">
        <v>129</v>
      </c>
      <c r="B130" s="464" t="s">
        <v>1096</v>
      </c>
      <c r="C130" s="162" t="s">
        <v>1098</v>
      </c>
      <c r="D130" s="162" t="s">
        <v>4138</v>
      </c>
      <c r="E130" s="162" t="s">
        <v>2064</v>
      </c>
      <c r="F130" s="162" t="s">
        <v>2066</v>
      </c>
      <c r="G130" s="162" t="s">
        <v>34</v>
      </c>
      <c r="H130" s="162" t="s">
        <v>2198</v>
      </c>
      <c r="I130" s="162" t="s">
        <v>5723</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80">
        <v>0</v>
      </c>
      <c r="AO130" s="480">
        <v>0</v>
      </c>
    </row>
    <row r="131" spans="1:41" x14ac:dyDescent="0.2">
      <c r="A131">
        <v>130</v>
      </c>
      <c r="B131" s="464" t="s">
        <v>1096</v>
      </c>
      <c r="C131" s="162" t="s">
        <v>5322</v>
      </c>
      <c r="D131" s="162" t="s">
        <v>5323</v>
      </c>
      <c r="E131" s="162" t="s">
        <v>2064</v>
      </c>
      <c r="F131" s="162" t="s">
        <v>2066</v>
      </c>
      <c r="G131" s="162" t="s">
        <v>34</v>
      </c>
      <c r="H131" s="162" t="s">
        <v>2198</v>
      </c>
      <c r="I131" s="162" t="s">
        <v>5723</v>
      </c>
      <c r="J131" s="162" t="s">
        <v>2186</v>
      </c>
      <c r="K131" s="162" t="s">
        <v>1061</v>
      </c>
      <c r="L131" s="162" t="s">
        <v>5324</v>
      </c>
      <c r="M131" s="162" t="s">
        <v>5774</v>
      </c>
      <c r="N131" s="162" t="s">
        <v>5774</v>
      </c>
      <c r="O131" s="162" t="s">
        <v>5724</v>
      </c>
      <c r="P131" s="162" t="s">
        <v>5325</v>
      </c>
      <c r="Q131" s="162" t="s">
        <v>4934</v>
      </c>
      <c r="R131" s="162" t="s">
        <v>5326</v>
      </c>
      <c r="S131" s="162" t="s">
        <v>5327</v>
      </c>
      <c r="T131" s="162">
        <v>1700</v>
      </c>
      <c r="U131" s="162" t="s">
        <v>2218</v>
      </c>
      <c r="V131" s="162" t="s">
        <v>5328</v>
      </c>
      <c r="W131" s="162" t="s">
        <v>5329</v>
      </c>
      <c r="X131" s="162" t="s">
        <v>4935</v>
      </c>
      <c r="Y131" s="162" t="s">
        <v>4657</v>
      </c>
      <c r="Z131" s="162" t="s">
        <v>5330</v>
      </c>
      <c r="AA131" s="162" t="s">
        <v>4935</v>
      </c>
      <c r="AB131" s="162" t="s">
        <v>5478</v>
      </c>
      <c r="AC131" s="162" t="s">
        <v>2193</v>
      </c>
      <c r="AD131" s="162" t="s">
        <v>2194</v>
      </c>
      <c r="AE131" s="162" t="s">
        <v>1760</v>
      </c>
      <c r="AF131" s="162">
        <v>13.1</v>
      </c>
      <c r="AG131" s="162">
        <v>300</v>
      </c>
      <c r="AH131" s="162">
        <v>68</v>
      </c>
      <c r="AI131" s="162" t="s">
        <v>34</v>
      </c>
      <c r="AJ131" s="162" t="s">
        <v>34</v>
      </c>
      <c r="AK131" s="162" t="s">
        <v>2195</v>
      </c>
      <c r="AL131" s="162" t="s">
        <v>34</v>
      </c>
      <c r="AM131" t="s">
        <v>4874</v>
      </c>
      <c r="AN131" s="480"/>
      <c r="AO131" s="480"/>
    </row>
    <row r="132" spans="1:41" x14ac:dyDescent="0.2">
      <c r="A132">
        <v>131</v>
      </c>
      <c r="B132" s="464" t="s">
        <v>1096</v>
      </c>
      <c r="C132" s="162" t="s">
        <v>1102</v>
      </c>
      <c r="D132" s="162" t="s">
        <v>4139</v>
      </c>
      <c r="E132" s="162" t="s">
        <v>2064</v>
      </c>
      <c r="F132" s="162" t="s">
        <v>2066</v>
      </c>
      <c r="G132" s="162" t="s">
        <v>34</v>
      </c>
      <c r="H132" s="162" t="s">
        <v>2198</v>
      </c>
      <c r="I132" s="162" t="s">
        <v>5723</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80">
        <v>0</v>
      </c>
      <c r="AO132" s="480">
        <v>0</v>
      </c>
    </row>
    <row r="133" spans="1:41" x14ac:dyDescent="0.2">
      <c r="A133">
        <v>132</v>
      </c>
      <c r="B133" s="464" t="s">
        <v>1107</v>
      </c>
      <c r="C133" s="162" t="s">
        <v>2692</v>
      </c>
      <c r="D133" s="162" t="s">
        <v>4375</v>
      </c>
      <c r="E133" s="162" t="s">
        <v>2067</v>
      </c>
      <c r="F133" s="162" t="s">
        <v>2068</v>
      </c>
      <c r="G133" s="162" t="s">
        <v>34</v>
      </c>
      <c r="H133" s="162" t="s">
        <v>2198</v>
      </c>
      <c r="I133" s="162" t="s">
        <v>5723</v>
      </c>
      <c r="J133" s="162" t="s">
        <v>2466</v>
      </c>
      <c r="K133" s="162" t="s">
        <v>2690</v>
      </c>
      <c r="L133" s="162" t="s">
        <v>2691</v>
      </c>
      <c r="M133" s="162" t="s">
        <v>1061</v>
      </c>
      <c r="N133" s="162" t="s">
        <v>2692</v>
      </c>
      <c r="O133" s="162" t="s">
        <v>5726</v>
      </c>
      <c r="P133" s="162" t="s">
        <v>2491</v>
      </c>
      <c r="Q133" s="162" t="s">
        <v>4936</v>
      </c>
      <c r="R133" s="162" t="s">
        <v>2191</v>
      </c>
      <c r="S133" s="162" t="s">
        <v>5290</v>
      </c>
      <c r="T133" s="162">
        <v>1040</v>
      </c>
      <c r="U133" s="162" t="s">
        <v>2218</v>
      </c>
      <c r="V133" s="162" t="s">
        <v>3398</v>
      </c>
      <c r="W133" s="162" t="s">
        <v>5291</v>
      </c>
      <c r="X133" s="162" t="s">
        <v>4935</v>
      </c>
      <c r="Y133" s="162" t="s">
        <v>3398</v>
      </c>
      <c r="Z133" s="162" t="s">
        <v>5291</v>
      </c>
      <c r="AA133" s="162" t="s">
        <v>4935</v>
      </c>
      <c r="AB133" s="162" t="s">
        <v>5479</v>
      </c>
      <c r="AC133" s="162" t="s">
        <v>2193</v>
      </c>
      <c r="AD133" s="162" t="s">
        <v>2194</v>
      </c>
      <c r="AE133" s="162" t="s">
        <v>1760</v>
      </c>
      <c r="AF133" s="162" t="s">
        <v>5295</v>
      </c>
      <c r="AG133" s="162" t="s">
        <v>5296</v>
      </c>
      <c r="AH133" s="162" t="s">
        <v>5297</v>
      </c>
      <c r="AI133" s="162" t="s">
        <v>34</v>
      </c>
      <c r="AJ133" s="162" t="s">
        <v>34</v>
      </c>
      <c r="AK133" s="162" t="s">
        <v>2195</v>
      </c>
      <c r="AL133" s="162" t="s">
        <v>3795</v>
      </c>
      <c r="AM133" t="s">
        <v>4877</v>
      </c>
      <c r="AN133" s="480">
        <v>1.4583333333333332E-2</v>
      </c>
      <c r="AO133" s="480">
        <v>0</v>
      </c>
    </row>
    <row r="134" spans="1:41" x14ac:dyDescent="0.2">
      <c r="A134">
        <v>133</v>
      </c>
      <c r="B134" s="464" t="s">
        <v>1107</v>
      </c>
      <c r="C134" s="162" t="s">
        <v>2676</v>
      </c>
      <c r="D134" s="162" t="s">
        <v>4390</v>
      </c>
      <c r="E134" s="162" t="s">
        <v>2067</v>
      </c>
      <c r="F134" s="162" t="s">
        <v>2068</v>
      </c>
      <c r="G134" s="162" t="s">
        <v>34</v>
      </c>
      <c r="H134" s="162" t="s">
        <v>2198</v>
      </c>
      <c r="I134" s="162" t="s">
        <v>5723</v>
      </c>
      <c r="J134" s="162" t="s">
        <v>2466</v>
      </c>
      <c r="K134" s="162" t="s">
        <v>1113</v>
      </c>
      <c r="L134" s="162" t="s">
        <v>2675</v>
      </c>
      <c r="M134" s="162">
        <v>6625</v>
      </c>
      <c r="N134" s="162" t="s">
        <v>2676</v>
      </c>
      <c r="O134" s="162" t="s">
        <v>5730</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80">
        <v>0</v>
      </c>
      <c r="AO134" s="480">
        <v>0</v>
      </c>
    </row>
    <row r="135" spans="1:41" x14ac:dyDescent="0.2">
      <c r="A135">
        <v>134</v>
      </c>
      <c r="B135" s="464" t="s">
        <v>1107</v>
      </c>
      <c r="C135" s="162" t="s">
        <v>2696</v>
      </c>
      <c r="D135" s="162" t="s">
        <v>4376</v>
      </c>
      <c r="E135" s="162" t="s">
        <v>2067</v>
      </c>
      <c r="F135" s="162" t="s">
        <v>2068</v>
      </c>
      <c r="G135" s="162" t="s">
        <v>34</v>
      </c>
      <c r="H135" s="162" t="s">
        <v>2198</v>
      </c>
      <c r="I135" s="162" t="s">
        <v>5723</v>
      </c>
      <c r="J135" s="162" t="s">
        <v>2466</v>
      </c>
      <c r="K135" s="162" t="s">
        <v>2693</v>
      </c>
      <c r="L135" s="162" t="s">
        <v>2694</v>
      </c>
      <c r="M135" s="162" t="s">
        <v>2695</v>
      </c>
      <c r="N135" s="162" t="s">
        <v>2696</v>
      </c>
      <c r="O135" s="162" t="s">
        <v>5724</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5558</v>
      </c>
      <c r="AC135" s="162" t="s">
        <v>2193</v>
      </c>
      <c r="AD135" s="162" t="s">
        <v>2194</v>
      </c>
      <c r="AE135" s="162" t="s">
        <v>1760</v>
      </c>
      <c r="AF135" s="162">
        <v>36</v>
      </c>
      <c r="AG135" s="162">
        <v>360</v>
      </c>
      <c r="AH135" s="162">
        <v>60</v>
      </c>
      <c r="AI135" s="162" t="s">
        <v>34</v>
      </c>
      <c r="AJ135" s="162" t="s">
        <v>34</v>
      </c>
      <c r="AK135" s="162" t="s">
        <v>2195</v>
      </c>
      <c r="AL135" s="162" t="s">
        <v>3795</v>
      </c>
      <c r="AM135" t="s">
        <v>4881</v>
      </c>
      <c r="AN135" s="480">
        <v>1.4583333333333332E-2</v>
      </c>
      <c r="AO135" s="480">
        <v>2.1527777777777781E-2</v>
      </c>
    </row>
    <row r="136" spans="1:41" x14ac:dyDescent="0.2">
      <c r="A136">
        <v>135</v>
      </c>
      <c r="B136" s="464" t="s">
        <v>1107</v>
      </c>
      <c r="C136" s="162" t="s">
        <v>2670</v>
      </c>
      <c r="D136" s="162" t="s">
        <v>4391</v>
      </c>
      <c r="E136" s="162" t="s">
        <v>2067</v>
      </c>
      <c r="F136" s="162" t="s">
        <v>2068</v>
      </c>
      <c r="G136" s="162" t="s">
        <v>34</v>
      </c>
      <c r="H136" s="162" t="s">
        <v>2198</v>
      </c>
      <c r="I136" s="162" t="s">
        <v>5723</v>
      </c>
      <c r="J136" s="162" t="s">
        <v>2466</v>
      </c>
      <c r="K136" s="162" t="s">
        <v>2668</v>
      </c>
      <c r="L136" s="162" t="s">
        <v>2669</v>
      </c>
      <c r="M136" s="162">
        <v>2615</v>
      </c>
      <c r="N136" s="162" t="s">
        <v>2670</v>
      </c>
      <c r="O136" s="162" t="s">
        <v>5724</v>
      </c>
      <c r="P136" s="162" t="s">
        <v>2671</v>
      </c>
      <c r="Q136" s="162" t="s">
        <v>4934</v>
      </c>
      <c r="R136" s="162" t="s">
        <v>2191</v>
      </c>
      <c r="S136" s="162" t="s">
        <v>2672</v>
      </c>
      <c r="T136" s="162">
        <v>400.9</v>
      </c>
      <c r="U136" s="162" t="s">
        <v>2218</v>
      </c>
      <c r="V136" s="162" t="s">
        <v>2611</v>
      </c>
      <c r="W136" s="162" t="s">
        <v>4988</v>
      </c>
      <c r="X136" s="162" t="s">
        <v>4935</v>
      </c>
      <c r="Y136" s="162" t="s">
        <v>2673</v>
      </c>
      <c r="Z136" s="162" t="s">
        <v>2674</v>
      </c>
      <c r="AA136" s="162" t="s">
        <v>4935</v>
      </c>
      <c r="AB136" s="162" t="s">
        <v>5001</v>
      </c>
      <c r="AC136" s="162" t="s">
        <v>2193</v>
      </c>
      <c r="AD136" s="162" t="s">
        <v>2194</v>
      </c>
      <c r="AE136" s="162" t="s">
        <v>1760</v>
      </c>
      <c r="AF136" s="162">
        <v>8.4</v>
      </c>
      <c r="AG136" s="162">
        <v>105</v>
      </c>
      <c r="AH136" s="162">
        <v>18</v>
      </c>
      <c r="AI136" s="162" t="s">
        <v>34</v>
      </c>
      <c r="AJ136" s="162" t="s">
        <v>34</v>
      </c>
      <c r="AK136" s="162" t="s">
        <v>2195</v>
      </c>
      <c r="AL136" s="162" t="s">
        <v>3795</v>
      </c>
      <c r="AM136" t="s">
        <v>4881</v>
      </c>
      <c r="AN136" s="480">
        <v>1.4583333333333332E-2</v>
      </c>
      <c r="AO136" s="480">
        <v>2.1527777777777781E-2</v>
      </c>
    </row>
    <row r="137" spans="1:41" x14ac:dyDescent="0.2">
      <c r="A137">
        <v>136</v>
      </c>
      <c r="B137" s="464" t="s">
        <v>1107</v>
      </c>
      <c r="C137" s="162" t="s">
        <v>4581</v>
      </c>
      <c r="D137" s="162" t="s">
        <v>4582</v>
      </c>
      <c r="E137" s="162" t="s">
        <v>2067</v>
      </c>
      <c r="F137" s="162" t="s">
        <v>2068</v>
      </c>
      <c r="G137" s="162" t="s">
        <v>34</v>
      </c>
      <c r="H137" s="162" t="s">
        <v>2198</v>
      </c>
      <c r="I137" s="162" t="s">
        <v>5723</v>
      </c>
      <c r="J137" s="162" t="s">
        <v>2466</v>
      </c>
      <c r="K137" s="162" t="s">
        <v>2260</v>
      </c>
      <c r="L137" s="162" t="s">
        <v>2679</v>
      </c>
      <c r="M137" s="162">
        <v>207049</v>
      </c>
      <c r="N137" s="162" t="s">
        <v>2680</v>
      </c>
      <c r="O137" s="162" t="s">
        <v>5746</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80">
        <v>0</v>
      </c>
      <c r="AO137" s="480">
        <v>0</v>
      </c>
    </row>
    <row r="138" spans="1:41" x14ac:dyDescent="0.2">
      <c r="A138">
        <v>137</v>
      </c>
      <c r="B138" s="464" t="s">
        <v>1107</v>
      </c>
      <c r="C138" s="162" t="s">
        <v>4583</v>
      </c>
      <c r="D138" s="162" t="s">
        <v>4584</v>
      </c>
      <c r="E138" s="162" t="s">
        <v>2067</v>
      </c>
      <c r="F138" s="162" t="s">
        <v>2068</v>
      </c>
      <c r="G138" s="162" t="s">
        <v>34</v>
      </c>
      <c r="H138" s="162" t="s">
        <v>2198</v>
      </c>
      <c r="I138" s="162" t="s">
        <v>5723</v>
      </c>
      <c r="J138" s="162" t="s">
        <v>2466</v>
      </c>
      <c r="K138" s="162" t="s">
        <v>2260</v>
      </c>
      <c r="L138" s="162" t="s">
        <v>2679</v>
      </c>
      <c r="M138" s="162">
        <v>207049</v>
      </c>
      <c r="N138" s="162" t="s">
        <v>2680</v>
      </c>
      <c r="O138" s="162" t="s">
        <v>5746</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80">
        <v>0</v>
      </c>
      <c r="AO138" s="480">
        <v>0</v>
      </c>
    </row>
    <row r="139" spans="1:41" x14ac:dyDescent="0.2">
      <c r="A139">
        <v>138</v>
      </c>
      <c r="B139" s="464" t="s">
        <v>1107</v>
      </c>
      <c r="C139" s="162" t="s">
        <v>4725</v>
      </c>
      <c r="D139" s="162" t="s">
        <v>4726</v>
      </c>
      <c r="E139" s="162" t="s">
        <v>2067</v>
      </c>
      <c r="F139" s="162" t="s">
        <v>2068</v>
      </c>
      <c r="G139" s="162" t="s">
        <v>34</v>
      </c>
      <c r="H139" s="162" t="s">
        <v>2198</v>
      </c>
      <c r="I139" s="162" t="s">
        <v>5723</v>
      </c>
      <c r="J139" s="162" t="s">
        <v>2466</v>
      </c>
      <c r="K139" s="162" t="s">
        <v>2260</v>
      </c>
      <c r="L139" s="162" t="s">
        <v>2679</v>
      </c>
      <c r="M139" s="162">
        <v>207049</v>
      </c>
      <c r="N139" s="162" t="s">
        <v>2680</v>
      </c>
      <c r="O139" s="162" t="s">
        <v>5746</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80">
        <v>0</v>
      </c>
      <c r="AO139" s="480">
        <v>0</v>
      </c>
    </row>
    <row r="140" spans="1:41" x14ac:dyDescent="0.2">
      <c r="A140">
        <v>139</v>
      </c>
      <c r="B140" s="464" t="s">
        <v>1107</v>
      </c>
      <c r="C140" s="162" t="s">
        <v>3839</v>
      </c>
      <c r="D140" s="162" t="s">
        <v>4392</v>
      </c>
      <c r="E140" s="162" t="s">
        <v>2067</v>
      </c>
      <c r="F140" s="162" t="s">
        <v>2068</v>
      </c>
      <c r="G140" s="162" t="s">
        <v>34</v>
      </c>
      <c r="H140" s="162" t="s">
        <v>2198</v>
      </c>
      <c r="I140" s="162" t="s">
        <v>5723</v>
      </c>
      <c r="J140" s="162" t="s">
        <v>2466</v>
      </c>
      <c r="K140" s="162" t="s">
        <v>2685</v>
      </c>
      <c r="L140" s="162" t="s">
        <v>2686</v>
      </c>
      <c r="M140" s="162" t="s">
        <v>2687</v>
      </c>
      <c r="N140" s="162" t="s">
        <v>3839</v>
      </c>
      <c r="O140" s="162" t="s">
        <v>5730</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5775</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80">
        <v>0</v>
      </c>
      <c r="AO140" s="480">
        <v>0</v>
      </c>
    </row>
    <row r="141" spans="1:41" x14ac:dyDescent="0.2">
      <c r="A141">
        <v>140</v>
      </c>
      <c r="B141" s="464" t="s">
        <v>1123</v>
      </c>
      <c r="C141" s="162" t="s">
        <v>2757</v>
      </c>
      <c r="D141" s="162" t="s">
        <v>4727</v>
      </c>
      <c r="E141" s="162" t="s">
        <v>2071</v>
      </c>
      <c r="F141" s="162" t="s">
        <v>2072</v>
      </c>
      <c r="G141" s="162" t="s">
        <v>34</v>
      </c>
      <c r="H141" s="162" t="s">
        <v>2198</v>
      </c>
      <c r="I141" s="162" t="s">
        <v>5723</v>
      </c>
      <c r="J141" s="162" t="s">
        <v>2466</v>
      </c>
      <c r="K141" s="162" t="s">
        <v>1135</v>
      </c>
      <c r="L141" s="162" t="s">
        <v>2756</v>
      </c>
      <c r="M141" s="162" t="s">
        <v>2757</v>
      </c>
      <c r="N141" s="162" t="s">
        <v>1135</v>
      </c>
      <c r="O141" s="162" t="s">
        <v>5747</v>
      </c>
      <c r="P141" s="162" t="s">
        <v>2751</v>
      </c>
      <c r="Q141" s="162" t="s">
        <v>4932</v>
      </c>
      <c r="R141" s="162" t="s">
        <v>2191</v>
      </c>
      <c r="S141" s="162" t="s">
        <v>2758</v>
      </c>
      <c r="T141" s="162">
        <v>80</v>
      </c>
      <c r="U141" s="162" t="s">
        <v>2220</v>
      </c>
      <c r="V141" s="162" t="s">
        <v>2759</v>
      </c>
      <c r="W141" s="162" t="s">
        <v>2760</v>
      </c>
      <c r="X141" s="162" t="s">
        <v>5050</v>
      </c>
      <c r="Y141" s="162" t="s">
        <v>4657</v>
      </c>
      <c r="Z141" s="162" t="s">
        <v>4656</v>
      </c>
      <c r="AA141" s="162" t="s">
        <v>5050</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80">
        <v>0</v>
      </c>
      <c r="AO141" s="480">
        <v>0</v>
      </c>
    </row>
    <row r="142" spans="1:41" x14ac:dyDescent="0.2">
      <c r="A142">
        <v>141</v>
      </c>
      <c r="B142" s="464" t="s">
        <v>1123</v>
      </c>
      <c r="C142" s="162" t="s">
        <v>1131</v>
      </c>
      <c r="D142" s="162" t="s">
        <v>4422</v>
      </c>
      <c r="E142" s="162" t="s">
        <v>2071</v>
      </c>
      <c r="F142" s="162" t="s">
        <v>2072</v>
      </c>
      <c r="G142" s="162" t="s">
        <v>34</v>
      </c>
      <c r="H142" s="162" t="s">
        <v>2198</v>
      </c>
      <c r="I142" s="162" t="s">
        <v>5723</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80">
        <v>0</v>
      </c>
      <c r="AO142" s="480">
        <v>0</v>
      </c>
    </row>
    <row r="143" spans="1:41" x14ac:dyDescent="0.2">
      <c r="A143">
        <v>142</v>
      </c>
      <c r="B143" s="464" t="s">
        <v>1123</v>
      </c>
      <c r="C143" s="162" t="s">
        <v>1129</v>
      </c>
      <c r="D143" s="162" t="s">
        <v>4140</v>
      </c>
      <c r="E143" s="162" t="s">
        <v>2071</v>
      </c>
      <c r="F143" s="162" t="s">
        <v>2072</v>
      </c>
      <c r="G143" s="162" t="s">
        <v>34</v>
      </c>
      <c r="H143" s="162" t="s">
        <v>2198</v>
      </c>
      <c r="I143" s="162" t="s">
        <v>5723</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80">
        <v>0</v>
      </c>
      <c r="AO143" s="480">
        <v>0</v>
      </c>
    </row>
    <row r="144" spans="1:41" x14ac:dyDescent="0.2">
      <c r="A144">
        <v>143</v>
      </c>
      <c r="B144" s="464" t="s">
        <v>1123</v>
      </c>
      <c r="C144" s="162" t="s">
        <v>1127</v>
      </c>
      <c r="D144" s="162" t="s">
        <v>4141</v>
      </c>
      <c r="E144" s="162" t="s">
        <v>2071</v>
      </c>
      <c r="F144" s="162" t="s">
        <v>2072</v>
      </c>
      <c r="G144" s="162" t="s">
        <v>34</v>
      </c>
      <c r="H144" s="162" t="s">
        <v>2198</v>
      </c>
      <c r="I144" s="162" t="s">
        <v>5723</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80">
        <v>0</v>
      </c>
      <c r="AO144" s="480">
        <v>0</v>
      </c>
    </row>
    <row r="145" spans="1:41" x14ac:dyDescent="0.2">
      <c r="A145">
        <v>144</v>
      </c>
      <c r="B145" s="464" t="s">
        <v>1123</v>
      </c>
      <c r="C145" s="162" t="s">
        <v>1145</v>
      </c>
      <c r="D145" s="162" t="s">
        <v>4142</v>
      </c>
      <c r="E145" s="162" t="s">
        <v>2071</v>
      </c>
      <c r="F145" s="162" t="s">
        <v>2072</v>
      </c>
      <c r="G145" s="162" t="s">
        <v>34</v>
      </c>
      <c r="H145" s="162" t="s">
        <v>2198</v>
      </c>
      <c r="I145" s="162" t="s">
        <v>5723</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80">
        <v>0</v>
      </c>
      <c r="AO145" s="480">
        <v>0</v>
      </c>
    </row>
    <row r="146" spans="1:41" x14ac:dyDescent="0.2">
      <c r="A146">
        <v>145</v>
      </c>
      <c r="B146" s="464" t="s">
        <v>1123</v>
      </c>
      <c r="C146" s="162" t="s">
        <v>1143</v>
      </c>
      <c r="D146" s="162" t="s">
        <v>4143</v>
      </c>
      <c r="E146" s="162" t="s">
        <v>2071</v>
      </c>
      <c r="F146" s="162" t="s">
        <v>2072</v>
      </c>
      <c r="G146" s="162" t="s">
        <v>34</v>
      </c>
      <c r="H146" s="162" t="s">
        <v>2198</v>
      </c>
      <c r="I146" s="162" t="s">
        <v>5723</v>
      </c>
      <c r="J146" s="162" t="s">
        <v>2466</v>
      </c>
      <c r="K146" s="162" t="s">
        <v>1121</v>
      </c>
      <c r="L146" s="162" t="s">
        <v>2746</v>
      </c>
      <c r="M146" s="162">
        <v>2605</v>
      </c>
      <c r="N146" s="162" t="s">
        <v>1143</v>
      </c>
      <c r="O146" s="162" t="s">
        <v>5728</v>
      </c>
      <c r="P146" s="162" t="s">
        <v>2747</v>
      </c>
      <c r="Q146" s="162" t="s">
        <v>4934</v>
      </c>
      <c r="R146" s="162" t="s">
        <v>2356</v>
      </c>
      <c r="S146" s="162" t="s">
        <v>2748</v>
      </c>
      <c r="T146" s="162">
        <v>693</v>
      </c>
      <c r="U146" s="162" t="s">
        <v>2218</v>
      </c>
      <c r="V146" s="162" t="s">
        <v>4898</v>
      </c>
      <c r="W146" s="162">
        <v>547274</v>
      </c>
      <c r="X146" s="162" t="s">
        <v>4935</v>
      </c>
      <c r="Y146" s="162" t="s">
        <v>5195</v>
      </c>
      <c r="Z146" s="162" t="s">
        <v>5196</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80">
        <v>0</v>
      </c>
      <c r="AO146" s="480">
        <v>0</v>
      </c>
    </row>
    <row r="147" spans="1:41" x14ac:dyDescent="0.2">
      <c r="A147">
        <v>146</v>
      </c>
      <c r="B147" s="464" t="s">
        <v>1123</v>
      </c>
      <c r="C147" s="162" t="s">
        <v>1125</v>
      </c>
      <c r="D147" s="162" t="s">
        <v>4144</v>
      </c>
      <c r="E147" s="162" t="s">
        <v>2071</v>
      </c>
      <c r="F147" s="162" t="s">
        <v>2072</v>
      </c>
      <c r="G147" s="162" t="s">
        <v>34</v>
      </c>
      <c r="H147" s="162" t="s">
        <v>2198</v>
      </c>
      <c r="I147" s="162" t="s">
        <v>5723</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80">
        <v>0</v>
      </c>
      <c r="AO147" s="480">
        <v>0</v>
      </c>
    </row>
    <row r="148" spans="1:41" x14ac:dyDescent="0.2">
      <c r="A148">
        <v>147</v>
      </c>
      <c r="B148" s="464" t="s">
        <v>1123</v>
      </c>
      <c r="C148" s="162" t="s">
        <v>1960</v>
      </c>
      <c r="D148" s="162" t="s">
        <v>4145</v>
      </c>
      <c r="E148" s="162" t="s">
        <v>2071</v>
      </c>
      <c r="F148" s="162" t="s">
        <v>2072</v>
      </c>
      <c r="G148" s="162" t="s">
        <v>34</v>
      </c>
      <c r="H148" s="162" t="s">
        <v>2198</v>
      </c>
      <c r="I148" s="162" t="s">
        <v>5239</v>
      </c>
      <c r="J148" s="162" t="s">
        <v>2466</v>
      </c>
      <c r="K148" s="162" t="s">
        <v>2772</v>
      </c>
      <c r="L148" s="162" t="s">
        <v>2773</v>
      </c>
      <c r="M148" s="162" t="s">
        <v>2773</v>
      </c>
      <c r="N148" s="162" t="s">
        <v>2772</v>
      </c>
      <c r="O148" s="162" t="s">
        <v>904</v>
      </c>
      <c r="P148" s="162" t="s">
        <v>5480</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80">
        <v>0</v>
      </c>
      <c r="AO148" s="480">
        <v>0</v>
      </c>
    </row>
    <row r="149" spans="1:41" x14ac:dyDescent="0.2">
      <c r="A149">
        <v>148</v>
      </c>
      <c r="B149" s="464" t="s">
        <v>1123</v>
      </c>
      <c r="C149" s="162" t="s">
        <v>1137</v>
      </c>
      <c r="D149" s="162" t="s">
        <v>4146</v>
      </c>
      <c r="E149" s="162" t="s">
        <v>2071</v>
      </c>
      <c r="F149" s="162" t="s">
        <v>2072</v>
      </c>
      <c r="G149" s="162" t="s">
        <v>34</v>
      </c>
      <c r="H149" s="162" t="s">
        <v>2198</v>
      </c>
      <c r="I149" s="162" t="s">
        <v>5723</v>
      </c>
      <c r="J149" s="162" t="s">
        <v>2466</v>
      </c>
      <c r="K149" s="162" t="s">
        <v>1135</v>
      </c>
      <c r="L149" s="162" t="s">
        <v>2750</v>
      </c>
      <c r="M149" s="162">
        <v>609</v>
      </c>
      <c r="N149" s="162" t="s">
        <v>1137</v>
      </c>
      <c r="O149" s="162" t="s">
        <v>5747</v>
      </c>
      <c r="P149" s="162" t="s">
        <v>2751</v>
      </c>
      <c r="Q149" s="162" t="s">
        <v>4932</v>
      </c>
      <c r="R149" s="162" t="s">
        <v>2191</v>
      </c>
      <c r="S149" s="162" t="s">
        <v>2752</v>
      </c>
      <c r="T149" s="162">
        <v>98.6</v>
      </c>
      <c r="U149" s="162" t="s">
        <v>2220</v>
      </c>
      <c r="V149" s="162" t="s">
        <v>2753</v>
      </c>
      <c r="W149" s="162">
        <v>1796423</v>
      </c>
      <c r="X149" s="162" t="s">
        <v>5037</v>
      </c>
      <c r="Y149" s="162" t="s">
        <v>2754</v>
      </c>
      <c r="Z149" s="162" t="s">
        <v>2755</v>
      </c>
      <c r="AA149" s="162" t="s">
        <v>5037</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80">
        <v>0</v>
      </c>
      <c r="AO149" s="480">
        <v>0</v>
      </c>
    </row>
    <row r="150" spans="1:41" x14ac:dyDescent="0.2">
      <c r="A150">
        <v>149</v>
      </c>
      <c r="B150" s="464" t="s">
        <v>1123</v>
      </c>
      <c r="C150" s="162" t="s">
        <v>4882</v>
      </c>
      <c r="D150" s="162" t="s">
        <v>4883</v>
      </c>
      <c r="E150" s="162" t="s">
        <v>2071</v>
      </c>
      <c r="F150" s="162" t="s">
        <v>2072</v>
      </c>
      <c r="G150" s="162" t="s">
        <v>34</v>
      </c>
      <c r="H150" s="162" t="s">
        <v>2198</v>
      </c>
      <c r="I150" s="162" t="s">
        <v>5723</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80">
        <v>0</v>
      </c>
      <c r="AO150" s="480">
        <v>0</v>
      </c>
    </row>
    <row r="151" spans="1:41" x14ac:dyDescent="0.2">
      <c r="A151">
        <v>150</v>
      </c>
      <c r="B151" s="464" t="s">
        <v>1123</v>
      </c>
      <c r="C151" s="162" t="s">
        <v>1139</v>
      </c>
      <c r="D151" s="162" t="s">
        <v>4147</v>
      </c>
      <c r="E151" s="162" t="s">
        <v>2071</v>
      </c>
      <c r="F151" s="162" t="s">
        <v>2072</v>
      </c>
      <c r="G151" s="162" t="s">
        <v>34</v>
      </c>
      <c r="H151" s="162" t="s">
        <v>2198</v>
      </c>
      <c r="I151" s="162" t="s">
        <v>5723</v>
      </c>
      <c r="J151" s="162" t="s">
        <v>1766</v>
      </c>
      <c r="K151" s="162" t="s">
        <v>2726</v>
      </c>
      <c r="L151" s="162" t="s">
        <v>2739</v>
      </c>
      <c r="M151" s="162" t="s">
        <v>2740</v>
      </c>
      <c r="N151" s="162" t="s">
        <v>1139</v>
      </c>
      <c r="O151" s="162" t="s">
        <v>904</v>
      </c>
      <c r="P151" s="162" t="s">
        <v>2741</v>
      </c>
      <c r="Q151" s="162" t="s">
        <v>2196</v>
      </c>
      <c r="R151" s="162" t="s">
        <v>2255</v>
      </c>
      <c r="S151" s="162" t="s">
        <v>5258</v>
      </c>
      <c r="T151" s="162" t="s">
        <v>109</v>
      </c>
      <c r="U151" s="162" t="s">
        <v>2221</v>
      </c>
      <c r="V151" s="162" t="s">
        <v>5259</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80">
        <v>0</v>
      </c>
      <c r="AO151" s="480">
        <v>0</v>
      </c>
    </row>
    <row r="152" spans="1:41" x14ac:dyDescent="0.2">
      <c r="A152">
        <v>151</v>
      </c>
      <c r="B152" s="464" t="s">
        <v>1123</v>
      </c>
      <c r="C152" s="162" t="s">
        <v>1141</v>
      </c>
      <c r="D152" s="162" t="s">
        <v>4148</v>
      </c>
      <c r="E152" s="162" t="s">
        <v>2071</v>
      </c>
      <c r="F152" s="162" t="s">
        <v>2072</v>
      </c>
      <c r="G152" s="162" t="s">
        <v>34</v>
      </c>
      <c r="H152" s="162" t="s">
        <v>2198</v>
      </c>
      <c r="I152" s="162" t="s">
        <v>5723</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80">
        <v>0</v>
      </c>
      <c r="AO152" s="480">
        <v>0</v>
      </c>
    </row>
    <row r="153" spans="1:41" x14ac:dyDescent="0.2">
      <c r="A153">
        <v>152</v>
      </c>
      <c r="B153" s="464" t="s">
        <v>1123</v>
      </c>
      <c r="C153" s="162" t="s">
        <v>5385</v>
      </c>
      <c r="D153" s="162" t="s">
        <v>5386</v>
      </c>
      <c r="E153" s="162" t="s">
        <v>2071</v>
      </c>
      <c r="F153" s="162" t="s">
        <v>2072</v>
      </c>
      <c r="G153" s="162" t="s">
        <v>34</v>
      </c>
      <c r="H153" s="162" t="s">
        <v>2198</v>
      </c>
      <c r="I153" s="162" t="s">
        <v>5723</v>
      </c>
      <c r="J153" s="162" t="s">
        <v>1766</v>
      </c>
      <c r="K153" s="162" t="s">
        <v>5387</v>
      </c>
      <c r="L153" s="162" t="s">
        <v>2325</v>
      </c>
      <c r="M153" s="162" t="s">
        <v>5388</v>
      </c>
      <c r="N153" s="162" t="s">
        <v>5385</v>
      </c>
      <c r="O153" s="162" t="s">
        <v>2469</v>
      </c>
      <c r="P153" s="162" t="s">
        <v>5389</v>
      </c>
      <c r="Q153" s="162" t="s">
        <v>4936</v>
      </c>
      <c r="R153" s="162" t="s">
        <v>2191</v>
      </c>
      <c r="S153" s="162" t="s">
        <v>5390</v>
      </c>
      <c r="T153" s="162">
        <v>176.5</v>
      </c>
      <c r="U153" s="162" t="s">
        <v>109</v>
      </c>
      <c r="V153" s="162" t="s">
        <v>5391</v>
      </c>
      <c r="W153" s="162">
        <v>479797</v>
      </c>
      <c r="X153" s="162" t="s">
        <v>4937</v>
      </c>
      <c r="Y153" s="162" t="s">
        <v>5392</v>
      </c>
      <c r="Z153" s="162" t="s">
        <v>5393</v>
      </c>
      <c r="AA153" s="162" t="s">
        <v>4937</v>
      </c>
      <c r="AB153" s="162" t="s">
        <v>5394</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80"/>
      <c r="AO153" s="480"/>
    </row>
    <row r="154" spans="1:41" x14ac:dyDescent="0.2">
      <c r="A154">
        <v>153</v>
      </c>
      <c r="B154" s="464" t="s">
        <v>1123</v>
      </c>
      <c r="C154" s="162" t="s">
        <v>1773</v>
      </c>
      <c r="D154" s="162" t="s">
        <v>4149</v>
      </c>
      <c r="E154" s="162" t="s">
        <v>2071</v>
      </c>
      <c r="F154" s="162" t="s">
        <v>2072</v>
      </c>
      <c r="G154" s="162" t="s">
        <v>34</v>
      </c>
      <c r="H154" s="162" t="s">
        <v>2198</v>
      </c>
      <c r="I154" s="162" t="s">
        <v>5723</v>
      </c>
      <c r="J154" s="162" t="s">
        <v>2466</v>
      </c>
      <c r="K154" s="162" t="s">
        <v>2766</v>
      </c>
      <c r="L154" s="162" t="s">
        <v>2767</v>
      </c>
      <c r="M154" s="162">
        <v>1705</v>
      </c>
      <c r="N154" s="162" t="s">
        <v>1773</v>
      </c>
      <c r="O154" s="162" t="s">
        <v>5747</v>
      </c>
      <c r="P154" s="162" t="s">
        <v>2751</v>
      </c>
      <c r="Q154" s="162" t="s">
        <v>4932</v>
      </c>
      <c r="R154" s="162" t="s">
        <v>2191</v>
      </c>
      <c r="S154" s="162" t="s">
        <v>2768</v>
      </c>
      <c r="T154" s="162">
        <v>93.8</v>
      </c>
      <c r="U154" s="162" t="s">
        <v>2220</v>
      </c>
      <c r="V154" s="162" t="s">
        <v>2769</v>
      </c>
      <c r="W154" s="162">
        <v>2467302</v>
      </c>
      <c r="X154" s="162" t="s">
        <v>5037</v>
      </c>
      <c r="Y154" s="162" t="s">
        <v>2770</v>
      </c>
      <c r="Z154" s="162" t="s">
        <v>2771</v>
      </c>
      <c r="AA154" s="162" t="s">
        <v>5037</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80">
        <v>0</v>
      </c>
      <c r="AO154" s="480">
        <v>0</v>
      </c>
    </row>
    <row r="155" spans="1:41" x14ac:dyDescent="0.2">
      <c r="A155">
        <v>154</v>
      </c>
      <c r="B155" s="464" t="s">
        <v>1123</v>
      </c>
      <c r="C155" s="162" t="s">
        <v>1812</v>
      </c>
      <c r="D155" s="162" t="s">
        <v>4150</v>
      </c>
      <c r="E155" s="162" t="s">
        <v>2071</v>
      </c>
      <c r="F155" s="162" t="s">
        <v>2072</v>
      </c>
      <c r="G155" s="162" t="s">
        <v>34</v>
      </c>
      <c r="H155" s="162" t="s">
        <v>2198</v>
      </c>
      <c r="I155" s="162" t="s">
        <v>5723</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80">
        <v>0</v>
      </c>
      <c r="AO155" s="480">
        <v>0</v>
      </c>
    </row>
    <row r="156" spans="1:41" x14ac:dyDescent="0.2">
      <c r="A156">
        <v>155</v>
      </c>
      <c r="B156" s="464" t="s">
        <v>1123</v>
      </c>
      <c r="C156" s="162" t="s">
        <v>1808</v>
      </c>
      <c r="D156" s="162" t="s">
        <v>4151</v>
      </c>
      <c r="E156" s="162" t="s">
        <v>2071</v>
      </c>
      <c r="F156" s="162" t="s">
        <v>2072</v>
      </c>
      <c r="G156" s="162" t="s">
        <v>34</v>
      </c>
      <c r="H156" s="162" t="s">
        <v>2198</v>
      </c>
      <c r="I156" s="162" t="s">
        <v>5723</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80">
        <v>0</v>
      </c>
      <c r="AO156" s="480">
        <v>0</v>
      </c>
    </row>
    <row r="157" spans="1:41" x14ac:dyDescent="0.2">
      <c r="A157">
        <v>156</v>
      </c>
      <c r="B157" s="464" t="s">
        <v>1123</v>
      </c>
      <c r="C157" s="162" t="s">
        <v>1810</v>
      </c>
      <c r="D157" s="162" t="s">
        <v>4152</v>
      </c>
      <c r="E157" s="162" t="s">
        <v>2071</v>
      </c>
      <c r="F157" s="162" t="s">
        <v>2072</v>
      </c>
      <c r="G157" s="162" t="s">
        <v>34</v>
      </c>
      <c r="H157" s="162" t="s">
        <v>2198</v>
      </c>
      <c r="I157" s="162" t="s">
        <v>5723</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80">
        <v>0</v>
      </c>
      <c r="AO157" s="480">
        <v>0</v>
      </c>
    </row>
    <row r="158" spans="1:41" x14ac:dyDescent="0.2">
      <c r="A158">
        <v>157</v>
      </c>
      <c r="B158" s="464" t="s">
        <v>1123</v>
      </c>
      <c r="C158" s="162" t="s">
        <v>1806</v>
      </c>
      <c r="D158" s="162" t="s">
        <v>4153</v>
      </c>
      <c r="E158" s="162" t="s">
        <v>2071</v>
      </c>
      <c r="F158" s="162" t="s">
        <v>2072</v>
      </c>
      <c r="G158" s="162" t="s">
        <v>34</v>
      </c>
      <c r="H158" s="162" t="s">
        <v>2198</v>
      </c>
      <c r="I158" s="162" t="s">
        <v>5723</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80">
        <v>0</v>
      </c>
      <c r="AO158" s="480">
        <v>0</v>
      </c>
    </row>
    <row r="159" spans="1:41" x14ac:dyDescent="0.2">
      <c r="A159">
        <v>158</v>
      </c>
      <c r="B159" s="464" t="s">
        <v>1123</v>
      </c>
      <c r="C159" s="162" t="s">
        <v>1804</v>
      </c>
      <c r="D159" s="162" t="s">
        <v>4154</v>
      </c>
      <c r="E159" s="162" t="s">
        <v>2071</v>
      </c>
      <c r="F159" s="162" t="s">
        <v>2072</v>
      </c>
      <c r="G159" s="162" t="s">
        <v>34</v>
      </c>
      <c r="H159" s="162" t="s">
        <v>2198</v>
      </c>
      <c r="I159" s="162" t="s">
        <v>5723</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80">
        <v>0</v>
      </c>
      <c r="AO159" s="480">
        <v>0</v>
      </c>
    </row>
    <row r="160" spans="1:41" x14ac:dyDescent="0.2">
      <c r="A160">
        <v>159</v>
      </c>
      <c r="B160" s="464" t="s">
        <v>1123</v>
      </c>
      <c r="C160" s="162" t="s">
        <v>1904</v>
      </c>
      <c r="D160" s="162" t="s">
        <v>4155</v>
      </c>
      <c r="E160" s="162" t="s">
        <v>2071</v>
      </c>
      <c r="F160" s="162" t="s">
        <v>2072</v>
      </c>
      <c r="G160" s="162" t="s">
        <v>34</v>
      </c>
      <c r="H160" s="162" t="s">
        <v>2198</v>
      </c>
      <c r="I160" s="162" t="s">
        <v>5737</v>
      </c>
      <c r="J160" s="162" t="s">
        <v>2466</v>
      </c>
      <c r="K160" s="162" t="s">
        <v>1121</v>
      </c>
      <c r="L160" s="162" t="s">
        <v>2780</v>
      </c>
      <c r="M160" s="162" t="s">
        <v>2781</v>
      </c>
      <c r="N160" s="162" t="s">
        <v>1904</v>
      </c>
      <c r="O160" s="162" t="s">
        <v>5748</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80">
        <v>0</v>
      </c>
      <c r="AO160" s="480">
        <v>0</v>
      </c>
    </row>
    <row r="161" spans="1:41" x14ac:dyDescent="0.2">
      <c r="A161">
        <v>160</v>
      </c>
      <c r="B161" s="464" t="s">
        <v>1123</v>
      </c>
      <c r="C161" s="162" t="s">
        <v>4594</v>
      </c>
      <c r="D161" s="162" t="s">
        <v>4595</v>
      </c>
      <c r="E161" s="162" t="s">
        <v>2071</v>
      </c>
      <c r="F161" s="162" t="s">
        <v>2072</v>
      </c>
      <c r="G161" s="162" t="s">
        <v>34</v>
      </c>
      <c r="H161" s="162" t="s">
        <v>2198</v>
      </c>
      <c r="I161" s="162" t="s">
        <v>5723</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80">
        <v>0</v>
      </c>
      <c r="AO161" s="480">
        <v>0</v>
      </c>
    </row>
    <row r="162" spans="1:41" x14ac:dyDescent="0.2">
      <c r="A162">
        <v>161</v>
      </c>
      <c r="B162" s="464"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80">
        <v>0</v>
      </c>
      <c r="AO162" s="480">
        <v>0</v>
      </c>
    </row>
    <row r="163" spans="1:41" x14ac:dyDescent="0.2">
      <c r="A163">
        <v>162</v>
      </c>
      <c r="B163" s="464" t="s">
        <v>1147</v>
      </c>
      <c r="C163" s="162">
        <v>12004</v>
      </c>
      <c r="D163" s="162" t="s">
        <v>4157</v>
      </c>
      <c r="E163" s="162" t="s">
        <v>2073</v>
      </c>
      <c r="F163" s="162" t="s">
        <v>2074</v>
      </c>
      <c r="G163" s="162" t="s">
        <v>34</v>
      </c>
      <c r="H163" s="162" t="s">
        <v>2198</v>
      </c>
      <c r="I163" s="162" t="s">
        <v>5723</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80">
        <v>0</v>
      </c>
      <c r="AO163" s="480">
        <v>0</v>
      </c>
    </row>
    <row r="164" spans="1:41" x14ac:dyDescent="0.2">
      <c r="A164">
        <v>163</v>
      </c>
      <c r="B164" s="464" t="s">
        <v>1147</v>
      </c>
      <c r="C164" s="162" t="s">
        <v>1163</v>
      </c>
      <c r="D164" s="162" t="s">
        <v>4158</v>
      </c>
      <c r="E164" s="162" t="s">
        <v>2073</v>
      </c>
      <c r="F164" s="162" t="s">
        <v>2074</v>
      </c>
      <c r="G164" s="162" t="s">
        <v>34</v>
      </c>
      <c r="H164" s="162" t="s">
        <v>2198</v>
      </c>
      <c r="I164" s="162" t="s">
        <v>5723</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80">
        <v>0</v>
      </c>
      <c r="AO164" s="480">
        <v>0</v>
      </c>
    </row>
    <row r="165" spans="1:41" x14ac:dyDescent="0.2">
      <c r="A165">
        <v>164</v>
      </c>
      <c r="B165" s="464" t="s">
        <v>1147</v>
      </c>
      <c r="C165" s="162" t="s">
        <v>5481</v>
      </c>
      <c r="D165" s="162" t="s">
        <v>5482</v>
      </c>
      <c r="E165" s="162" t="s">
        <v>2073</v>
      </c>
      <c r="F165" s="162" t="s">
        <v>2074</v>
      </c>
      <c r="G165" s="162" t="s">
        <v>34</v>
      </c>
      <c r="H165" s="162" t="s">
        <v>2198</v>
      </c>
      <c r="I165" s="162" t="s">
        <v>2792</v>
      </c>
      <c r="J165" s="162" t="s">
        <v>1766</v>
      </c>
      <c r="K165" s="162" t="s">
        <v>1908</v>
      </c>
      <c r="L165" s="162" t="s">
        <v>5483</v>
      </c>
      <c r="M165" s="162" t="s">
        <v>5484</v>
      </c>
      <c r="N165" s="162" t="s">
        <v>5481</v>
      </c>
      <c r="O165" s="162" t="s">
        <v>904</v>
      </c>
      <c r="P165" s="162" t="s">
        <v>5485</v>
      </c>
      <c r="Q165" s="162" t="s">
        <v>2274</v>
      </c>
      <c r="R165" s="162" t="s">
        <v>2191</v>
      </c>
      <c r="S165" s="162" t="s">
        <v>5486</v>
      </c>
      <c r="T165" s="162">
        <v>4.13</v>
      </c>
      <c r="U165" s="162" t="s">
        <v>1950</v>
      </c>
      <c r="V165" s="162" t="s">
        <v>5487</v>
      </c>
      <c r="W165" s="162" t="s">
        <v>5488</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80"/>
      <c r="AO165" s="480"/>
    </row>
    <row r="166" spans="1:41" x14ac:dyDescent="0.2">
      <c r="A166">
        <v>165</v>
      </c>
      <c r="B166" s="464" t="s">
        <v>1147</v>
      </c>
      <c r="C166" s="162" t="s">
        <v>5198</v>
      </c>
      <c r="D166" s="162" t="s">
        <v>5199</v>
      </c>
      <c r="E166" s="162" t="s">
        <v>2073</v>
      </c>
      <c r="F166" s="162" t="s">
        <v>2074</v>
      </c>
      <c r="G166" s="162" t="s">
        <v>34</v>
      </c>
      <c r="H166" s="162" t="s">
        <v>2198</v>
      </c>
      <c r="I166" s="162" t="s">
        <v>2792</v>
      </c>
      <c r="J166" s="162" t="s">
        <v>1766</v>
      </c>
      <c r="K166" s="162" t="s">
        <v>5145</v>
      </c>
      <c r="L166" s="162" t="s">
        <v>5200</v>
      </c>
      <c r="M166" s="162">
        <v>15791</v>
      </c>
      <c r="N166" s="162" t="s">
        <v>5198</v>
      </c>
      <c r="O166" s="162" t="s">
        <v>2469</v>
      </c>
      <c r="P166" s="162" t="s">
        <v>5201</v>
      </c>
      <c r="Q166" s="162" t="s">
        <v>2196</v>
      </c>
      <c r="R166" s="162" t="s">
        <v>2191</v>
      </c>
      <c r="S166" s="162" t="s">
        <v>2856</v>
      </c>
      <c r="T166" s="162">
        <v>8</v>
      </c>
      <c r="U166" s="162" t="s">
        <v>1950</v>
      </c>
      <c r="V166" s="162" t="s">
        <v>5202</v>
      </c>
      <c r="W166" s="162" t="s">
        <v>5203</v>
      </c>
      <c r="X166" s="162" t="s">
        <v>2192</v>
      </c>
      <c r="Y166" s="162" t="s">
        <v>109</v>
      </c>
      <c r="Z166" s="162" t="s">
        <v>109</v>
      </c>
      <c r="AA166" s="162" t="s">
        <v>109</v>
      </c>
      <c r="AB166" s="162" t="s">
        <v>34</v>
      </c>
      <c r="AC166" s="162" t="s">
        <v>2193</v>
      </c>
      <c r="AD166" s="162" t="s">
        <v>5204</v>
      </c>
      <c r="AE166" s="162" t="s">
        <v>1760</v>
      </c>
      <c r="AF166" s="162">
        <v>2.06</v>
      </c>
      <c r="AG166" s="162" t="s">
        <v>5205</v>
      </c>
      <c r="AH166" s="162" t="s">
        <v>5206</v>
      </c>
      <c r="AI166" s="162" t="s">
        <v>5207</v>
      </c>
      <c r="AJ166" s="162" t="s">
        <v>34</v>
      </c>
      <c r="AK166" s="162" t="s">
        <v>2195</v>
      </c>
      <c r="AL166" s="162" t="s">
        <v>34</v>
      </c>
      <c r="AM166" t="s">
        <v>4875</v>
      </c>
      <c r="AN166" s="480"/>
      <c r="AO166" s="480"/>
    </row>
    <row r="167" spans="1:41" x14ac:dyDescent="0.2">
      <c r="A167">
        <v>166</v>
      </c>
      <c r="B167" s="464" t="s">
        <v>1147</v>
      </c>
      <c r="C167" s="162" t="s">
        <v>5420</v>
      </c>
      <c r="D167" s="162" t="s">
        <v>5421</v>
      </c>
      <c r="E167" s="162" t="s">
        <v>2073</v>
      </c>
      <c r="F167" s="162" t="s">
        <v>2074</v>
      </c>
      <c r="G167" s="162" t="s">
        <v>34</v>
      </c>
      <c r="H167" s="162" t="s">
        <v>2198</v>
      </c>
      <c r="I167" s="162" t="s">
        <v>2792</v>
      </c>
      <c r="J167" s="162" t="s">
        <v>1766</v>
      </c>
      <c r="K167" s="162" t="s">
        <v>5145</v>
      </c>
      <c r="L167" s="162" t="s">
        <v>5422</v>
      </c>
      <c r="M167" s="162">
        <v>187</v>
      </c>
      <c r="N167" s="162" t="s">
        <v>5420</v>
      </c>
      <c r="O167" s="162" t="s">
        <v>2469</v>
      </c>
      <c r="P167" s="162" t="s">
        <v>5423</v>
      </c>
      <c r="Q167" s="162" t="s">
        <v>2196</v>
      </c>
      <c r="R167" s="162" t="s">
        <v>2255</v>
      </c>
      <c r="S167" s="162" t="s">
        <v>5424</v>
      </c>
      <c r="T167" s="162">
        <v>10.16</v>
      </c>
      <c r="U167" s="162" t="s">
        <v>1950</v>
      </c>
      <c r="V167" s="162" t="s">
        <v>5425</v>
      </c>
      <c r="W167" s="162">
        <v>187</v>
      </c>
      <c r="X167" s="162" t="s">
        <v>2192</v>
      </c>
      <c r="Y167" s="162" t="s">
        <v>109</v>
      </c>
      <c r="Z167" s="162" t="s">
        <v>109</v>
      </c>
      <c r="AA167" s="162" t="s">
        <v>109</v>
      </c>
      <c r="AB167" s="162" t="s">
        <v>34</v>
      </c>
      <c r="AC167" s="162" t="s">
        <v>2193</v>
      </c>
      <c r="AD167" s="162" t="s">
        <v>5213</v>
      </c>
      <c r="AE167" s="162" t="s">
        <v>1760</v>
      </c>
      <c r="AF167" s="162">
        <v>2.5</v>
      </c>
      <c r="AG167" s="162">
        <v>0.28000000000000003</v>
      </c>
      <c r="AH167" s="162">
        <v>0.88</v>
      </c>
      <c r="AI167" s="162" t="s">
        <v>5426</v>
      </c>
      <c r="AJ167" s="162" t="s">
        <v>34</v>
      </c>
      <c r="AK167" s="162" t="s">
        <v>2195</v>
      </c>
      <c r="AL167" s="162" t="s">
        <v>34</v>
      </c>
      <c r="AM167" t="s">
        <v>4875</v>
      </c>
      <c r="AN167" s="480"/>
      <c r="AO167" s="480"/>
    </row>
    <row r="168" spans="1:41" x14ac:dyDescent="0.2">
      <c r="A168">
        <v>167</v>
      </c>
      <c r="B168" s="464" t="s">
        <v>1147</v>
      </c>
      <c r="C168" s="162" t="s">
        <v>5208</v>
      </c>
      <c r="D168" s="162" t="s">
        <v>5209</v>
      </c>
      <c r="E168" s="162" t="s">
        <v>2073</v>
      </c>
      <c r="F168" s="162" t="s">
        <v>2074</v>
      </c>
      <c r="G168" s="162" t="s">
        <v>34</v>
      </c>
      <c r="H168" s="162" t="s">
        <v>2198</v>
      </c>
      <c r="I168" s="162" t="s">
        <v>2792</v>
      </c>
      <c r="J168" s="162" t="s">
        <v>1766</v>
      </c>
      <c r="K168" s="162" t="s">
        <v>5145</v>
      </c>
      <c r="L168" s="162" t="s">
        <v>5210</v>
      </c>
      <c r="M168" s="162">
        <v>75143</v>
      </c>
      <c r="N168" s="162" t="s">
        <v>5208</v>
      </c>
      <c r="O168" s="162" t="s">
        <v>2469</v>
      </c>
      <c r="P168" s="162" t="s">
        <v>2533</v>
      </c>
      <c r="Q168" s="162" t="s">
        <v>2196</v>
      </c>
      <c r="R168" s="162" t="s">
        <v>2191</v>
      </c>
      <c r="S168" s="162" t="s">
        <v>5211</v>
      </c>
      <c r="T168" s="162">
        <v>37.4</v>
      </c>
      <c r="U168" s="162" t="s">
        <v>1950</v>
      </c>
      <c r="V168" s="162" t="s">
        <v>5212</v>
      </c>
      <c r="W168" s="162">
        <v>7243169</v>
      </c>
      <c r="X168" s="162" t="s">
        <v>2808</v>
      </c>
      <c r="Y168" s="162" t="s">
        <v>109</v>
      </c>
      <c r="Z168" s="162" t="s">
        <v>109</v>
      </c>
      <c r="AA168" s="162" t="s">
        <v>109</v>
      </c>
      <c r="AB168" s="162" t="s">
        <v>5214</v>
      </c>
      <c r="AC168" s="162" t="s">
        <v>2193</v>
      </c>
      <c r="AD168" s="162" t="s">
        <v>5213</v>
      </c>
      <c r="AE168" s="162" t="s">
        <v>1760</v>
      </c>
      <c r="AF168" s="162" t="s">
        <v>3417</v>
      </c>
      <c r="AG168" s="162" t="s">
        <v>34</v>
      </c>
      <c r="AH168" s="162" t="s">
        <v>34</v>
      </c>
      <c r="AI168" s="162" t="s">
        <v>34</v>
      </c>
      <c r="AJ168" s="162" t="s">
        <v>34</v>
      </c>
      <c r="AK168" s="162" t="s">
        <v>2195</v>
      </c>
      <c r="AL168" s="162" t="s">
        <v>34</v>
      </c>
      <c r="AM168" t="s">
        <v>4877</v>
      </c>
      <c r="AN168" s="480"/>
      <c r="AO168" s="480"/>
    </row>
    <row r="169" spans="1:41" x14ac:dyDescent="0.2">
      <c r="A169">
        <v>168</v>
      </c>
      <c r="B169" s="464"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80">
        <v>0</v>
      </c>
      <c r="AO169" s="480">
        <v>0</v>
      </c>
    </row>
    <row r="170" spans="1:41" x14ac:dyDescent="0.2">
      <c r="A170">
        <v>169</v>
      </c>
      <c r="B170" s="464" t="s">
        <v>1147</v>
      </c>
      <c r="C170" s="162" t="s">
        <v>1161</v>
      </c>
      <c r="D170" s="162" t="s">
        <v>4160</v>
      </c>
      <c r="E170" s="162" t="s">
        <v>2073</v>
      </c>
      <c r="F170" s="162" t="s">
        <v>2074</v>
      </c>
      <c r="G170" s="162" t="s">
        <v>34</v>
      </c>
      <c r="H170" s="162" t="s">
        <v>2198</v>
      </c>
      <c r="I170" s="162" t="s">
        <v>5723</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80">
        <v>0</v>
      </c>
      <c r="AO170" s="480">
        <v>0</v>
      </c>
    </row>
    <row r="171" spans="1:41" x14ac:dyDescent="0.2">
      <c r="A171">
        <v>170</v>
      </c>
      <c r="B171" s="464" t="s">
        <v>1147</v>
      </c>
      <c r="C171" s="162" t="s">
        <v>5400</v>
      </c>
      <c r="D171" s="162" t="s">
        <v>5401</v>
      </c>
      <c r="E171" s="162" t="s">
        <v>2073</v>
      </c>
      <c r="F171" s="162" t="s">
        <v>2074</v>
      </c>
      <c r="G171" s="162" t="s">
        <v>34</v>
      </c>
      <c r="H171" s="162" t="s">
        <v>2198</v>
      </c>
      <c r="I171" s="162" t="s">
        <v>2792</v>
      </c>
      <c r="J171" s="162" t="s">
        <v>1766</v>
      </c>
      <c r="K171" s="162" t="s">
        <v>1908</v>
      </c>
      <c r="L171" s="162" t="s">
        <v>5402</v>
      </c>
      <c r="M171" s="162" t="s">
        <v>5403</v>
      </c>
      <c r="N171" s="162" t="s">
        <v>5400</v>
      </c>
      <c r="O171" s="162" t="s">
        <v>904</v>
      </c>
      <c r="P171" s="162" t="s">
        <v>5404</v>
      </c>
      <c r="Q171" s="162" t="s">
        <v>2196</v>
      </c>
      <c r="R171" s="162" t="s">
        <v>2191</v>
      </c>
      <c r="S171" s="162" t="s">
        <v>5405</v>
      </c>
      <c r="T171" s="162">
        <v>9.76</v>
      </c>
      <c r="U171" s="162" t="s">
        <v>1950</v>
      </c>
      <c r="V171" s="162" t="s">
        <v>5406</v>
      </c>
      <c r="W171" s="162" t="s">
        <v>5407</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80"/>
      <c r="AO171" s="480"/>
    </row>
    <row r="172" spans="1:41" x14ac:dyDescent="0.2">
      <c r="A172">
        <v>171</v>
      </c>
      <c r="B172" s="464" t="s">
        <v>1147</v>
      </c>
      <c r="C172" s="162" t="s">
        <v>5408</v>
      </c>
      <c r="D172" s="162" t="s">
        <v>5409</v>
      </c>
      <c r="E172" s="162" t="s">
        <v>2073</v>
      </c>
      <c r="F172" s="162" t="s">
        <v>2074</v>
      </c>
      <c r="G172" s="162" t="s">
        <v>34</v>
      </c>
      <c r="H172" s="162" t="s">
        <v>2198</v>
      </c>
      <c r="I172" s="162" t="s">
        <v>2792</v>
      </c>
      <c r="J172" s="162" t="s">
        <v>1766</v>
      </c>
      <c r="K172" s="162" t="s">
        <v>1908</v>
      </c>
      <c r="L172" s="162" t="s">
        <v>5402</v>
      </c>
      <c r="M172" s="162" t="s">
        <v>5410</v>
      </c>
      <c r="N172" s="162" t="s">
        <v>5408</v>
      </c>
      <c r="O172" s="162" t="s">
        <v>904</v>
      </c>
      <c r="P172" s="162" t="s">
        <v>5404</v>
      </c>
      <c r="Q172" s="162" t="s">
        <v>2196</v>
      </c>
      <c r="R172" s="162" t="s">
        <v>2191</v>
      </c>
      <c r="S172" s="162" t="s">
        <v>5405</v>
      </c>
      <c r="T172" s="162">
        <v>9.76</v>
      </c>
      <c r="U172" s="162" t="s">
        <v>1950</v>
      </c>
      <c r="V172" s="162" t="s">
        <v>5406</v>
      </c>
      <c r="W172" s="162" t="s">
        <v>5411</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80"/>
      <c r="AO172" s="480"/>
    </row>
    <row r="173" spans="1:41" x14ac:dyDescent="0.2">
      <c r="A173">
        <v>172</v>
      </c>
      <c r="B173" s="464" t="s">
        <v>1147</v>
      </c>
      <c r="C173" s="162" t="s">
        <v>5412</v>
      </c>
      <c r="D173" s="162" t="s">
        <v>5413</v>
      </c>
      <c r="E173" s="162" t="s">
        <v>2073</v>
      </c>
      <c r="F173" s="162" t="s">
        <v>2074</v>
      </c>
      <c r="G173" s="162" t="s">
        <v>34</v>
      </c>
      <c r="H173" s="162" t="s">
        <v>2198</v>
      </c>
      <c r="I173" s="162" t="s">
        <v>2792</v>
      </c>
      <c r="J173" s="162" t="s">
        <v>1766</v>
      </c>
      <c r="K173" s="162" t="s">
        <v>1908</v>
      </c>
      <c r="L173" s="162" t="s">
        <v>5414</v>
      </c>
      <c r="M173" s="162">
        <v>13271</v>
      </c>
      <c r="N173" s="162" t="s">
        <v>5412</v>
      </c>
      <c r="O173" s="162" t="s">
        <v>904</v>
      </c>
      <c r="P173" s="162" t="s">
        <v>5415</v>
      </c>
      <c r="Q173" s="162" t="s">
        <v>2196</v>
      </c>
      <c r="R173" s="162" t="s">
        <v>2191</v>
      </c>
      <c r="S173" s="162" t="s">
        <v>2856</v>
      </c>
      <c r="T173" s="162">
        <v>8</v>
      </c>
      <c r="U173" s="162" t="s">
        <v>1950</v>
      </c>
      <c r="V173" s="162" t="s">
        <v>3658</v>
      </c>
      <c r="W173" s="162" t="s">
        <v>5416</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5417</v>
      </c>
      <c r="AJ173" s="162" t="s">
        <v>34</v>
      </c>
      <c r="AK173" s="162" t="s">
        <v>2195</v>
      </c>
      <c r="AL173" s="162" t="s">
        <v>34</v>
      </c>
      <c r="AM173" t="s">
        <v>4874</v>
      </c>
      <c r="AN173" s="480"/>
      <c r="AO173" s="480"/>
    </row>
    <row r="174" spans="1:41" x14ac:dyDescent="0.2">
      <c r="A174">
        <v>173</v>
      </c>
      <c r="B174" s="464" t="s">
        <v>1147</v>
      </c>
      <c r="C174" s="162" t="s">
        <v>5489</v>
      </c>
      <c r="D174" s="162" t="s">
        <v>5490</v>
      </c>
      <c r="E174" s="162" t="s">
        <v>2073</v>
      </c>
      <c r="F174" s="162" t="s">
        <v>2074</v>
      </c>
      <c r="G174" s="162" t="s">
        <v>34</v>
      </c>
      <c r="H174" s="162" t="s">
        <v>2198</v>
      </c>
      <c r="I174" s="162" t="s">
        <v>2792</v>
      </c>
      <c r="J174" s="162" t="s">
        <v>1766</v>
      </c>
      <c r="K174" s="162" t="s">
        <v>5491</v>
      </c>
      <c r="L174" s="162" t="s">
        <v>5492</v>
      </c>
      <c r="M174" s="162">
        <v>14835</v>
      </c>
      <c r="N174" s="162" t="s">
        <v>5489</v>
      </c>
      <c r="O174" s="162" t="s">
        <v>904</v>
      </c>
      <c r="P174" s="162" t="s">
        <v>5493</v>
      </c>
      <c r="Q174" s="162" t="s">
        <v>2196</v>
      </c>
      <c r="R174" s="162" t="s">
        <v>2191</v>
      </c>
      <c r="S174" s="162" t="s">
        <v>2856</v>
      </c>
      <c r="T174" s="162">
        <v>8</v>
      </c>
      <c r="U174" s="162" t="s">
        <v>1950</v>
      </c>
      <c r="V174" s="162" t="s">
        <v>3658</v>
      </c>
      <c r="W174" s="162" t="s">
        <v>5494</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80"/>
      <c r="AO174" s="480"/>
    </row>
    <row r="175" spans="1:41" x14ac:dyDescent="0.2">
      <c r="A175">
        <v>174</v>
      </c>
      <c r="B175" s="464" t="s">
        <v>1147</v>
      </c>
      <c r="C175" s="162" t="s">
        <v>5495</v>
      </c>
      <c r="D175" s="162" t="s">
        <v>5496</v>
      </c>
      <c r="E175" s="162" t="s">
        <v>2073</v>
      </c>
      <c r="F175" s="162" t="s">
        <v>2074</v>
      </c>
      <c r="G175" s="162" t="s">
        <v>34</v>
      </c>
      <c r="H175" s="162" t="s">
        <v>2198</v>
      </c>
      <c r="I175" s="162" t="s">
        <v>5723</v>
      </c>
      <c r="J175" s="162" t="s">
        <v>2810</v>
      </c>
      <c r="K175" s="162" t="s">
        <v>5497</v>
      </c>
      <c r="L175" s="162" t="s">
        <v>5498</v>
      </c>
      <c r="M175" s="162" t="s">
        <v>5499</v>
      </c>
      <c r="N175" s="162" t="s">
        <v>5495</v>
      </c>
      <c r="O175" s="162" t="s">
        <v>904</v>
      </c>
      <c r="P175" s="162" t="s">
        <v>5500</v>
      </c>
      <c r="Q175" s="162" t="s">
        <v>5501</v>
      </c>
      <c r="R175" s="162" t="s">
        <v>2292</v>
      </c>
      <c r="S175" s="162" t="s">
        <v>2814</v>
      </c>
      <c r="T175" s="162">
        <v>1.04</v>
      </c>
      <c r="U175" s="162" t="s">
        <v>1950</v>
      </c>
      <c r="V175" s="162" t="s">
        <v>5498</v>
      </c>
      <c r="W175" s="162" t="s">
        <v>5499</v>
      </c>
      <c r="X175" s="162" t="s">
        <v>5502</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80"/>
      <c r="AO175" s="480"/>
    </row>
    <row r="176" spans="1:41" x14ac:dyDescent="0.2">
      <c r="A176">
        <v>175</v>
      </c>
      <c r="B176" s="464" t="s">
        <v>1147</v>
      </c>
      <c r="C176" s="162" t="s">
        <v>5141</v>
      </c>
      <c r="D176" s="162" t="s">
        <v>5142</v>
      </c>
      <c r="E176" s="162" t="s">
        <v>5143</v>
      </c>
      <c r="F176" s="162" t="s">
        <v>5144</v>
      </c>
      <c r="G176" s="162" t="s">
        <v>34</v>
      </c>
      <c r="H176" s="162" t="s">
        <v>2198</v>
      </c>
      <c r="I176" s="162" t="s">
        <v>5723</v>
      </c>
      <c r="J176" s="162" t="s">
        <v>1766</v>
      </c>
      <c r="K176" s="162" t="s">
        <v>5145</v>
      </c>
      <c r="L176" s="162" t="s">
        <v>2539</v>
      </c>
      <c r="M176" s="162">
        <v>851899</v>
      </c>
      <c r="N176" s="162" t="s">
        <v>5141</v>
      </c>
      <c r="O176" s="162" t="s">
        <v>5146</v>
      </c>
      <c r="P176" s="162" t="s">
        <v>3571</v>
      </c>
      <c r="Q176" s="162" t="s">
        <v>3572</v>
      </c>
      <c r="R176" s="162" t="s">
        <v>5147</v>
      </c>
      <c r="S176" s="162" t="s">
        <v>5148</v>
      </c>
      <c r="T176" s="162">
        <v>2.75</v>
      </c>
      <c r="U176" s="162" t="s">
        <v>1950</v>
      </c>
      <c r="V176" s="162" t="s">
        <v>5149</v>
      </c>
      <c r="W176" s="162" t="s">
        <v>5150</v>
      </c>
      <c r="X176" s="162" t="s">
        <v>3379</v>
      </c>
      <c r="Y176" s="162" t="s">
        <v>109</v>
      </c>
      <c r="Z176" s="162" t="s">
        <v>109</v>
      </c>
      <c r="AA176" s="162" t="s">
        <v>109</v>
      </c>
      <c r="AB176" s="162" t="s">
        <v>5151</v>
      </c>
      <c r="AC176" s="162" t="s">
        <v>4508</v>
      </c>
      <c r="AD176" s="162" t="s">
        <v>5152</v>
      </c>
      <c r="AE176" s="162" t="s">
        <v>1760</v>
      </c>
      <c r="AF176" s="162" t="s">
        <v>109</v>
      </c>
      <c r="AG176" s="162" t="s">
        <v>109</v>
      </c>
      <c r="AH176" s="162" t="s">
        <v>109</v>
      </c>
      <c r="AI176" s="162" t="s">
        <v>109</v>
      </c>
      <c r="AJ176" s="162" t="s">
        <v>109</v>
      </c>
      <c r="AK176" s="162" t="s">
        <v>2195</v>
      </c>
      <c r="AL176" s="162" t="s">
        <v>109</v>
      </c>
      <c r="AM176" t="s">
        <v>4877</v>
      </c>
      <c r="AN176" s="480"/>
      <c r="AO176" s="480"/>
    </row>
    <row r="177" spans="1:41" x14ac:dyDescent="0.2">
      <c r="A177">
        <v>176</v>
      </c>
      <c r="B177" s="464" t="s">
        <v>1147</v>
      </c>
      <c r="C177" s="162" t="s">
        <v>5614</v>
      </c>
      <c r="D177" s="162" t="s">
        <v>5615</v>
      </c>
      <c r="E177" s="162" t="s">
        <v>2073</v>
      </c>
      <c r="F177" s="162" t="s">
        <v>2074</v>
      </c>
      <c r="G177" s="162" t="s">
        <v>34</v>
      </c>
      <c r="H177" s="162" t="s">
        <v>2198</v>
      </c>
      <c r="I177" s="162" t="s">
        <v>2792</v>
      </c>
      <c r="J177" s="162" t="s">
        <v>1766</v>
      </c>
      <c r="K177" s="162" t="s">
        <v>5614</v>
      </c>
      <c r="L177" s="162" t="s">
        <v>5616</v>
      </c>
      <c r="M177" s="162">
        <v>141000305</v>
      </c>
      <c r="N177" s="162" t="s">
        <v>5617</v>
      </c>
      <c r="O177" s="162" t="s">
        <v>2469</v>
      </c>
      <c r="P177" s="162" t="s">
        <v>5618</v>
      </c>
      <c r="Q177" s="162" t="s">
        <v>2801</v>
      </c>
      <c r="R177" s="162" t="s">
        <v>2191</v>
      </c>
      <c r="S177" s="162" t="s">
        <v>5619</v>
      </c>
      <c r="T177" s="162">
        <v>3.41</v>
      </c>
      <c r="U177" s="162" t="s">
        <v>1950</v>
      </c>
      <c r="V177" s="162" t="s">
        <v>5620</v>
      </c>
      <c r="W177" s="162">
        <v>141000305</v>
      </c>
      <c r="X177" s="162" t="s">
        <v>2804</v>
      </c>
      <c r="Y177" s="162" t="s">
        <v>5620</v>
      </c>
      <c r="Z177" s="162">
        <v>141000305</v>
      </c>
      <c r="AA177" s="162" t="s">
        <v>2804</v>
      </c>
      <c r="AB177" s="162" t="s">
        <v>5621</v>
      </c>
      <c r="AC177" s="162" t="s">
        <v>2193</v>
      </c>
      <c r="AD177" s="162" t="s">
        <v>5204</v>
      </c>
      <c r="AE177" s="162" t="s">
        <v>1760</v>
      </c>
      <c r="AF177" s="162" t="s">
        <v>3417</v>
      </c>
      <c r="AG177" s="162" t="s">
        <v>34</v>
      </c>
      <c r="AH177" s="162" t="s">
        <v>34</v>
      </c>
      <c r="AI177" s="162" t="s">
        <v>34</v>
      </c>
      <c r="AJ177" s="162" t="s">
        <v>34</v>
      </c>
      <c r="AK177" s="162" t="s">
        <v>2195</v>
      </c>
      <c r="AL177" s="162" t="s">
        <v>34</v>
      </c>
      <c r="AM177" t="s">
        <v>4874</v>
      </c>
      <c r="AN177" s="480">
        <v>0</v>
      </c>
      <c r="AO177" s="480">
        <v>0</v>
      </c>
    </row>
    <row r="178" spans="1:41" x14ac:dyDescent="0.2">
      <c r="A178">
        <v>177</v>
      </c>
      <c r="B178" s="464" t="s">
        <v>3771</v>
      </c>
      <c r="C178" s="162" t="s">
        <v>1908</v>
      </c>
      <c r="D178" s="162" t="s">
        <v>4161</v>
      </c>
      <c r="E178" s="162" t="s">
        <v>3772</v>
      </c>
      <c r="F178" s="162" t="s">
        <v>3773</v>
      </c>
      <c r="G178" s="162" t="s">
        <v>34</v>
      </c>
      <c r="H178" s="162" t="s">
        <v>2198</v>
      </c>
      <c r="I178" s="162" t="s">
        <v>5723</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80">
        <v>0</v>
      </c>
      <c r="AO178" s="480">
        <v>0</v>
      </c>
    </row>
    <row r="179" spans="1:41" x14ac:dyDescent="0.2">
      <c r="A179">
        <v>178</v>
      </c>
      <c r="B179" s="464" t="s">
        <v>1166</v>
      </c>
      <c r="C179" s="162" t="s">
        <v>1169</v>
      </c>
      <c r="D179" s="162" t="s">
        <v>5025</v>
      </c>
      <c r="E179" s="162" t="s">
        <v>5026</v>
      </c>
      <c r="F179" s="162" t="s">
        <v>5027</v>
      </c>
      <c r="G179" s="162" t="s">
        <v>34</v>
      </c>
      <c r="H179" s="162" t="s">
        <v>2198</v>
      </c>
      <c r="I179" s="162" t="s">
        <v>5723</v>
      </c>
      <c r="J179" s="162" t="s">
        <v>1766</v>
      </c>
      <c r="K179" s="162" t="s">
        <v>5028</v>
      </c>
      <c r="L179" s="162" t="s">
        <v>5029</v>
      </c>
      <c r="M179" s="162" t="s">
        <v>5030</v>
      </c>
      <c r="N179" s="162" t="s">
        <v>5031</v>
      </c>
      <c r="O179" s="162" t="s">
        <v>904</v>
      </c>
      <c r="P179" s="162" t="s">
        <v>5032</v>
      </c>
      <c r="Q179" s="162" t="s">
        <v>2274</v>
      </c>
      <c r="R179" s="162" t="s">
        <v>2191</v>
      </c>
      <c r="S179" s="162" t="s">
        <v>5033</v>
      </c>
      <c r="T179" s="162">
        <v>13.125</v>
      </c>
      <c r="U179" s="162" t="s">
        <v>2221</v>
      </c>
      <c r="V179" s="162" t="s">
        <v>5034</v>
      </c>
      <c r="W179" s="162" t="s">
        <v>5035</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80"/>
      <c r="AO179" s="480"/>
    </row>
    <row r="180" spans="1:41" x14ac:dyDescent="0.2">
      <c r="A180">
        <v>179</v>
      </c>
      <c r="B180" s="464" t="s">
        <v>5560</v>
      </c>
      <c r="C180" s="162" t="s">
        <v>5577</v>
      </c>
      <c r="D180" s="162" t="s">
        <v>5578</v>
      </c>
      <c r="E180" s="162" t="s">
        <v>5561</v>
      </c>
      <c r="F180" s="162" t="s">
        <v>5562</v>
      </c>
      <c r="G180" s="162"/>
      <c r="H180" s="162" t="s">
        <v>2198</v>
      </c>
      <c r="I180" s="162" t="s">
        <v>5723</v>
      </c>
      <c r="J180" s="162" t="s">
        <v>2186</v>
      </c>
      <c r="K180" s="162" t="s">
        <v>5577</v>
      </c>
      <c r="L180" s="162" t="s">
        <v>5564</v>
      </c>
      <c r="M180" s="162" t="s">
        <v>5565</v>
      </c>
      <c r="N180" s="162" t="s">
        <v>5579</v>
      </c>
      <c r="O180" s="162" t="s">
        <v>5741</v>
      </c>
      <c r="P180" s="162" t="s">
        <v>2789</v>
      </c>
      <c r="Q180" s="162" t="s">
        <v>2196</v>
      </c>
      <c r="R180" s="162" t="s">
        <v>2365</v>
      </c>
      <c r="S180" s="162" t="s">
        <v>5566</v>
      </c>
      <c r="T180" s="162">
        <v>26.8125</v>
      </c>
      <c r="U180" s="162" t="s">
        <v>2220</v>
      </c>
      <c r="V180" s="162" t="s">
        <v>5580</v>
      </c>
      <c r="W180" s="162">
        <v>63613055</v>
      </c>
      <c r="X180" s="162" t="s">
        <v>5568</v>
      </c>
      <c r="Y180" s="162" t="s">
        <v>5569</v>
      </c>
      <c r="Z180" s="162" t="s">
        <v>5570</v>
      </c>
      <c r="AA180" s="162" t="s">
        <v>5568</v>
      </c>
      <c r="AB180" s="162" t="s">
        <v>34</v>
      </c>
      <c r="AC180" s="162" t="s">
        <v>2193</v>
      </c>
      <c r="AD180" s="162" t="s">
        <v>5571</v>
      </c>
      <c r="AE180" s="162" t="s">
        <v>5572</v>
      </c>
      <c r="AF180" s="162">
        <v>6</v>
      </c>
      <c r="AG180" s="162">
        <v>64</v>
      </c>
      <c r="AH180" s="162">
        <v>15</v>
      </c>
      <c r="AI180" s="162" t="s">
        <v>34</v>
      </c>
      <c r="AJ180" s="162" t="s">
        <v>34</v>
      </c>
      <c r="AK180" s="162" t="s">
        <v>2195</v>
      </c>
      <c r="AL180" s="162" t="s">
        <v>5575</v>
      </c>
      <c r="AM180" t="s">
        <v>4877</v>
      </c>
      <c r="AN180" s="480"/>
      <c r="AO180" s="480"/>
    </row>
    <row r="181" spans="1:41" x14ac:dyDescent="0.2">
      <c r="A181">
        <v>180</v>
      </c>
      <c r="B181" s="464" t="s">
        <v>5560</v>
      </c>
      <c r="C181" s="162" t="s">
        <v>1341</v>
      </c>
      <c r="D181" s="162" t="s">
        <v>5581</v>
      </c>
      <c r="E181" s="162" t="s">
        <v>5561</v>
      </c>
      <c r="F181" s="162" t="s">
        <v>5562</v>
      </c>
      <c r="G181" s="162" t="s">
        <v>4810</v>
      </c>
      <c r="H181" s="162" t="s">
        <v>2198</v>
      </c>
      <c r="I181" s="162" t="s">
        <v>5723</v>
      </c>
      <c r="J181" s="162" t="s">
        <v>2186</v>
      </c>
      <c r="K181" s="162" t="s">
        <v>1341</v>
      </c>
      <c r="L181" s="162" t="s">
        <v>5564</v>
      </c>
      <c r="M181" s="542" t="s">
        <v>5582</v>
      </c>
      <c r="N181" s="162" t="s">
        <v>5583</v>
      </c>
      <c r="O181" s="162" t="s">
        <v>5741</v>
      </c>
      <c r="P181" s="162" t="s">
        <v>2789</v>
      </c>
      <c r="Q181" s="162" t="s">
        <v>2196</v>
      </c>
      <c r="R181" s="162" t="s">
        <v>2365</v>
      </c>
      <c r="S181" s="162" t="s">
        <v>5566</v>
      </c>
      <c r="T181" s="162">
        <v>26.8125</v>
      </c>
      <c r="U181" s="162" t="s">
        <v>2220</v>
      </c>
      <c r="V181" s="162" t="s">
        <v>5580</v>
      </c>
      <c r="W181" s="162">
        <v>63613055</v>
      </c>
      <c r="X181" s="162" t="s">
        <v>5568</v>
      </c>
      <c r="Y181" s="162" t="s">
        <v>5569</v>
      </c>
      <c r="Z181" s="162" t="s">
        <v>5570</v>
      </c>
      <c r="AA181" s="162" t="s">
        <v>5568</v>
      </c>
      <c r="AB181" s="162" t="s">
        <v>34</v>
      </c>
      <c r="AC181" s="162" t="s">
        <v>2193</v>
      </c>
      <c r="AD181" s="162" t="s">
        <v>5571</v>
      </c>
      <c r="AE181" s="162" t="s">
        <v>5572</v>
      </c>
      <c r="AF181" s="162">
        <v>17</v>
      </c>
      <c r="AG181" s="162">
        <v>40</v>
      </c>
      <c r="AH181" s="162">
        <v>13</v>
      </c>
      <c r="AI181" s="162" t="s">
        <v>5584</v>
      </c>
      <c r="AJ181" s="162" t="s">
        <v>34</v>
      </c>
      <c r="AK181" s="162" t="s">
        <v>2195</v>
      </c>
      <c r="AL181" s="162" t="s">
        <v>34</v>
      </c>
      <c r="AM181" t="s">
        <v>4877</v>
      </c>
      <c r="AN181" s="480"/>
      <c r="AO181" s="480"/>
    </row>
    <row r="182" spans="1:41" x14ac:dyDescent="0.2">
      <c r="A182">
        <v>181</v>
      </c>
      <c r="B182" s="464" t="s">
        <v>5560</v>
      </c>
      <c r="C182" s="162" t="s">
        <v>5563</v>
      </c>
      <c r="D182" s="162" t="s">
        <v>5576</v>
      </c>
      <c r="E182" s="162" t="s">
        <v>5561</v>
      </c>
      <c r="F182" s="162" t="s">
        <v>5562</v>
      </c>
      <c r="G182" s="162"/>
      <c r="H182" s="162" t="s">
        <v>2198</v>
      </c>
      <c r="I182" s="162" t="s">
        <v>5723</v>
      </c>
      <c r="J182" s="162" t="s">
        <v>2186</v>
      </c>
      <c r="K182" s="162" t="s">
        <v>5563</v>
      </c>
      <c r="L182" s="162" t="s">
        <v>5564</v>
      </c>
      <c r="M182" s="162" t="s">
        <v>5565</v>
      </c>
      <c r="N182" s="162" t="s">
        <v>5563</v>
      </c>
      <c r="O182" s="162" t="s">
        <v>5741</v>
      </c>
      <c r="P182" s="162" t="s">
        <v>2789</v>
      </c>
      <c r="Q182" s="162" t="s">
        <v>2196</v>
      </c>
      <c r="R182" s="162" t="s">
        <v>2365</v>
      </c>
      <c r="S182" s="162" t="s">
        <v>5566</v>
      </c>
      <c r="T182" s="162">
        <v>26.8125</v>
      </c>
      <c r="U182" s="162" t="s">
        <v>2220</v>
      </c>
      <c r="V182" s="162" t="s">
        <v>5567</v>
      </c>
      <c r="W182" s="162">
        <v>63619041</v>
      </c>
      <c r="X182" s="162" t="s">
        <v>5568</v>
      </c>
      <c r="Y182" s="162" t="s">
        <v>5569</v>
      </c>
      <c r="Z182" s="162" t="s">
        <v>5570</v>
      </c>
      <c r="AA182" s="162" t="s">
        <v>5568</v>
      </c>
      <c r="AB182" s="162" t="s">
        <v>34</v>
      </c>
      <c r="AC182" s="162" t="s">
        <v>2193</v>
      </c>
      <c r="AD182" s="162" t="s">
        <v>5571</v>
      </c>
      <c r="AE182" s="162" t="s">
        <v>5572</v>
      </c>
      <c r="AF182" s="162">
        <v>17</v>
      </c>
      <c r="AG182" s="162">
        <v>40</v>
      </c>
      <c r="AH182" s="162">
        <v>13</v>
      </c>
      <c r="AI182" s="162" t="s">
        <v>5573</v>
      </c>
      <c r="AJ182" s="162" t="s">
        <v>5574</v>
      </c>
      <c r="AK182" s="162" t="s">
        <v>2195</v>
      </c>
      <c r="AL182" s="162" t="s">
        <v>5575</v>
      </c>
      <c r="AM182" t="s">
        <v>4877</v>
      </c>
      <c r="AN182" s="480"/>
      <c r="AO182" s="480"/>
    </row>
    <row r="183" spans="1:41" x14ac:dyDescent="0.2">
      <c r="A183">
        <v>182</v>
      </c>
      <c r="B183" s="464" t="s">
        <v>1171</v>
      </c>
      <c r="C183" s="162" t="s">
        <v>1175</v>
      </c>
      <c r="D183" s="162" t="s">
        <v>4162</v>
      </c>
      <c r="E183" s="162" t="s">
        <v>2077</v>
      </c>
      <c r="F183" s="162" t="s">
        <v>2023</v>
      </c>
      <c r="G183" s="162" t="s">
        <v>34</v>
      </c>
      <c r="H183" s="162" t="s">
        <v>2198</v>
      </c>
      <c r="I183" s="162" t="s">
        <v>5737</v>
      </c>
      <c r="J183" s="162" t="s">
        <v>2810</v>
      </c>
      <c r="K183" s="162" t="s">
        <v>2845</v>
      </c>
      <c r="L183" s="162" t="s">
        <v>2313</v>
      </c>
      <c r="M183" s="542" t="s">
        <v>2846</v>
      </c>
      <c r="N183" s="162" t="s">
        <v>1175</v>
      </c>
      <c r="O183" s="162" t="s">
        <v>5260</v>
      </c>
      <c r="P183" s="162" t="s">
        <v>4965</v>
      </c>
      <c r="Q183" s="162" t="s">
        <v>2261</v>
      </c>
      <c r="R183" s="162" t="s">
        <v>2191</v>
      </c>
      <c r="S183" s="162" t="s">
        <v>5261</v>
      </c>
      <c r="T183" s="162">
        <v>1056</v>
      </c>
      <c r="U183" s="162" t="s">
        <v>2221</v>
      </c>
      <c r="V183" s="162" t="s">
        <v>2830</v>
      </c>
      <c r="W183" s="162">
        <v>1281</v>
      </c>
      <c r="X183" s="162" t="s">
        <v>2833</v>
      </c>
      <c r="Y183" s="162" t="s">
        <v>2834</v>
      </c>
      <c r="Z183" s="162" t="s">
        <v>2835</v>
      </c>
      <c r="AA183" s="162" t="s">
        <v>2192</v>
      </c>
      <c r="AB183" s="162" t="s">
        <v>5262</v>
      </c>
      <c r="AC183" s="162" t="s">
        <v>2193</v>
      </c>
      <c r="AD183" s="162" t="s">
        <v>2194</v>
      </c>
      <c r="AE183" s="162" t="s">
        <v>1760</v>
      </c>
      <c r="AF183" s="162">
        <v>5</v>
      </c>
      <c r="AG183" s="162">
        <v>240</v>
      </c>
      <c r="AH183" s="162">
        <v>60</v>
      </c>
      <c r="AI183" s="162" t="s">
        <v>34</v>
      </c>
      <c r="AJ183" s="162" t="s">
        <v>34</v>
      </c>
      <c r="AK183" s="162" t="s">
        <v>2195</v>
      </c>
      <c r="AL183" s="162" t="s">
        <v>34</v>
      </c>
      <c r="AM183" t="s">
        <v>4874</v>
      </c>
      <c r="AN183" s="480">
        <v>0</v>
      </c>
      <c r="AO183" s="480">
        <v>0</v>
      </c>
    </row>
    <row r="184" spans="1:41" x14ac:dyDescent="0.2">
      <c r="A184">
        <v>183</v>
      </c>
      <c r="B184" s="464" t="s">
        <v>1171</v>
      </c>
      <c r="C184" s="162" t="s">
        <v>1177</v>
      </c>
      <c r="D184" s="162" t="s">
        <v>4163</v>
      </c>
      <c r="E184" s="162" t="s">
        <v>2077</v>
      </c>
      <c r="F184" s="162" t="s">
        <v>2023</v>
      </c>
      <c r="G184" s="162" t="s">
        <v>34</v>
      </c>
      <c r="H184" s="162" t="s">
        <v>2198</v>
      </c>
      <c r="I184" s="162" t="s">
        <v>5737</v>
      </c>
      <c r="J184" s="162" t="s">
        <v>2466</v>
      </c>
      <c r="K184" s="162" t="s">
        <v>2843</v>
      </c>
      <c r="L184" s="162" t="s">
        <v>2313</v>
      </c>
      <c r="M184" s="542" t="s">
        <v>2844</v>
      </c>
      <c r="N184" s="162" t="s">
        <v>1177</v>
      </c>
      <c r="O184" s="162" t="s">
        <v>5260</v>
      </c>
      <c r="P184" s="162" t="s">
        <v>4966</v>
      </c>
      <c r="Q184" s="162" t="s">
        <v>2261</v>
      </c>
      <c r="R184" s="162" t="s">
        <v>2191</v>
      </c>
      <c r="S184" s="162" t="s">
        <v>5261</v>
      </c>
      <c r="T184" s="162">
        <v>1056</v>
      </c>
      <c r="U184" s="162" t="s">
        <v>2221</v>
      </c>
      <c r="V184" s="162" t="s">
        <v>2830</v>
      </c>
      <c r="W184" s="162">
        <v>1280</v>
      </c>
      <c r="X184" s="162" t="s">
        <v>2833</v>
      </c>
      <c r="Y184" s="162" t="s">
        <v>2834</v>
      </c>
      <c r="Z184" s="162" t="s">
        <v>2835</v>
      </c>
      <c r="AA184" s="162" t="s">
        <v>2192</v>
      </c>
      <c r="AB184" s="162" t="s">
        <v>5263</v>
      </c>
      <c r="AC184" s="162" t="s">
        <v>2193</v>
      </c>
      <c r="AD184" s="162" t="s">
        <v>2194</v>
      </c>
      <c r="AE184" s="162" t="s">
        <v>1760</v>
      </c>
      <c r="AF184" s="162">
        <v>5</v>
      </c>
      <c r="AG184" s="162">
        <v>240</v>
      </c>
      <c r="AH184" s="162">
        <v>60</v>
      </c>
      <c r="AI184" s="162" t="s">
        <v>34</v>
      </c>
      <c r="AJ184" s="162" t="s">
        <v>34</v>
      </c>
      <c r="AK184" s="162" t="s">
        <v>2195</v>
      </c>
      <c r="AL184" s="162" t="s">
        <v>34</v>
      </c>
      <c r="AM184" t="s">
        <v>4874</v>
      </c>
      <c r="AN184" s="480">
        <v>0</v>
      </c>
      <c r="AO184" s="480">
        <v>0</v>
      </c>
    </row>
    <row r="185" spans="1:41" x14ac:dyDescent="0.2">
      <c r="A185">
        <v>184</v>
      </c>
      <c r="B185" s="464" t="s">
        <v>1171</v>
      </c>
      <c r="C185" s="162" t="s">
        <v>1173</v>
      </c>
      <c r="D185" s="162" t="s">
        <v>4164</v>
      </c>
      <c r="E185" s="162" t="s">
        <v>2077</v>
      </c>
      <c r="F185" s="162" t="s">
        <v>2023</v>
      </c>
      <c r="G185" s="162" t="s">
        <v>34</v>
      </c>
      <c r="H185" s="162" t="s">
        <v>2198</v>
      </c>
      <c r="I185" s="162" t="s">
        <v>5737</v>
      </c>
      <c r="J185" s="162" t="s">
        <v>2466</v>
      </c>
      <c r="K185" s="162" t="s">
        <v>2848</v>
      </c>
      <c r="L185" s="162" t="s">
        <v>2313</v>
      </c>
      <c r="M185" s="542" t="s">
        <v>2849</v>
      </c>
      <c r="N185" s="162" t="s">
        <v>1173</v>
      </c>
      <c r="O185" s="162" t="s">
        <v>5260</v>
      </c>
      <c r="P185" s="162" t="s">
        <v>2349</v>
      </c>
      <c r="Q185" s="162" t="s">
        <v>2261</v>
      </c>
      <c r="R185" s="162" t="s">
        <v>2191</v>
      </c>
      <c r="S185" s="162" t="s">
        <v>5261</v>
      </c>
      <c r="T185" s="162">
        <v>1056</v>
      </c>
      <c r="U185" s="162" t="s">
        <v>2221</v>
      </c>
      <c r="V185" s="162" t="s">
        <v>2830</v>
      </c>
      <c r="W185" s="162">
        <v>15590</v>
      </c>
      <c r="X185" s="162" t="s">
        <v>2833</v>
      </c>
      <c r="Y185" s="162" t="s">
        <v>2834</v>
      </c>
      <c r="Z185" s="162" t="s">
        <v>2835</v>
      </c>
      <c r="AA185" s="162" t="s">
        <v>2192</v>
      </c>
      <c r="AB185" s="162" t="s">
        <v>5264</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80">
        <v>0</v>
      </c>
      <c r="AO185" s="480">
        <v>0</v>
      </c>
    </row>
    <row r="186" spans="1:41" x14ac:dyDescent="0.2">
      <c r="A186">
        <v>185</v>
      </c>
      <c r="B186" s="464" t="s">
        <v>1171</v>
      </c>
      <c r="C186" s="162" t="s">
        <v>1181</v>
      </c>
      <c r="D186" s="162" t="s">
        <v>4165</v>
      </c>
      <c r="E186" s="162" t="s">
        <v>2077</v>
      </c>
      <c r="F186" s="162" t="s">
        <v>2023</v>
      </c>
      <c r="G186" s="162" t="s">
        <v>34</v>
      </c>
      <c r="H186" s="162" t="s">
        <v>2198</v>
      </c>
      <c r="I186" s="162" t="s">
        <v>5737</v>
      </c>
      <c r="J186" s="162" t="s">
        <v>2466</v>
      </c>
      <c r="K186" s="162" t="s">
        <v>2836</v>
      </c>
      <c r="L186" s="162" t="s">
        <v>2313</v>
      </c>
      <c r="M186" s="162" t="s">
        <v>2837</v>
      </c>
      <c r="N186" s="162" t="s">
        <v>1181</v>
      </c>
      <c r="O186" s="162" t="s">
        <v>5260</v>
      </c>
      <c r="P186" s="162" t="s">
        <v>2838</v>
      </c>
      <c r="Q186" s="162" t="s">
        <v>2261</v>
      </c>
      <c r="R186" s="162" t="s">
        <v>2191</v>
      </c>
      <c r="S186" s="162" t="s">
        <v>5261</v>
      </c>
      <c r="T186" s="162">
        <v>1056</v>
      </c>
      <c r="U186" s="162" t="s">
        <v>2221</v>
      </c>
      <c r="V186" s="162" t="s">
        <v>2830</v>
      </c>
      <c r="W186" s="162">
        <v>996</v>
      </c>
      <c r="X186" s="162" t="s">
        <v>2833</v>
      </c>
      <c r="Y186" s="162" t="s">
        <v>2834</v>
      </c>
      <c r="Z186" s="162" t="s">
        <v>2835</v>
      </c>
      <c r="AA186" s="162" t="s">
        <v>2192</v>
      </c>
      <c r="AB186" s="162" t="s">
        <v>5265</v>
      </c>
      <c r="AC186" s="162" t="s">
        <v>2193</v>
      </c>
      <c r="AD186" s="162" t="s">
        <v>2194</v>
      </c>
      <c r="AE186" s="162" t="s">
        <v>1760</v>
      </c>
      <c r="AF186" s="162">
        <v>5</v>
      </c>
      <c r="AG186" s="162">
        <v>240</v>
      </c>
      <c r="AH186" s="162">
        <v>60</v>
      </c>
      <c r="AI186" s="162" t="s">
        <v>34</v>
      </c>
      <c r="AJ186" s="162" t="s">
        <v>34</v>
      </c>
      <c r="AK186" s="162" t="s">
        <v>2195</v>
      </c>
      <c r="AL186" s="162" t="s">
        <v>34</v>
      </c>
      <c r="AM186" t="s">
        <v>4874</v>
      </c>
      <c r="AN186" s="480">
        <v>0</v>
      </c>
      <c r="AO186" s="480">
        <v>0</v>
      </c>
    </row>
    <row r="187" spans="1:41" x14ac:dyDescent="0.2">
      <c r="A187">
        <v>186</v>
      </c>
      <c r="B187" s="464" t="s">
        <v>1171</v>
      </c>
      <c r="C187" s="162" t="s">
        <v>1179</v>
      </c>
      <c r="D187" s="162" t="s">
        <v>4166</v>
      </c>
      <c r="E187" s="162" t="s">
        <v>2077</v>
      </c>
      <c r="F187" s="162" t="s">
        <v>2023</v>
      </c>
      <c r="G187" s="162" t="s">
        <v>34</v>
      </c>
      <c r="H187" s="162" t="s">
        <v>2198</v>
      </c>
      <c r="I187" s="162" t="s">
        <v>5737</v>
      </c>
      <c r="J187" s="162" t="s">
        <v>2466</v>
      </c>
      <c r="K187" s="162" t="s">
        <v>2839</v>
      </c>
      <c r="L187" s="162" t="s">
        <v>2313</v>
      </c>
      <c r="M187" s="162" t="s">
        <v>2840</v>
      </c>
      <c r="N187" s="162" t="s">
        <v>1179</v>
      </c>
      <c r="O187" s="162" t="s">
        <v>5260</v>
      </c>
      <c r="P187" s="162" t="s">
        <v>3233</v>
      </c>
      <c r="Q187" s="162" t="s">
        <v>2261</v>
      </c>
      <c r="R187" s="162" t="s">
        <v>2191</v>
      </c>
      <c r="S187" s="162" t="s">
        <v>5261</v>
      </c>
      <c r="T187" s="162">
        <v>1056</v>
      </c>
      <c r="U187" s="162" t="s">
        <v>2221</v>
      </c>
      <c r="V187" s="162" t="s">
        <v>2830</v>
      </c>
      <c r="W187" s="162" t="s">
        <v>2842</v>
      </c>
      <c r="X187" s="162" t="s">
        <v>2833</v>
      </c>
      <c r="Y187" s="162" t="s">
        <v>2834</v>
      </c>
      <c r="Z187" s="162" t="s">
        <v>2835</v>
      </c>
      <c r="AA187" s="162" t="s">
        <v>2192</v>
      </c>
      <c r="AB187" s="162" t="s">
        <v>5266</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80">
        <v>0</v>
      </c>
      <c r="AO187" s="480">
        <v>0</v>
      </c>
    </row>
    <row r="188" spans="1:41" x14ac:dyDescent="0.2">
      <c r="A188">
        <v>187</v>
      </c>
      <c r="B188" s="464" t="s">
        <v>1171</v>
      </c>
      <c r="C188" s="162" t="s">
        <v>1183</v>
      </c>
      <c r="D188" s="162" t="s">
        <v>4167</v>
      </c>
      <c r="E188" s="162" t="s">
        <v>2077</v>
      </c>
      <c r="F188" s="162" t="s">
        <v>2023</v>
      </c>
      <c r="G188" s="162" t="s">
        <v>34</v>
      </c>
      <c r="H188" s="162" t="s">
        <v>2198</v>
      </c>
      <c r="I188" s="162" t="s">
        <v>5737</v>
      </c>
      <c r="J188" s="162" t="s">
        <v>2466</v>
      </c>
      <c r="K188" s="162" t="s">
        <v>2831</v>
      </c>
      <c r="L188" s="162" t="s">
        <v>2313</v>
      </c>
      <c r="M188" s="162" t="s">
        <v>2832</v>
      </c>
      <c r="N188" s="162" t="s">
        <v>1183</v>
      </c>
      <c r="O188" s="162" t="s">
        <v>5260</v>
      </c>
      <c r="P188" s="162" t="s">
        <v>3727</v>
      </c>
      <c r="Q188" s="162" t="s">
        <v>2261</v>
      </c>
      <c r="R188" s="162" t="s">
        <v>2191</v>
      </c>
      <c r="S188" s="162" t="s">
        <v>5261</v>
      </c>
      <c r="T188" s="162">
        <v>1056</v>
      </c>
      <c r="U188" s="162" t="s">
        <v>2221</v>
      </c>
      <c r="V188" s="162" t="s">
        <v>2830</v>
      </c>
      <c r="W188" s="162">
        <v>979</v>
      </c>
      <c r="X188" s="162" t="s">
        <v>2833</v>
      </c>
      <c r="Y188" s="162" t="s">
        <v>2834</v>
      </c>
      <c r="Z188" s="162" t="s">
        <v>2835</v>
      </c>
      <c r="AA188" s="162" t="s">
        <v>2192</v>
      </c>
      <c r="AB188" s="162" t="s">
        <v>5267</v>
      </c>
      <c r="AC188" s="162" t="s">
        <v>2193</v>
      </c>
      <c r="AD188" s="162" t="s">
        <v>2194</v>
      </c>
      <c r="AE188" s="162" t="s">
        <v>1760</v>
      </c>
      <c r="AF188" s="162">
        <v>5</v>
      </c>
      <c r="AG188" s="162">
        <v>240</v>
      </c>
      <c r="AH188" s="162">
        <v>60</v>
      </c>
      <c r="AI188" s="162" t="s">
        <v>34</v>
      </c>
      <c r="AJ188" s="162" t="s">
        <v>34</v>
      </c>
      <c r="AK188" s="162" t="s">
        <v>2195</v>
      </c>
      <c r="AL188" s="162" t="s">
        <v>34</v>
      </c>
      <c r="AM188" t="s">
        <v>4874</v>
      </c>
      <c r="AN188" s="480">
        <v>0</v>
      </c>
      <c r="AO188" s="480">
        <v>0</v>
      </c>
    </row>
    <row r="189" spans="1:41" x14ac:dyDescent="0.2">
      <c r="A189">
        <v>188</v>
      </c>
      <c r="B189" s="464" t="s">
        <v>1171</v>
      </c>
      <c r="C189" s="162" t="s">
        <v>5268</v>
      </c>
      <c r="D189" s="162" t="s">
        <v>5269</v>
      </c>
      <c r="E189" s="162" t="s">
        <v>2077</v>
      </c>
      <c r="F189" s="162" t="s">
        <v>2023</v>
      </c>
      <c r="G189" s="162" t="s">
        <v>34</v>
      </c>
      <c r="H189" s="162" t="s">
        <v>2198</v>
      </c>
      <c r="I189" s="162" t="s">
        <v>5737</v>
      </c>
      <c r="J189" s="162" t="s">
        <v>2466</v>
      </c>
      <c r="K189" s="162" t="s">
        <v>5270</v>
      </c>
      <c r="L189" s="162" t="s">
        <v>2313</v>
      </c>
      <c r="M189" s="162" t="s">
        <v>5271</v>
      </c>
      <c r="N189" s="162" t="s">
        <v>5268</v>
      </c>
      <c r="O189" s="162" t="s">
        <v>5319</v>
      </c>
      <c r="P189" s="162" t="s">
        <v>5272</v>
      </c>
      <c r="Q189" s="162" t="s">
        <v>2261</v>
      </c>
      <c r="R189" s="162" t="s">
        <v>2191</v>
      </c>
      <c r="S189" s="162" t="s">
        <v>5261</v>
      </c>
      <c r="T189" s="162">
        <v>1056</v>
      </c>
      <c r="U189" s="162" t="s">
        <v>2221</v>
      </c>
      <c r="V189" s="162" t="s">
        <v>109</v>
      </c>
      <c r="W189" s="162" t="s">
        <v>109</v>
      </c>
      <c r="X189" s="162" t="s">
        <v>109</v>
      </c>
      <c r="Y189" s="162" t="s">
        <v>2834</v>
      </c>
      <c r="Z189" s="162" t="s">
        <v>2835</v>
      </c>
      <c r="AA189" s="162" t="s">
        <v>2192</v>
      </c>
      <c r="AB189" s="162" t="s">
        <v>5273</v>
      </c>
      <c r="AC189" s="162" t="s">
        <v>2193</v>
      </c>
      <c r="AD189" s="162" t="s">
        <v>2194</v>
      </c>
      <c r="AE189" s="162" t="s">
        <v>1760</v>
      </c>
      <c r="AF189" s="162" t="s">
        <v>5186</v>
      </c>
      <c r="AG189" s="162" t="s">
        <v>34</v>
      </c>
      <c r="AH189" s="162" t="s">
        <v>34</v>
      </c>
      <c r="AI189" s="162" t="s">
        <v>34</v>
      </c>
      <c r="AJ189" s="162" t="s">
        <v>34</v>
      </c>
      <c r="AK189" s="162" t="s">
        <v>2195</v>
      </c>
      <c r="AL189" s="162" t="s">
        <v>34</v>
      </c>
      <c r="AM189" t="s">
        <v>4874</v>
      </c>
      <c r="AN189" s="480"/>
      <c r="AO189" s="480"/>
    </row>
    <row r="190" spans="1:41" x14ac:dyDescent="0.2">
      <c r="A190">
        <v>189</v>
      </c>
      <c r="B190" s="464" t="s">
        <v>1171</v>
      </c>
      <c r="C190" s="162" t="s">
        <v>5274</v>
      </c>
      <c r="D190" s="162" t="s">
        <v>5275</v>
      </c>
      <c r="E190" s="162" t="s">
        <v>2077</v>
      </c>
      <c r="F190" s="162" t="s">
        <v>2023</v>
      </c>
      <c r="G190" s="162" t="s">
        <v>34</v>
      </c>
      <c r="H190" s="162" t="s">
        <v>2198</v>
      </c>
      <c r="I190" s="162" t="s">
        <v>5737</v>
      </c>
      <c r="J190" s="162" t="s">
        <v>2466</v>
      </c>
      <c r="K190" s="162" t="s">
        <v>5276</v>
      </c>
      <c r="L190" s="162" t="s">
        <v>2313</v>
      </c>
      <c r="M190" s="162" t="s">
        <v>5277</v>
      </c>
      <c r="N190" s="162" t="s">
        <v>5274</v>
      </c>
      <c r="O190" s="162" t="s">
        <v>5319</v>
      </c>
      <c r="P190" s="162" t="s">
        <v>5278</v>
      </c>
      <c r="Q190" s="162" t="s">
        <v>2261</v>
      </c>
      <c r="R190" s="162" t="s">
        <v>2191</v>
      </c>
      <c r="S190" s="162" t="s">
        <v>5261</v>
      </c>
      <c r="T190" s="162">
        <v>1056</v>
      </c>
      <c r="U190" s="162" t="s">
        <v>2221</v>
      </c>
      <c r="V190" s="162" t="s">
        <v>109</v>
      </c>
      <c r="W190" s="162" t="s">
        <v>109</v>
      </c>
      <c r="X190" s="162" t="s">
        <v>109</v>
      </c>
      <c r="Y190" s="162" t="s">
        <v>2834</v>
      </c>
      <c r="Z190" s="162" t="s">
        <v>2835</v>
      </c>
      <c r="AA190" s="162" t="s">
        <v>2192</v>
      </c>
      <c r="AB190" s="162" t="s">
        <v>5279</v>
      </c>
      <c r="AC190" s="162" t="s">
        <v>2193</v>
      </c>
      <c r="AD190" s="162" t="s">
        <v>2194</v>
      </c>
      <c r="AE190" s="162" t="s">
        <v>1760</v>
      </c>
      <c r="AF190" s="162" t="s">
        <v>5186</v>
      </c>
      <c r="AG190" s="162" t="s">
        <v>34</v>
      </c>
      <c r="AH190" s="162" t="s">
        <v>34</v>
      </c>
      <c r="AI190" s="162" t="s">
        <v>34</v>
      </c>
      <c r="AJ190" s="162" t="s">
        <v>34</v>
      </c>
      <c r="AK190" s="162" t="s">
        <v>2195</v>
      </c>
      <c r="AL190" s="162" t="s">
        <v>34</v>
      </c>
      <c r="AM190" t="s">
        <v>4874</v>
      </c>
      <c r="AN190" s="480"/>
      <c r="AO190" s="480"/>
    </row>
    <row r="191" spans="1:41" x14ac:dyDescent="0.2">
      <c r="A191">
        <v>190</v>
      </c>
      <c r="B191" s="464" t="s">
        <v>1171</v>
      </c>
      <c r="C191" s="162" t="s">
        <v>5280</v>
      </c>
      <c r="D191" s="162" t="s">
        <v>5281</v>
      </c>
      <c r="E191" s="162" t="s">
        <v>2077</v>
      </c>
      <c r="F191" s="162" t="s">
        <v>2023</v>
      </c>
      <c r="G191" s="162" t="s">
        <v>34</v>
      </c>
      <c r="H191" s="162" t="s">
        <v>2198</v>
      </c>
      <c r="I191" s="162" t="s">
        <v>5737</v>
      </c>
      <c r="J191" s="162" t="s">
        <v>2466</v>
      </c>
      <c r="K191" s="162" t="s">
        <v>5282</v>
      </c>
      <c r="L191" s="162" t="s">
        <v>2313</v>
      </c>
      <c r="M191" s="162" t="s">
        <v>5283</v>
      </c>
      <c r="N191" s="162" t="s">
        <v>5280</v>
      </c>
      <c r="O191" s="162" t="s">
        <v>5260</v>
      </c>
      <c r="P191" s="162" t="s">
        <v>5284</v>
      </c>
      <c r="Q191" s="162" t="s">
        <v>2261</v>
      </c>
      <c r="R191" s="162" t="s">
        <v>2191</v>
      </c>
      <c r="S191" s="162" t="s">
        <v>5261</v>
      </c>
      <c r="T191" s="162">
        <v>1056</v>
      </c>
      <c r="U191" s="162" t="s">
        <v>2221</v>
      </c>
      <c r="V191" s="162" t="s">
        <v>2830</v>
      </c>
      <c r="W191" s="162">
        <v>0</v>
      </c>
      <c r="X191" s="162" t="s">
        <v>2833</v>
      </c>
      <c r="Y191" s="162" t="s">
        <v>109</v>
      </c>
      <c r="Z191" s="162" t="s">
        <v>109</v>
      </c>
      <c r="AA191" s="162" t="s">
        <v>109</v>
      </c>
      <c r="AB191" s="162" t="s">
        <v>5285</v>
      </c>
      <c r="AC191" s="162" t="s">
        <v>2193</v>
      </c>
      <c r="AD191" s="162" t="s">
        <v>2194</v>
      </c>
      <c r="AE191" s="162" t="s">
        <v>1760</v>
      </c>
      <c r="AF191" s="162" t="s">
        <v>5186</v>
      </c>
      <c r="AG191" s="162" t="s">
        <v>34</v>
      </c>
      <c r="AH191" s="162" t="s">
        <v>34</v>
      </c>
      <c r="AI191" s="162" t="s">
        <v>34</v>
      </c>
      <c r="AJ191" s="162" t="s">
        <v>34</v>
      </c>
      <c r="AK191" s="162" t="s">
        <v>2195</v>
      </c>
      <c r="AL191" s="162" t="s">
        <v>34</v>
      </c>
      <c r="AM191" t="s">
        <v>4874</v>
      </c>
      <c r="AN191" s="480"/>
      <c r="AO191" s="480"/>
    </row>
    <row r="192" spans="1:41" x14ac:dyDescent="0.2">
      <c r="A192">
        <v>191</v>
      </c>
      <c r="B192" s="464" t="s">
        <v>1171</v>
      </c>
      <c r="C192" s="162" t="s">
        <v>5179</v>
      </c>
      <c r="D192" s="162" t="s">
        <v>5180</v>
      </c>
      <c r="E192" s="162" t="s">
        <v>2077</v>
      </c>
      <c r="F192" s="162" t="s">
        <v>2023</v>
      </c>
      <c r="G192" s="162" t="s">
        <v>34</v>
      </c>
      <c r="H192" s="162" t="s">
        <v>2198</v>
      </c>
      <c r="I192" s="162" t="s">
        <v>5723</v>
      </c>
      <c r="J192" s="162" t="s">
        <v>2810</v>
      </c>
      <c r="K192" s="162" t="s">
        <v>5286</v>
      </c>
      <c r="L192" s="162">
        <v>206</v>
      </c>
      <c r="M192" s="542">
        <v>206</v>
      </c>
      <c r="N192" s="162" t="s">
        <v>5287</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80"/>
      <c r="AO192" s="480"/>
    </row>
    <row r="193" spans="1:41" x14ac:dyDescent="0.2">
      <c r="A193">
        <v>192</v>
      </c>
      <c r="B193" s="464" t="s">
        <v>1171</v>
      </c>
      <c r="C193" s="162" t="s">
        <v>5434</v>
      </c>
      <c r="D193" s="162" t="s">
        <v>5435</v>
      </c>
      <c r="E193" s="162" t="s">
        <v>2077</v>
      </c>
      <c r="F193" s="162" t="s">
        <v>2023</v>
      </c>
      <c r="G193" s="162" t="s">
        <v>34</v>
      </c>
      <c r="H193" s="162" t="s">
        <v>2198</v>
      </c>
      <c r="I193" s="162" t="s">
        <v>5723</v>
      </c>
      <c r="J193" s="162" t="s">
        <v>2810</v>
      </c>
      <c r="K193" s="162" t="s">
        <v>1327</v>
      </c>
      <c r="L193" s="162" t="s">
        <v>5051</v>
      </c>
      <c r="M193" s="162">
        <v>160720124</v>
      </c>
      <c r="N193" s="162" t="s">
        <v>5436</v>
      </c>
      <c r="O193" s="162" t="s">
        <v>904</v>
      </c>
      <c r="P193" s="162" t="s">
        <v>5052</v>
      </c>
      <c r="Q193" s="162" t="s">
        <v>2274</v>
      </c>
      <c r="R193" s="162" t="s">
        <v>2255</v>
      </c>
      <c r="S193" s="162" t="s">
        <v>5053</v>
      </c>
      <c r="T193" s="162">
        <v>1.17</v>
      </c>
      <c r="U193" s="162" t="s">
        <v>2221</v>
      </c>
      <c r="V193" s="162" t="s">
        <v>2458</v>
      </c>
      <c r="W193" s="162">
        <v>160720124</v>
      </c>
      <c r="X193" s="162" t="s">
        <v>2192</v>
      </c>
      <c r="Y193" s="162" t="s">
        <v>109</v>
      </c>
      <c r="Z193" s="162" t="s">
        <v>109</v>
      </c>
      <c r="AA193" s="162" t="s">
        <v>109</v>
      </c>
      <c r="AB193" s="162" t="s">
        <v>34</v>
      </c>
      <c r="AC193" s="162" t="s">
        <v>2193</v>
      </c>
      <c r="AD193" s="162" t="s">
        <v>5054</v>
      </c>
      <c r="AE193" s="162" t="s">
        <v>1760</v>
      </c>
      <c r="AF193" s="162" t="s">
        <v>3417</v>
      </c>
      <c r="AG193" s="162" t="s">
        <v>34</v>
      </c>
      <c r="AH193" s="162" t="s">
        <v>34</v>
      </c>
      <c r="AI193" s="162" t="s">
        <v>34</v>
      </c>
      <c r="AJ193" s="162" t="s">
        <v>34</v>
      </c>
      <c r="AK193" s="162" t="s">
        <v>2195</v>
      </c>
      <c r="AL193" s="162" t="s">
        <v>34</v>
      </c>
      <c r="AM193" t="s">
        <v>4875</v>
      </c>
      <c r="AN193" s="480"/>
      <c r="AO193" s="480"/>
    </row>
    <row r="194" spans="1:41" x14ac:dyDescent="0.2">
      <c r="A194">
        <v>193</v>
      </c>
      <c r="B194" s="464" t="s">
        <v>1171</v>
      </c>
      <c r="C194" s="162" t="s">
        <v>1186</v>
      </c>
      <c r="D194" s="162" t="s">
        <v>4168</v>
      </c>
      <c r="E194" s="162" t="s">
        <v>2077</v>
      </c>
      <c r="F194" s="162" t="s">
        <v>2023</v>
      </c>
      <c r="G194" s="162" t="s">
        <v>34</v>
      </c>
      <c r="H194" s="162" t="s">
        <v>2198</v>
      </c>
      <c r="I194" s="162" t="s">
        <v>5723</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80">
        <v>0</v>
      </c>
      <c r="AO194" s="480">
        <v>0</v>
      </c>
    </row>
    <row r="195" spans="1:41" x14ac:dyDescent="0.2">
      <c r="A195">
        <v>194</v>
      </c>
      <c r="B195" s="464" t="s">
        <v>1188</v>
      </c>
      <c r="C195" s="162" t="s">
        <v>835</v>
      </c>
      <c r="D195" s="162" t="s">
        <v>4169</v>
      </c>
      <c r="E195" s="162" t="s">
        <v>2078</v>
      </c>
      <c r="F195" s="162" t="s">
        <v>2079</v>
      </c>
      <c r="G195" s="162" t="s">
        <v>34</v>
      </c>
      <c r="H195" s="162" t="s">
        <v>2198</v>
      </c>
      <c r="I195" s="162" t="s">
        <v>5723</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80">
        <v>0</v>
      </c>
      <c r="AO195" s="480">
        <v>0</v>
      </c>
    </row>
    <row r="196" spans="1:41" x14ac:dyDescent="0.2">
      <c r="A196">
        <v>195</v>
      </c>
      <c r="B196" s="464" t="s">
        <v>1188</v>
      </c>
      <c r="C196" s="162" t="s">
        <v>1791</v>
      </c>
      <c r="D196" s="162" t="s">
        <v>4697</v>
      </c>
      <c r="E196" s="162" t="s">
        <v>2078</v>
      </c>
      <c r="F196" s="162" t="s">
        <v>2079</v>
      </c>
      <c r="G196" s="162" t="s">
        <v>34</v>
      </c>
      <c r="H196" s="162" t="s">
        <v>2198</v>
      </c>
      <c r="I196" s="162" t="s">
        <v>5723</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80">
        <v>0</v>
      </c>
      <c r="AO196" s="480">
        <v>0</v>
      </c>
    </row>
    <row r="197" spans="1:41" x14ac:dyDescent="0.2">
      <c r="A197">
        <v>196</v>
      </c>
      <c r="B197" s="464" t="s">
        <v>1196</v>
      </c>
      <c r="C197" s="162" t="s">
        <v>1198</v>
      </c>
      <c r="D197" s="162" t="s">
        <v>4170</v>
      </c>
      <c r="E197" s="162" t="s">
        <v>2083</v>
      </c>
      <c r="F197" s="162" t="s">
        <v>2084</v>
      </c>
      <c r="G197" s="162" t="s">
        <v>34</v>
      </c>
      <c r="H197" s="162" t="s">
        <v>2198</v>
      </c>
      <c r="I197" s="162" t="s">
        <v>5723</v>
      </c>
      <c r="J197" s="162" t="s">
        <v>2810</v>
      </c>
      <c r="K197" s="162" t="s">
        <v>1198</v>
      </c>
      <c r="L197" s="162" t="s">
        <v>2857</v>
      </c>
      <c r="M197" s="542">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80">
        <v>0</v>
      </c>
      <c r="AO197" s="480">
        <v>0</v>
      </c>
    </row>
    <row r="198" spans="1:41" x14ac:dyDescent="0.2">
      <c r="A198">
        <v>197</v>
      </c>
      <c r="B198" s="464" t="s">
        <v>5082</v>
      </c>
      <c r="C198" s="162" t="s">
        <v>5083</v>
      </c>
      <c r="D198" s="162" t="s">
        <v>5084</v>
      </c>
      <c r="E198" s="162" t="s">
        <v>5085</v>
      </c>
      <c r="F198" s="162" t="s">
        <v>5086</v>
      </c>
      <c r="G198" s="162" t="s">
        <v>34</v>
      </c>
      <c r="H198" s="162" t="s">
        <v>2198</v>
      </c>
      <c r="I198" s="162" t="s">
        <v>5723</v>
      </c>
      <c r="J198" s="162" t="s">
        <v>1766</v>
      </c>
      <c r="K198" s="162" t="s">
        <v>5087</v>
      </c>
      <c r="L198" s="162" t="s">
        <v>5088</v>
      </c>
      <c r="M198" s="162" t="s">
        <v>5089</v>
      </c>
      <c r="N198" s="162" t="s">
        <v>5087</v>
      </c>
      <c r="O198" s="162" t="s">
        <v>5090</v>
      </c>
      <c r="P198" s="162" t="s">
        <v>5091</v>
      </c>
      <c r="Q198" s="162" t="s">
        <v>2196</v>
      </c>
      <c r="R198" s="162" t="s">
        <v>2191</v>
      </c>
      <c r="S198" s="162" t="s">
        <v>5092</v>
      </c>
      <c r="T198" s="162">
        <v>25</v>
      </c>
      <c r="U198" s="162" t="s">
        <v>1950</v>
      </c>
      <c r="V198" s="162" t="s">
        <v>5093</v>
      </c>
      <c r="W198" s="162" t="s">
        <v>5094</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80"/>
      <c r="AO198" s="480"/>
    </row>
    <row r="199" spans="1:41" x14ac:dyDescent="0.2">
      <c r="A199">
        <v>198</v>
      </c>
      <c r="B199" s="464" t="s">
        <v>1964</v>
      </c>
      <c r="C199" s="162" t="s">
        <v>1966</v>
      </c>
      <c r="D199" s="162" t="s">
        <v>4171</v>
      </c>
      <c r="E199" s="162" t="s">
        <v>2087</v>
      </c>
      <c r="F199" s="162" t="s">
        <v>2088</v>
      </c>
      <c r="G199" s="162" t="s">
        <v>34</v>
      </c>
      <c r="H199" s="162" t="s">
        <v>2198</v>
      </c>
      <c r="I199" s="162" t="s">
        <v>5723</v>
      </c>
      <c r="J199" s="162" t="s">
        <v>2810</v>
      </c>
      <c r="K199" s="162" t="s">
        <v>1118</v>
      </c>
      <c r="L199" s="162" t="s">
        <v>2860</v>
      </c>
      <c r="M199" s="542">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80">
        <v>0</v>
      </c>
      <c r="AO199" s="480">
        <v>0</v>
      </c>
    </row>
    <row r="200" spans="1:41" x14ac:dyDescent="0.2">
      <c r="A200">
        <v>199</v>
      </c>
      <c r="B200" s="464" t="s">
        <v>1964</v>
      </c>
      <c r="C200" s="162" t="s">
        <v>1968</v>
      </c>
      <c r="D200" s="162" t="s">
        <v>4172</v>
      </c>
      <c r="E200" s="162" t="s">
        <v>2087</v>
      </c>
      <c r="F200" s="162" t="s">
        <v>2088</v>
      </c>
      <c r="G200" s="162" t="s">
        <v>34</v>
      </c>
      <c r="H200" s="162" t="s">
        <v>2198</v>
      </c>
      <c r="I200" s="162" t="s">
        <v>5723</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80">
        <v>0</v>
      </c>
      <c r="AO200" s="480">
        <v>0</v>
      </c>
    </row>
    <row r="201" spans="1:41" x14ac:dyDescent="0.2">
      <c r="A201">
        <v>200</v>
      </c>
      <c r="B201" s="464" t="s">
        <v>1203</v>
      </c>
      <c r="C201" s="162" t="s">
        <v>4658</v>
      </c>
      <c r="D201" s="162" t="s">
        <v>4662</v>
      </c>
      <c r="E201" s="162" t="s">
        <v>2089</v>
      </c>
      <c r="F201" s="162" t="s">
        <v>2090</v>
      </c>
      <c r="G201" s="162" t="s">
        <v>34</v>
      </c>
      <c r="H201" s="162" t="s">
        <v>2198</v>
      </c>
      <c r="I201" s="162" t="s">
        <v>5723</v>
      </c>
      <c r="J201" s="162" t="s">
        <v>2466</v>
      </c>
      <c r="K201" s="162" t="s">
        <v>1061</v>
      </c>
      <c r="L201" s="162" t="s">
        <v>2887</v>
      </c>
      <c r="M201" s="162">
        <v>14572</v>
      </c>
      <c r="N201" s="162" t="s">
        <v>4658</v>
      </c>
      <c r="O201" s="162" t="s">
        <v>5726</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80">
        <v>1.4583333333333332E-2</v>
      </c>
      <c r="AO201" s="480">
        <v>0</v>
      </c>
    </row>
    <row r="202" spans="1:41" x14ac:dyDescent="0.2">
      <c r="A202">
        <v>201</v>
      </c>
      <c r="B202" s="464" t="s">
        <v>1203</v>
      </c>
      <c r="C202" s="162" t="s">
        <v>4659</v>
      </c>
      <c r="D202" s="162" t="s">
        <v>4663</v>
      </c>
      <c r="E202" s="162" t="s">
        <v>2089</v>
      </c>
      <c r="F202" s="162" t="s">
        <v>2090</v>
      </c>
      <c r="G202" s="162" t="s">
        <v>34</v>
      </c>
      <c r="H202" s="162" t="s">
        <v>2198</v>
      </c>
      <c r="I202" s="162" t="s">
        <v>5723</v>
      </c>
      <c r="J202" s="162" t="s">
        <v>2466</v>
      </c>
      <c r="K202" s="162" t="s">
        <v>1061</v>
      </c>
      <c r="L202" s="162" t="s">
        <v>2873</v>
      </c>
      <c r="M202" s="162" t="s">
        <v>2874</v>
      </c>
      <c r="N202" s="162" t="s">
        <v>4659</v>
      </c>
      <c r="O202" s="162" t="s">
        <v>5726</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80">
        <v>1.4583333333333332E-2</v>
      </c>
      <c r="AO202" s="480">
        <v>0</v>
      </c>
    </row>
    <row r="203" spans="1:41" x14ac:dyDescent="0.2">
      <c r="A203">
        <v>202</v>
      </c>
      <c r="B203" s="464" t="s">
        <v>1203</v>
      </c>
      <c r="C203" s="162" t="s">
        <v>1205</v>
      </c>
      <c r="D203" s="162" t="s">
        <v>4173</v>
      </c>
      <c r="E203" s="162" t="s">
        <v>2089</v>
      </c>
      <c r="F203" s="162" t="s">
        <v>2090</v>
      </c>
      <c r="G203" s="162" t="s">
        <v>34</v>
      </c>
      <c r="H203" s="162" t="s">
        <v>2198</v>
      </c>
      <c r="I203" s="162" t="s">
        <v>5723</v>
      </c>
      <c r="J203" s="162" t="s">
        <v>2466</v>
      </c>
      <c r="K203" s="162" t="s">
        <v>2927</v>
      </c>
      <c r="L203" s="162" t="s">
        <v>2614</v>
      </c>
      <c r="M203" s="162">
        <v>116668</v>
      </c>
      <c r="N203" s="162" t="s">
        <v>1205</v>
      </c>
      <c r="O203" s="162" t="s">
        <v>5724</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80">
        <v>1.4583333333333332E-2</v>
      </c>
      <c r="AO203" s="480">
        <v>2.1527777777777781E-2</v>
      </c>
    </row>
    <row r="204" spans="1:41" x14ac:dyDescent="0.2">
      <c r="A204">
        <v>203</v>
      </c>
      <c r="B204" s="464" t="s">
        <v>1203</v>
      </c>
      <c r="C204" s="162" t="s">
        <v>1214</v>
      </c>
      <c r="D204" s="162" t="s">
        <v>4174</v>
      </c>
      <c r="E204" s="162" t="s">
        <v>2089</v>
      </c>
      <c r="F204" s="162" t="s">
        <v>2090</v>
      </c>
      <c r="G204" s="162" t="s">
        <v>34</v>
      </c>
      <c r="H204" s="162" t="s">
        <v>2198</v>
      </c>
      <c r="I204" s="162" t="s">
        <v>5723</v>
      </c>
      <c r="J204" s="162" t="s">
        <v>2466</v>
      </c>
      <c r="K204" s="162" t="s">
        <v>2921</v>
      </c>
      <c r="L204" s="162" t="s">
        <v>2922</v>
      </c>
      <c r="M204" s="162">
        <v>173757</v>
      </c>
      <c r="N204" s="162" t="s">
        <v>1214</v>
      </c>
      <c r="O204" s="162" t="s">
        <v>5724</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80">
        <v>1.4583333333333332E-2</v>
      </c>
      <c r="AO204" s="480">
        <v>2.1527777777777781E-2</v>
      </c>
    </row>
    <row r="205" spans="1:41" x14ac:dyDescent="0.2">
      <c r="A205">
        <v>204</v>
      </c>
      <c r="B205" s="464" t="s">
        <v>1203</v>
      </c>
      <c r="C205" s="162" t="s">
        <v>1218</v>
      </c>
      <c r="D205" s="162" t="s">
        <v>4175</v>
      </c>
      <c r="E205" s="162" t="s">
        <v>2089</v>
      </c>
      <c r="F205" s="162" t="s">
        <v>2090</v>
      </c>
      <c r="G205" s="162" t="s">
        <v>34</v>
      </c>
      <c r="H205" s="162" t="s">
        <v>2198</v>
      </c>
      <c r="I205" s="162" t="s">
        <v>5723</v>
      </c>
      <c r="J205" s="162" t="s">
        <v>2466</v>
      </c>
      <c r="K205" s="162" t="s">
        <v>1061</v>
      </c>
      <c r="L205" s="162" t="s">
        <v>2890</v>
      </c>
      <c r="M205" s="162" t="s">
        <v>2891</v>
      </c>
      <c r="N205" s="162" t="s">
        <v>1218</v>
      </c>
      <c r="O205" s="162" t="s">
        <v>5749</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5292</v>
      </c>
      <c r="AC205" s="162" t="s">
        <v>2193</v>
      </c>
      <c r="AD205" s="162" t="s">
        <v>2194</v>
      </c>
      <c r="AE205" s="162" t="s">
        <v>1760</v>
      </c>
      <c r="AF205" s="162">
        <v>10</v>
      </c>
      <c r="AG205" s="162">
        <v>0.2</v>
      </c>
      <c r="AH205" s="162">
        <v>0.2</v>
      </c>
      <c r="AI205" s="162" t="s">
        <v>34</v>
      </c>
      <c r="AJ205" s="162" t="s">
        <v>34</v>
      </c>
      <c r="AK205" s="162" t="s">
        <v>2195</v>
      </c>
      <c r="AL205" s="162" t="s">
        <v>34</v>
      </c>
      <c r="AM205" t="s">
        <v>4874</v>
      </c>
      <c r="AN205" s="480">
        <v>1.4583333333333332E-2</v>
      </c>
      <c r="AO205" s="480">
        <v>0</v>
      </c>
    </row>
    <row r="206" spans="1:41" x14ac:dyDescent="0.2">
      <c r="A206">
        <v>205</v>
      </c>
      <c r="B206" s="464" t="s">
        <v>1203</v>
      </c>
      <c r="C206" s="162" t="s">
        <v>1226</v>
      </c>
      <c r="D206" s="162" t="s">
        <v>4176</v>
      </c>
      <c r="E206" s="162" t="s">
        <v>2089</v>
      </c>
      <c r="F206" s="162" t="s">
        <v>2090</v>
      </c>
      <c r="G206" s="162" t="s">
        <v>34</v>
      </c>
      <c r="H206" s="162" t="s">
        <v>2198</v>
      </c>
      <c r="I206" s="162" t="s">
        <v>5723</v>
      </c>
      <c r="J206" s="162" t="s">
        <v>2466</v>
      </c>
      <c r="K206" s="162" t="s">
        <v>2913</v>
      </c>
      <c r="L206" s="162" t="s">
        <v>2200</v>
      </c>
      <c r="M206" s="162" t="s">
        <v>2914</v>
      </c>
      <c r="N206" s="162" t="s">
        <v>1226</v>
      </c>
      <c r="O206" s="162" t="s">
        <v>5750</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80">
        <v>1.4583333333333332E-2</v>
      </c>
      <c r="AO206" s="480">
        <v>0</v>
      </c>
    </row>
    <row r="207" spans="1:41" x14ac:dyDescent="0.2">
      <c r="A207">
        <v>206</v>
      </c>
      <c r="B207" s="464" t="s">
        <v>1203</v>
      </c>
      <c r="C207" s="162" t="s">
        <v>1221</v>
      </c>
      <c r="D207" s="162" t="s">
        <v>4177</v>
      </c>
      <c r="E207" s="162" t="s">
        <v>2089</v>
      </c>
      <c r="F207" s="162" t="s">
        <v>2090</v>
      </c>
      <c r="G207" s="162" t="s">
        <v>34</v>
      </c>
      <c r="H207" s="162" t="s">
        <v>2198</v>
      </c>
      <c r="I207" s="162" t="s">
        <v>5723</v>
      </c>
      <c r="J207" s="162" t="s">
        <v>2466</v>
      </c>
      <c r="K207" s="162" t="s">
        <v>1061</v>
      </c>
      <c r="L207" s="162" t="s">
        <v>2883</v>
      </c>
      <c r="M207" s="162" t="s">
        <v>2884</v>
      </c>
      <c r="N207" s="162" t="s">
        <v>1221</v>
      </c>
      <c r="O207" s="162" t="s">
        <v>5726</v>
      </c>
      <c r="P207" s="162" t="s">
        <v>2491</v>
      </c>
      <c r="Q207" s="162" t="s">
        <v>4936</v>
      </c>
      <c r="R207" s="162" t="s">
        <v>2191</v>
      </c>
      <c r="S207" s="162" t="s">
        <v>2885</v>
      </c>
      <c r="T207" s="162">
        <v>20</v>
      </c>
      <c r="U207" s="162" t="s">
        <v>2218</v>
      </c>
      <c r="V207" s="162" t="s">
        <v>2473</v>
      </c>
      <c r="W207" s="162" t="s">
        <v>5610</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80">
        <v>1.4583333333333332E-2</v>
      </c>
      <c r="AO207" s="480">
        <v>0</v>
      </c>
    </row>
    <row r="208" spans="1:41" x14ac:dyDescent="0.2">
      <c r="A208">
        <v>207</v>
      </c>
      <c r="B208" s="464" t="s">
        <v>1203</v>
      </c>
      <c r="C208" s="162" t="s">
        <v>1216</v>
      </c>
      <c r="D208" s="162" t="s">
        <v>4178</v>
      </c>
      <c r="E208" s="162" t="s">
        <v>2089</v>
      </c>
      <c r="F208" s="162" t="s">
        <v>2090</v>
      </c>
      <c r="G208" s="162" t="s">
        <v>34</v>
      </c>
      <c r="H208" s="162" t="s">
        <v>2198</v>
      </c>
      <c r="I208" s="162" t="s">
        <v>5723</v>
      </c>
      <c r="J208" s="162" t="s">
        <v>2466</v>
      </c>
      <c r="K208" s="162" t="s">
        <v>2913</v>
      </c>
      <c r="L208" s="162" t="s">
        <v>2918</v>
      </c>
      <c r="M208" s="162" t="s">
        <v>2919</v>
      </c>
      <c r="N208" s="162" t="s">
        <v>1216</v>
      </c>
      <c r="O208" s="162" t="s">
        <v>5751</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80">
        <v>1.4583333333333332E-2</v>
      </c>
      <c r="AO208" s="480">
        <v>0</v>
      </c>
    </row>
    <row r="209" spans="1:41" x14ac:dyDescent="0.2">
      <c r="A209">
        <v>208</v>
      </c>
      <c r="B209" s="464" t="s">
        <v>1203</v>
      </c>
      <c r="C209" s="162" t="s">
        <v>1223</v>
      </c>
      <c r="D209" s="162" t="s">
        <v>4179</v>
      </c>
      <c r="E209" s="162" t="s">
        <v>2089</v>
      </c>
      <c r="F209" s="162" t="s">
        <v>2090</v>
      </c>
      <c r="G209" s="162" t="s">
        <v>34</v>
      </c>
      <c r="H209" s="162" t="s">
        <v>2198</v>
      </c>
      <c r="I209" s="162" t="s">
        <v>5723</v>
      </c>
      <c r="J209" s="162" t="s">
        <v>2466</v>
      </c>
      <c r="K209" s="162" t="s">
        <v>1061</v>
      </c>
      <c r="L209" s="162" t="s">
        <v>2879</v>
      </c>
      <c r="M209" s="162" t="s">
        <v>2880</v>
      </c>
      <c r="N209" s="162" t="s">
        <v>1223</v>
      </c>
      <c r="O209" s="162" t="s">
        <v>5724</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80">
        <v>1.4583333333333332E-2</v>
      </c>
      <c r="AO209" s="480">
        <v>0</v>
      </c>
    </row>
    <row r="210" spans="1:41" x14ac:dyDescent="0.2">
      <c r="A210">
        <v>209</v>
      </c>
      <c r="B210" s="464" t="s">
        <v>1203</v>
      </c>
      <c r="C210" s="162" t="s">
        <v>1212</v>
      </c>
      <c r="D210" s="162" t="s">
        <v>4180</v>
      </c>
      <c r="E210" s="162" t="s">
        <v>2089</v>
      </c>
      <c r="F210" s="162" t="s">
        <v>2090</v>
      </c>
      <c r="G210" s="162" t="s">
        <v>34</v>
      </c>
      <c r="H210" s="162" t="s">
        <v>2198</v>
      </c>
      <c r="I210" s="162" t="s">
        <v>5752</v>
      </c>
      <c r="J210" s="162" t="s">
        <v>2466</v>
      </c>
      <c r="K210" s="162" t="s">
        <v>1239</v>
      </c>
      <c r="L210" s="162" t="s">
        <v>2313</v>
      </c>
      <c r="M210" s="162" t="s">
        <v>1212</v>
      </c>
      <c r="N210" s="162" t="s">
        <v>1212</v>
      </c>
      <c r="O210" s="162" t="s">
        <v>4987</v>
      </c>
      <c r="P210" s="162" t="s">
        <v>2909</v>
      </c>
      <c r="Q210" s="162" t="s">
        <v>4947</v>
      </c>
      <c r="R210" s="162" t="s">
        <v>2191</v>
      </c>
      <c r="S210" s="162" t="s">
        <v>2910</v>
      </c>
      <c r="T210" s="162">
        <v>120</v>
      </c>
      <c r="U210" s="162" t="s">
        <v>2220</v>
      </c>
      <c r="V210" s="162" t="s">
        <v>2911</v>
      </c>
      <c r="W210" s="162" t="s">
        <v>2912</v>
      </c>
      <c r="X210" s="162" t="s">
        <v>5153</v>
      </c>
      <c r="Y210" s="162" t="s">
        <v>109</v>
      </c>
      <c r="Z210" s="162" t="s">
        <v>109</v>
      </c>
      <c r="AA210" s="162" t="s">
        <v>109</v>
      </c>
      <c r="AB210" s="162" t="s">
        <v>5154</v>
      </c>
      <c r="AC210" s="162" t="s">
        <v>2193</v>
      </c>
      <c r="AD210" s="162" t="s">
        <v>2194</v>
      </c>
      <c r="AE210" s="162" t="s">
        <v>1760</v>
      </c>
      <c r="AF210" s="162">
        <v>0</v>
      </c>
      <c r="AG210" s="162">
        <v>0</v>
      </c>
      <c r="AH210" s="162">
        <v>0.15</v>
      </c>
      <c r="AI210" s="162" t="s">
        <v>3992</v>
      </c>
      <c r="AJ210" s="162" t="s">
        <v>34</v>
      </c>
      <c r="AK210" s="162" t="s">
        <v>2195</v>
      </c>
      <c r="AL210" s="162" t="s">
        <v>34</v>
      </c>
      <c r="AM210" t="s">
        <v>4877</v>
      </c>
      <c r="AN210" s="480">
        <v>0</v>
      </c>
      <c r="AO210" s="480">
        <v>0</v>
      </c>
    </row>
    <row r="211" spans="1:41" x14ac:dyDescent="0.2">
      <c r="A211">
        <v>210</v>
      </c>
      <c r="B211" s="464" t="s">
        <v>1203</v>
      </c>
      <c r="C211" s="162" t="s">
        <v>4799</v>
      </c>
      <c r="D211" s="162" t="s">
        <v>4800</v>
      </c>
      <c r="E211" s="162" t="s">
        <v>2089</v>
      </c>
      <c r="F211" s="162" t="s">
        <v>2090</v>
      </c>
      <c r="G211" s="162" t="s">
        <v>34</v>
      </c>
      <c r="H211" s="162" t="s">
        <v>2198</v>
      </c>
      <c r="I211" s="162" t="s">
        <v>5723</v>
      </c>
      <c r="J211" s="162" t="s">
        <v>2466</v>
      </c>
      <c r="K211" s="162" t="s">
        <v>2886</v>
      </c>
      <c r="L211" s="162" t="s">
        <v>2901</v>
      </c>
      <c r="M211" s="162" t="s">
        <v>2902</v>
      </c>
      <c r="N211" s="162" t="s">
        <v>1207</v>
      </c>
      <c r="O211" s="162" t="s">
        <v>5749</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80">
        <v>0</v>
      </c>
      <c r="AO211" s="480">
        <v>0</v>
      </c>
    </row>
    <row r="212" spans="1:41" x14ac:dyDescent="0.2">
      <c r="A212">
        <v>211</v>
      </c>
      <c r="B212" s="464" t="s">
        <v>1203</v>
      </c>
      <c r="C212" s="162" t="s">
        <v>4801</v>
      </c>
      <c r="D212" s="162" t="s">
        <v>4802</v>
      </c>
      <c r="E212" s="162" t="s">
        <v>2089</v>
      </c>
      <c r="F212" s="162" t="s">
        <v>2090</v>
      </c>
      <c r="G212" s="162" t="s">
        <v>34</v>
      </c>
      <c r="H212" s="162" t="s">
        <v>2198</v>
      </c>
      <c r="I212" s="162" t="s">
        <v>5723</v>
      </c>
      <c r="J212" s="162" t="s">
        <v>2466</v>
      </c>
      <c r="K212" s="162" t="s">
        <v>2886</v>
      </c>
      <c r="L212" s="162" t="s">
        <v>2901</v>
      </c>
      <c r="M212" s="162" t="s">
        <v>2902</v>
      </c>
      <c r="N212" s="162" t="s">
        <v>1207</v>
      </c>
      <c r="O212" s="162" t="s">
        <v>5749</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80">
        <v>0</v>
      </c>
      <c r="AO212" s="480">
        <v>0</v>
      </c>
    </row>
    <row r="213" spans="1:41" x14ac:dyDescent="0.2">
      <c r="A213">
        <v>212</v>
      </c>
      <c r="B213" s="464" t="s">
        <v>1203</v>
      </c>
      <c r="C213" s="162" t="s">
        <v>1209</v>
      </c>
      <c r="D213" s="162" t="s">
        <v>4181</v>
      </c>
      <c r="E213" s="162" t="s">
        <v>2089</v>
      </c>
      <c r="F213" s="162" t="s">
        <v>2090</v>
      </c>
      <c r="G213" s="162" t="s">
        <v>34</v>
      </c>
      <c r="H213" s="162" t="s">
        <v>2198</v>
      </c>
      <c r="I213" s="162" t="s">
        <v>5723</v>
      </c>
      <c r="J213" s="162" t="s">
        <v>2466</v>
      </c>
      <c r="K213" s="162" t="s">
        <v>2886</v>
      </c>
      <c r="L213" s="162" t="s">
        <v>2894</v>
      </c>
      <c r="M213" s="162" t="s">
        <v>2895</v>
      </c>
      <c r="N213" s="162" t="s">
        <v>1209</v>
      </c>
      <c r="O213" s="162" t="s">
        <v>5753</v>
      </c>
      <c r="P213" s="162" t="s">
        <v>2896</v>
      </c>
      <c r="Q213" s="162" t="s">
        <v>4947</v>
      </c>
      <c r="R213" s="162" t="s">
        <v>2191</v>
      </c>
      <c r="S213" s="162" t="s">
        <v>5002</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80">
        <v>0</v>
      </c>
      <c r="AO213" s="480">
        <v>0</v>
      </c>
    </row>
    <row r="214" spans="1:41" x14ac:dyDescent="0.2">
      <c r="A214">
        <v>213</v>
      </c>
      <c r="B214" s="464" t="s">
        <v>1228</v>
      </c>
      <c r="C214" s="162" t="s">
        <v>1232</v>
      </c>
      <c r="D214" s="162" t="s">
        <v>4182</v>
      </c>
      <c r="E214" s="162" t="s">
        <v>2091</v>
      </c>
      <c r="F214" s="162" t="s">
        <v>2092</v>
      </c>
      <c r="G214" s="162" t="s">
        <v>34</v>
      </c>
      <c r="H214" s="162" t="s">
        <v>2198</v>
      </c>
      <c r="I214" s="162" t="s">
        <v>5723</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5503</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80">
        <v>0</v>
      </c>
      <c r="AO214" s="480">
        <v>0</v>
      </c>
    </row>
    <row r="215" spans="1:41" x14ac:dyDescent="0.2">
      <c r="A215">
        <v>214</v>
      </c>
      <c r="B215" s="464" t="s">
        <v>1228</v>
      </c>
      <c r="C215" s="162" t="s">
        <v>1230</v>
      </c>
      <c r="D215" s="162" t="s">
        <v>4183</v>
      </c>
      <c r="E215" s="162" t="s">
        <v>2091</v>
      </c>
      <c r="F215" s="162" t="s">
        <v>2092</v>
      </c>
      <c r="G215" s="162" t="s">
        <v>34</v>
      </c>
      <c r="H215" s="162" t="s">
        <v>2198</v>
      </c>
      <c r="I215" s="162" t="s">
        <v>5723</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5437</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80">
        <v>0</v>
      </c>
      <c r="AO215" s="480">
        <v>0</v>
      </c>
    </row>
    <row r="216" spans="1:41" x14ac:dyDescent="0.2">
      <c r="A216">
        <v>215</v>
      </c>
      <c r="B216" s="464" t="s">
        <v>1228</v>
      </c>
      <c r="C216" s="162" t="s">
        <v>1970</v>
      </c>
      <c r="D216" s="162" t="s">
        <v>4184</v>
      </c>
      <c r="E216" s="162" t="s">
        <v>2091</v>
      </c>
      <c r="F216" s="162" t="s">
        <v>2092</v>
      </c>
      <c r="G216" s="162" t="s">
        <v>34</v>
      </c>
      <c r="H216" s="162" t="s">
        <v>2198</v>
      </c>
      <c r="I216" s="162" t="s">
        <v>5723</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80">
        <v>0</v>
      </c>
      <c r="AO216" s="480">
        <v>0</v>
      </c>
    </row>
    <row r="217" spans="1:41" x14ac:dyDescent="0.2">
      <c r="A217">
        <v>216</v>
      </c>
      <c r="B217" s="464" t="s">
        <v>4805</v>
      </c>
      <c r="C217" s="162" t="s">
        <v>4806</v>
      </c>
      <c r="D217" s="162" t="s">
        <v>4807</v>
      </c>
      <c r="E217" s="162" t="s">
        <v>4808</v>
      </c>
      <c r="F217" s="162" t="s">
        <v>4809</v>
      </c>
      <c r="G217" s="162" t="s">
        <v>4810</v>
      </c>
      <c r="H217" s="162" t="s">
        <v>2198</v>
      </c>
      <c r="I217" s="162" t="s">
        <v>5723</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80">
        <v>0</v>
      </c>
      <c r="AO217" s="480">
        <v>0</v>
      </c>
    </row>
    <row r="218" spans="1:41" x14ac:dyDescent="0.2">
      <c r="A218">
        <v>217</v>
      </c>
      <c r="B218" s="464" t="s">
        <v>1775</v>
      </c>
      <c r="C218" s="162" t="s">
        <v>1777</v>
      </c>
      <c r="D218" s="162" t="s">
        <v>4185</v>
      </c>
      <c r="E218" s="162" t="s">
        <v>2942</v>
      </c>
      <c r="F218" s="162" t="s">
        <v>2096</v>
      </c>
      <c r="G218" s="162" t="s">
        <v>34</v>
      </c>
      <c r="H218" s="162" t="s">
        <v>2198</v>
      </c>
      <c r="I218" s="162" t="s">
        <v>5723</v>
      </c>
      <c r="J218" s="162" t="s">
        <v>2810</v>
      </c>
      <c r="K218" s="162" t="s">
        <v>1908</v>
      </c>
      <c r="L218" s="162" t="s">
        <v>2943</v>
      </c>
      <c r="M218" s="542"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80">
        <v>0</v>
      </c>
      <c r="AO218" s="480">
        <v>0</v>
      </c>
    </row>
    <row r="219" spans="1:41" x14ac:dyDescent="0.2">
      <c r="A219">
        <v>218</v>
      </c>
      <c r="B219" s="464" t="s">
        <v>1237</v>
      </c>
      <c r="C219" s="162" t="s">
        <v>4728</v>
      </c>
      <c r="D219" s="162" t="s">
        <v>4729</v>
      </c>
      <c r="E219" s="162" t="s">
        <v>2948</v>
      </c>
      <c r="F219" s="162" t="s">
        <v>2949</v>
      </c>
      <c r="G219" s="162" t="s">
        <v>34</v>
      </c>
      <c r="H219" s="162" t="s">
        <v>2198</v>
      </c>
      <c r="I219" s="162" t="s">
        <v>4730</v>
      </c>
      <c r="J219" s="162" t="s">
        <v>2466</v>
      </c>
      <c r="K219" s="162" t="s">
        <v>4728</v>
      </c>
      <c r="L219" s="162" t="s">
        <v>4731</v>
      </c>
      <c r="M219" s="542">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80">
        <v>0</v>
      </c>
      <c r="AO219" s="480">
        <v>0</v>
      </c>
    </row>
    <row r="220" spans="1:41" x14ac:dyDescent="0.2">
      <c r="A220">
        <v>219</v>
      </c>
      <c r="B220" s="464" t="s">
        <v>1237</v>
      </c>
      <c r="C220" s="162" t="s">
        <v>4781</v>
      </c>
      <c r="D220" s="162" t="s">
        <v>4782</v>
      </c>
      <c r="E220" s="162" t="s">
        <v>2948</v>
      </c>
      <c r="F220" s="162" t="s">
        <v>2949</v>
      </c>
      <c r="G220" s="162" t="s">
        <v>34</v>
      </c>
      <c r="H220" s="162" t="s">
        <v>2198</v>
      </c>
      <c r="I220" s="162" t="s">
        <v>4730</v>
      </c>
      <c r="J220" s="162" t="s">
        <v>2466</v>
      </c>
      <c r="K220" s="162" t="s">
        <v>4781</v>
      </c>
      <c r="L220" s="162" t="s">
        <v>4796</v>
      </c>
      <c r="M220" s="542">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80">
        <v>0</v>
      </c>
      <c r="AO220" s="480">
        <v>0</v>
      </c>
    </row>
    <row r="221" spans="1:41" x14ac:dyDescent="0.2">
      <c r="A221">
        <v>220</v>
      </c>
      <c r="B221" s="464" t="s">
        <v>1237</v>
      </c>
      <c r="C221" s="162" t="s">
        <v>1241</v>
      </c>
      <c r="D221" s="162" t="s">
        <v>4186</v>
      </c>
      <c r="E221" s="162" t="s">
        <v>2948</v>
      </c>
      <c r="F221" s="162" t="s">
        <v>2949</v>
      </c>
      <c r="G221" s="162" t="s">
        <v>34</v>
      </c>
      <c r="H221" s="162" t="s">
        <v>2198</v>
      </c>
      <c r="I221" s="162" t="s">
        <v>5723</v>
      </c>
      <c r="J221" s="162" t="s">
        <v>2810</v>
      </c>
      <c r="K221" s="162" t="s">
        <v>1121</v>
      </c>
      <c r="L221" s="162" t="s">
        <v>2950</v>
      </c>
      <c r="M221" s="542">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80">
        <v>0</v>
      </c>
      <c r="AO221" s="480">
        <v>0</v>
      </c>
    </row>
    <row r="222" spans="1:41" x14ac:dyDescent="0.2">
      <c r="A222">
        <v>221</v>
      </c>
      <c r="B222" s="464" t="s">
        <v>1237</v>
      </c>
      <c r="C222" s="162" t="s">
        <v>1239</v>
      </c>
      <c r="D222" s="162" t="s">
        <v>4187</v>
      </c>
      <c r="E222" s="162" t="s">
        <v>2948</v>
      </c>
      <c r="F222" s="162" t="s">
        <v>2949</v>
      </c>
      <c r="G222" s="162" t="s">
        <v>34</v>
      </c>
      <c r="H222" s="162" t="s">
        <v>2198</v>
      </c>
      <c r="I222" s="162" t="s">
        <v>5723</v>
      </c>
      <c r="J222" s="162" t="s">
        <v>2810</v>
      </c>
      <c r="K222" s="162" t="s">
        <v>2320</v>
      </c>
      <c r="L222" s="162" t="s">
        <v>2189</v>
      </c>
      <c r="M222" s="542">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80">
        <v>0</v>
      </c>
      <c r="AO222" s="480">
        <v>0</v>
      </c>
    </row>
    <row r="223" spans="1:41" x14ac:dyDescent="0.2">
      <c r="A223">
        <v>222</v>
      </c>
      <c r="B223" s="464" t="s">
        <v>1243</v>
      </c>
      <c r="C223" s="162" t="s">
        <v>1245</v>
      </c>
      <c r="D223" s="162" t="s">
        <v>4188</v>
      </c>
      <c r="E223" s="162" t="s">
        <v>2099</v>
      </c>
      <c r="F223" s="162" t="s">
        <v>2100</v>
      </c>
      <c r="G223" s="162" t="s">
        <v>34</v>
      </c>
      <c r="H223" s="162" t="s">
        <v>2198</v>
      </c>
      <c r="I223" s="162" t="s">
        <v>5723</v>
      </c>
      <c r="J223" s="162" t="s">
        <v>2466</v>
      </c>
      <c r="K223" s="162" t="s">
        <v>2886</v>
      </c>
      <c r="L223" s="162" t="s">
        <v>2959</v>
      </c>
      <c r="M223" s="542">
        <v>332372</v>
      </c>
      <c r="N223" s="162" t="s">
        <v>1245</v>
      </c>
      <c r="O223" s="162" t="s">
        <v>5754</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80">
        <v>0</v>
      </c>
      <c r="AO223" s="480">
        <v>0</v>
      </c>
    </row>
    <row r="224" spans="1:41" x14ac:dyDescent="0.2">
      <c r="A224">
        <v>223</v>
      </c>
      <c r="B224" s="464" t="s">
        <v>1247</v>
      </c>
      <c r="C224" s="162" t="s">
        <v>817</v>
      </c>
      <c r="D224" s="162" t="s">
        <v>4189</v>
      </c>
      <c r="E224" s="162" t="s">
        <v>2101</v>
      </c>
      <c r="F224" s="162" t="s">
        <v>2102</v>
      </c>
      <c r="G224" s="162" t="s">
        <v>34</v>
      </c>
      <c r="H224" s="162" t="s">
        <v>2198</v>
      </c>
      <c r="I224" s="162" t="s">
        <v>5723</v>
      </c>
      <c r="J224" s="162" t="s">
        <v>2466</v>
      </c>
      <c r="K224" s="162" t="s">
        <v>817</v>
      </c>
      <c r="L224" s="162" t="s">
        <v>2964</v>
      </c>
      <c r="M224" s="542"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80">
        <v>0</v>
      </c>
      <c r="AO224" s="480">
        <v>0</v>
      </c>
    </row>
    <row r="225" spans="1:41" x14ac:dyDescent="0.2">
      <c r="A225">
        <v>224</v>
      </c>
      <c r="B225" s="464" t="s">
        <v>1250</v>
      </c>
      <c r="C225" s="162" t="s">
        <v>1252</v>
      </c>
      <c r="D225" s="162" t="s">
        <v>4190</v>
      </c>
      <c r="E225" s="162" t="s">
        <v>2966</v>
      </c>
      <c r="F225" s="162" t="s">
        <v>2104</v>
      </c>
      <c r="G225" s="162" t="s">
        <v>34</v>
      </c>
      <c r="H225" s="162" t="s">
        <v>2198</v>
      </c>
      <c r="I225" s="162" t="s">
        <v>5723</v>
      </c>
      <c r="J225" s="162" t="s">
        <v>2810</v>
      </c>
      <c r="K225" s="162" t="s">
        <v>2815</v>
      </c>
      <c r="L225" s="162" t="s">
        <v>2313</v>
      </c>
      <c r="M225" s="542" t="s">
        <v>1252</v>
      </c>
      <c r="N225" s="162" t="s">
        <v>1252</v>
      </c>
      <c r="O225" s="162" t="s">
        <v>904</v>
      </c>
      <c r="P225" s="162" t="s">
        <v>2967</v>
      </c>
      <c r="Q225" s="162" t="s">
        <v>5244</v>
      </c>
      <c r="R225" s="162" t="s">
        <v>2191</v>
      </c>
      <c r="S225" s="162" t="s">
        <v>5245</v>
      </c>
      <c r="T225" s="162">
        <v>1.59</v>
      </c>
      <c r="U225" s="162" t="s">
        <v>1950</v>
      </c>
      <c r="V225" s="162" t="s">
        <v>2616</v>
      </c>
      <c r="W225" s="162" t="s">
        <v>2968</v>
      </c>
      <c r="X225" s="162" t="s">
        <v>2192</v>
      </c>
      <c r="Y225" s="162" t="s">
        <v>109</v>
      </c>
      <c r="Z225" s="162" t="s">
        <v>109</v>
      </c>
      <c r="AA225" s="162" t="s">
        <v>109</v>
      </c>
      <c r="AB225" s="162" t="s">
        <v>5246</v>
      </c>
      <c r="AC225" s="162" t="s">
        <v>2193</v>
      </c>
      <c r="AD225" s="162" t="s">
        <v>2194</v>
      </c>
      <c r="AE225" s="162" t="s">
        <v>1760</v>
      </c>
      <c r="AF225" s="162">
        <v>2</v>
      </c>
      <c r="AG225" s="162">
        <v>100</v>
      </c>
      <c r="AH225" s="162">
        <v>10</v>
      </c>
      <c r="AI225" s="162" t="s">
        <v>4000</v>
      </c>
      <c r="AJ225" s="162" t="s">
        <v>34</v>
      </c>
      <c r="AK225" s="162" t="s">
        <v>2195</v>
      </c>
      <c r="AL225" s="162" t="s">
        <v>34</v>
      </c>
      <c r="AM225" t="s">
        <v>4874</v>
      </c>
      <c r="AN225" s="480">
        <v>0</v>
      </c>
      <c r="AO225" s="480">
        <v>0</v>
      </c>
    </row>
    <row r="226" spans="1:41" x14ac:dyDescent="0.2">
      <c r="A226">
        <v>225</v>
      </c>
      <c r="B226" s="464" t="s">
        <v>1860</v>
      </c>
      <c r="C226" s="162" t="s">
        <v>1862</v>
      </c>
      <c r="D226" s="162" t="s">
        <v>4191</v>
      </c>
      <c r="E226" s="162" t="s">
        <v>2105</v>
      </c>
      <c r="F226" s="162" t="s">
        <v>2016</v>
      </c>
      <c r="G226" s="162" t="s">
        <v>34</v>
      </c>
      <c r="H226" s="162" t="s">
        <v>2198</v>
      </c>
      <c r="I226" s="162" t="s">
        <v>5723</v>
      </c>
      <c r="J226" s="162" t="s">
        <v>2810</v>
      </c>
      <c r="K226" s="162" t="s">
        <v>2969</v>
      </c>
      <c r="L226" s="162" t="s">
        <v>2970</v>
      </c>
      <c r="M226" s="542">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80">
        <v>0</v>
      </c>
      <c r="AO226" s="480">
        <v>0</v>
      </c>
    </row>
    <row r="227" spans="1:41" x14ac:dyDescent="0.2">
      <c r="A227">
        <v>226</v>
      </c>
      <c r="B227" s="464" t="s">
        <v>1255</v>
      </c>
      <c r="C227" s="162">
        <v>1209</v>
      </c>
      <c r="D227" s="162" t="s">
        <v>4192</v>
      </c>
      <c r="E227" s="162" t="s">
        <v>2973</v>
      </c>
      <c r="F227" s="162" t="s">
        <v>2016</v>
      </c>
      <c r="G227" s="162" t="s">
        <v>34</v>
      </c>
      <c r="H227" s="162" t="s">
        <v>2198</v>
      </c>
      <c r="I227" s="162" t="s">
        <v>5723</v>
      </c>
      <c r="J227" s="162" t="s">
        <v>2810</v>
      </c>
      <c r="K227" s="162" t="s">
        <v>2984</v>
      </c>
      <c r="L227" s="162" t="s">
        <v>2985</v>
      </c>
      <c r="M227" s="542">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80">
        <v>0</v>
      </c>
      <c r="AO227" s="480">
        <v>0</v>
      </c>
    </row>
    <row r="228" spans="1:41" x14ac:dyDescent="0.2">
      <c r="A228">
        <v>227</v>
      </c>
      <c r="B228" s="464" t="s">
        <v>1255</v>
      </c>
      <c r="C228" s="162" t="s">
        <v>1263</v>
      </c>
      <c r="D228" s="162" t="s">
        <v>4193</v>
      </c>
      <c r="E228" s="162" t="s">
        <v>2973</v>
      </c>
      <c r="F228" s="162" t="s">
        <v>2016</v>
      </c>
      <c r="G228" s="162" t="s">
        <v>34</v>
      </c>
      <c r="H228" s="162" t="s">
        <v>2198</v>
      </c>
      <c r="I228" s="162" t="s">
        <v>5732</v>
      </c>
      <c r="J228" s="162" t="s">
        <v>2466</v>
      </c>
      <c r="K228" s="162" t="s">
        <v>2202</v>
      </c>
      <c r="L228" s="162" t="s">
        <v>2990</v>
      </c>
      <c r="M228" s="542"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80">
        <v>0</v>
      </c>
      <c r="AO228" s="480">
        <v>0</v>
      </c>
    </row>
    <row r="229" spans="1:41" x14ac:dyDescent="0.2">
      <c r="A229">
        <v>228</v>
      </c>
      <c r="B229" s="464" t="s">
        <v>1255</v>
      </c>
      <c r="C229" s="162" t="s">
        <v>878</v>
      </c>
      <c r="D229" s="162" t="s">
        <v>4194</v>
      </c>
      <c r="E229" s="162" t="s">
        <v>2973</v>
      </c>
      <c r="F229" s="162" t="s">
        <v>2016</v>
      </c>
      <c r="G229" s="162" t="s">
        <v>34</v>
      </c>
      <c r="H229" s="162" t="s">
        <v>2198</v>
      </c>
      <c r="I229" s="162" t="s">
        <v>5732</v>
      </c>
      <c r="J229" s="162" t="s">
        <v>2466</v>
      </c>
      <c r="K229" s="162" t="s">
        <v>2374</v>
      </c>
      <c r="L229" s="162" t="s">
        <v>2539</v>
      </c>
      <c r="M229" s="542"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80">
        <v>0</v>
      </c>
      <c r="AO229" s="480">
        <v>0</v>
      </c>
    </row>
    <row r="230" spans="1:41" x14ac:dyDescent="0.2">
      <c r="A230">
        <v>229</v>
      </c>
      <c r="B230" s="464" t="s">
        <v>1255</v>
      </c>
      <c r="C230" s="162" t="s">
        <v>1744</v>
      </c>
      <c r="D230" s="162" t="s">
        <v>4195</v>
      </c>
      <c r="E230" s="162" t="s">
        <v>2973</v>
      </c>
      <c r="F230" s="162" t="s">
        <v>2016</v>
      </c>
      <c r="G230" s="162" t="s">
        <v>34</v>
      </c>
      <c r="H230" s="162" t="s">
        <v>2198</v>
      </c>
      <c r="I230" s="162" t="s">
        <v>5755</v>
      </c>
      <c r="J230" s="162" t="s">
        <v>2466</v>
      </c>
      <c r="K230" s="162" t="s">
        <v>2374</v>
      </c>
      <c r="L230" s="162" t="s">
        <v>2539</v>
      </c>
      <c r="M230" s="542"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80">
        <v>0</v>
      </c>
      <c r="AO230" s="480">
        <v>0</v>
      </c>
    </row>
    <row r="231" spans="1:41" x14ac:dyDescent="0.2">
      <c r="A231">
        <v>230</v>
      </c>
      <c r="B231" s="464" t="s">
        <v>1255</v>
      </c>
      <c r="C231" s="162" t="s">
        <v>5814</v>
      </c>
      <c r="D231" s="162" t="s">
        <v>5815</v>
      </c>
      <c r="E231" s="162" t="s">
        <v>2973</v>
      </c>
      <c r="F231" s="162" t="s">
        <v>2016</v>
      </c>
      <c r="G231" s="162" t="s">
        <v>34</v>
      </c>
      <c r="H231" s="162" t="s">
        <v>2198</v>
      </c>
      <c r="I231" s="162" t="s">
        <v>5732</v>
      </c>
      <c r="J231" s="162" t="s">
        <v>2466</v>
      </c>
      <c r="K231" s="162" t="s">
        <v>2374</v>
      </c>
      <c r="L231" s="162" t="s">
        <v>3016</v>
      </c>
      <c r="M231" s="542" t="s">
        <v>3017</v>
      </c>
      <c r="N231" s="162" t="s">
        <v>5814</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80">
        <v>0</v>
      </c>
      <c r="AO231" s="480">
        <v>0</v>
      </c>
    </row>
    <row r="232" spans="1:41" x14ac:dyDescent="0.2">
      <c r="A232">
        <v>231</v>
      </c>
      <c r="B232" s="464" t="s">
        <v>1255</v>
      </c>
      <c r="C232" s="162" t="s">
        <v>5785</v>
      </c>
      <c r="D232" s="162" t="s">
        <v>5786</v>
      </c>
      <c r="E232" s="162" t="s">
        <v>2973</v>
      </c>
      <c r="F232" s="162" t="s">
        <v>2016</v>
      </c>
      <c r="G232" s="162" t="s">
        <v>34</v>
      </c>
      <c r="H232" s="162" t="s">
        <v>2198</v>
      </c>
      <c r="I232" s="162" t="s">
        <v>5755</v>
      </c>
      <c r="J232" s="162" t="s">
        <v>2466</v>
      </c>
      <c r="K232" s="162" t="s">
        <v>2374</v>
      </c>
      <c r="L232" s="162" t="s">
        <v>2996</v>
      </c>
      <c r="M232" s="542" t="s">
        <v>2997</v>
      </c>
      <c r="N232" s="162" t="s">
        <v>5785</v>
      </c>
      <c r="O232" s="162" t="s">
        <v>904</v>
      </c>
      <c r="P232" s="162" t="s">
        <v>2976</v>
      </c>
      <c r="Q232" s="162" t="s">
        <v>2999</v>
      </c>
      <c r="R232" s="162" t="s">
        <v>2191</v>
      </c>
      <c r="S232" s="162" t="s">
        <v>3000</v>
      </c>
      <c r="T232" s="162">
        <v>346.4</v>
      </c>
      <c r="U232" s="162" t="s">
        <v>1950</v>
      </c>
      <c r="V232" s="162" t="s">
        <v>4898</v>
      </c>
      <c r="W232" s="162">
        <v>5244</v>
      </c>
      <c r="X232" s="162" t="s">
        <v>2192</v>
      </c>
      <c r="Y232" s="162" t="s">
        <v>5293</v>
      </c>
      <c r="Z232" s="162" t="s">
        <v>2325</v>
      </c>
      <c r="AA232" s="162" t="s">
        <v>2192</v>
      </c>
      <c r="AB232" s="162" t="s">
        <v>5294</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80">
        <v>0</v>
      </c>
      <c r="AO232" s="480">
        <v>0</v>
      </c>
    </row>
    <row r="233" spans="1:41" x14ac:dyDescent="0.2">
      <c r="A233">
        <v>232</v>
      </c>
      <c r="B233" s="464" t="s">
        <v>1255</v>
      </c>
      <c r="C233" s="162" t="s">
        <v>5787</v>
      </c>
      <c r="D233" s="162" t="s">
        <v>5788</v>
      </c>
      <c r="E233" s="162" t="s">
        <v>2973</v>
      </c>
      <c r="F233" s="162" t="s">
        <v>2016</v>
      </c>
      <c r="G233" s="162" t="s">
        <v>34</v>
      </c>
      <c r="H233" s="162" t="s">
        <v>2198</v>
      </c>
      <c r="I233" s="162" t="s">
        <v>5732</v>
      </c>
      <c r="J233" s="162" t="s">
        <v>2466</v>
      </c>
      <c r="K233" s="162" t="s">
        <v>2374</v>
      </c>
      <c r="L233" s="162" t="s">
        <v>2993</v>
      </c>
      <c r="M233" s="542" t="s">
        <v>2994</v>
      </c>
      <c r="N233" s="162" t="s">
        <v>5789</v>
      </c>
      <c r="O233" s="162" t="s">
        <v>904</v>
      </c>
      <c r="P233" s="162" t="s">
        <v>2976</v>
      </c>
      <c r="Q233" s="162" t="s">
        <v>2274</v>
      </c>
      <c r="R233" s="162" t="s">
        <v>2191</v>
      </c>
      <c r="S233" s="162" t="s">
        <v>2608</v>
      </c>
      <c r="T233" s="162">
        <v>990</v>
      </c>
      <c r="U233" s="162" t="s">
        <v>1950</v>
      </c>
      <c r="V233" s="162" t="s">
        <v>2995</v>
      </c>
      <c r="W233" s="162" t="s">
        <v>5790</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80">
        <v>0</v>
      </c>
      <c r="AO233" s="480">
        <v>0</v>
      </c>
    </row>
    <row r="234" spans="1:41" x14ac:dyDescent="0.2">
      <c r="A234">
        <v>233</v>
      </c>
      <c r="B234" s="464" t="s">
        <v>1255</v>
      </c>
      <c r="C234" s="162" t="s">
        <v>1269</v>
      </c>
      <c r="D234" s="162" t="s">
        <v>4196</v>
      </c>
      <c r="E234" s="162" t="s">
        <v>2973</v>
      </c>
      <c r="F234" s="162" t="s">
        <v>2016</v>
      </c>
      <c r="G234" s="162" t="s">
        <v>34</v>
      </c>
      <c r="H234" s="162" t="s">
        <v>2198</v>
      </c>
      <c r="I234" s="162" t="s">
        <v>5723</v>
      </c>
      <c r="J234" s="162" t="s">
        <v>2810</v>
      </c>
      <c r="K234" s="162" t="s">
        <v>2815</v>
      </c>
      <c r="L234" s="162" t="s">
        <v>3001</v>
      </c>
      <c r="M234" s="542"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80">
        <v>0</v>
      </c>
      <c r="AO234" s="480">
        <v>0</v>
      </c>
    </row>
    <row r="235" spans="1:41" x14ac:dyDescent="0.2">
      <c r="A235">
        <v>234</v>
      </c>
      <c r="B235" s="464" t="s">
        <v>1255</v>
      </c>
      <c r="C235" s="162" t="s">
        <v>1271</v>
      </c>
      <c r="D235" s="162" t="s">
        <v>4197</v>
      </c>
      <c r="E235" s="162" t="s">
        <v>2973</v>
      </c>
      <c r="F235" s="162" t="s">
        <v>2016</v>
      </c>
      <c r="G235" s="162" t="s">
        <v>34</v>
      </c>
      <c r="H235" s="162" t="s">
        <v>2198</v>
      </c>
      <c r="I235" s="162" t="s">
        <v>5723</v>
      </c>
      <c r="J235" s="162" t="s">
        <v>2810</v>
      </c>
      <c r="K235" s="162" t="s">
        <v>2815</v>
      </c>
      <c r="L235" s="162" t="s">
        <v>3001</v>
      </c>
      <c r="M235" s="542"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80">
        <v>0</v>
      </c>
      <c r="AO235" s="480">
        <v>0</v>
      </c>
    </row>
    <row r="236" spans="1:41" x14ac:dyDescent="0.2">
      <c r="A236">
        <v>235</v>
      </c>
      <c r="B236" s="464" t="s">
        <v>1255</v>
      </c>
      <c r="C236" s="162" t="s">
        <v>4738</v>
      </c>
      <c r="D236" s="162" t="s">
        <v>4967</v>
      </c>
      <c r="E236" s="162" t="s">
        <v>2973</v>
      </c>
      <c r="F236" s="162" t="s">
        <v>2016</v>
      </c>
      <c r="G236" s="162" t="s">
        <v>34</v>
      </c>
      <c r="H236" s="162" t="s">
        <v>2198</v>
      </c>
      <c r="I236" s="162" t="s">
        <v>5723</v>
      </c>
      <c r="J236" s="162" t="s">
        <v>2466</v>
      </c>
      <c r="K236" s="162" t="s">
        <v>3020</v>
      </c>
      <c r="L236" s="162" t="s">
        <v>3021</v>
      </c>
      <c r="M236" s="542"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80">
        <v>0</v>
      </c>
      <c r="AO236" s="480">
        <v>0</v>
      </c>
    </row>
    <row r="237" spans="1:41" x14ac:dyDescent="0.2">
      <c r="A237">
        <v>236</v>
      </c>
      <c r="B237" s="464" t="s">
        <v>1255</v>
      </c>
      <c r="C237" s="162" t="s">
        <v>1279</v>
      </c>
      <c r="D237" s="162" t="s">
        <v>4198</v>
      </c>
      <c r="E237" s="162" t="s">
        <v>2973</v>
      </c>
      <c r="F237" s="162" t="s">
        <v>2016</v>
      </c>
      <c r="G237" s="162" t="s">
        <v>34</v>
      </c>
      <c r="H237" s="162" t="s">
        <v>2198</v>
      </c>
      <c r="I237" s="162" t="s">
        <v>5723</v>
      </c>
      <c r="J237" s="162" t="s">
        <v>2466</v>
      </c>
      <c r="K237" s="162" t="s">
        <v>2979</v>
      </c>
      <c r="L237" s="162" t="s">
        <v>2979</v>
      </c>
      <c r="M237" s="542"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80">
        <v>0</v>
      </c>
      <c r="AO237" s="480">
        <v>0</v>
      </c>
    </row>
    <row r="238" spans="1:41" x14ac:dyDescent="0.2">
      <c r="A238">
        <v>237</v>
      </c>
      <c r="B238" s="464" t="s">
        <v>1255</v>
      </c>
      <c r="C238" s="162" t="s">
        <v>1265</v>
      </c>
      <c r="D238" s="162" t="s">
        <v>4199</v>
      </c>
      <c r="E238" s="162" t="s">
        <v>2973</v>
      </c>
      <c r="F238" s="162" t="s">
        <v>2016</v>
      </c>
      <c r="G238" s="162" t="s">
        <v>34</v>
      </c>
      <c r="H238" s="162" t="s">
        <v>2198</v>
      </c>
      <c r="I238" s="162" t="s">
        <v>5723</v>
      </c>
      <c r="J238" s="162" t="s">
        <v>2810</v>
      </c>
      <c r="K238" s="162" t="s">
        <v>2202</v>
      </c>
      <c r="L238" s="162" t="s">
        <v>3010</v>
      </c>
      <c r="M238" s="542">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80">
        <v>0</v>
      </c>
      <c r="AO238" s="480">
        <v>0</v>
      </c>
    </row>
    <row r="239" spans="1:41" x14ac:dyDescent="0.2">
      <c r="A239">
        <v>238</v>
      </c>
      <c r="B239" s="464" t="s">
        <v>1255</v>
      </c>
      <c r="C239" s="162" t="s">
        <v>1814</v>
      </c>
      <c r="D239" s="162" t="s">
        <v>4200</v>
      </c>
      <c r="E239" s="162" t="s">
        <v>2973</v>
      </c>
      <c r="F239" s="162" t="s">
        <v>2016</v>
      </c>
      <c r="G239" s="162" t="s">
        <v>34</v>
      </c>
      <c r="H239" s="162" t="s">
        <v>2198</v>
      </c>
      <c r="I239" s="162" t="s">
        <v>5732</v>
      </c>
      <c r="J239" s="162" t="s">
        <v>2466</v>
      </c>
      <c r="K239" s="162" t="s">
        <v>2202</v>
      </c>
      <c r="L239" s="162" t="s">
        <v>2974</v>
      </c>
      <c r="M239" s="542"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5841</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80">
        <v>0</v>
      </c>
      <c r="AO239" s="480">
        <v>0</v>
      </c>
    </row>
    <row r="240" spans="1:41" x14ac:dyDescent="0.2">
      <c r="A240">
        <v>239</v>
      </c>
      <c r="B240" s="464" t="s">
        <v>1255</v>
      </c>
      <c r="C240" s="162" t="s">
        <v>4756</v>
      </c>
      <c r="D240" s="162" t="s">
        <v>4757</v>
      </c>
      <c r="E240" s="162" t="s">
        <v>2973</v>
      </c>
      <c r="F240" s="162" t="s">
        <v>2016</v>
      </c>
      <c r="G240" s="162" t="s">
        <v>34</v>
      </c>
      <c r="H240" s="162" t="s">
        <v>2198</v>
      </c>
      <c r="I240" s="162" t="s">
        <v>5732</v>
      </c>
      <c r="J240" s="162" t="s">
        <v>1766</v>
      </c>
      <c r="K240" s="162" t="s">
        <v>4758</v>
      </c>
      <c r="L240" s="162" t="s">
        <v>2469</v>
      </c>
      <c r="M240" s="542"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80">
        <v>0</v>
      </c>
      <c r="AO240" s="480">
        <v>0</v>
      </c>
    </row>
    <row r="241" spans="1:41" x14ac:dyDescent="0.2">
      <c r="A241">
        <v>240</v>
      </c>
      <c r="B241" s="464" t="s">
        <v>1255</v>
      </c>
      <c r="C241" s="162" t="s">
        <v>4765</v>
      </c>
      <c r="D241" s="162" t="s">
        <v>4766</v>
      </c>
      <c r="E241" s="162" t="s">
        <v>2973</v>
      </c>
      <c r="F241" s="162" t="s">
        <v>2016</v>
      </c>
      <c r="G241" s="162" t="s">
        <v>34</v>
      </c>
      <c r="H241" s="162" t="s">
        <v>2198</v>
      </c>
      <c r="I241" s="162" t="s">
        <v>5732</v>
      </c>
      <c r="J241" s="162" t="s">
        <v>1766</v>
      </c>
      <c r="K241" s="162" t="s">
        <v>4758</v>
      </c>
      <c r="L241" s="162" t="s">
        <v>4767</v>
      </c>
      <c r="M241" s="542"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80">
        <v>0</v>
      </c>
      <c r="AO241" s="480">
        <v>0</v>
      </c>
    </row>
    <row r="242" spans="1:41" x14ac:dyDescent="0.2">
      <c r="A242">
        <v>241</v>
      </c>
      <c r="B242" s="464" t="s">
        <v>1255</v>
      </c>
      <c r="C242" s="162" t="s">
        <v>4770</v>
      </c>
      <c r="D242" s="162" t="s">
        <v>4771</v>
      </c>
      <c r="E242" s="162" t="s">
        <v>2973</v>
      </c>
      <c r="F242" s="162" t="s">
        <v>2016</v>
      </c>
      <c r="G242" s="162" t="s">
        <v>34</v>
      </c>
      <c r="H242" s="162" t="s">
        <v>2198</v>
      </c>
      <c r="I242" s="162" t="s">
        <v>5732</v>
      </c>
      <c r="J242" s="162" t="s">
        <v>1766</v>
      </c>
      <c r="K242" s="162" t="s">
        <v>4758</v>
      </c>
      <c r="L242" s="162" t="s">
        <v>4772</v>
      </c>
      <c r="M242" s="542"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80">
        <v>0</v>
      </c>
      <c r="AO242" s="480">
        <v>0</v>
      </c>
    </row>
    <row r="243" spans="1:41" x14ac:dyDescent="0.2">
      <c r="A243">
        <v>242</v>
      </c>
      <c r="B243" s="464" t="s">
        <v>1281</v>
      </c>
      <c r="C243" s="162" t="s">
        <v>1283</v>
      </c>
      <c r="D243" s="162" t="s">
        <v>4201</v>
      </c>
      <c r="E243" s="162" t="s">
        <v>3033</v>
      </c>
      <c r="F243" s="162" t="s">
        <v>2023</v>
      </c>
      <c r="G243" s="162" t="s">
        <v>34</v>
      </c>
      <c r="H243" s="162" t="s">
        <v>2198</v>
      </c>
      <c r="I243" s="162" t="s">
        <v>5723</v>
      </c>
      <c r="J243" s="162" t="s">
        <v>2810</v>
      </c>
      <c r="K243" s="162" t="s">
        <v>3034</v>
      </c>
      <c r="L243" s="162" t="s">
        <v>3035</v>
      </c>
      <c r="M243" s="542"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80">
        <v>0</v>
      </c>
      <c r="AO243" s="480">
        <v>0</v>
      </c>
    </row>
    <row r="244" spans="1:41" x14ac:dyDescent="0.2">
      <c r="A244">
        <v>243</v>
      </c>
      <c r="B244" s="464" t="s">
        <v>1906</v>
      </c>
      <c r="C244" s="162" t="s">
        <v>1908</v>
      </c>
      <c r="D244" s="162" t="s">
        <v>4202</v>
      </c>
      <c r="E244" s="162" t="s">
        <v>2110</v>
      </c>
      <c r="F244" s="162" t="s">
        <v>2016</v>
      </c>
      <c r="G244" s="162" t="s">
        <v>34</v>
      </c>
      <c r="H244" s="162" t="s">
        <v>2198</v>
      </c>
      <c r="I244" s="162" t="s">
        <v>5723</v>
      </c>
      <c r="J244" s="162" t="s">
        <v>2810</v>
      </c>
      <c r="K244" s="162" t="s">
        <v>2202</v>
      </c>
      <c r="L244" s="162" t="s">
        <v>3042</v>
      </c>
      <c r="M244" s="542"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5776</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80">
        <v>0</v>
      </c>
      <c r="AO244" s="480">
        <v>0</v>
      </c>
    </row>
    <row r="245" spans="1:41" x14ac:dyDescent="0.2">
      <c r="A245">
        <v>244</v>
      </c>
      <c r="B245" s="464" t="s">
        <v>1906</v>
      </c>
      <c r="C245" s="162" t="s">
        <v>1297</v>
      </c>
      <c r="D245" s="162" t="s">
        <v>4395</v>
      </c>
      <c r="E245" s="162" t="s">
        <v>2110</v>
      </c>
      <c r="F245" s="162" t="s">
        <v>2016</v>
      </c>
      <c r="G245" s="162" t="s">
        <v>34</v>
      </c>
      <c r="H245" s="162" t="s">
        <v>2198</v>
      </c>
      <c r="I245" s="162" t="s">
        <v>5723</v>
      </c>
      <c r="J245" s="162" t="s">
        <v>2810</v>
      </c>
      <c r="K245" s="162" t="s">
        <v>1451</v>
      </c>
      <c r="L245" s="162" t="s">
        <v>4396</v>
      </c>
      <c r="M245" s="542"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5777</v>
      </c>
      <c r="AC245" s="162" t="s">
        <v>2193</v>
      </c>
      <c r="AD245" s="162" t="s">
        <v>2194</v>
      </c>
      <c r="AE245" s="162" t="s">
        <v>1760</v>
      </c>
      <c r="AF245" s="162">
        <v>5</v>
      </c>
      <c r="AG245" s="162">
        <v>1</v>
      </c>
      <c r="AH245" s="162">
        <v>75</v>
      </c>
      <c r="AI245" s="162" t="s">
        <v>3982</v>
      </c>
      <c r="AJ245" s="162" t="s">
        <v>34</v>
      </c>
      <c r="AK245" s="162" t="s">
        <v>2195</v>
      </c>
      <c r="AL245" s="162" t="s">
        <v>34</v>
      </c>
      <c r="AM245" t="s">
        <v>4874</v>
      </c>
      <c r="AN245" s="480">
        <v>0</v>
      </c>
      <c r="AO245" s="480">
        <v>0</v>
      </c>
    </row>
    <row r="246" spans="1:41" x14ac:dyDescent="0.2">
      <c r="A246">
        <v>245</v>
      </c>
      <c r="B246" s="464" t="s">
        <v>3842</v>
      </c>
      <c r="C246" s="162" t="s">
        <v>3844</v>
      </c>
      <c r="D246" s="162" t="s">
        <v>4499</v>
      </c>
      <c r="E246" s="162" t="s">
        <v>4500</v>
      </c>
      <c r="F246" s="162" t="s">
        <v>4501</v>
      </c>
      <c r="G246" s="162" t="s">
        <v>34</v>
      </c>
      <c r="H246" s="162" t="s">
        <v>2198</v>
      </c>
      <c r="I246" s="162" t="s">
        <v>5723</v>
      </c>
      <c r="J246" s="162" t="s">
        <v>1766</v>
      </c>
      <c r="K246" s="162" t="s">
        <v>4502</v>
      </c>
      <c r="L246" s="162" t="s">
        <v>4503</v>
      </c>
      <c r="M246" s="542">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80">
        <v>0</v>
      </c>
      <c r="AO246" s="480">
        <v>0</v>
      </c>
    </row>
    <row r="247" spans="1:41" x14ac:dyDescent="0.2">
      <c r="A247">
        <v>246</v>
      </c>
      <c r="B247" s="464" t="s">
        <v>5587</v>
      </c>
      <c r="C247" s="162" t="s">
        <v>5588</v>
      </c>
      <c r="D247" s="162" t="s">
        <v>5589</v>
      </c>
      <c r="E247" s="162" t="s">
        <v>5590</v>
      </c>
      <c r="F247" s="162" t="s">
        <v>5591</v>
      </c>
      <c r="G247" s="162" t="s">
        <v>34</v>
      </c>
      <c r="H247" s="162" t="s">
        <v>2198</v>
      </c>
      <c r="I247" s="162" t="s">
        <v>5723</v>
      </c>
      <c r="J247" s="162" t="s">
        <v>2466</v>
      </c>
      <c r="K247" s="162" t="s">
        <v>3370</v>
      </c>
      <c r="L247" s="162" t="s">
        <v>5592</v>
      </c>
      <c r="M247" s="542" t="s">
        <v>5593</v>
      </c>
      <c r="N247" s="162" t="s">
        <v>5594</v>
      </c>
      <c r="O247" s="162" t="s">
        <v>2469</v>
      </c>
      <c r="P247" s="162" t="s">
        <v>5595</v>
      </c>
      <c r="Q247" s="162" t="s">
        <v>5596</v>
      </c>
      <c r="R247" s="162" t="s">
        <v>4531</v>
      </c>
      <c r="S247" s="162" t="s">
        <v>5597</v>
      </c>
      <c r="T247" s="162">
        <v>483.9</v>
      </c>
      <c r="U247" s="162" t="s">
        <v>2220</v>
      </c>
      <c r="V247" s="162" t="s">
        <v>5598</v>
      </c>
      <c r="W247" s="162" t="s">
        <v>5611</v>
      </c>
      <c r="X247" s="162" t="s">
        <v>2808</v>
      </c>
      <c r="Y247" s="162" t="s">
        <v>5612</v>
      </c>
      <c r="Z247" s="162" t="s">
        <v>5599</v>
      </c>
      <c r="AA247" s="162" t="s">
        <v>4935</v>
      </c>
      <c r="AB247" s="162" t="s">
        <v>5613</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80">
        <v>0</v>
      </c>
      <c r="AO247" s="480">
        <v>0</v>
      </c>
    </row>
    <row r="248" spans="1:41" x14ac:dyDescent="0.2">
      <c r="A248">
        <v>247</v>
      </c>
      <c r="B248" s="464" t="s">
        <v>1300</v>
      </c>
      <c r="C248" s="162" t="s">
        <v>1311</v>
      </c>
      <c r="D248" s="162" t="s">
        <v>4203</v>
      </c>
      <c r="E248" s="162" t="s">
        <v>3046</v>
      </c>
      <c r="F248" s="162" t="s">
        <v>2114</v>
      </c>
      <c r="G248" s="162" t="s">
        <v>34</v>
      </c>
      <c r="H248" s="162" t="s">
        <v>2198</v>
      </c>
      <c r="I248" s="162" t="s">
        <v>5723</v>
      </c>
      <c r="J248" s="162" t="s">
        <v>2466</v>
      </c>
      <c r="K248" s="162" t="s">
        <v>2320</v>
      </c>
      <c r="L248" s="162" t="s">
        <v>3059</v>
      </c>
      <c r="M248" s="542">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80">
        <v>0</v>
      </c>
      <c r="AO248" s="480">
        <v>0</v>
      </c>
    </row>
    <row r="249" spans="1:41" x14ac:dyDescent="0.2">
      <c r="A249">
        <v>248</v>
      </c>
      <c r="B249" s="464" t="s">
        <v>1300</v>
      </c>
      <c r="C249" s="162" t="s">
        <v>4449</v>
      </c>
      <c r="D249" s="162" t="s">
        <v>4509</v>
      </c>
      <c r="E249" s="162" t="s">
        <v>3046</v>
      </c>
      <c r="F249" s="162" t="s">
        <v>2114</v>
      </c>
      <c r="G249" s="162" t="s">
        <v>34</v>
      </c>
      <c r="H249" s="162" t="s">
        <v>2198</v>
      </c>
      <c r="I249" s="162" t="s">
        <v>3944</v>
      </c>
      <c r="J249" s="162" t="s">
        <v>1766</v>
      </c>
      <c r="K249" s="162" t="s">
        <v>4449</v>
      </c>
      <c r="L249" s="162" t="s">
        <v>2520</v>
      </c>
      <c r="M249" s="542"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80">
        <v>0</v>
      </c>
      <c r="AO249" s="480">
        <v>0</v>
      </c>
    </row>
    <row r="250" spans="1:41" x14ac:dyDescent="0.2">
      <c r="A250">
        <v>249</v>
      </c>
      <c r="B250" s="464" t="s">
        <v>1300</v>
      </c>
      <c r="C250" s="162" t="s">
        <v>4511</v>
      </c>
      <c r="D250" s="162" t="s">
        <v>4512</v>
      </c>
      <c r="E250" s="162" t="s">
        <v>3046</v>
      </c>
      <c r="F250" s="162" t="s">
        <v>2114</v>
      </c>
      <c r="G250" s="162" t="s">
        <v>34</v>
      </c>
      <c r="H250" s="162" t="s">
        <v>2198</v>
      </c>
      <c r="I250" s="162" t="s">
        <v>5723</v>
      </c>
      <c r="J250" s="162" t="s">
        <v>1766</v>
      </c>
      <c r="K250" s="162" t="s">
        <v>4455</v>
      </c>
      <c r="L250" s="162" t="s">
        <v>2520</v>
      </c>
      <c r="M250" s="542"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80">
        <v>0</v>
      </c>
      <c r="AO250" s="480">
        <v>0</v>
      </c>
    </row>
    <row r="251" spans="1:41" x14ac:dyDescent="0.2">
      <c r="A251">
        <v>250</v>
      </c>
      <c r="B251" s="464" t="s">
        <v>1300</v>
      </c>
      <c r="C251" s="162" t="s">
        <v>1309</v>
      </c>
      <c r="D251" s="162" t="s">
        <v>4366</v>
      </c>
      <c r="E251" s="162" t="s">
        <v>3046</v>
      </c>
      <c r="F251" s="162" t="s">
        <v>2114</v>
      </c>
      <c r="G251" s="162" t="s">
        <v>34</v>
      </c>
      <c r="H251" s="162" t="s">
        <v>2198</v>
      </c>
      <c r="I251" s="162" t="s">
        <v>5723</v>
      </c>
      <c r="J251" s="162" t="s">
        <v>2810</v>
      </c>
      <c r="K251" s="162" t="s">
        <v>4367</v>
      </c>
      <c r="L251" s="162" t="s">
        <v>3065</v>
      </c>
      <c r="M251" s="542"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80">
        <v>0</v>
      </c>
      <c r="AO251" s="480">
        <v>0</v>
      </c>
    </row>
    <row r="252" spans="1:41" x14ac:dyDescent="0.2">
      <c r="A252">
        <v>251</v>
      </c>
      <c r="B252" s="464" t="s">
        <v>1300</v>
      </c>
      <c r="C252" s="162" t="s">
        <v>1305</v>
      </c>
      <c r="D252" s="162" t="s">
        <v>4204</v>
      </c>
      <c r="E252" s="162" t="s">
        <v>3046</v>
      </c>
      <c r="F252" s="162" t="s">
        <v>2114</v>
      </c>
      <c r="G252" s="162" t="s">
        <v>34</v>
      </c>
      <c r="H252" s="162" t="s">
        <v>2198</v>
      </c>
      <c r="I252" s="162" t="s">
        <v>5723</v>
      </c>
      <c r="J252" s="162" t="s">
        <v>2810</v>
      </c>
      <c r="K252" s="162" t="s">
        <v>3077</v>
      </c>
      <c r="L252" s="162" t="s">
        <v>109</v>
      </c>
      <c r="M252" s="542">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80">
        <v>0</v>
      </c>
      <c r="AO252" s="480">
        <v>0</v>
      </c>
    </row>
    <row r="253" spans="1:41" x14ac:dyDescent="0.2">
      <c r="A253">
        <v>252</v>
      </c>
      <c r="B253" s="464" t="s">
        <v>1300</v>
      </c>
      <c r="C253" s="162" t="s">
        <v>1307</v>
      </c>
      <c r="D253" s="162" t="s">
        <v>4205</v>
      </c>
      <c r="E253" s="162" t="s">
        <v>3046</v>
      </c>
      <c r="F253" s="162" t="s">
        <v>2114</v>
      </c>
      <c r="G253" s="162" t="s">
        <v>34</v>
      </c>
      <c r="H253" s="162" t="s">
        <v>2198</v>
      </c>
      <c r="I253" s="162" t="s">
        <v>3944</v>
      </c>
      <c r="J253" s="162" t="s">
        <v>2466</v>
      </c>
      <c r="K253" s="162" t="s">
        <v>1121</v>
      </c>
      <c r="L253" s="162" t="s">
        <v>3066</v>
      </c>
      <c r="M253" s="542">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80">
        <v>0</v>
      </c>
      <c r="AO253" s="480">
        <v>0</v>
      </c>
    </row>
    <row r="254" spans="1:41" x14ac:dyDescent="0.2">
      <c r="A254">
        <v>253</v>
      </c>
      <c r="B254" s="464" t="s">
        <v>1300</v>
      </c>
      <c r="C254" s="162" t="s">
        <v>1302</v>
      </c>
      <c r="D254" s="162" t="s">
        <v>4206</v>
      </c>
      <c r="E254" s="162" t="s">
        <v>3046</v>
      </c>
      <c r="F254" s="162" t="s">
        <v>2114</v>
      </c>
      <c r="G254" s="162" t="s">
        <v>34</v>
      </c>
      <c r="H254" s="162" t="s">
        <v>2198</v>
      </c>
      <c r="I254" s="162" t="s">
        <v>5723</v>
      </c>
      <c r="J254" s="162" t="s">
        <v>2810</v>
      </c>
      <c r="K254" s="162" t="s">
        <v>1121</v>
      </c>
      <c r="L254" s="162" t="s">
        <v>2520</v>
      </c>
      <c r="M254" s="542"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80">
        <v>0</v>
      </c>
      <c r="AO254" s="480">
        <v>0</v>
      </c>
    </row>
    <row r="255" spans="1:41" x14ac:dyDescent="0.2">
      <c r="A255">
        <v>254</v>
      </c>
      <c r="B255" s="464" t="s">
        <v>1300</v>
      </c>
      <c r="C255" s="162" t="s">
        <v>4664</v>
      </c>
      <c r="D255" s="162" t="s">
        <v>4665</v>
      </c>
      <c r="E255" s="162" t="s">
        <v>3046</v>
      </c>
      <c r="F255" s="162" t="s">
        <v>2114</v>
      </c>
      <c r="G255" s="162" t="s">
        <v>34</v>
      </c>
      <c r="H255" s="162" t="s">
        <v>2198</v>
      </c>
      <c r="I255" s="162" t="s">
        <v>5723</v>
      </c>
      <c r="J255" s="162" t="s">
        <v>2810</v>
      </c>
      <c r="K255" s="162" t="s">
        <v>4666</v>
      </c>
      <c r="L255" s="162" t="s">
        <v>3065</v>
      </c>
      <c r="M255" s="542">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80">
        <v>0</v>
      </c>
      <c r="AO255" s="480">
        <v>0</v>
      </c>
    </row>
    <row r="256" spans="1:41" x14ac:dyDescent="0.2">
      <c r="A256">
        <v>255</v>
      </c>
      <c r="B256" s="464" t="s">
        <v>1300</v>
      </c>
      <c r="C256" s="162" t="s">
        <v>5181</v>
      </c>
      <c r="D256" s="162" t="s">
        <v>5182</v>
      </c>
      <c r="E256" s="162" t="s">
        <v>3046</v>
      </c>
      <c r="F256" s="162" t="s">
        <v>2114</v>
      </c>
      <c r="G256" s="162" t="s">
        <v>34</v>
      </c>
      <c r="H256" s="162" t="s">
        <v>2198</v>
      </c>
      <c r="I256" s="162" t="s">
        <v>5723</v>
      </c>
      <c r="J256" s="162" t="s">
        <v>2810</v>
      </c>
      <c r="K256" s="162" t="s">
        <v>5181</v>
      </c>
      <c r="L256" s="162" t="s">
        <v>3065</v>
      </c>
      <c r="M256" s="542">
        <v>1605</v>
      </c>
      <c r="N256" s="162" t="s">
        <v>5183</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80"/>
      <c r="AO256" s="480"/>
    </row>
    <row r="257" spans="1:41" x14ac:dyDescent="0.2">
      <c r="A257">
        <v>256</v>
      </c>
      <c r="B257" s="464" t="s">
        <v>1300</v>
      </c>
      <c r="C257" s="162" t="s">
        <v>1314</v>
      </c>
      <c r="D257" s="162" t="s">
        <v>4207</v>
      </c>
      <c r="E257" s="162" t="s">
        <v>3046</v>
      </c>
      <c r="F257" s="162" t="s">
        <v>2114</v>
      </c>
      <c r="G257" s="162" t="s">
        <v>34</v>
      </c>
      <c r="H257" s="162" t="s">
        <v>2198</v>
      </c>
      <c r="I257" s="162" t="s">
        <v>5723</v>
      </c>
      <c r="J257" s="162" t="s">
        <v>2810</v>
      </c>
      <c r="K257" s="162" t="s">
        <v>3053</v>
      </c>
      <c r="L257" s="162" t="s">
        <v>2539</v>
      </c>
      <c r="M257" s="542">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80">
        <v>0</v>
      </c>
      <c r="AO257" s="480">
        <v>0</v>
      </c>
    </row>
    <row r="258" spans="1:41" x14ac:dyDescent="0.2">
      <c r="A258">
        <v>257</v>
      </c>
      <c r="B258" s="464" t="s">
        <v>1300</v>
      </c>
      <c r="C258" s="162" t="s">
        <v>1316</v>
      </c>
      <c r="D258" s="162" t="s">
        <v>4208</v>
      </c>
      <c r="E258" s="162" t="s">
        <v>3046</v>
      </c>
      <c r="F258" s="162" t="s">
        <v>2114</v>
      </c>
      <c r="G258" s="162" t="s">
        <v>34</v>
      </c>
      <c r="H258" s="162" t="s">
        <v>2198</v>
      </c>
      <c r="I258" s="162" t="s">
        <v>5723</v>
      </c>
      <c r="J258" s="162" t="s">
        <v>2810</v>
      </c>
      <c r="K258" s="162" t="s">
        <v>3047</v>
      </c>
      <c r="L258" s="162" t="s">
        <v>2539</v>
      </c>
      <c r="M258" s="542">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80">
        <v>0</v>
      </c>
      <c r="AO258" s="480">
        <v>0</v>
      </c>
    </row>
    <row r="259" spans="1:41" x14ac:dyDescent="0.2">
      <c r="A259">
        <v>258</v>
      </c>
      <c r="B259" s="464" t="s">
        <v>1300</v>
      </c>
      <c r="C259" s="162" t="s">
        <v>5061</v>
      </c>
      <c r="D259" s="162" t="s">
        <v>5062</v>
      </c>
      <c r="E259" s="162" t="s">
        <v>3046</v>
      </c>
      <c r="F259" s="162" t="s">
        <v>2114</v>
      </c>
      <c r="G259" s="162" t="s">
        <v>34</v>
      </c>
      <c r="H259" s="162" t="s">
        <v>2198</v>
      </c>
      <c r="I259" s="162" t="s">
        <v>5723</v>
      </c>
      <c r="J259" s="162" t="s">
        <v>2810</v>
      </c>
      <c r="K259" s="162" t="s">
        <v>5061</v>
      </c>
      <c r="L259" s="162" t="s">
        <v>2325</v>
      </c>
      <c r="M259" s="542" t="s">
        <v>5063</v>
      </c>
      <c r="N259" s="162" t="s">
        <v>5064</v>
      </c>
      <c r="O259" s="162" t="s">
        <v>904</v>
      </c>
      <c r="P259" s="162" t="s">
        <v>3048</v>
      </c>
      <c r="Q259" s="162" t="s">
        <v>2271</v>
      </c>
      <c r="R259" s="162" t="s">
        <v>2191</v>
      </c>
      <c r="S259" s="162" t="s">
        <v>2608</v>
      </c>
      <c r="T259" s="162">
        <v>1473.8</v>
      </c>
      <c r="U259" s="162" t="s">
        <v>1950</v>
      </c>
      <c r="V259" s="162" t="s">
        <v>5065</v>
      </c>
      <c r="W259" s="162" t="s">
        <v>5066</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80"/>
      <c r="AO259" s="480"/>
    </row>
    <row r="260" spans="1:41" x14ac:dyDescent="0.2">
      <c r="A260">
        <v>259</v>
      </c>
      <c r="B260" s="464" t="s">
        <v>1300</v>
      </c>
      <c r="C260" s="162" t="s">
        <v>4687</v>
      </c>
      <c r="D260" s="162" t="s">
        <v>4688</v>
      </c>
      <c r="E260" s="162" t="s">
        <v>3046</v>
      </c>
      <c r="F260" s="162" t="s">
        <v>2114</v>
      </c>
      <c r="G260" s="162" t="s">
        <v>34</v>
      </c>
      <c r="H260" s="162" t="s">
        <v>2198</v>
      </c>
      <c r="I260" s="162" t="s">
        <v>5723</v>
      </c>
      <c r="J260" s="162" t="s">
        <v>2810</v>
      </c>
      <c r="K260" s="162" t="s">
        <v>4687</v>
      </c>
      <c r="L260" s="162" t="s">
        <v>2325</v>
      </c>
      <c r="M260" s="542"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80">
        <v>0</v>
      </c>
      <c r="AO260" s="480">
        <v>0</v>
      </c>
    </row>
    <row r="261" spans="1:41" x14ac:dyDescent="0.2">
      <c r="A261">
        <v>260</v>
      </c>
      <c r="B261" s="464" t="s">
        <v>4483</v>
      </c>
      <c r="C261" s="162" t="s">
        <v>4484</v>
      </c>
      <c r="D261" s="162" t="s">
        <v>4485</v>
      </c>
      <c r="E261" s="162" t="s">
        <v>4486</v>
      </c>
      <c r="F261" s="162" t="s">
        <v>4487</v>
      </c>
      <c r="G261" s="162" t="s">
        <v>34</v>
      </c>
      <c r="H261" s="162" t="s">
        <v>2198</v>
      </c>
      <c r="I261" s="162" t="s">
        <v>5723</v>
      </c>
      <c r="J261" s="162" t="s">
        <v>1766</v>
      </c>
      <c r="K261" s="162" t="s">
        <v>4488</v>
      </c>
      <c r="L261" s="162" t="s">
        <v>2313</v>
      </c>
      <c r="M261" s="542" t="s">
        <v>4484</v>
      </c>
      <c r="N261" s="162" t="s">
        <v>4484</v>
      </c>
      <c r="O261" s="162" t="s">
        <v>4489</v>
      </c>
      <c r="P261" s="162" t="s">
        <v>2529</v>
      </c>
      <c r="Q261" s="162" t="s">
        <v>4490</v>
      </c>
      <c r="R261" s="162" t="s">
        <v>4491</v>
      </c>
      <c r="S261" s="162" t="s">
        <v>4492</v>
      </c>
      <c r="T261" s="162">
        <v>52</v>
      </c>
      <c r="U261" s="162" t="s">
        <v>1950</v>
      </c>
      <c r="V261" s="162" t="s">
        <v>4598</v>
      </c>
      <c r="W261" s="162" t="s">
        <v>5003</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80">
        <v>0</v>
      </c>
      <c r="AO261" s="480">
        <v>0</v>
      </c>
    </row>
    <row r="262" spans="1:41" x14ac:dyDescent="0.2">
      <c r="A262">
        <v>261</v>
      </c>
      <c r="B262" s="464" t="s">
        <v>3083</v>
      </c>
      <c r="C262" s="162" t="s">
        <v>1833</v>
      </c>
      <c r="D262" s="162" t="s">
        <v>5095</v>
      </c>
      <c r="E262" s="162" t="s">
        <v>2115</v>
      </c>
      <c r="F262" s="162" t="s">
        <v>2058</v>
      </c>
      <c r="G262" s="162" t="s">
        <v>34</v>
      </c>
      <c r="H262" s="162" t="s">
        <v>2198</v>
      </c>
      <c r="I262" s="162" t="s">
        <v>5723</v>
      </c>
      <c r="J262" s="162" t="s">
        <v>2466</v>
      </c>
      <c r="K262" s="162" t="s">
        <v>2979</v>
      </c>
      <c r="L262" s="162" t="s">
        <v>5096</v>
      </c>
      <c r="M262" s="542" t="s">
        <v>5097</v>
      </c>
      <c r="N262" s="162" t="s">
        <v>1833</v>
      </c>
      <c r="O262" s="162" t="s">
        <v>5754</v>
      </c>
      <c r="P262" s="162" t="s">
        <v>3113</v>
      </c>
      <c r="Q262" s="162" t="s">
        <v>4934</v>
      </c>
      <c r="R262" s="162" t="s">
        <v>2191</v>
      </c>
      <c r="S262" s="162" t="s">
        <v>5098</v>
      </c>
      <c r="T262" s="162">
        <v>438.1</v>
      </c>
      <c r="U262" s="162" t="s">
        <v>2218</v>
      </c>
      <c r="V262" s="162" t="s">
        <v>5099</v>
      </c>
      <c r="W262" s="162" t="s">
        <v>5100</v>
      </c>
      <c r="X262" s="162" t="s">
        <v>4935</v>
      </c>
      <c r="Y262" s="162" t="s">
        <v>4535</v>
      </c>
      <c r="Z262" s="162" t="s">
        <v>5101</v>
      </c>
      <c r="AA262" s="162" t="s">
        <v>4935</v>
      </c>
      <c r="AB262" s="162" t="s">
        <v>5102</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80"/>
      <c r="AO262" s="480"/>
    </row>
    <row r="263" spans="1:41" x14ac:dyDescent="0.2">
      <c r="A263">
        <v>262</v>
      </c>
      <c r="B263" s="464" t="s">
        <v>3083</v>
      </c>
      <c r="C263" s="162" t="s">
        <v>5103</v>
      </c>
      <c r="D263" s="162" t="s">
        <v>5104</v>
      </c>
      <c r="E263" s="162" t="s">
        <v>2115</v>
      </c>
      <c r="F263" s="162" t="s">
        <v>2058</v>
      </c>
      <c r="G263" s="162" t="s">
        <v>34</v>
      </c>
      <c r="H263" s="162" t="s">
        <v>2198</v>
      </c>
      <c r="I263" s="162" t="s">
        <v>3154</v>
      </c>
      <c r="J263" s="162" t="s">
        <v>2466</v>
      </c>
      <c r="K263" s="162" t="s">
        <v>2979</v>
      </c>
      <c r="L263" s="162" t="s">
        <v>5096</v>
      </c>
      <c r="M263" s="542" t="s">
        <v>5097</v>
      </c>
      <c r="N263" s="162" t="s">
        <v>1833</v>
      </c>
      <c r="O263" s="162" t="s">
        <v>3121</v>
      </c>
      <c r="P263" s="162" t="s">
        <v>3113</v>
      </c>
      <c r="Q263" s="162" t="s">
        <v>4934</v>
      </c>
      <c r="R263" s="162" t="s">
        <v>2191</v>
      </c>
      <c r="S263" s="162" t="s">
        <v>5098</v>
      </c>
      <c r="T263" s="162">
        <v>438.1</v>
      </c>
      <c r="U263" s="162" t="s">
        <v>1950</v>
      </c>
      <c r="V263" s="162" t="s">
        <v>5099</v>
      </c>
      <c r="W263" s="162" t="s">
        <v>5100</v>
      </c>
      <c r="X263" s="162" t="s">
        <v>4935</v>
      </c>
      <c r="Y263" s="162" t="s">
        <v>4535</v>
      </c>
      <c r="Z263" s="162" t="s">
        <v>5101</v>
      </c>
      <c r="AA263" s="162" t="s">
        <v>4935</v>
      </c>
      <c r="AB263" s="162" t="s">
        <v>5102</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80"/>
      <c r="AO263" s="480"/>
    </row>
    <row r="264" spans="1:41" x14ac:dyDescent="0.2">
      <c r="A264">
        <v>263</v>
      </c>
      <c r="B264" s="464" t="s">
        <v>3083</v>
      </c>
      <c r="C264" s="162" t="s">
        <v>1910</v>
      </c>
      <c r="D264" s="162" t="s">
        <v>4209</v>
      </c>
      <c r="E264" s="162" t="s">
        <v>2115</v>
      </c>
      <c r="F264" s="162" t="s">
        <v>2058</v>
      </c>
      <c r="G264" s="162" t="s">
        <v>34</v>
      </c>
      <c r="H264" s="162" t="s">
        <v>2198</v>
      </c>
      <c r="I264" s="162" t="s">
        <v>5732</v>
      </c>
      <c r="J264" s="162" t="s">
        <v>2466</v>
      </c>
      <c r="K264" s="162" t="s">
        <v>1910</v>
      </c>
      <c r="L264" s="162" t="s">
        <v>3122</v>
      </c>
      <c r="M264" s="542"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80">
        <v>0</v>
      </c>
      <c r="AO264" s="480">
        <v>0</v>
      </c>
    </row>
    <row r="265" spans="1:41" x14ac:dyDescent="0.2">
      <c r="A265">
        <v>264</v>
      </c>
      <c r="B265" s="464" t="s">
        <v>3083</v>
      </c>
      <c r="C265" s="162" t="s">
        <v>878</v>
      </c>
      <c r="D265" s="162" t="s">
        <v>4210</v>
      </c>
      <c r="E265" s="162" t="s">
        <v>2115</v>
      </c>
      <c r="F265" s="162" t="s">
        <v>2058</v>
      </c>
      <c r="G265" s="162" t="s">
        <v>34</v>
      </c>
      <c r="H265" s="162" t="s">
        <v>2198</v>
      </c>
      <c r="I265" s="162" t="s">
        <v>5723</v>
      </c>
      <c r="J265" s="162" t="s">
        <v>2466</v>
      </c>
      <c r="K265" s="162" t="s">
        <v>3110</v>
      </c>
      <c r="L265" s="162" t="s">
        <v>3139</v>
      </c>
      <c r="M265" s="542" t="s">
        <v>3123</v>
      </c>
      <c r="N265" s="162" t="s">
        <v>878</v>
      </c>
      <c r="O265" s="162" t="s">
        <v>5754</v>
      </c>
      <c r="P265" s="162" t="s">
        <v>3140</v>
      </c>
      <c r="Q265" s="162" t="s">
        <v>4968</v>
      </c>
      <c r="R265" s="162" t="s">
        <v>2191</v>
      </c>
      <c r="S265" s="162" t="s">
        <v>5187</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80">
        <v>0</v>
      </c>
      <c r="AO265" s="480">
        <v>0</v>
      </c>
    </row>
    <row r="266" spans="1:41" x14ac:dyDescent="0.2">
      <c r="A266">
        <v>265</v>
      </c>
      <c r="B266" s="464" t="s">
        <v>3083</v>
      </c>
      <c r="C266" s="162" t="s">
        <v>1922</v>
      </c>
      <c r="D266" s="162" t="s">
        <v>4211</v>
      </c>
      <c r="E266" s="162" t="s">
        <v>2115</v>
      </c>
      <c r="F266" s="162" t="s">
        <v>2058</v>
      </c>
      <c r="G266" s="162" t="s">
        <v>34</v>
      </c>
      <c r="H266" s="162" t="s">
        <v>2198</v>
      </c>
      <c r="I266" s="162" t="s">
        <v>5732</v>
      </c>
      <c r="J266" s="162" t="s">
        <v>2466</v>
      </c>
      <c r="K266" s="162" t="s">
        <v>3110</v>
      </c>
      <c r="L266" s="162" t="s">
        <v>3111</v>
      </c>
      <c r="M266" s="542"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80">
        <v>0</v>
      </c>
      <c r="AO266" s="480">
        <v>0</v>
      </c>
    </row>
    <row r="267" spans="1:41" x14ac:dyDescent="0.2">
      <c r="A267">
        <v>266</v>
      </c>
      <c r="B267" s="464" t="s">
        <v>3083</v>
      </c>
      <c r="C267" s="162" t="s">
        <v>999</v>
      </c>
      <c r="D267" s="162" t="s">
        <v>4212</v>
      </c>
      <c r="E267" s="162" t="s">
        <v>2115</v>
      </c>
      <c r="F267" s="162" t="s">
        <v>2058</v>
      </c>
      <c r="G267" s="162" t="s">
        <v>34</v>
      </c>
      <c r="H267" s="162" t="s">
        <v>2198</v>
      </c>
      <c r="I267" s="162" t="s">
        <v>5723</v>
      </c>
      <c r="J267" s="162" t="s">
        <v>2810</v>
      </c>
      <c r="K267" s="162" t="s">
        <v>3110</v>
      </c>
      <c r="L267" s="162" t="s">
        <v>3111</v>
      </c>
      <c r="M267" s="542" t="s">
        <v>3112</v>
      </c>
      <c r="N267" s="162" t="s">
        <v>999</v>
      </c>
      <c r="O267" s="162" t="s">
        <v>5754</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80">
        <v>0</v>
      </c>
      <c r="AO267" s="480">
        <v>0</v>
      </c>
    </row>
    <row r="268" spans="1:41" x14ac:dyDescent="0.2">
      <c r="A268">
        <v>267</v>
      </c>
      <c r="B268" s="464" t="s">
        <v>3083</v>
      </c>
      <c r="C268" s="162" t="s">
        <v>876</v>
      </c>
      <c r="D268" s="162" t="s">
        <v>4969</v>
      </c>
      <c r="E268" s="162" t="s">
        <v>2115</v>
      </c>
      <c r="F268" s="162" t="s">
        <v>2058</v>
      </c>
      <c r="G268" s="162" t="s">
        <v>34</v>
      </c>
      <c r="H268" s="162" t="s">
        <v>2198</v>
      </c>
      <c r="I268" s="162" t="s">
        <v>5723</v>
      </c>
      <c r="J268" s="162" t="s">
        <v>2466</v>
      </c>
      <c r="K268" s="162" t="s">
        <v>2374</v>
      </c>
      <c r="L268" s="162" t="s">
        <v>4970</v>
      </c>
      <c r="M268" s="542" t="s">
        <v>4971</v>
      </c>
      <c r="N268" s="162" t="s">
        <v>876</v>
      </c>
      <c r="O268" s="162" t="s">
        <v>5754</v>
      </c>
      <c r="P268" s="162" t="s">
        <v>4972</v>
      </c>
      <c r="Q268" s="162" t="s">
        <v>4934</v>
      </c>
      <c r="R268" s="162" t="s">
        <v>2255</v>
      </c>
      <c r="S268" s="162" t="s">
        <v>5188</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80">
        <v>0</v>
      </c>
      <c r="AO268" s="480">
        <v>0</v>
      </c>
    </row>
    <row r="269" spans="1:41" x14ac:dyDescent="0.2">
      <c r="A269">
        <v>268</v>
      </c>
      <c r="B269" s="464" t="s">
        <v>3083</v>
      </c>
      <c r="C269" s="162" t="s">
        <v>4975</v>
      </c>
      <c r="D269" s="162" t="s">
        <v>4976</v>
      </c>
      <c r="E269" s="162" t="s">
        <v>2115</v>
      </c>
      <c r="F269" s="162" t="s">
        <v>2058</v>
      </c>
      <c r="G269" s="162" t="s">
        <v>34</v>
      </c>
      <c r="H269" s="162" t="s">
        <v>2198</v>
      </c>
      <c r="I269" s="162" t="s">
        <v>3154</v>
      </c>
      <c r="J269" s="162" t="s">
        <v>2466</v>
      </c>
      <c r="K269" s="162" t="s">
        <v>2374</v>
      </c>
      <c r="L269" s="162" t="s">
        <v>4970</v>
      </c>
      <c r="M269" s="542" t="s">
        <v>4971</v>
      </c>
      <c r="N269" s="162" t="s">
        <v>876</v>
      </c>
      <c r="O269" s="162" t="s">
        <v>5754</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80">
        <v>0</v>
      </c>
      <c r="AO269" s="480">
        <v>0</v>
      </c>
    </row>
    <row r="270" spans="1:41" x14ac:dyDescent="0.2">
      <c r="A270">
        <v>269</v>
      </c>
      <c r="B270" s="464" t="s">
        <v>3083</v>
      </c>
      <c r="C270" s="162" t="s">
        <v>3854</v>
      </c>
      <c r="D270" s="162" t="s">
        <v>4411</v>
      </c>
      <c r="E270" s="162" t="s">
        <v>2115</v>
      </c>
      <c r="F270" s="162" t="s">
        <v>2058</v>
      </c>
      <c r="G270" s="162" t="s">
        <v>34</v>
      </c>
      <c r="H270" s="162" t="s">
        <v>2198</v>
      </c>
      <c r="I270" s="162" t="s">
        <v>5723</v>
      </c>
      <c r="J270" s="162" t="s">
        <v>2466</v>
      </c>
      <c r="K270" s="162" t="s">
        <v>2374</v>
      </c>
      <c r="L270" s="162" t="s">
        <v>2539</v>
      </c>
      <c r="M270" s="542" t="s">
        <v>2997</v>
      </c>
      <c r="N270" s="162" t="s">
        <v>3854</v>
      </c>
      <c r="O270" s="162" t="s">
        <v>5754</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80">
        <v>0</v>
      </c>
      <c r="AO270" s="480">
        <v>0</v>
      </c>
    </row>
    <row r="271" spans="1:41" x14ac:dyDescent="0.2">
      <c r="A271">
        <v>270</v>
      </c>
      <c r="B271" s="464" t="s">
        <v>3083</v>
      </c>
      <c r="C271" s="162" t="s">
        <v>4418</v>
      </c>
      <c r="D271" s="162" t="s">
        <v>4419</v>
      </c>
      <c r="E271" s="162" t="s">
        <v>2115</v>
      </c>
      <c r="F271" s="162" t="s">
        <v>2058</v>
      </c>
      <c r="G271" s="162" t="s">
        <v>34</v>
      </c>
      <c r="H271" s="162" t="s">
        <v>2198</v>
      </c>
      <c r="I271" s="162" t="s">
        <v>3154</v>
      </c>
      <c r="J271" s="162" t="s">
        <v>2466</v>
      </c>
      <c r="K271" s="162" t="s">
        <v>2374</v>
      </c>
      <c r="L271" s="162" t="s">
        <v>2539</v>
      </c>
      <c r="M271" s="542"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80">
        <v>0</v>
      </c>
      <c r="AO271" s="480">
        <v>0</v>
      </c>
    </row>
    <row r="272" spans="1:41" x14ac:dyDescent="0.2">
      <c r="A272">
        <v>271</v>
      </c>
      <c r="B272" s="464" t="s">
        <v>3083</v>
      </c>
      <c r="C272" s="162" t="s">
        <v>5816</v>
      </c>
      <c r="D272" s="162" t="s">
        <v>5817</v>
      </c>
      <c r="E272" s="162" t="s">
        <v>2115</v>
      </c>
      <c r="F272" s="162" t="s">
        <v>2058</v>
      </c>
      <c r="G272" s="162"/>
      <c r="H272" s="162" t="s">
        <v>2198</v>
      </c>
      <c r="I272" s="162" t="s">
        <v>5723</v>
      </c>
      <c r="J272" s="162" t="s">
        <v>1766</v>
      </c>
      <c r="K272" s="162" t="s">
        <v>2374</v>
      </c>
      <c r="L272" s="162" t="s">
        <v>3417</v>
      </c>
      <c r="M272" s="542" t="s">
        <v>5818</v>
      </c>
      <c r="N272" s="162" t="s">
        <v>5816</v>
      </c>
      <c r="O272" s="162" t="s">
        <v>2469</v>
      </c>
      <c r="P272" s="162" t="s">
        <v>2592</v>
      </c>
      <c r="Q272" s="162" t="s">
        <v>2274</v>
      </c>
      <c r="R272" s="162" t="s">
        <v>2255</v>
      </c>
      <c r="S272" s="162" t="s">
        <v>5819</v>
      </c>
      <c r="T272" s="162">
        <v>654.88</v>
      </c>
      <c r="U272" s="162" t="s">
        <v>1950</v>
      </c>
      <c r="V272" s="162" t="s">
        <v>2473</v>
      </c>
      <c r="W272" s="162" t="s">
        <v>5820</v>
      </c>
      <c r="X272" s="162" t="s">
        <v>2192</v>
      </c>
      <c r="Y272" s="162" t="s">
        <v>4535</v>
      </c>
      <c r="Z272" s="162" t="s">
        <v>2325</v>
      </c>
      <c r="AA272" s="162" t="s">
        <v>2192</v>
      </c>
      <c r="AB272" s="162" t="s">
        <v>5821</v>
      </c>
      <c r="AC272" s="162" t="s">
        <v>2193</v>
      </c>
      <c r="AD272" s="162" t="s">
        <v>2194</v>
      </c>
      <c r="AE272" s="162" t="s">
        <v>1760</v>
      </c>
      <c r="AF272" s="162" t="s">
        <v>3417</v>
      </c>
      <c r="AG272" s="162"/>
      <c r="AH272" s="162"/>
      <c r="AI272" s="162"/>
      <c r="AJ272" s="162"/>
      <c r="AK272" s="162" t="s">
        <v>2195</v>
      </c>
      <c r="AL272" s="162" t="s">
        <v>3795</v>
      </c>
      <c r="AM272" t="s">
        <v>4874</v>
      </c>
      <c r="AN272" s="480"/>
      <c r="AO272" s="480"/>
    </row>
    <row r="273" spans="1:41" x14ac:dyDescent="0.2">
      <c r="A273">
        <v>272</v>
      </c>
      <c r="B273" s="464" t="s">
        <v>3083</v>
      </c>
      <c r="C273" s="162" t="s">
        <v>3853</v>
      </c>
      <c r="D273" s="162" t="s">
        <v>4433</v>
      </c>
      <c r="E273" s="162" t="s">
        <v>2115</v>
      </c>
      <c r="F273" s="162" t="s">
        <v>2058</v>
      </c>
      <c r="G273" s="162" t="s">
        <v>34</v>
      </c>
      <c r="H273" s="162" t="s">
        <v>2198</v>
      </c>
      <c r="I273" s="162" t="s">
        <v>5723</v>
      </c>
      <c r="J273" s="162" t="s">
        <v>2810</v>
      </c>
      <c r="K273" s="162" t="s">
        <v>3853</v>
      </c>
      <c r="L273" s="162" t="s">
        <v>3178</v>
      </c>
      <c r="M273" s="542"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80">
        <v>0</v>
      </c>
      <c r="AO273" s="480">
        <v>0</v>
      </c>
    </row>
    <row r="274" spans="1:41" x14ac:dyDescent="0.2">
      <c r="A274">
        <v>273</v>
      </c>
      <c r="B274" s="464" t="s">
        <v>3083</v>
      </c>
      <c r="C274" s="162" t="s">
        <v>4630</v>
      </c>
      <c r="D274" s="162" t="s">
        <v>4631</v>
      </c>
      <c r="E274" s="162" t="s">
        <v>2115</v>
      </c>
      <c r="F274" s="162" t="s">
        <v>2058</v>
      </c>
      <c r="G274" s="162" t="s">
        <v>34</v>
      </c>
      <c r="H274" s="162" t="s">
        <v>2198</v>
      </c>
      <c r="I274" s="162" t="s">
        <v>5723</v>
      </c>
      <c r="J274" s="162" t="s">
        <v>2810</v>
      </c>
      <c r="K274" s="162" t="s">
        <v>2815</v>
      </c>
      <c r="L274" s="162" t="s">
        <v>4632</v>
      </c>
      <c r="M274" s="542" t="s">
        <v>4633</v>
      </c>
      <c r="N274" s="162" t="s">
        <v>4634</v>
      </c>
      <c r="O274" s="162" t="s">
        <v>904</v>
      </c>
      <c r="P274" s="162" t="s">
        <v>5438</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80">
        <v>0</v>
      </c>
      <c r="AO274" s="480">
        <v>0</v>
      </c>
    </row>
    <row r="275" spans="1:41" x14ac:dyDescent="0.2">
      <c r="A275">
        <v>274</v>
      </c>
      <c r="B275" s="464" t="s">
        <v>3083</v>
      </c>
      <c r="C275" s="162" t="s">
        <v>4556</v>
      </c>
      <c r="D275" s="162" t="s">
        <v>4557</v>
      </c>
      <c r="E275" s="162" t="s">
        <v>2115</v>
      </c>
      <c r="F275" s="162" t="s">
        <v>2058</v>
      </c>
      <c r="G275" s="162" t="s">
        <v>34</v>
      </c>
      <c r="H275" s="162" t="s">
        <v>2198</v>
      </c>
      <c r="I275" s="162" t="s">
        <v>5732</v>
      </c>
      <c r="J275" s="162" t="s">
        <v>2466</v>
      </c>
      <c r="K275" s="162" t="s">
        <v>3145</v>
      </c>
      <c r="L275" s="162" t="s">
        <v>3146</v>
      </c>
      <c r="M275" s="542"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5504</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80">
        <v>0</v>
      </c>
      <c r="AO275" s="480">
        <v>0</v>
      </c>
    </row>
    <row r="276" spans="1:41" x14ac:dyDescent="0.2">
      <c r="A276">
        <v>275</v>
      </c>
      <c r="B276" s="464" t="s">
        <v>3083</v>
      </c>
      <c r="C276" s="162" t="s">
        <v>912</v>
      </c>
      <c r="D276" s="162" t="s">
        <v>4213</v>
      </c>
      <c r="E276" s="162" t="s">
        <v>2115</v>
      </c>
      <c r="F276" s="162" t="s">
        <v>2058</v>
      </c>
      <c r="G276" s="162" t="s">
        <v>34</v>
      </c>
      <c r="H276" s="162" t="s">
        <v>2198</v>
      </c>
      <c r="I276" s="162" t="s">
        <v>5723</v>
      </c>
      <c r="J276" s="162" t="s">
        <v>2466</v>
      </c>
      <c r="K276" s="162" t="s">
        <v>2375</v>
      </c>
      <c r="L276" s="162" t="s">
        <v>3160</v>
      </c>
      <c r="M276" s="542">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80">
        <v>0</v>
      </c>
      <c r="AO276" s="480">
        <v>0</v>
      </c>
    </row>
    <row r="277" spans="1:41" x14ac:dyDescent="0.2">
      <c r="A277">
        <v>276</v>
      </c>
      <c r="B277" s="464" t="s">
        <v>3083</v>
      </c>
      <c r="C277" s="162" t="s">
        <v>1277</v>
      </c>
      <c r="D277" s="162" t="s">
        <v>4214</v>
      </c>
      <c r="E277" s="162" t="s">
        <v>2115</v>
      </c>
      <c r="F277" s="162" t="s">
        <v>2058</v>
      </c>
      <c r="G277" s="162" t="s">
        <v>34</v>
      </c>
      <c r="H277" s="162" t="s">
        <v>2198</v>
      </c>
      <c r="I277" s="162" t="s">
        <v>5723</v>
      </c>
      <c r="J277" s="162" t="s">
        <v>2810</v>
      </c>
      <c r="K277" s="162" t="s">
        <v>2375</v>
      </c>
      <c r="L277" s="162" t="s">
        <v>3167</v>
      </c>
      <c r="M277" s="542"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80">
        <v>0</v>
      </c>
      <c r="AO277" s="480">
        <v>0</v>
      </c>
    </row>
    <row r="278" spans="1:41" x14ac:dyDescent="0.2">
      <c r="A278">
        <v>277</v>
      </c>
      <c r="B278" s="464" t="s">
        <v>3083</v>
      </c>
      <c r="C278" s="162" t="s">
        <v>827</v>
      </c>
      <c r="D278" s="162" t="s">
        <v>4215</v>
      </c>
      <c r="E278" s="162" t="s">
        <v>2115</v>
      </c>
      <c r="F278" s="162" t="s">
        <v>2058</v>
      </c>
      <c r="G278" s="162" t="s">
        <v>34</v>
      </c>
      <c r="H278" s="162" t="s">
        <v>2198</v>
      </c>
      <c r="I278" s="162" t="s">
        <v>5723</v>
      </c>
      <c r="J278" s="162" t="s">
        <v>2810</v>
      </c>
      <c r="K278" s="162" t="s">
        <v>827</v>
      </c>
      <c r="L278" s="162" t="s">
        <v>3173</v>
      </c>
      <c r="M278" s="542"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80">
        <v>0</v>
      </c>
      <c r="AO278" s="480">
        <v>0</v>
      </c>
    </row>
    <row r="279" spans="1:41" x14ac:dyDescent="0.2">
      <c r="A279">
        <v>278</v>
      </c>
      <c r="B279" s="464" t="s">
        <v>3083</v>
      </c>
      <c r="C279" s="162" t="s">
        <v>1327</v>
      </c>
      <c r="D279" s="162" t="s">
        <v>4216</v>
      </c>
      <c r="E279" s="162" t="s">
        <v>2115</v>
      </c>
      <c r="F279" s="162" t="s">
        <v>2058</v>
      </c>
      <c r="G279" s="162" t="s">
        <v>34</v>
      </c>
      <c r="H279" s="162" t="s">
        <v>2198</v>
      </c>
      <c r="I279" s="162" t="s">
        <v>5723</v>
      </c>
      <c r="J279" s="162" t="s">
        <v>2810</v>
      </c>
      <c r="K279" s="162" t="s">
        <v>1327</v>
      </c>
      <c r="L279" s="162" t="s">
        <v>3178</v>
      </c>
      <c r="M279" s="542"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80">
        <v>0</v>
      </c>
      <c r="AO279" s="480">
        <v>0</v>
      </c>
    </row>
    <row r="280" spans="1:41" x14ac:dyDescent="0.2">
      <c r="A280">
        <v>279</v>
      </c>
      <c r="B280" s="464" t="s">
        <v>3083</v>
      </c>
      <c r="C280" s="162" t="s">
        <v>5119</v>
      </c>
      <c r="D280" s="162" t="s">
        <v>5120</v>
      </c>
      <c r="E280" s="162" t="s">
        <v>2115</v>
      </c>
      <c r="F280" s="162" t="s">
        <v>2058</v>
      </c>
      <c r="G280" s="162" t="s">
        <v>34</v>
      </c>
      <c r="H280" s="162" t="s">
        <v>2198</v>
      </c>
      <c r="I280" s="162" t="s">
        <v>5732</v>
      </c>
      <c r="J280" s="162" t="s">
        <v>2466</v>
      </c>
      <c r="K280" s="162" t="s">
        <v>3145</v>
      </c>
      <c r="L280" s="162" t="s">
        <v>3146</v>
      </c>
      <c r="M280" s="542" t="s">
        <v>3147</v>
      </c>
      <c r="N280" s="162" t="s">
        <v>5119</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80"/>
      <c r="AO280" s="480"/>
    </row>
    <row r="281" spans="1:41" x14ac:dyDescent="0.2">
      <c r="A281">
        <v>280</v>
      </c>
      <c r="B281" s="464" t="s">
        <v>3083</v>
      </c>
      <c r="C281" s="162" t="s">
        <v>5242</v>
      </c>
      <c r="D281" s="162" t="s">
        <v>5243</v>
      </c>
      <c r="E281" s="162" t="s">
        <v>2115</v>
      </c>
      <c r="F281" s="162" t="s">
        <v>2058</v>
      </c>
      <c r="G281" s="162" t="s">
        <v>34</v>
      </c>
      <c r="H281" s="162" t="s">
        <v>2198</v>
      </c>
      <c r="I281" s="162" t="s">
        <v>5732</v>
      </c>
      <c r="J281" s="162" t="s">
        <v>2466</v>
      </c>
      <c r="K281" s="162" t="s">
        <v>3084</v>
      </c>
      <c r="L281" s="162" t="s">
        <v>3106</v>
      </c>
      <c r="M281" s="542">
        <v>1</v>
      </c>
      <c r="N281" s="162" t="s">
        <v>5105</v>
      </c>
      <c r="O281" s="162" t="s">
        <v>3121</v>
      </c>
      <c r="P281" s="162" t="s">
        <v>4660</v>
      </c>
      <c r="Q281" s="162" t="s">
        <v>2274</v>
      </c>
      <c r="R281" s="162" t="s">
        <v>2191</v>
      </c>
      <c r="S281" s="162" t="s">
        <v>5189</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5047</v>
      </c>
      <c r="AN281" s="480"/>
      <c r="AO281" s="480"/>
    </row>
    <row r="282" spans="1:41" x14ac:dyDescent="0.2">
      <c r="A282">
        <v>281</v>
      </c>
      <c r="B282" s="464" t="s">
        <v>3083</v>
      </c>
      <c r="C282" s="162" t="s">
        <v>5105</v>
      </c>
      <c r="D282" s="162" t="s">
        <v>5106</v>
      </c>
      <c r="E282" s="162" t="s">
        <v>2115</v>
      </c>
      <c r="F282" s="162" t="s">
        <v>2058</v>
      </c>
      <c r="G282" s="162" t="s">
        <v>34</v>
      </c>
      <c r="H282" s="162" t="s">
        <v>2198</v>
      </c>
      <c r="I282" s="162" t="s">
        <v>5732</v>
      </c>
      <c r="J282" s="162" t="s">
        <v>2466</v>
      </c>
      <c r="K282" s="162" t="s">
        <v>3084</v>
      </c>
      <c r="L282" s="162" t="s">
        <v>3106</v>
      </c>
      <c r="M282" s="542">
        <v>1</v>
      </c>
      <c r="N282" s="162" t="s">
        <v>5105</v>
      </c>
      <c r="O282" s="162" t="s">
        <v>5754</v>
      </c>
      <c r="P282" s="162" t="s">
        <v>4660</v>
      </c>
      <c r="Q282" s="162" t="s">
        <v>4968</v>
      </c>
      <c r="R282" s="162" t="s">
        <v>2191</v>
      </c>
      <c r="S282" s="162" t="s">
        <v>5189</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80"/>
      <c r="AO282" s="480"/>
    </row>
    <row r="283" spans="1:41" x14ac:dyDescent="0.2">
      <c r="A283">
        <v>282</v>
      </c>
      <c r="B283" s="464" t="s">
        <v>3083</v>
      </c>
      <c r="C283" s="162" t="s">
        <v>835</v>
      </c>
      <c r="D283" s="162" t="s">
        <v>4217</v>
      </c>
      <c r="E283" s="162" t="s">
        <v>2115</v>
      </c>
      <c r="F283" s="162" t="s">
        <v>2058</v>
      </c>
      <c r="G283" s="162" t="s">
        <v>34</v>
      </c>
      <c r="H283" s="162" t="s">
        <v>2198</v>
      </c>
      <c r="I283" s="162" t="s">
        <v>5723</v>
      </c>
      <c r="J283" s="162" t="s">
        <v>2466</v>
      </c>
      <c r="K283" s="162" t="s">
        <v>3084</v>
      </c>
      <c r="L283" s="162" t="s">
        <v>2189</v>
      </c>
      <c r="M283" s="542">
        <v>2</v>
      </c>
      <c r="N283" s="162" t="s">
        <v>835</v>
      </c>
      <c r="O283" s="162" t="s">
        <v>5754</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80">
        <v>0</v>
      </c>
      <c r="AO283" s="480">
        <v>0</v>
      </c>
    </row>
    <row r="284" spans="1:41" x14ac:dyDescent="0.2">
      <c r="A284">
        <v>283</v>
      </c>
      <c r="B284" s="464" t="s">
        <v>3083</v>
      </c>
      <c r="C284" s="162" t="s">
        <v>837</v>
      </c>
      <c r="D284" s="162" t="s">
        <v>4218</v>
      </c>
      <c r="E284" s="162" t="s">
        <v>2115</v>
      </c>
      <c r="F284" s="162" t="s">
        <v>2058</v>
      </c>
      <c r="G284" s="162" t="s">
        <v>34</v>
      </c>
      <c r="H284" s="162" t="s">
        <v>2198</v>
      </c>
      <c r="I284" s="162" t="s">
        <v>5723</v>
      </c>
      <c r="J284" s="162" t="s">
        <v>2466</v>
      </c>
      <c r="K284" s="162" t="s">
        <v>3084</v>
      </c>
      <c r="L284" s="162" t="s">
        <v>2482</v>
      </c>
      <c r="M284" s="542">
        <v>9321</v>
      </c>
      <c r="N284" s="162" t="s">
        <v>837</v>
      </c>
      <c r="O284" s="162" t="s">
        <v>5754</v>
      </c>
      <c r="P284" s="162" t="s">
        <v>3094</v>
      </c>
      <c r="Q284" s="162" t="s">
        <v>4934</v>
      </c>
      <c r="R284" s="162" t="s">
        <v>2365</v>
      </c>
      <c r="S284" s="162" t="s">
        <v>5190</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80">
        <v>0</v>
      </c>
      <c r="AO284" s="480">
        <v>0</v>
      </c>
    </row>
    <row r="285" spans="1:41" x14ac:dyDescent="0.2">
      <c r="A285">
        <v>284</v>
      </c>
      <c r="B285" s="464" t="s">
        <v>3083</v>
      </c>
      <c r="C285" s="162" t="s">
        <v>1912</v>
      </c>
      <c r="D285" s="162" t="s">
        <v>4219</v>
      </c>
      <c r="E285" s="162" t="s">
        <v>2115</v>
      </c>
      <c r="F285" s="162" t="s">
        <v>2058</v>
      </c>
      <c r="G285" s="162" t="s">
        <v>34</v>
      </c>
      <c r="H285" s="162" t="s">
        <v>2198</v>
      </c>
      <c r="I285" s="162" t="s">
        <v>5732</v>
      </c>
      <c r="J285" s="162" t="s">
        <v>2466</v>
      </c>
      <c r="K285" s="162" t="s">
        <v>3128</v>
      </c>
      <c r="L285" s="162" t="s">
        <v>2189</v>
      </c>
      <c r="M285" s="542">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80">
        <v>0</v>
      </c>
      <c r="AO285" s="480">
        <v>0</v>
      </c>
    </row>
    <row r="286" spans="1:41" x14ac:dyDescent="0.2">
      <c r="A286">
        <v>285</v>
      </c>
      <c r="B286" s="464" t="s">
        <v>3083</v>
      </c>
      <c r="C286" s="162" t="s">
        <v>825</v>
      </c>
      <c r="D286" s="162" t="s">
        <v>4220</v>
      </c>
      <c r="E286" s="162" t="s">
        <v>2115</v>
      </c>
      <c r="F286" s="162" t="s">
        <v>2058</v>
      </c>
      <c r="G286" s="162" t="s">
        <v>34</v>
      </c>
      <c r="H286" s="162" t="s">
        <v>2198</v>
      </c>
      <c r="I286" s="162" t="s">
        <v>5723</v>
      </c>
      <c r="J286" s="162" t="s">
        <v>2466</v>
      </c>
      <c r="K286" s="162" t="s">
        <v>3084</v>
      </c>
      <c r="L286" s="162" t="s">
        <v>2189</v>
      </c>
      <c r="M286" s="542">
        <v>4</v>
      </c>
      <c r="N286" s="162" t="s">
        <v>825</v>
      </c>
      <c r="O286" s="162" t="s">
        <v>5754</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80">
        <v>0</v>
      </c>
      <c r="AO286" s="480">
        <v>0</v>
      </c>
    </row>
    <row r="287" spans="1:41" x14ac:dyDescent="0.2">
      <c r="A287">
        <v>286</v>
      </c>
      <c r="B287" s="464" t="s">
        <v>3083</v>
      </c>
      <c r="C287" s="162" t="s">
        <v>829</v>
      </c>
      <c r="D287" s="162" t="s">
        <v>4221</v>
      </c>
      <c r="E287" s="162" t="s">
        <v>2115</v>
      </c>
      <c r="F287" s="162" t="s">
        <v>2058</v>
      </c>
      <c r="G287" s="162" t="s">
        <v>34</v>
      </c>
      <c r="H287" s="162" t="s">
        <v>2198</v>
      </c>
      <c r="I287" s="162" t="s">
        <v>5723</v>
      </c>
      <c r="J287" s="162" t="s">
        <v>2466</v>
      </c>
      <c r="K287" s="162" t="s">
        <v>4624</v>
      </c>
      <c r="L287" s="162" t="s">
        <v>5822</v>
      </c>
      <c r="M287" s="542">
        <v>5</v>
      </c>
      <c r="N287" s="162" t="s">
        <v>829</v>
      </c>
      <c r="O287" s="162" t="s">
        <v>904</v>
      </c>
      <c r="P287" s="162" t="s">
        <v>5823</v>
      </c>
      <c r="Q287" s="162" t="s">
        <v>4934</v>
      </c>
      <c r="R287" s="162" t="s">
        <v>2365</v>
      </c>
      <c r="S287" s="162" t="s">
        <v>5824</v>
      </c>
      <c r="T287" s="162">
        <v>75</v>
      </c>
      <c r="U287" s="162" t="s">
        <v>1950</v>
      </c>
      <c r="V287" s="162" t="s">
        <v>2978</v>
      </c>
      <c r="W287" s="162" t="s">
        <v>5825</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80">
        <v>0</v>
      </c>
      <c r="AO287" s="480">
        <v>0</v>
      </c>
    </row>
    <row r="288" spans="1:41" x14ac:dyDescent="0.2">
      <c r="A288">
        <v>287</v>
      </c>
      <c r="B288" s="464" t="s">
        <v>3083</v>
      </c>
      <c r="C288" s="162" t="s">
        <v>823</v>
      </c>
      <c r="D288" s="162" t="s">
        <v>4222</v>
      </c>
      <c r="E288" s="162" t="s">
        <v>2115</v>
      </c>
      <c r="F288" s="162" t="s">
        <v>2058</v>
      </c>
      <c r="G288" s="162" t="s">
        <v>34</v>
      </c>
      <c r="H288" s="162" t="s">
        <v>2198</v>
      </c>
      <c r="I288" s="162" t="s">
        <v>5723</v>
      </c>
      <c r="J288" s="162" t="s">
        <v>2466</v>
      </c>
      <c r="K288" s="162" t="s">
        <v>3128</v>
      </c>
      <c r="L288" s="162" t="s">
        <v>2614</v>
      </c>
      <c r="M288" s="542">
        <v>78700</v>
      </c>
      <c r="N288" s="162" t="s">
        <v>823</v>
      </c>
      <c r="O288" s="162" t="s">
        <v>5754</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80">
        <v>0</v>
      </c>
      <c r="AO288" s="480">
        <v>0</v>
      </c>
    </row>
    <row r="289" spans="1:41" x14ac:dyDescent="0.2">
      <c r="A289">
        <v>288</v>
      </c>
      <c r="B289" s="464" t="s">
        <v>3083</v>
      </c>
      <c r="C289" s="162" t="s">
        <v>4739</v>
      </c>
      <c r="D289" s="162" t="s">
        <v>4740</v>
      </c>
      <c r="E289" s="162" t="s">
        <v>2115</v>
      </c>
      <c r="F289" s="162" t="s">
        <v>2058</v>
      </c>
      <c r="G289" s="162" t="s">
        <v>34</v>
      </c>
      <c r="H289" s="162" t="s">
        <v>2198</v>
      </c>
      <c r="I289" s="162" t="s">
        <v>5723</v>
      </c>
      <c r="J289" s="162" t="s">
        <v>2466</v>
      </c>
      <c r="K289" s="162" t="s">
        <v>2362</v>
      </c>
      <c r="L289" s="162" t="s">
        <v>4741</v>
      </c>
      <c r="M289" s="542"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80">
        <v>0</v>
      </c>
      <c r="AO289" s="480">
        <v>0</v>
      </c>
    </row>
    <row r="290" spans="1:41" x14ac:dyDescent="0.2">
      <c r="A290">
        <v>289</v>
      </c>
      <c r="B290" s="464" t="s">
        <v>3083</v>
      </c>
      <c r="C290" s="162" t="s">
        <v>819</v>
      </c>
      <c r="D290" s="162" t="s">
        <v>4223</v>
      </c>
      <c r="E290" s="162" t="s">
        <v>2115</v>
      </c>
      <c r="F290" s="162" t="s">
        <v>2058</v>
      </c>
      <c r="G290" s="162" t="s">
        <v>34</v>
      </c>
      <c r="H290" s="162" t="s">
        <v>2198</v>
      </c>
      <c r="I290" s="162" t="s">
        <v>5723</v>
      </c>
      <c r="J290" s="162" t="s">
        <v>2810</v>
      </c>
      <c r="K290" s="162" t="s">
        <v>3128</v>
      </c>
      <c r="L290" s="162" t="s">
        <v>109</v>
      </c>
      <c r="M290" s="542">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80">
        <v>0</v>
      </c>
      <c r="AO290" s="480">
        <v>0</v>
      </c>
    </row>
    <row r="291" spans="1:41" x14ac:dyDescent="0.2">
      <c r="A291">
        <v>290</v>
      </c>
      <c r="B291" s="464" t="s">
        <v>3083</v>
      </c>
      <c r="C291" s="162" t="s">
        <v>4528</v>
      </c>
      <c r="D291" s="162" t="s">
        <v>4529</v>
      </c>
      <c r="E291" s="162" t="s">
        <v>2115</v>
      </c>
      <c r="F291" s="162" t="s">
        <v>2058</v>
      </c>
      <c r="G291" s="162" t="s">
        <v>34</v>
      </c>
      <c r="H291" s="162" t="s">
        <v>2198</v>
      </c>
      <c r="I291" s="162" t="s">
        <v>5756</v>
      </c>
      <c r="J291" s="162" t="s">
        <v>2466</v>
      </c>
      <c r="K291" s="162" t="s">
        <v>3128</v>
      </c>
      <c r="L291" s="162" t="s">
        <v>2985</v>
      </c>
      <c r="M291" s="542" t="s">
        <v>4530</v>
      </c>
      <c r="N291" s="162" t="s">
        <v>4528</v>
      </c>
      <c r="O291" s="162" t="s">
        <v>5754</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80">
        <v>0</v>
      </c>
      <c r="AO291" s="480">
        <v>0</v>
      </c>
    </row>
    <row r="292" spans="1:41" x14ac:dyDescent="0.2">
      <c r="A292">
        <v>291</v>
      </c>
      <c r="B292" s="464" t="s">
        <v>3083</v>
      </c>
      <c r="C292" s="162" t="s">
        <v>5230</v>
      </c>
      <c r="D292" s="162" t="s">
        <v>5231</v>
      </c>
      <c r="E292" s="162" t="s">
        <v>2115</v>
      </c>
      <c r="F292" s="162" t="s">
        <v>2058</v>
      </c>
      <c r="G292" s="162" t="s">
        <v>34</v>
      </c>
      <c r="H292" s="162" t="s">
        <v>2198</v>
      </c>
      <c r="I292" s="162" t="s">
        <v>5232</v>
      </c>
      <c r="J292" s="162" t="s">
        <v>2466</v>
      </c>
      <c r="K292" s="162" t="s">
        <v>3128</v>
      </c>
      <c r="L292" s="162" t="s">
        <v>2985</v>
      </c>
      <c r="M292" s="542"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80"/>
      <c r="AO292" s="480"/>
    </row>
    <row r="293" spans="1:41" x14ac:dyDescent="0.2">
      <c r="A293">
        <v>292</v>
      </c>
      <c r="B293" s="464" t="s">
        <v>3083</v>
      </c>
      <c r="C293" s="162" t="s">
        <v>821</v>
      </c>
      <c r="D293" s="162" t="s">
        <v>4224</v>
      </c>
      <c r="E293" s="162" t="s">
        <v>2115</v>
      </c>
      <c r="F293" s="162" t="s">
        <v>2058</v>
      </c>
      <c r="G293" s="162" t="s">
        <v>34</v>
      </c>
      <c r="H293" s="162" t="s">
        <v>2198</v>
      </c>
      <c r="I293" s="162" t="s">
        <v>5723</v>
      </c>
      <c r="J293" s="162" t="s">
        <v>2810</v>
      </c>
      <c r="K293" s="162" t="s">
        <v>3128</v>
      </c>
      <c r="L293" s="162" t="s">
        <v>2189</v>
      </c>
      <c r="M293" s="542">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80">
        <v>0</v>
      </c>
      <c r="AO293" s="480">
        <v>0</v>
      </c>
    </row>
    <row r="294" spans="1:41" x14ac:dyDescent="0.2">
      <c r="A294">
        <v>293</v>
      </c>
      <c r="B294" s="464" t="s">
        <v>3083</v>
      </c>
      <c r="C294" s="162" t="s">
        <v>4694</v>
      </c>
      <c r="D294" s="162" t="s">
        <v>4695</v>
      </c>
      <c r="E294" s="162" t="s">
        <v>2115</v>
      </c>
      <c r="F294" s="162" t="s">
        <v>2058</v>
      </c>
      <c r="G294" s="162" t="s">
        <v>34</v>
      </c>
      <c r="H294" s="162" t="s">
        <v>2198</v>
      </c>
      <c r="I294" s="162" t="s">
        <v>5723</v>
      </c>
      <c r="J294" s="162" t="s">
        <v>2466</v>
      </c>
      <c r="K294" s="162" t="s">
        <v>1118</v>
      </c>
      <c r="L294" s="162" t="s">
        <v>2539</v>
      </c>
      <c r="M294" s="542">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5288</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80">
        <v>0</v>
      </c>
      <c r="AO294" s="480">
        <v>0</v>
      </c>
    </row>
    <row r="295" spans="1:41" x14ac:dyDescent="0.2">
      <c r="A295">
        <v>294</v>
      </c>
      <c r="B295" s="464" t="s">
        <v>3083</v>
      </c>
      <c r="C295" s="162" t="s">
        <v>839</v>
      </c>
      <c r="D295" s="162" t="s">
        <v>4225</v>
      </c>
      <c r="E295" s="162" t="s">
        <v>2115</v>
      </c>
      <c r="F295" s="162" t="s">
        <v>2058</v>
      </c>
      <c r="G295" s="162" t="s">
        <v>34</v>
      </c>
      <c r="H295" s="162" t="s">
        <v>2198</v>
      </c>
      <c r="I295" s="162" t="s">
        <v>5723</v>
      </c>
      <c r="J295" s="162" t="s">
        <v>2810</v>
      </c>
      <c r="K295" s="162" t="s">
        <v>1118</v>
      </c>
      <c r="L295" s="162" t="s">
        <v>2539</v>
      </c>
      <c r="M295" s="542">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5121</v>
      </c>
      <c r="Z295" s="162" t="s">
        <v>5288</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80">
        <v>0</v>
      </c>
      <c r="AO295" s="480">
        <v>0</v>
      </c>
    </row>
    <row r="296" spans="1:41" x14ac:dyDescent="0.2">
      <c r="A296">
        <v>295</v>
      </c>
      <c r="B296" s="464" t="s">
        <v>3083</v>
      </c>
      <c r="C296" s="162" t="s">
        <v>1972</v>
      </c>
      <c r="D296" s="162" t="s">
        <v>4226</v>
      </c>
      <c r="E296" s="162" t="s">
        <v>2115</v>
      </c>
      <c r="F296" s="162" t="s">
        <v>2058</v>
      </c>
      <c r="G296" s="162" t="s">
        <v>34</v>
      </c>
      <c r="H296" s="162" t="s">
        <v>2198</v>
      </c>
      <c r="I296" s="162" t="s">
        <v>5732</v>
      </c>
      <c r="J296" s="162" t="s">
        <v>2466</v>
      </c>
      <c r="K296" s="162" t="s">
        <v>3096</v>
      </c>
      <c r="L296" s="162" t="s">
        <v>3097</v>
      </c>
      <c r="M296" s="542" t="s">
        <v>3126</v>
      </c>
      <c r="N296" s="162" t="s">
        <v>3127</v>
      </c>
      <c r="O296" s="162" t="s">
        <v>3121</v>
      </c>
      <c r="P296" s="162" t="s">
        <v>5163</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80">
        <v>0</v>
      </c>
      <c r="AO296" s="480">
        <v>0</v>
      </c>
    </row>
    <row r="297" spans="1:41" x14ac:dyDescent="0.2">
      <c r="A297">
        <v>296</v>
      </c>
      <c r="B297" s="464" t="s">
        <v>3083</v>
      </c>
      <c r="C297" s="162" t="s">
        <v>841</v>
      </c>
      <c r="D297" s="162" t="s">
        <v>4227</v>
      </c>
      <c r="E297" s="162" t="s">
        <v>2115</v>
      </c>
      <c r="F297" s="162" t="s">
        <v>2058</v>
      </c>
      <c r="G297" s="162" t="s">
        <v>34</v>
      </c>
      <c r="H297" s="162" t="s">
        <v>2198</v>
      </c>
      <c r="I297" s="162" t="s">
        <v>5723</v>
      </c>
      <c r="J297" s="162" t="s">
        <v>2466</v>
      </c>
      <c r="K297" s="162" t="s">
        <v>3096</v>
      </c>
      <c r="L297" s="162" t="s">
        <v>3097</v>
      </c>
      <c r="M297" s="542" t="s">
        <v>3098</v>
      </c>
      <c r="N297" s="162" t="s">
        <v>841</v>
      </c>
      <c r="O297" s="162" t="s">
        <v>5754</v>
      </c>
      <c r="P297" s="162" t="s">
        <v>5184</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80">
        <v>0</v>
      </c>
      <c r="AO297" s="480">
        <v>0</v>
      </c>
    </row>
    <row r="298" spans="1:41" x14ac:dyDescent="0.2">
      <c r="A298">
        <v>297</v>
      </c>
      <c r="B298" s="464" t="s">
        <v>3083</v>
      </c>
      <c r="C298" s="162" t="s">
        <v>5233</v>
      </c>
      <c r="D298" s="162" t="s">
        <v>5234</v>
      </c>
      <c r="E298" s="162" t="s">
        <v>2115</v>
      </c>
      <c r="F298" s="162" t="s">
        <v>2058</v>
      </c>
      <c r="G298" s="162" t="s">
        <v>34</v>
      </c>
      <c r="H298" s="162" t="s">
        <v>2198</v>
      </c>
      <c r="I298" s="162" t="s">
        <v>5723</v>
      </c>
      <c r="J298" s="162" t="s">
        <v>2810</v>
      </c>
      <c r="K298" s="162" t="s">
        <v>1121</v>
      </c>
      <c r="L298" s="162" t="s">
        <v>3086</v>
      </c>
      <c r="M298" s="542" t="s">
        <v>3087</v>
      </c>
      <c r="N298" s="162" t="s">
        <v>5233</v>
      </c>
      <c r="O298" s="162" t="s">
        <v>904</v>
      </c>
      <c r="P298" s="162" t="s">
        <v>3088</v>
      </c>
      <c r="Q298" s="162" t="s">
        <v>2274</v>
      </c>
      <c r="R298" s="162" t="s">
        <v>2191</v>
      </c>
      <c r="S298" s="162" t="s">
        <v>3089</v>
      </c>
      <c r="T298" s="162">
        <v>564.6</v>
      </c>
      <c r="U298" s="162" t="s">
        <v>2221</v>
      </c>
      <c r="V298" s="162" t="s">
        <v>3090</v>
      </c>
      <c r="W298" s="162" t="s">
        <v>3091</v>
      </c>
      <c r="X298" s="162" t="s">
        <v>2192</v>
      </c>
      <c r="Y298" s="162" t="s">
        <v>5067</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80"/>
      <c r="AO298" s="480"/>
    </row>
    <row r="299" spans="1:41" x14ac:dyDescent="0.2">
      <c r="A299">
        <v>298</v>
      </c>
      <c r="B299" s="464" t="s">
        <v>3083</v>
      </c>
      <c r="C299" s="162" t="s">
        <v>5235</v>
      </c>
      <c r="D299" s="162" t="s">
        <v>5236</v>
      </c>
      <c r="E299" s="162" t="s">
        <v>2115</v>
      </c>
      <c r="F299" s="162" t="s">
        <v>2058</v>
      </c>
      <c r="G299" s="162" t="s">
        <v>34</v>
      </c>
      <c r="H299" s="162" t="s">
        <v>2198</v>
      </c>
      <c r="I299" s="162" t="s">
        <v>5732</v>
      </c>
      <c r="J299" s="162" t="s">
        <v>2810</v>
      </c>
      <c r="K299" s="162" t="s">
        <v>1121</v>
      </c>
      <c r="L299" s="162" t="s">
        <v>3086</v>
      </c>
      <c r="M299" s="542" t="s">
        <v>3087</v>
      </c>
      <c r="N299" s="162" t="s">
        <v>5233</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80"/>
      <c r="AO299" s="480"/>
    </row>
    <row r="300" spans="1:41" x14ac:dyDescent="0.2">
      <c r="A300">
        <v>299</v>
      </c>
      <c r="B300" s="464" t="s">
        <v>3083</v>
      </c>
      <c r="C300" s="162" t="s">
        <v>4821</v>
      </c>
      <c r="D300" s="162" t="s">
        <v>4822</v>
      </c>
      <c r="E300" s="162" t="s">
        <v>2115</v>
      </c>
      <c r="F300" s="162" t="s">
        <v>2058</v>
      </c>
      <c r="G300" s="162" t="s">
        <v>34</v>
      </c>
      <c r="H300" s="162" t="s">
        <v>2198</v>
      </c>
      <c r="I300" s="162" t="s">
        <v>5756</v>
      </c>
      <c r="J300" s="162" t="s">
        <v>2466</v>
      </c>
      <c r="K300" s="162" t="s">
        <v>4823</v>
      </c>
      <c r="L300" s="162" t="s">
        <v>4824</v>
      </c>
      <c r="M300" s="542"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80">
        <v>0</v>
      </c>
      <c r="AO300" s="480">
        <v>0</v>
      </c>
    </row>
    <row r="301" spans="1:41" x14ac:dyDescent="0.2">
      <c r="A301">
        <v>300</v>
      </c>
      <c r="B301" s="464" t="s">
        <v>3083</v>
      </c>
      <c r="C301" s="162" t="s">
        <v>4622</v>
      </c>
      <c r="D301" s="162" t="s">
        <v>4623</v>
      </c>
      <c r="E301" s="162" t="s">
        <v>2115</v>
      </c>
      <c r="F301" s="162" t="s">
        <v>2058</v>
      </c>
      <c r="G301" s="162" t="s">
        <v>34</v>
      </c>
      <c r="H301" s="162" t="s">
        <v>2198</v>
      </c>
      <c r="I301" s="162" t="s">
        <v>5723</v>
      </c>
      <c r="J301" s="162" t="s">
        <v>2466</v>
      </c>
      <c r="K301" s="162" t="s">
        <v>4624</v>
      </c>
      <c r="L301" s="162" t="s">
        <v>3155</v>
      </c>
      <c r="M301" s="542" t="s">
        <v>3156</v>
      </c>
      <c r="N301" s="162" t="s">
        <v>3144</v>
      </c>
      <c r="O301" s="162" t="s">
        <v>904</v>
      </c>
      <c r="P301" s="162" t="s">
        <v>5185</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80">
        <v>0</v>
      </c>
      <c r="AO301" s="480">
        <v>0</v>
      </c>
    </row>
    <row r="302" spans="1:41" x14ac:dyDescent="0.2">
      <c r="A302">
        <v>301</v>
      </c>
      <c r="B302" s="464" t="s">
        <v>3083</v>
      </c>
      <c r="C302" s="162" t="s">
        <v>4625</v>
      </c>
      <c r="D302" s="162" t="s">
        <v>4626</v>
      </c>
      <c r="E302" s="162" t="s">
        <v>2115</v>
      </c>
      <c r="F302" s="162" t="s">
        <v>2058</v>
      </c>
      <c r="G302" s="162" t="s">
        <v>34</v>
      </c>
      <c r="H302" s="162" t="s">
        <v>2198</v>
      </c>
      <c r="I302" s="162" t="s">
        <v>5732</v>
      </c>
      <c r="J302" s="162" t="s">
        <v>2466</v>
      </c>
      <c r="K302" s="162" t="s">
        <v>4627</v>
      </c>
      <c r="L302" s="162" t="s">
        <v>3155</v>
      </c>
      <c r="M302" s="542" t="s">
        <v>3156</v>
      </c>
      <c r="N302" s="162" t="s">
        <v>3144</v>
      </c>
      <c r="O302" s="162" t="s">
        <v>3121</v>
      </c>
      <c r="P302" s="162" t="s">
        <v>5185</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80">
        <v>0</v>
      </c>
      <c r="AO302" s="480">
        <v>0</v>
      </c>
    </row>
    <row r="303" spans="1:41" x14ac:dyDescent="0.2">
      <c r="A303">
        <v>302</v>
      </c>
      <c r="B303" s="464" t="s">
        <v>3083</v>
      </c>
      <c r="C303" s="162" t="s">
        <v>2606</v>
      </c>
      <c r="D303" s="162" t="s">
        <v>4858</v>
      </c>
      <c r="E303" s="162" t="s">
        <v>2115</v>
      </c>
      <c r="F303" s="162" t="s">
        <v>2058</v>
      </c>
      <c r="G303" s="162" t="s">
        <v>34</v>
      </c>
      <c r="H303" s="162" t="s">
        <v>2198</v>
      </c>
      <c r="I303" s="162" t="s">
        <v>5756</v>
      </c>
      <c r="J303" s="162" t="s">
        <v>2466</v>
      </c>
      <c r="K303" s="162" t="s">
        <v>3395</v>
      </c>
      <c r="L303" s="162" t="s">
        <v>4859</v>
      </c>
      <c r="M303" s="542" t="s">
        <v>4860</v>
      </c>
      <c r="N303" s="162" t="s">
        <v>4861</v>
      </c>
      <c r="O303" s="162" t="s">
        <v>5728</v>
      </c>
      <c r="P303" s="162" t="s">
        <v>3088</v>
      </c>
      <c r="Q303" s="162" t="s">
        <v>4934</v>
      </c>
      <c r="R303" s="162" t="s">
        <v>4531</v>
      </c>
      <c r="S303" s="162" t="s">
        <v>5197</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80">
        <v>0</v>
      </c>
      <c r="AO303" s="480">
        <v>0</v>
      </c>
    </row>
    <row r="304" spans="1:41" x14ac:dyDescent="0.2">
      <c r="A304">
        <v>303</v>
      </c>
      <c r="B304" s="464" t="s">
        <v>3083</v>
      </c>
      <c r="C304" s="162" t="s">
        <v>4864</v>
      </c>
      <c r="D304" s="162" t="s">
        <v>4865</v>
      </c>
      <c r="E304" s="162" t="s">
        <v>2115</v>
      </c>
      <c r="F304" s="162" t="s">
        <v>2058</v>
      </c>
      <c r="G304" s="162" t="s">
        <v>34</v>
      </c>
      <c r="H304" s="162" t="s">
        <v>2198</v>
      </c>
      <c r="I304" s="162" t="s">
        <v>5756</v>
      </c>
      <c r="J304" s="162" t="s">
        <v>2466</v>
      </c>
      <c r="K304" s="162" t="s">
        <v>3395</v>
      </c>
      <c r="L304" s="162" t="s">
        <v>4859</v>
      </c>
      <c r="M304" s="542"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80">
        <v>0</v>
      </c>
      <c r="AO304" s="480">
        <v>0</v>
      </c>
    </row>
    <row r="305" spans="1:41" x14ac:dyDescent="0.2">
      <c r="A305">
        <v>304</v>
      </c>
      <c r="B305" s="464" t="s">
        <v>3083</v>
      </c>
      <c r="C305" s="162" t="s">
        <v>5038</v>
      </c>
      <c r="D305" s="162" t="s">
        <v>5039</v>
      </c>
      <c r="E305" s="162" t="s">
        <v>2115</v>
      </c>
      <c r="F305" s="162" t="s">
        <v>2058</v>
      </c>
      <c r="G305" s="162" t="s">
        <v>34</v>
      </c>
      <c r="H305" s="162" t="s">
        <v>2198</v>
      </c>
      <c r="I305" s="162" t="s">
        <v>5756</v>
      </c>
      <c r="J305" s="162" t="s">
        <v>2466</v>
      </c>
      <c r="K305" s="162" t="s">
        <v>3395</v>
      </c>
      <c r="L305" s="162" t="s">
        <v>4859</v>
      </c>
      <c r="M305" s="542" t="s">
        <v>5040</v>
      </c>
      <c r="N305" s="162" t="s">
        <v>5041</v>
      </c>
      <c r="O305" s="162" t="s">
        <v>3121</v>
      </c>
      <c r="P305" s="162" t="s">
        <v>3088</v>
      </c>
      <c r="Q305" s="162" t="s">
        <v>4934</v>
      </c>
      <c r="R305" s="162" t="s">
        <v>4531</v>
      </c>
      <c r="S305" s="162" t="s">
        <v>5042</v>
      </c>
      <c r="T305" s="162">
        <v>781.4</v>
      </c>
      <c r="U305" s="162" t="s">
        <v>1950</v>
      </c>
      <c r="V305" s="162" t="s">
        <v>2611</v>
      </c>
      <c r="W305" s="162" t="s">
        <v>5043</v>
      </c>
      <c r="X305" s="162" t="s">
        <v>4935</v>
      </c>
      <c r="Y305" s="162" t="s">
        <v>5044</v>
      </c>
      <c r="Z305" s="162">
        <v>16455738</v>
      </c>
      <c r="AA305" s="162" t="s">
        <v>4935</v>
      </c>
      <c r="AB305" s="162" t="s">
        <v>5045</v>
      </c>
      <c r="AC305" s="162" t="s">
        <v>2193</v>
      </c>
      <c r="AD305" s="162" t="s">
        <v>2194</v>
      </c>
      <c r="AE305" s="162" t="s">
        <v>1760</v>
      </c>
      <c r="AF305" s="162">
        <v>25</v>
      </c>
      <c r="AG305" s="162">
        <v>385</v>
      </c>
      <c r="AH305" s="162">
        <v>8</v>
      </c>
      <c r="AI305" s="162" t="s">
        <v>5046</v>
      </c>
      <c r="AJ305" s="162" t="s">
        <v>109</v>
      </c>
      <c r="AK305" s="162" t="s">
        <v>2195</v>
      </c>
      <c r="AL305" s="162" t="s">
        <v>34</v>
      </c>
      <c r="AM305" t="s">
        <v>5047</v>
      </c>
      <c r="AN305" s="480"/>
      <c r="AO305" s="480"/>
    </row>
    <row r="306" spans="1:41" x14ac:dyDescent="0.2">
      <c r="A306">
        <v>305</v>
      </c>
      <c r="B306" s="464" t="s">
        <v>3083</v>
      </c>
      <c r="C306" s="162" t="s">
        <v>2602</v>
      </c>
      <c r="D306" s="162" t="s">
        <v>5048</v>
      </c>
      <c r="E306" s="162" t="s">
        <v>2115</v>
      </c>
      <c r="F306" s="162" t="s">
        <v>2058</v>
      </c>
      <c r="G306" s="162" t="s">
        <v>34</v>
      </c>
      <c r="H306" s="162" t="s">
        <v>2198</v>
      </c>
      <c r="I306" s="162" t="s">
        <v>5756</v>
      </c>
      <c r="J306" s="162" t="s">
        <v>2466</v>
      </c>
      <c r="K306" s="162" t="s">
        <v>3395</v>
      </c>
      <c r="L306" s="162" t="s">
        <v>4859</v>
      </c>
      <c r="M306" s="542" t="s">
        <v>5040</v>
      </c>
      <c r="N306" s="162" t="s">
        <v>5041</v>
      </c>
      <c r="O306" s="162" t="s">
        <v>5728</v>
      </c>
      <c r="P306" s="162" t="s">
        <v>3088</v>
      </c>
      <c r="Q306" s="162" t="s">
        <v>4934</v>
      </c>
      <c r="R306" s="162" t="s">
        <v>4531</v>
      </c>
      <c r="S306" s="162" t="s">
        <v>5042</v>
      </c>
      <c r="T306" s="162">
        <v>781.4</v>
      </c>
      <c r="U306" s="162" t="s">
        <v>2219</v>
      </c>
      <c r="V306" s="162" t="s">
        <v>2611</v>
      </c>
      <c r="W306" s="162" t="s">
        <v>5043</v>
      </c>
      <c r="X306" s="162" t="s">
        <v>4935</v>
      </c>
      <c r="Y306" s="162" t="s">
        <v>5044</v>
      </c>
      <c r="Z306" s="162" t="s">
        <v>5155</v>
      </c>
      <c r="AA306" s="162" t="s">
        <v>4935</v>
      </c>
      <c r="AB306" s="162" t="s">
        <v>5045</v>
      </c>
      <c r="AC306" s="162" t="s">
        <v>2193</v>
      </c>
      <c r="AD306" s="162" t="s">
        <v>2194</v>
      </c>
      <c r="AE306" s="162" t="s">
        <v>1760</v>
      </c>
      <c r="AF306" s="162">
        <v>25</v>
      </c>
      <c r="AG306" s="162">
        <v>385</v>
      </c>
      <c r="AH306" s="162">
        <v>8</v>
      </c>
      <c r="AI306" s="162" t="s">
        <v>5046</v>
      </c>
      <c r="AJ306" s="162" t="s">
        <v>109</v>
      </c>
      <c r="AK306" s="162" t="s">
        <v>2195</v>
      </c>
      <c r="AL306" s="162" t="s">
        <v>34</v>
      </c>
      <c r="AM306" t="s">
        <v>4874</v>
      </c>
      <c r="AN306" s="480"/>
      <c r="AO306" s="480"/>
    </row>
    <row r="307" spans="1:41" x14ac:dyDescent="0.2">
      <c r="A307">
        <v>306</v>
      </c>
      <c r="B307" s="464" t="s">
        <v>3083</v>
      </c>
      <c r="C307" s="162">
        <v>11303</v>
      </c>
      <c r="D307" s="162" t="s">
        <v>4228</v>
      </c>
      <c r="E307" s="162" t="s">
        <v>2115</v>
      </c>
      <c r="F307" s="162" t="s">
        <v>2058</v>
      </c>
      <c r="G307" s="162" t="s">
        <v>34</v>
      </c>
      <c r="H307" s="162" t="s">
        <v>2198</v>
      </c>
      <c r="I307" s="162" t="s">
        <v>5723</v>
      </c>
      <c r="J307" s="162" t="s">
        <v>2810</v>
      </c>
      <c r="K307" s="162" t="s">
        <v>2815</v>
      </c>
      <c r="L307" s="162" t="s">
        <v>3142</v>
      </c>
      <c r="M307" s="542">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80">
        <v>0</v>
      </c>
      <c r="AO307" s="480">
        <v>0</v>
      </c>
    </row>
    <row r="308" spans="1:41" x14ac:dyDescent="0.2">
      <c r="A308">
        <v>307</v>
      </c>
      <c r="B308" s="464" t="s">
        <v>3083</v>
      </c>
      <c r="C308" s="162" t="s">
        <v>4717</v>
      </c>
      <c r="D308" s="162" t="s">
        <v>4718</v>
      </c>
      <c r="E308" s="162" t="s">
        <v>2115</v>
      </c>
      <c r="F308" s="162" t="s">
        <v>2058</v>
      </c>
      <c r="G308" s="162" t="s">
        <v>34</v>
      </c>
      <c r="H308" s="162" t="s">
        <v>2198</v>
      </c>
      <c r="I308" s="162" t="s">
        <v>5732</v>
      </c>
      <c r="J308" s="162" t="s">
        <v>2466</v>
      </c>
      <c r="K308" s="162" t="s">
        <v>4719</v>
      </c>
      <c r="L308" s="162" t="s">
        <v>2325</v>
      </c>
      <c r="M308" s="542">
        <v>411620</v>
      </c>
      <c r="N308" s="162" t="s">
        <v>4719</v>
      </c>
      <c r="O308" s="162" t="s">
        <v>4685</v>
      </c>
      <c r="P308" s="162" t="s">
        <v>5505</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80">
        <v>0</v>
      </c>
      <c r="AO308" s="480">
        <v>0</v>
      </c>
    </row>
    <row r="309" spans="1:41" x14ac:dyDescent="0.2">
      <c r="A309">
        <v>308</v>
      </c>
      <c r="B309" s="464" t="s">
        <v>3083</v>
      </c>
      <c r="C309" s="162" t="s">
        <v>4683</v>
      </c>
      <c r="D309" s="162" t="s">
        <v>4684</v>
      </c>
      <c r="E309" s="162" t="s">
        <v>2115</v>
      </c>
      <c r="F309" s="162" t="s">
        <v>2058</v>
      </c>
      <c r="G309" s="162" t="s">
        <v>34</v>
      </c>
      <c r="H309" s="162" t="s">
        <v>2198</v>
      </c>
      <c r="I309" s="162" t="s">
        <v>5732</v>
      </c>
      <c r="J309" s="162" t="s">
        <v>2466</v>
      </c>
      <c r="K309" s="162" t="s">
        <v>4652</v>
      </c>
      <c r="L309" s="162" t="s">
        <v>2313</v>
      </c>
      <c r="M309" s="542" t="s">
        <v>4650</v>
      </c>
      <c r="N309" s="162" t="s">
        <v>4650</v>
      </c>
      <c r="O309" s="162" t="s">
        <v>4685</v>
      </c>
      <c r="P309" s="162" t="s">
        <v>3299</v>
      </c>
      <c r="Q309" s="162" t="s">
        <v>2274</v>
      </c>
      <c r="R309" s="162" t="s">
        <v>2255</v>
      </c>
      <c r="S309" s="162" t="s">
        <v>5648</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80">
        <v>0</v>
      </c>
      <c r="AO309" s="480">
        <v>0</v>
      </c>
    </row>
    <row r="310" spans="1:41" x14ac:dyDescent="0.2">
      <c r="A310">
        <v>309</v>
      </c>
      <c r="B310" s="464" t="s">
        <v>3083</v>
      </c>
      <c r="C310" s="162" t="s">
        <v>4650</v>
      </c>
      <c r="D310" s="162" t="s">
        <v>4651</v>
      </c>
      <c r="E310" s="162" t="s">
        <v>2115</v>
      </c>
      <c r="F310" s="162" t="s">
        <v>2058</v>
      </c>
      <c r="G310" s="162" t="s">
        <v>34</v>
      </c>
      <c r="H310" s="162" t="s">
        <v>2198</v>
      </c>
      <c r="I310" s="162" t="s">
        <v>5723</v>
      </c>
      <c r="J310" s="162" t="s">
        <v>2466</v>
      </c>
      <c r="K310" s="162" t="s">
        <v>4652</v>
      </c>
      <c r="L310" s="162" t="s">
        <v>2313</v>
      </c>
      <c r="M310" s="542" t="s">
        <v>4650</v>
      </c>
      <c r="N310" s="162" t="s">
        <v>4650</v>
      </c>
      <c r="O310" s="162" t="s">
        <v>904</v>
      </c>
      <c r="P310" s="162" t="s">
        <v>3299</v>
      </c>
      <c r="Q310" s="162" t="s">
        <v>2274</v>
      </c>
      <c r="R310" s="162" t="s">
        <v>2255</v>
      </c>
      <c r="S310" s="162" t="s">
        <v>5648</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80">
        <v>0</v>
      </c>
      <c r="AO310" s="480">
        <v>0</v>
      </c>
    </row>
    <row r="311" spans="1:41" x14ac:dyDescent="0.2">
      <c r="A311">
        <v>310</v>
      </c>
      <c r="B311" s="464" t="s">
        <v>3083</v>
      </c>
      <c r="C311" s="162" t="s">
        <v>4667</v>
      </c>
      <c r="D311" s="162" t="s">
        <v>4668</v>
      </c>
      <c r="E311" s="162" t="s">
        <v>2115</v>
      </c>
      <c r="F311" s="162" t="s">
        <v>2058</v>
      </c>
      <c r="G311" s="162" t="s">
        <v>34</v>
      </c>
      <c r="H311" s="162" t="s">
        <v>2198</v>
      </c>
      <c r="I311" s="162" t="s">
        <v>5723</v>
      </c>
      <c r="J311" s="162" t="s">
        <v>2466</v>
      </c>
      <c r="K311" s="162" t="s">
        <v>4652</v>
      </c>
      <c r="L311" s="162" t="s">
        <v>2313</v>
      </c>
      <c r="M311" s="542" t="s">
        <v>4669</v>
      </c>
      <c r="N311" s="162" t="s">
        <v>4669</v>
      </c>
      <c r="O311" s="162" t="s">
        <v>5728</v>
      </c>
      <c r="P311" s="162" t="s">
        <v>3299</v>
      </c>
      <c r="Q311" s="162" t="s">
        <v>4934</v>
      </c>
      <c r="R311" s="162" t="s">
        <v>2255</v>
      </c>
      <c r="S311" s="162" t="s">
        <v>4670</v>
      </c>
      <c r="T311" s="162">
        <v>1178.5999999999999</v>
      </c>
      <c r="U311" s="162" t="s">
        <v>2219</v>
      </c>
      <c r="V311" s="162" t="s">
        <v>2978</v>
      </c>
      <c r="W311" s="162">
        <v>43420</v>
      </c>
      <c r="X311" s="162" t="s">
        <v>4935</v>
      </c>
      <c r="Y311" s="162" t="s">
        <v>5559</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80">
        <v>0</v>
      </c>
      <c r="AO311" s="480">
        <v>0</v>
      </c>
    </row>
    <row r="312" spans="1:41" x14ac:dyDescent="0.2">
      <c r="A312">
        <v>311</v>
      </c>
      <c r="B312" s="464" t="s">
        <v>3083</v>
      </c>
      <c r="C312" s="162" t="s">
        <v>4671</v>
      </c>
      <c r="D312" s="162" t="s">
        <v>4672</v>
      </c>
      <c r="E312" s="162" t="s">
        <v>2115</v>
      </c>
      <c r="F312" s="162" t="s">
        <v>2058</v>
      </c>
      <c r="G312" s="162" t="s">
        <v>34</v>
      </c>
      <c r="H312" s="162" t="s">
        <v>2198</v>
      </c>
      <c r="I312" s="162" t="s">
        <v>5723</v>
      </c>
      <c r="J312" s="162" t="s">
        <v>2466</v>
      </c>
      <c r="K312" s="162" t="s">
        <v>4652</v>
      </c>
      <c r="L312" s="162" t="s">
        <v>2313</v>
      </c>
      <c r="M312" s="542"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80">
        <v>0</v>
      </c>
      <c r="AO312" s="480">
        <v>0</v>
      </c>
    </row>
    <row r="313" spans="1:41" x14ac:dyDescent="0.2">
      <c r="A313">
        <v>312</v>
      </c>
      <c r="B313" s="464" t="s">
        <v>3083</v>
      </c>
      <c r="C313" s="162" t="s">
        <v>4989</v>
      </c>
      <c r="D313" s="162" t="s">
        <v>4990</v>
      </c>
      <c r="E313" s="162" t="s">
        <v>2115</v>
      </c>
      <c r="F313" s="162" t="s">
        <v>2058</v>
      </c>
      <c r="G313" s="162" t="s">
        <v>34</v>
      </c>
      <c r="H313" s="162" t="s">
        <v>2198</v>
      </c>
      <c r="I313" s="162" t="s">
        <v>3154</v>
      </c>
      <c r="J313" s="162" t="s">
        <v>2466</v>
      </c>
      <c r="K313" s="162" t="s">
        <v>4652</v>
      </c>
      <c r="L313" s="162" t="s">
        <v>4991</v>
      </c>
      <c r="M313" s="542">
        <v>144582</v>
      </c>
      <c r="N313" s="162" t="s">
        <v>4992</v>
      </c>
      <c r="O313" s="162" t="s">
        <v>3121</v>
      </c>
      <c r="P313" s="162" t="s">
        <v>4993</v>
      </c>
      <c r="Q313" s="162" t="s">
        <v>2274</v>
      </c>
      <c r="R313" s="162" t="s">
        <v>2255</v>
      </c>
      <c r="S313" s="162" t="s">
        <v>4994</v>
      </c>
      <c r="T313" s="162">
        <v>25.5</v>
      </c>
      <c r="U313" s="162" t="s">
        <v>1950</v>
      </c>
      <c r="V313" s="162" t="s">
        <v>4995</v>
      </c>
      <c r="W313" s="162" t="s">
        <v>4996</v>
      </c>
      <c r="X313" s="162" t="s">
        <v>2192</v>
      </c>
      <c r="Y313" s="162" t="s">
        <v>4997</v>
      </c>
      <c r="Z313" s="162" t="s">
        <v>4998</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80">
        <v>0</v>
      </c>
      <c r="AO313" s="480">
        <v>0</v>
      </c>
    </row>
    <row r="314" spans="1:41" x14ac:dyDescent="0.2">
      <c r="A314">
        <v>313</v>
      </c>
      <c r="B314" s="464" t="s">
        <v>3083</v>
      </c>
      <c r="C314" s="162" t="s">
        <v>4787</v>
      </c>
      <c r="D314" s="162" t="s">
        <v>4788</v>
      </c>
      <c r="E314" s="162" t="s">
        <v>2115</v>
      </c>
      <c r="F314" s="162" t="s">
        <v>2058</v>
      </c>
      <c r="G314" s="162" t="s">
        <v>34</v>
      </c>
      <c r="H314" s="162" t="s">
        <v>2198</v>
      </c>
      <c r="I314" s="162" t="s">
        <v>5723</v>
      </c>
      <c r="J314" s="162" t="s">
        <v>2466</v>
      </c>
      <c r="K314" s="162" t="s">
        <v>4652</v>
      </c>
      <c r="L314" s="162" t="s">
        <v>2313</v>
      </c>
      <c r="M314" s="542"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80">
        <v>0</v>
      </c>
      <c r="AO314" s="480">
        <v>0</v>
      </c>
    </row>
    <row r="315" spans="1:41" x14ac:dyDescent="0.2">
      <c r="A315">
        <v>314</v>
      </c>
      <c r="B315" s="464" t="s">
        <v>3083</v>
      </c>
      <c r="C315" s="162" t="s">
        <v>4836</v>
      </c>
      <c r="D315" s="162" t="s">
        <v>4837</v>
      </c>
      <c r="E315" s="162" t="s">
        <v>2115</v>
      </c>
      <c r="F315" s="162" t="s">
        <v>2058</v>
      </c>
      <c r="G315" s="162" t="s">
        <v>34</v>
      </c>
      <c r="H315" s="162" t="s">
        <v>2198</v>
      </c>
      <c r="I315" s="162" t="s">
        <v>3154</v>
      </c>
      <c r="J315" s="162" t="s">
        <v>2466</v>
      </c>
      <c r="K315" s="162" t="s">
        <v>2979</v>
      </c>
      <c r="L315" s="162" t="s">
        <v>4838</v>
      </c>
      <c r="M315" s="542"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80">
        <v>0</v>
      </c>
      <c r="AO315" s="480">
        <v>0</v>
      </c>
    </row>
    <row r="316" spans="1:41" x14ac:dyDescent="0.2">
      <c r="A316">
        <v>315</v>
      </c>
      <c r="B316" s="543" t="s">
        <v>3083</v>
      </c>
      <c r="C316" s="544" t="s">
        <v>4840</v>
      </c>
      <c r="D316" s="543" t="s">
        <v>4843</v>
      </c>
      <c r="E316" s="543" t="s">
        <v>2115</v>
      </c>
      <c r="F316" s="544" t="s">
        <v>2058</v>
      </c>
      <c r="G316" s="543" t="s">
        <v>34</v>
      </c>
      <c r="H316" s="545" t="s">
        <v>2198</v>
      </c>
      <c r="I316" s="543" t="s">
        <v>5723</v>
      </c>
      <c r="J316" s="544" t="s">
        <v>2466</v>
      </c>
      <c r="K316" s="543" t="s">
        <v>2979</v>
      </c>
      <c r="L316" s="544" t="s">
        <v>4838</v>
      </c>
      <c r="M316" s="546" t="s">
        <v>4839</v>
      </c>
      <c r="N316" s="544" t="s">
        <v>4840</v>
      </c>
      <c r="O316" s="543" t="s">
        <v>5754</v>
      </c>
      <c r="P316" s="544" t="s">
        <v>3107</v>
      </c>
      <c r="Q316" s="422" t="s">
        <v>4934</v>
      </c>
      <c r="R316" s="544" t="s">
        <v>2191</v>
      </c>
      <c r="S316" s="543" t="s">
        <v>5757</v>
      </c>
      <c r="T316" s="544">
        <v>378</v>
      </c>
      <c r="U316" s="543" t="s">
        <v>2220</v>
      </c>
      <c r="V316" s="543" t="s">
        <v>2978</v>
      </c>
      <c r="W316" s="547" t="s">
        <v>4851</v>
      </c>
      <c r="X316" s="547" t="s">
        <v>4935</v>
      </c>
      <c r="Y316" s="544" t="s">
        <v>4535</v>
      </c>
      <c r="Z316" s="543" t="s">
        <v>4841</v>
      </c>
      <c r="AA316" s="547" t="s">
        <v>4935</v>
      </c>
      <c r="AB316" s="543" t="s">
        <v>34</v>
      </c>
      <c r="AC316" s="543" t="s">
        <v>2193</v>
      </c>
      <c r="AD316" s="548" t="s">
        <v>2194</v>
      </c>
      <c r="AE316" s="543" t="s">
        <v>1760</v>
      </c>
      <c r="AF316" s="543" t="s">
        <v>4842</v>
      </c>
      <c r="AG316" s="543" t="s">
        <v>34</v>
      </c>
      <c r="AH316" s="543" t="s">
        <v>34</v>
      </c>
      <c r="AI316" s="543" t="s">
        <v>34</v>
      </c>
      <c r="AJ316" s="543" t="s">
        <v>34</v>
      </c>
      <c r="AK316" s="544" t="s">
        <v>2195</v>
      </c>
      <c r="AL316" t="s">
        <v>34</v>
      </c>
      <c r="AM316" s="549" t="s">
        <v>4874</v>
      </c>
      <c r="AN316">
        <v>0</v>
      </c>
      <c r="AO316">
        <v>0</v>
      </c>
    </row>
    <row r="317" spans="1:41" x14ac:dyDescent="0.2">
      <c r="A317">
        <v>316</v>
      </c>
      <c r="B317" s="464" t="s">
        <v>3083</v>
      </c>
      <c r="C317" s="162" t="s">
        <v>5826</v>
      </c>
      <c r="D317" s="162" t="s">
        <v>5827</v>
      </c>
      <c r="E317" s="162" t="s">
        <v>2115</v>
      </c>
      <c r="F317" s="162" t="s">
        <v>2058</v>
      </c>
      <c r="G317" s="162"/>
      <c r="H317" s="162" t="s">
        <v>2198</v>
      </c>
      <c r="I317" s="162" t="s">
        <v>5723</v>
      </c>
      <c r="J317" s="162" t="s">
        <v>2466</v>
      </c>
      <c r="K317" s="162" t="s">
        <v>2202</v>
      </c>
      <c r="L317" s="162" t="s">
        <v>2990</v>
      </c>
      <c r="M317" s="542" t="s">
        <v>3022</v>
      </c>
      <c r="N317" s="162" t="s">
        <v>5826</v>
      </c>
      <c r="O317" s="162" t="s">
        <v>904</v>
      </c>
      <c r="P317" s="162" t="s">
        <v>3088</v>
      </c>
      <c r="Q317" s="162" t="s">
        <v>2274</v>
      </c>
      <c r="R317" s="162" t="s">
        <v>2191</v>
      </c>
      <c r="S317" s="162" t="s">
        <v>5828</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80"/>
      <c r="AO317" s="480"/>
    </row>
    <row r="318" spans="1:41" x14ac:dyDescent="0.2">
      <c r="A318">
        <v>317</v>
      </c>
      <c r="B318" s="464" t="s">
        <v>1339</v>
      </c>
      <c r="C318" s="162" t="s">
        <v>1974</v>
      </c>
      <c r="D318" s="162" t="s">
        <v>4229</v>
      </c>
      <c r="E318" s="162" t="s">
        <v>2116</v>
      </c>
      <c r="F318" s="162" t="s">
        <v>2118</v>
      </c>
      <c r="G318" s="162" t="s">
        <v>34</v>
      </c>
      <c r="H318" s="162" t="s">
        <v>2198</v>
      </c>
      <c r="I318" s="162" t="s">
        <v>5723</v>
      </c>
      <c r="J318" s="162" t="s">
        <v>2466</v>
      </c>
      <c r="K318" s="162" t="s">
        <v>1974</v>
      </c>
      <c r="L318" s="162" t="s">
        <v>1974</v>
      </c>
      <c r="M318" s="542" t="s">
        <v>3186</v>
      </c>
      <c r="N318" s="162" t="s">
        <v>1974</v>
      </c>
      <c r="O318" s="162" t="s">
        <v>5730</v>
      </c>
      <c r="P318" s="162" t="s">
        <v>3187</v>
      </c>
      <c r="Q318" s="162" t="s">
        <v>4932</v>
      </c>
      <c r="R318" s="162" t="s">
        <v>2255</v>
      </c>
      <c r="S318" s="162" t="s">
        <v>3188</v>
      </c>
      <c r="T318" s="162">
        <v>5.7</v>
      </c>
      <c r="U318" s="162" t="s">
        <v>2220</v>
      </c>
      <c r="V318" s="162" t="s">
        <v>3189</v>
      </c>
      <c r="W318" s="162" t="s">
        <v>3190</v>
      </c>
      <c r="X318" s="162" t="s">
        <v>5050</v>
      </c>
      <c r="Y318" s="162" t="s">
        <v>2389</v>
      </c>
      <c r="Z318" s="162" t="s">
        <v>3191</v>
      </c>
      <c r="AA318" s="162" t="s">
        <v>5050</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80">
        <v>0</v>
      </c>
      <c r="AO318" s="480">
        <v>0</v>
      </c>
    </row>
    <row r="319" spans="1:41" x14ac:dyDescent="0.2">
      <c r="A319">
        <v>318</v>
      </c>
      <c r="B319" s="464" t="s">
        <v>1339</v>
      </c>
      <c r="C319" s="162" t="s">
        <v>1341</v>
      </c>
      <c r="D319" s="162" t="s">
        <v>4230</v>
      </c>
      <c r="E319" s="162" t="s">
        <v>2116</v>
      </c>
      <c r="F319" s="162" t="s">
        <v>2118</v>
      </c>
      <c r="G319" s="162" t="s">
        <v>34</v>
      </c>
      <c r="H319" s="162" t="s">
        <v>2198</v>
      </c>
      <c r="I319" s="162" t="s">
        <v>5723</v>
      </c>
      <c r="J319" s="162" t="s">
        <v>2466</v>
      </c>
      <c r="K319" s="162" t="s">
        <v>3192</v>
      </c>
      <c r="L319" s="162" t="s">
        <v>3195</v>
      </c>
      <c r="M319" s="542" t="s">
        <v>3196</v>
      </c>
      <c r="N319" s="162" t="s">
        <v>1341</v>
      </c>
      <c r="O319" s="162" t="s">
        <v>5730</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80">
        <v>0</v>
      </c>
      <c r="AO319" s="480">
        <v>0</v>
      </c>
    </row>
    <row r="320" spans="1:41" x14ac:dyDescent="0.2">
      <c r="A320">
        <v>319</v>
      </c>
      <c r="B320" s="464" t="s">
        <v>1339</v>
      </c>
      <c r="C320" s="162" t="s">
        <v>837</v>
      </c>
      <c r="D320" s="162" t="s">
        <v>4231</v>
      </c>
      <c r="E320" s="162" t="s">
        <v>2116</v>
      </c>
      <c r="F320" s="162" t="s">
        <v>2118</v>
      </c>
      <c r="G320" s="162" t="s">
        <v>34</v>
      </c>
      <c r="H320" s="162" t="s">
        <v>2198</v>
      </c>
      <c r="I320" s="162" t="s">
        <v>5723</v>
      </c>
      <c r="J320" s="162" t="s">
        <v>2466</v>
      </c>
      <c r="K320" s="162" t="s">
        <v>3192</v>
      </c>
      <c r="L320" s="162">
        <v>332</v>
      </c>
      <c r="M320" s="542">
        <v>3</v>
      </c>
      <c r="N320" s="162" t="s">
        <v>837</v>
      </c>
      <c r="O320" s="162" t="s">
        <v>5730</v>
      </c>
      <c r="P320" s="162" t="s">
        <v>3193</v>
      </c>
      <c r="Q320" s="162" t="s">
        <v>4932</v>
      </c>
      <c r="R320" s="162" t="s">
        <v>2365</v>
      </c>
      <c r="S320" s="162" t="s">
        <v>5228</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80">
        <v>0</v>
      </c>
      <c r="AO320" s="480">
        <v>0</v>
      </c>
    </row>
    <row r="321" spans="1:41" x14ac:dyDescent="0.2">
      <c r="A321">
        <v>320</v>
      </c>
      <c r="B321" s="464" t="s">
        <v>1779</v>
      </c>
      <c r="C321" s="162" t="s">
        <v>972</v>
      </c>
      <c r="D321" s="162" t="s">
        <v>4232</v>
      </c>
      <c r="E321" s="162" t="s">
        <v>2119</v>
      </c>
      <c r="F321" s="162" t="s">
        <v>2025</v>
      </c>
      <c r="G321" s="162" t="s">
        <v>34</v>
      </c>
      <c r="H321" s="162" t="s">
        <v>2198</v>
      </c>
      <c r="I321" s="162" t="s">
        <v>5758</v>
      </c>
      <c r="J321" s="162" t="s">
        <v>2810</v>
      </c>
      <c r="K321" s="162" t="s">
        <v>1239</v>
      </c>
      <c r="L321" s="162" t="s">
        <v>3224</v>
      </c>
      <c r="M321" s="542">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80">
        <v>0</v>
      </c>
      <c r="AO321" s="480">
        <v>0</v>
      </c>
    </row>
    <row r="322" spans="1:41" x14ac:dyDescent="0.2">
      <c r="A322">
        <v>321</v>
      </c>
      <c r="B322" s="464" t="s">
        <v>1779</v>
      </c>
      <c r="C322" s="162" t="s">
        <v>969</v>
      </c>
      <c r="D322" s="162" t="s">
        <v>4233</v>
      </c>
      <c r="E322" s="162" t="s">
        <v>2119</v>
      </c>
      <c r="F322" s="162" t="s">
        <v>2025</v>
      </c>
      <c r="G322" s="162" t="s">
        <v>34</v>
      </c>
      <c r="H322" s="162" t="s">
        <v>2198</v>
      </c>
      <c r="I322" s="162" t="s">
        <v>5759</v>
      </c>
      <c r="J322" s="162" t="s">
        <v>2810</v>
      </c>
      <c r="K322" s="162" t="s">
        <v>3229</v>
      </c>
      <c r="L322" s="162" t="s">
        <v>2539</v>
      </c>
      <c r="M322" s="542" t="s">
        <v>969</v>
      </c>
      <c r="N322" s="162" t="s">
        <v>969</v>
      </c>
      <c r="O322" s="162" t="s">
        <v>904</v>
      </c>
      <c r="P322" s="162" t="s">
        <v>3225</v>
      </c>
      <c r="Q322" s="162" t="s">
        <v>2190</v>
      </c>
      <c r="R322" s="162" t="s">
        <v>2365</v>
      </c>
      <c r="S322" s="162" t="s">
        <v>3230</v>
      </c>
      <c r="T322" s="162">
        <v>87.5</v>
      </c>
      <c r="U322" s="162" t="s">
        <v>2220</v>
      </c>
      <c r="V322" s="162" t="s">
        <v>5439</v>
      </c>
      <c r="W322" s="162" t="s">
        <v>5440</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80">
        <v>0</v>
      </c>
      <c r="AO322" s="480">
        <v>0</v>
      </c>
    </row>
    <row r="323" spans="1:41" x14ac:dyDescent="0.2">
      <c r="A323">
        <v>322</v>
      </c>
      <c r="B323" s="464" t="s">
        <v>1779</v>
      </c>
      <c r="C323" s="162" t="s">
        <v>960</v>
      </c>
      <c r="D323" s="162" t="s">
        <v>4234</v>
      </c>
      <c r="E323" s="162" t="s">
        <v>2119</v>
      </c>
      <c r="F323" s="162" t="s">
        <v>2025</v>
      </c>
      <c r="G323" s="162" t="s">
        <v>34</v>
      </c>
      <c r="H323" s="162" t="s">
        <v>2198</v>
      </c>
      <c r="I323" s="162" t="s">
        <v>5723</v>
      </c>
      <c r="J323" s="162" t="s">
        <v>2466</v>
      </c>
      <c r="K323" s="162" t="s">
        <v>3205</v>
      </c>
      <c r="L323" s="162" t="s">
        <v>3206</v>
      </c>
      <c r="M323" s="542" t="s">
        <v>3207</v>
      </c>
      <c r="N323" s="162" t="s">
        <v>960</v>
      </c>
      <c r="O323" s="162" t="s">
        <v>5724</v>
      </c>
      <c r="P323" s="162" t="s">
        <v>2491</v>
      </c>
      <c r="Q323" s="162" t="s">
        <v>4934</v>
      </c>
      <c r="R323" s="162" t="s">
        <v>2365</v>
      </c>
      <c r="S323" s="162" t="s">
        <v>3208</v>
      </c>
      <c r="T323" s="162">
        <v>302.5</v>
      </c>
      <c r="U323" s="162" t="s">
        <v>2220</v>
      </c>
      <c r="V323" s="162" t="s">
        <v>3398</v>
      </c>
      <c r="W323" s="162" t="s">
        <v>5506</v>
      </c>
      <c r="X323" s="162" t="s">
        <v>4935</v>
      </c>
      <c r="Y323" s="162" t="s">
        <v>3398</v>
      </c>
      <c r="Z323" s="162" t="s">
        <v>5506</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80"/>
      <c r="AO323" s="480"/>
    </row>
    <row r="324" spans="1:41" x14ac:dyDescent="0.2">
      <c r="A324">
        <v>323</v>
      </c>
      <c r="B324" s="464" t="s">
        <v>1779</v>
      </c>
      <c r="C324" s="162" t="s">
        <v>983</v>
      </c>
      <c r="D324" s="162" t="s">
        <v>4235</v>
      </c>
      <c r="E324" s="162" t="s">
        <v>2119</v>
      </c>
      <c r="F324" s="162" t="s">
        <v>2025</v>
      </c>
      <c r="G324" s="162" t="s">
        <v>34</v>
      </c>
      <c r="H324" s="162" t="s">
        <v>2198</v>
      </c>
      <c r="I324" s="162" t="s">
        <v>5723</v>
      </c>
      <c r="J324" s="162" t="s">
        <v>2466</v>
      </c>
      <c r="K324" s="162" t="s">
        <v>2921</v>
      </c>
      <c r="L324" s="162" t="s">
        <v>3209</v>
      </c>
      <c r="M324" s="542" t="s">
        <v>3210</v>
      </c>
      <c r="N324" s="162" t="s">
        <v>983</v>
      </c>
      <c r="O324" s="162" t="s">
        <v>5724</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80">
        <v>1.4583333333333332E-2</v>
      </c>
      <c r="AO324" s="480">
        <v>0</v>
      </c>
    </row>
    <row r="325" spans="1:41" x14ac:dyDescent="0.2">
      <c r="A325">
        <v>324</v>
      </c>
      <c r="B325" s="464" t="s">
        <v>1779</v>
      </c>
      <c r="C325" s="162" t="s">
        <v>974</v>
      </c>
      <c r="D325" s="162" t="s">
        <v>4236</v>
      </c>
      <c r="E325" s="162" t="s">
        <v>2119</v>
      </c>
      <c r="F325" s="162" t="s">
        <v>2025</v>
      </c>
      <c r="G325" s="162" t="s">
        <v>34</v>
      </c>
      <c r="H325" s="162" t="s">
        <v>2198</v>
      </c>
      <c r="I325" s="162" t="s">
        <v>5723</v>
      </c>
      <c r="J325" s="162" t="s">
        <v>2466</v>
      </c>
      <c r="K325" s="162" t="s">
        <v>3236</v>
      </c>
      <c r="L325" s="162" t="s">
        <v>3237</v>
      </c>
      <c r="M325" s="542" t="s">
        <v>974</v>
      </c>
      <c r="N325" s="162" t="s">
        <v>974</v>
      </c>
      <c r="O325" s="162" t="s">
        <v>5118</v>
      </c>
      <c r="P325" s="162" t="s">
        <v>3238</v>
      </c>
      <c r="Q325" s="162" t="s">
        <v>4932</v>
      </c>
      <c r="R325" s="162" t="s">
        <v>2365</v>
      </c>
      <c r="S325" s="162" t="s">
        <v>3239</v>
      </c>
      <c r="T325" s="162">
        <v>390</v>
      </c>
      <c r="U325" s="162" t="s">
        <v>2220</v>
      </c>
      <c r="V325" s="162" t="s">
        <v>5441</v>
      </c>
      <c r="W325" s="162" t="s">
        <v>5442</v>
      </c>
      <c r="X325" s="162" t="s">
        <v>4935</v>
      </c>
      <c r="Y325" s="162" t="s">
        <v>5441</v>
      </c>
      <c r="Z325" s="162" t="s">
        <v>5442</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80">
        <v>0</v>
      </c>
      <c r="AO325" s="480">
        <v>2.1527777777777781E-2</v>
      </c>
    </row>
    <row r="326" spans="1:41" x14ac:dyDescent="0.2">
      <c r="A326">
        <v>325</v>
      </c>
      <c r="B326" s="464" t="s">
        <v>1779</v>
      </c>
      <c r="C326" s="162" t="s">
        <v>976</v>
      </c>
      <c r="D326" s="162" t="s">
        <v>4237</v>
      </c>
      <c r="E326" s="162" t="s">
        <v>2119</v>
      </c>
      <c r="F326" s="162" t="s">
        <v>2025</v>
      </c>
      <c r="G326" s="162" t="s">
        <v>34</v>
      </c>
      <c r="H326" s="162" t="s">
        <v>2198</v>
      </c>
      <c r="I326" s="162" t="s">
        <v>5723</v>
      </c>
      <c r="J326" s="162" t="s">
        <v>2466</v>
      </c>
      <c r="K326" s="162" t="s">
        <v>3240</v>
      </c>
      <c r="L326" s="162" t="s">
        <v>3237</v>
      </c>
      <c r="M326" s="542" t="s">
        <v>976</v>
      </c>
      <c r="N326" s="162" t="s">
        <v>976</v>
      </c>
      <c r="O326" s="162" t="s">
        <v>5760</v>
      </c>
      <c r="P326" s="162" t="s">
        <v>3241</v>
      </c>
      <c r="Q326" s="162" t="s">
        <v>4932</v>
      </c>
      <c r="R326" s="162" t="s">
        <v>2365</v>
      </c>
      <c r="S326" s="162" t="s">
        <v>3242</v>
      </c>
      <c r="T326" s="162">
        <v>382.3</v>
      </c>
      <c r="U326" s="162" t="s">
        <v>2220</v>
      </c>
      <c r="V326" s="162" t="s">
        <v>5441</v>
      </c>
      <c r="W326" s="162" t="s">
        <v>5443</v>
      </c>
      <c r="X326" s="162" t="s">
        <v>4935</v>
      </c>
      <c r="Y326" s="162" t="s">
        <v>5441</v>
      </c>
      <c r="Z326" s="162" t="s">
        <v>5443</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80">
        <v>0</v>
      </c>
      <c r="AO326" s="480">
        <v>0</v>
      </c>
    </row>
    <row r="327" spans="1:41" x14ac:dyDescent="0.2">
      <c r="A327">
        <v>326</v>
      </c>
      <c r="B327" s="464" t="s">
        <v>1779</v>
      </c>
      <c r="C327" s="162" t="s">
        <v>978</v>
      </c>
      <c r="D327" s="162" t="s">
        <v>4238</v>
      </c>
      <c r="E327" s="162" t="s">
        <v>2119</v>
      </c>
      <c r="F327" s="162" t="s">
        <v>2025</v>
      </c>
      <c r="G327" s="162" t="s">
        <v>34</v>
      </c>
      <c r="H327" s="162" t="s">
        <v>2198</v>
      </c>
      <c r="I327" s="162" t="s">
        <v>5758</v>
      </c>
      <c r="J327" s="162" t="s">
        <v>2466</v>
      </c>
      <c r="K327" s="162" t="s">
        <v>3222</v>
      </c>
      <c r="L327" s="162" t="s">
        <v>2325</v>
      </c>
      <c r="M327" s="542" t="s">
        <v>978</v>
      </c>
      <c r="N327" s="162" t="s">
        <v>978</v>
      </c>
      <c r="O327" s="162" t="s">
        <v>109</v>
      </c>
      <c r="P327" s="162" t="s">
        <v>2315</v>
      </c>
      <c r="Q327" s="162" t="s">
        <v>2196</v>
      </c>
      <c r="R327" s="162" t="s">
        <v>3221</v>
      </c>
      <c r="S327" s="162" t="s">
        <v>3223</v>
      </c>
      <c r="T327" s="162">
        <v>100</v>
      </c>
      <c r="U327" s="162" t="s">
        <v>2220</v>
      </c>
      <c r="V327" s="162" t="s">
        <v>5432</v>
      </c>
      <c r="W327" s="162" t="s">
        <v>5791</v>
      </c>
      <c r="X327" s="162" t="s">
        <v>2192</v>
      </c>
      <c r="Y327" s="162" t="s">
        <v>5432</v>
      </c>
      <c r="Z327" s="162" t="s">
        <v>5791</v>
      </c>
      <c r="AA327" s="162" t="s">
        <v>2192</v>
      </c>
      <c r="AB327" s="162" t="s">
        <v>5792</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80">
        <v>0</v>
      </c>
      <c r="AO327" s="480">
        <v>0</v>
      </c>
    </row>
    <row r="328" spans="1:41" x14ac:dyDescent="0.2">
      <c r="A328">
        <v>327</v>
      </c>
      <c r="B328" s="464" t="s">
        <v>1779</v>
      </c>
      <c r="C328" s="162" t="s">
        <v>981</v>
      </c>
      <c r="D328" s="162" t="s">
        <v>4239</v>
      </c>
      <c r="E328" s="162" t="s">
        <v>2119</v>
      </c>
      <c r="F328" s="162" t="s">
        <v>2025</v>
      </c>
      <c r="G328" s="162" t="s">
        <v>34</v>
      </c>
      <c r="H328" s="162" t="s">
        <v>2198</v>
      </c>
      <c r="I328" s="162" t="s">
        <v>5723</v>
      </c>
      <c r="J328" s="162" t="s">
        <v>2466</v>
      </c>
      <c r="K328" s="162" t="s">
        <v>3214</v>
      </c>
      <c r="L328" s="162" t="s">
        <v>3215</v>
      </c>
      <c r="M328" s="542" t="s">
        <v>3216</v>
      </c>
      <c r="N328" s="162" t="s">
        <v>981</v>
      </c>
      <c r="O328" s="162" t="s">
        <v>4999</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80">
        <v>0</v>
      </c>
      <c r="AO328" s="480">
        <v>0</v>
      </c>
    </row>
    <row r="329" spans="1:41" x14ac:dyDescent="0.2">
      <c r="A329">
        <v>328</v>
      </c>
      <c r="B329" s="464" t="s">
        <v>1779</v>
      </c>
      <c r="C329" s="162" t="s">
        <v>3859</v>
      </c>
      <c r="D329" s="162" t="s">
        <v>4514</v>
      </c>
      <c r="E329" s="162" t="s">
        <v>2119</v>
      </c>
      <c r="F329" s="162" t="s">
        <v>2025</v>
      </c>
      <c r="G329" s="162" t="s">
        <v>34</v>
      </c>
      <c r="H329" s="162" t="s">
        <v>2198</v>
      </c>
      <c r="I329" s="162" t="s">
        <v>5723</v>
      </c>
      <c r="J329" s="162" t="s">
        <v>2186</v>
      </c>
      <c r="K329" s="162" t="s">
        <v>4515</v>
      </c>
      <c r="L329" s="162" t="s">
        <v>904</v>
      </c>
      <c r="M329" s="542"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80">
        <v>0</v>
      </c>
      <c r="AO329" s="480">
        <v>0</v>
      </c>
    </row>
    <row r="330" spans="1:41" x14ac:dyDescent="0.2">
      <c r="A330">
        <v>329</v>
      </c>
      <c r="B330" s="464" t="s">
        <v>1779</v>
      </c>
      <c r="C330" s="162" t="s">
        <v>1928</v>
      </c>
      <c r="D330" s="162" t="s">
        <v>4240</v>
      </c>
      <c r="E330" s="162" t="s">
        <v>2119</v>
      </c>
      <c r="F330" s="162" t="s">
        <v>2025</v>
      </c>
      <c r="G330" s="162" t="s">
        <v>34</v>
      </c>
      <c r="H330" s="162" t="s">
        <v>2198</v>
      </c>
      <c r="I330" s="162" t="s">
        <v>5759</v>
      </c>
      <c r="J330" s="162" t="s">
        <v>2810</v>
      </c>
      <c r="K330" s="162" t="s">
        <v>3232</v>
      </c>
      <c r="L330" s="162" t="s">
        <v>2325</v>
      </c>
      <c r="M330" s="542"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80">
        <v>0</v>
      </c>
      <c r="AO330" s="480">
        <v>0</v>
      </c>
    </row>
    <row r="331" spans="1:41" x14ac:dyDescent="0.2">
      <c r="A331">
        <v>330</v>
      </c>
      <c r="B331" s="464" t="s">
        <v>1779</v>
      </c>
      <c r="C331" s="162" t="s">
        <v>3861</v>
      </c>
      <c r="D331" s="162" t="s">
        <v>4402</v>
      </c>
      <c r="E331" s="162" t="s">
        <v>2119</v>
      </c>
      <c r="F331" s="162" t="s">
        <v>2025</v>
      </c>
      <c r="G331" s="162" t="s">
        <v>34</v>
      </c>
      <c r="H331" s="162" t="s">
        <v>2198</v>
      </c>
      <c r="I331" s="162" t="s">
        <v>5723</v>
      </c>
      <c r="J331" s="162" t="s">
        <v>2810</v>
      </c>
      <c r="K331" s="162" t="s">
        <v>4403</v>
      </c>
      <c r="L331" s="162" t="s">
        <v>2325</v>
      </c>
      <c r="M331" s="542" t="s">
        <v>3861</v>
      </c>
      <c r="N331" s="162" t="s">
        <v>3861</v>
      </c>
      <c r="O331" s="162" t="s">
        <v>904</v>
      </c>
      <c r="P331" s="162" t="s">
        <v>5761</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5762</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80">
        <v>0</v>
      </c>
      <c r="AO331" s="480">
        <v>0</v>
      </c>
    </row>
    <row r="332" spans="1:41" x14ac:dyDescent="0.2">
      <c r="A332">
        <v>331</v>
      </c>
      <c r="B332" s="464" t="s">
        <v>1779</v>
      </c>
      <c r="C332" s="162" t="s">
        <v>964</v>
      </c>
      <c r="D332" s="162" t="s">
        <v>4241</v>
      </c>
      <c r="E332" s="162" t="s">
        <v>2119</v>
      </c>
      <c r="F332" s="162" t="s">
        <v>2025</v>
      </c>
      <c r="G332" s="162" t="s">
        <v>34</v>
      </c>
      <c r="H332" s="162" t="s">
        <v>2198</v>
      </c>
      <c r="I332" s="162" t="s">
        <v>5723</v>
      </c>
      <c r="J332" s="162" t="s">
        <v>2466</v>
      </c>
      <c r="K332" s="162" t="s">
        <v>2845</v>
      </c>
      <c r="L332" s="162" t="s">
        <v>904</v>
      </c>
      <c r="M332" s="542"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80">
        <v>0</v>
      </c>
      <c r="AO332" s="480">
        <v>0</v>
      </c>
    </row>
    <row r="333" spans="1:41" x14ac:dyDescent="0.2">
      <c r="A333">
        <v>332</v>
      </c>
      <c r="B333" s="464" t="s">
        <v>1779</v>
      </c>
      <c r="C333" s="162" t="s">
        <v>962</v>
      </c>
      <c r="D333" s="162" t="s">
        <v>4242</v>
      </c>
      <c r="E333" s="162" t="s">
        <v>2119</v>
      </c>
      <c r="F333" s="162" t="s">
        <v>2025</v>
      </c>
      <c r="G333" s="162" t="s">
        <v>34</v>
      </c>
      <c r="H333" s="162" t="s">
        <v>2198</v>
      </c>
      <c r="I333" s="162" t="s">
        <v>5723</v>
      </c>
      <c r="J333" s="162" t="s">
        <v>2466</v>
      </c>
      <c r="K333" s="162" t="s">
        <v>3202</v>
      </c>
      <c r="L333" s="162" t="s">
        <v>904</v>
      </c>
      <c r="M333" s="542"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80">
        <v>0</v>
      </c>
      <c r="AO333" s="480">
        <v>0</v>
      </c>
    </row>
    <row r="334" spans="1:41" x14ac:dyDescent="0.2">
      <c r="A334">
        <v>333</v>
      </c>
      <c r="B334" s="464" t="s">
        <v>1344</v>
      </c>
      <c r="C334" s="162">
        <v>3037</v>
      </c>
      <c r="D334" s="162" t="s">
        <v>4243</v>
      </c>
      <c r="E334" s="162" t="s">
        <v>2120</v>
      </c>
      <c r="F334" s="162" t="s">
        <v>2121</v>
      </c>
      <c r="G334" s="162" t="s">
        <v>34</v>
      </c>
      <c r="H334" s="162" t="s">
        <v>2198</v>
      </c>
      <c r="I334" s="162" t="s">
        <v>5723</v>
      </c>
      <c r="J334" s="162" t="s">
        <v>2466</v>
      </c>
      <c r="K334" s="162" t="s">
        <v>1121</v>
      </c>
      <c r="L334" s="162" t="s">
        <v>3251</v>
      </c>
      <c r="M334" s="542">
        <v>82216</v>
      </c>
      <c r="N334" s="162">
        <v>3037</v>
      </c>
      <c r="O334" s="162" t="s">
        <v>5741</v>
      </c>
      <c r="P334" s="162" t="s">
        <v>3245</v>
      </c>
      <c r="Q334" s="162" t="s">
        <v>4932</v>
      </c>
      <c r="R334" s="162" t="s">
        <v>2191</v>
      </c>
      <c r="S334" s="162" t="s">
        <v>3252</v>
      </c>
      <c r="T334" s="162">
        <v>248.9</v>
      </c>
      <c r="U334" s="162" t="s">
        <v>2220</v>
      </c>
      <c r="V334" s="162" t="s">
        <v>3405</v>
      </c>
      <c r="W334" s="162">
        <v>305939</v>
      </c>
      <c r="X334" s="162" t="s">
        <v>4935</v>
      </c>
      <c r="Y334" s="162" t="s">
        <v>5507</v>
      </c>
      <c r="Z334" s="162" t="s">
        <v>5508</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80">
        <v>0</v>
      </c>
      <c r="AO334" s="480">
        <v>0</v>
      </c>
    </row>
    <row r="335" spans="1:41" x14ac:dyDescent="0.2">
      <c r="A335">
        <v>334</v>
      </c>
      <c r="B335" s="464" t="s">
        <v>1344</v>
      </c>
      <c r="C335" s="162" t="s">
        <v>1347</v>
      </c>
      <c r="D335" s="162" t="s">
        <v>4244</v>
      </c>
      <c r="E335" s="162" t="s">
        <v>2120</v>
      </c>
      <c r="F335" s="162" t="s">
        <v>2121</v>
      </c>
      <c r="G335" s="162" t="s">
        <v>34</v>
      </c>
      <c r="H335" s="162" t="s">
        <v>2198</v>
      </c>
      <c r="I335" s="162" t="s">
        <v>5723</v>
      </c>
      <c r="J335" s="162" t="s">
        <v>2466</v>
      </c>
      <c r="K335" s="162" t="s">
        <v>1121</v>
      </c>
      <c r="L335" s="162" t="s">
        <v>3243</v>
      </c>
      <c r="M335" s="542" t="s">
        <v>3244</v>
      </c>
      <c r="N335" s="162" t="s">
        <v>1347</v>
      </c>
      <c r="O335" s="162" t="s">
        <v>5741</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80">
        <v>0</v>
      </c>
      <c r="AO335" s="480">
        <v>0</v>
      </c>
    </row>
    <row r="336" spans="1:41" x14ac:dyDescent="0.2">
      <c r="A336">
        <v>335</v>
      </c>
      <c r="B336" s="464" t="s">
        <v>1379</v>
      </c>
      <c r="C336" s="162" t="s">
        <v>1383</v>
      </c>
      <c r="D336" s="162" t="s">
        <v>4245</v>
      </c>
      <c r="E336" s="162" t="s">
        <v>3309</v>
      </c>
      <c r="F336" s="162" t="s">
        <v>2036</v>
      </c>
      <c r="G336" s="162" t="s">
        <v>34</v>
      </c>
      <c r="H336" s="162" t="s">
        <v>2198</v>
      </c>
      <c r="I336" s="162" t="s">
        <v>5723</v>
      </c>
      <c r="J336" s="162" t="s">
        <v>2810</v>
      </c>
      <c r="K336" s="162" t="s">
        <v>3310</v>
      </c>
      <c r="L336" s="162" t="s">
        <v>3311</v>
      </c>
      <c r="M336" s="542"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80">
        <v>0</v>
      </c>
      <c r="AO336" s="480">
        <v>0</v>
      </c>
    </row>
    <row r="337" spans="1:41" x14ac:dyDescent="0.2">
      <c r="A337">
        <v>336</v>
      </c>
      <c r="B337" s="464" t="s">
        <v>1379</v>
      </c>
      <c r="C337" s="162" t="s">
        <v>1865</v>
      </c>
      <c r="D337" s="162" t="s">
        <v>4246</v>
      </c>
      <c r="E337" s="162" t="s">
        <v>3309</v>
      </c>
      <c r="F337" s="162" t="s">
        <v>2036</v>
      </c>
      <c r="G337" s="162" t="s">
        <v>34</v>
      </c>
      <c r="H337" s="162" t="s">
        <v>2198</v>
      </c>
      <c r="I337" s="162" t="s">
        <v>5723</v>
      </c>
      <c r="J337" s="162" t="s">
        <v>2810</v>
      </c>
      <c r="K337" s="162" t="s">
        <v>3310</v>
      </c>
      <c r="L337" s="162" t="s">
        <v>2513</v>
      </c>
      <c r="M337" s="542"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80">
        <v>0</v>
      </c>
      <c r="AO337" s="480">
        <v>0</v>
      </c>
    </row>
    <row r="338" spans="1:41" x14ac:dyDescent="0.2">
      <c r="A338">
        <v>337</v>
      </c>
      <c r="B338" s="464" t="s">
        <v>1379</v>
      </c>
      <c r="C338" s="162" t="s">
        <v>1381</v>
      </c>
      <c r="D338" s="162" t="s">
        <v>4247</v>
      </c>
      <c r="E338" s="162" t="s">
        <v>3309</v>
      </c>
      <c r="F338" s="162" t="s">
        <v>2036</v>
      </c>
      <c r="G338" s="162" t="s">
        <v>34</v>
      </c>
      <c r="H338" s="162" t="s">
        <v>2198</v>
      </c>
      <c r="I338" s="162" t="s">
        <v>5723</v>
      </c>
      <c r="J338" s="162" t="s">
        <v>2466</v>
      </c>
      <c r="K338" s="162" t="s">
        <v>1121</v>
      </c>
      <c r="L338" s="162" t="s">
        <v>3317</v>
      </c>
      <c r="M338" s="542">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80">
        <v>0</v>
      </c>
      <c r="AO338" s="480">
        <v>0</v>
      </c>
    </row>
    <row r="339" spans="1:41" x14ac:dyDescent="0.2">
      <c r="A339">
        <v>338</v>
      </c>
      <c r="B339" s="464" t="s">
        <v>1349</v>
      </c>
      <c r="C339" s="162" t="s">
        <v>1352</v>
      </c>
      <c r="D339" s="162" t="s">
        <v>4248</v>
      </c>
      <c r="E339" s="162" t="s">
        <v>2122</v>
      </c>
      <c r="F339" s="162" t="s">
        <v>2016</v>
      </c>
      <c r="G339" s="162" t="s">
        <v>34</v>
      </c>
      <c r="H339" s="162" t="s">
        <v>2198</v>
      </c>
      <c r="I339" s="162" t="s">
        <v>5723</v>
      </c>
      <c r="J339" s="162" t="s">
        <v>2810</v>
      </c>
      <c r="K339" s="162" t="s">
        <v>1118</v>
      </c>
      <c r="L339" s="162" t="s">
        <v>3257</v>
      </c>
      <c r="M339" s="542"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5331</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80">
        <v>0</v>
      </c>
      <c r="AO339" s="480">
        <v>0</v>
      </c>
    </row>
    <row r="340" spans="1:41" x14ac:dyDescent="0.2">
      <c r="A340">
        <v>339</v>
      </c>
      <c r="B340" s="464" t="s">
        <v>1349</v>
      </c>
      <c r="C340" s="162" t="s">
        <v>1377</v>
      </c>
      <c r="D340" s="162" t="s">
        <v>4249</v>
      </c>
      <c r="E340" s="162" t="s">
        <v>2122</v>
      </c>
      <c r="F340" s="162" t="s">
        <v>2016</v>
      </c>
      <c r="G340" s="162" t="s">
        <v>34</v>
      </c>
      <c r="H340" s="162" t="s">
        <v>2198</v>
      </c>
      <c r="I340" s="162" t="s">
        <v>5723</v>
      </c>
      <c r="J340" s="162" t="s">
        <v>2466</v>
      </c>
      <c r="K340" s="162" t="s">
        <v>1118</v>
      </c>
      <c r="L340" s="162" t="s">
        <v>3253</v>
      </c>
      <c r="M340" s="542" t="s">
        <v>3254</v>
      </c>
      <c r="N340" s="162" t="s">
        <v>1377</v>
      </c>
      <c r="O340" s="162" t="s">
        <v>904</v>
      </c>
      <c r="P340" s="162" t="s">
        <v>2529</v>
      </c>
      <c r="Q340" s="162" t="s">
        <v>2274</v>
      </c>
      <c r="R340" s="162" t="s">
        <v>2365</v>
      </c>
      <c r="S340" s="162" t="s">
        <v>3255</v>
      </c>
      <c r="T340" s="162">
        <v>120</v>
      </c>
      <c r="U340" s="162" t="s">
        <v>2220</v>
      </c>
      <c r="V340" s="162" t="s">
        <v>5509</v>
      </c>
      <c r="W340" s="162" t="s">
        <v>5510</v>
      </c>
      <c r="X340" s="162" t="s">
        <v>2192</v>
      </c>
      <c r="Y340" s="162" t="s">
        <v>5509</v>
      </c>
      <c r="Z340" s="162" t="s">
        <v>5510</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80"/>
      <c r="AO340" s="480"/>
    </row>
    <row r="341" spans="1:41" x14ac:dyDescent="0.2">
      <c r="A341">
        <v>340</v>
      </c>
      <c r="B341" s="464" t="s">
        <v>1349</v>
      </c>
      <c r="C341" s="162" t="s">
        <v>5004</v>
      </c>
      <c r="D341" s="162" t="s">
        <v>5005</v>
      </c>
      <c r="E341" s="162" t="s">
        <v>2122</v>
      </c>
      <c r="F341" s="162" t="s">
        <v>2016</v>
      </c>
      <c r="G341" s="162" t="s">
        <v>34</v>
      </c>
      <c r="H341" s="162" t="s">
        <v>2198</v>
      </c>
      <c r="I341" s="162" t="s">
        <v>5723</v>
      </c>
      <c r="J341" s="162" t="s">
        <v>2466</v>
      </c>
      <c r="K341" s="162" t="s">
        <v>1118</v>
      </c>
      <c r="L341" s="162" t="s">
        <v>5006</v>
      </c>
      <c r="M341" s="542" t="s">
        <v>5007</v>
      </c>
      <c r="N341" s="162" t="s">
        <v>5004</v>
      </c>
      <c r="O341" s="162" t="s">
        <v>904</v>
      </c>
      <c r="P341" s="162" t="s">
        <v>2529</v>
      </c>
      <c r="Q341" s="162" t="s">
        <v>2274</v>
      </c>
      <c r="R341" s="162" t="s">
        <v>4568</v>
      </c>
      <c r="S341" s="162" t="s">
        <v>5008</v>
      </c>
      <c r="T341" s="162">
        <v>395</v>
      </c>
      <c r="U341" s="162" t="s">
        <v>2220</v>
      </c>
      <c r="V341" s="162" t="s">
        <v>5215</v>
      </c>
      <c r="W341" s="162" t="s">
        <v>5216</v>
      </c>
      <c r="X341" s="162" t="s">
        <v>2192</v>
      </c>
      <c r="Y341" s="162" t="s">
        <v>5215</v>
      </c>
      <c r="Z341" s="162" t="s">
        <v>5216</v>
      </c>
      <c r="AA341" s="162" t="s">
        <v>2192</v>
      </c>
      <c r="AB341" s="162" t="s">
        <v>34</v>
      </c>
      <c r="AC341" s="162" t="s">
        <v>2193</v>
      </c>
      <c r="AD341" s="162" t="s">
        <v>2194</v>
      </c>
      <c r="AE341" s="162" t="s">
        <v>1760</v>
      </c>
      <c r="AF341" s="162">
        <v>21.5</v>
      </c>
      <c r="AG341" s="162">
        <v>230</v>
      </c>
      <c r="AH341" s="162" t="s">
        <v>5217</v>
      </c>
      <c r="AI341" s="162" t="s">
        <v>5218</v>
      </c>
      <c r="AJ341" s="162" t="s">
        <v>5219</v>
      </c>
      <c r="AK341" s="162" t="s">
        <v>2195</v>
      </c>
      <c r="AL341" s="162" t="s">
        <v>34</v>
      </c>
      <c r="AM341" t="s">
        <v>4874</v>
      </c>
      <c r="AN341" s="480">
        <v>0</v>
      </c>
      <c r="AO341" s="480">
        <v>0</v>
      </c>
    </row>
    <row r="342" spans="1:41" x14ac:dyDescent="0.2">
      <c r="A342">
        <v>341</v>
      </c>
      <c r="B342" s="464" t="s">
        <v>1349</v>
      </c>
      <c r="C342" s="162" t="s">
        <v>1354</v>
      </c>
      <c r="D342" s="162" t="s">
        <v>4250</v>
      </c>
      <c r="E342" s="162" t="s">
        <v>2122</v>
      </c>
      <c r="F342" s="162" t="s">
        <v>2016</v>
      </c>
      <c r="G342" s="162" t="s">
        <v>34</v>
      </c>
      <c r="H342" s="162" t="s">
        <v>2198</v>
      </c>
      <c r="I342" s="162" t="s">
        <v>5723</v>
      </c>
      <c r="J342" s="162" t="s">
        <v>2466</v>
      </c>
      <c r="K342" s="162" t="s">
        <v>1118</v>
      </c>
      <c r="L342" s="162" t="s">
        <v>3261</v>
      </c>
      <c r="M342" s="542" t="s">
        <v>3262</v>
      </c>
      <c r="N342" s="162" t="s">
        <v>1354</v>
      </c>
      <c r="O342" s="162" t="s">
        <v>904</v>
      </c>
      <c r="P342" s="162" t="s">
        <v>3263</v>
      </c>
      <c r="Q342" s="162" t="s">
        <v>4947</v>
      </c>
      <c r="R342" s="162" t="s">
        <v>2191</v>
      </c>
      <c r="S342" s="162" t="s">
        <v>3264</v>
      </c>
      <c r="T342" s="162">
        <v>4.5999999999999996</v>
      </c>
      <c r="U342" s="162" t="s">
        <v>2220</v>
      </c>
      <c r="V342" s="162" t="s">
        <v>5191</v>
      </c>
      <c r="W342" s="162" t="s">
        <v>5192</v>
      </c>
      <c r="X342" s="162" t="s">
        <v>4935</v>
      </c>
      <c r="Y342" s="162" t="s">
        <v>5304</v>
      </c>
      <c r="Z342" s="162" t="s">
        <v>5444</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80">
        <v>0</v>
      </c>
      <c r="AO342" s="480">
        <v>0</v>
      </c>
    </row>
    <row r="343" spans="1:41" x14ac:dyDescent="0.2">
      <c r="A343">
        <v>342</v>
      </c>
      <c r="B343" s="464" t="s">
        <v>1349</v>
      </c>
      <c r="C343" s="162" t="s">
        <v>1357</v>
      </c>
      <c r="D343" s="162" t="s">
        <v>4251</v>
      </c>
      <c r="E343" s="162" t="s">
        <v>2122</v>
      </c>
      <c r="F343" s="162" t="s">
        <v>2016</v>
      </c>
      <c r="G343" s="162" t="s">
        <v>34</v>
      </c>
      <c r="H343" s="162" t="s">
        <v>2198</v>
      </c>
      <c r="I343" s="162" t="s">
        <v>5723</v>
      </c>
      <c r="J343" s="162" t="s">
        <v>2466</v>
      </c>
      <c r="K343" s="162" t="s">
        <v>1118</v>
      </c>
      <c r="L343" s="162" t="s">
        <v>3265</v>
      </c>
      <c r="M343" s="542">
        <v>54064</v>
      </c>
      <c r="N343" s="162" t="s">
        <v>1357</v>
      </c>
      <c r="O343" s="162" t="s">
        <v>904</v>
      </c>
      <c r="P343" s="162" t="s">
        <v>3266</v>
      </c>
      <c r="Q343" s="162" t="s">
        <v>4932</v>
      </c>
      <c r="R343" s="162" t="s">
        <v>2191</v>
      </c>
      <c r="S343" s="162" t="s">
        <v>3267</v>
      </c>
      <c r="T343" s="162">
        <v>5.3</v>
      </c>
      <c r="U343" s="162" t="s">
        <v>2221</v>
      </c>
      <c r="V343" s="162" t="s">
        <v>5427</v>
      </c>
      <c r="W343" s="162" t="s">
        <v>5428</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80">
        <v>0</v>
      </c>
      <c r="AO343" s="480">
        <v>0</v>
      </c>
    </row>
    <row r="344" spans="1:41" x14ac:dyDescent="0.2">
      <c r="A344">
        <v>343</v>
      </c>
      <c r="B344" s="464" t="s">
        <v>1349</v>
      </c>
      <c r="C344" s="162" t="s">
        <v>1359</v>
      </c>
      <c r="D344" s="162" t="s">
        <v>4252</v>
      </c>
      <c r="E344" s="162" t="s">
        <v>2122</v>
      </c>
      <c r="F344" s="162" t="s">
        <v>2016</v>
      </c>
      <c r="G344" s="162" t="s">
        <v>34</v>
      </c>
      <c r="H344" s="162" t="s">
        <v>2198</v>
      </c>
      <c r="I344" s="162" t="s">
        <v>5723</v>
      </c>
      <c r="J344" s="162" t="s">
        <v>2810</v>
      </c>
      <c r="K344" s="162" t="s">
        <v>1118</v>
      </c>
      <c r="L344" s="162" t="s">
        <v>3209</v>
      </c>
      <c r="M344" s="542"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80">
        <v>0</v>
      </c>
      <c r="AO344" s="480">
        <v>0</v>
      </c>
    </row>
    <row r="345" spans="1:41" x14ac:dyDescent="0.2">
      <c r="A345">
        <v>344</v>
      </c>
      <c r="B345" s="464" t="s">
        <v>1349</v>
      </c>
      <c r="C345" s="162" t="s">
        <v>1361</v>
      </c>
      <c r="D345" s="162" t="s">
        <v>4253</v>
      </c>
      <c r="E345" s="162" t="s">
        <v>2122</v>
      </c>
      <c r="F345" s="162" t="s">
        <v>2016</v>
      </c>
      <c r="G345" s="162" t="s">
        <v>34</v>
      </c>
      <c r="H345" s="162" t="s">
        <v>2198</v>
      </c>
      <c r="I345" s="162" t="s">
        <v>5723</v>
      </c>
      <c r="J345" s="162" t="s">
        <v>2810</v>
      </c>
      <c r="K345" s="162" t="s">
        <v>1118</v>
      </c>
      <c r="L345" s="162" t="s">
        <v>3287</v>
      </c>
      <c r="M345" s="542"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80">
        <v>0</v>
      </c>
      <c r="AO345" s="480">
        <v>0</v>
      </c>
    </row>
    <row r="346" spans="1:41" x14ac:dyDescent="0.2">
      <c r="A346">
        <v>345</v>
      </c>
      <c r="B346" s="464" t="s">
        <v>1349</v>
      </c>
      <c r="C346" s="162" t="s">
        <v>1367</v>
      </c>
      <c r="D346" s="162" t="s">
        <v>4254</v>
      </c>
      <c r="E346" s="162" t="s">
        <v>2122</v>
      </c>
      <c r="F346" s="162" t="s">
        <v>2016</v>
      </c>
      <c r="G346" s="162" t="s">
        <v>34</v>
      </c>
      <c r="H346" s="162" t="s">
        <v>2198</v>
      </c>
      <c r="I346" s="162" t="s">
        <v>5723</v>
      </c>
      <c r="J346" s="162" t="s">
        <v>2810</v>
      </c>
      <c r="K346" s="162" t="s">
        <v>3302</v>
      </c>
      <c r="L346" s="162" t="s">
        <v>3303</v>
      </c>
      <c r="M346" s="542"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80">
        <v>0</v>
      </c>
      <c r="AO346" s="480">
        <v>0</v>
      </c>
    </row>
    <row r="347" spans="1:41" x14ac:dyDescent="0.2">
      <c r="A347">
        <v>346</v>
      </c>
      <c r="B347" s="464" t="s">
        <v>1349</v>
      </c>
      <c r="C347" s="162" t="s">
        <v>1363</v>
      </c>
      <c r="D347" s="162" t="s">
        <v>4255</v>
      </c>
      <c r="E347" s="162" t="s">
        <v>2122</v>
      </c>
      <c r="F347" s="162" t="s">
        <v>2016</v>
      </c>
      <c r="G347" s="162" t="s">
        <v>34</v>
      </c>
      <c r="H347" s="162" t="s">
        <v>2198</v>
      </c>
      <c r="I347" s="162" t="s">
        <v>5723</v>
      </c>
      <c r="J347" s="162" t="s">
        <v>2810</v>
      </c>
      <c r="K347" s="162" t="s">
        <v>2202</v>
      </c>
      <c r="L347" s="162" t="s">
        <v>3293</v>
      </c>
      <c r="M347" s="542">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80">
        <v>0</v>
      </c>
      <c r="AO347" s="480">
        <v>0</v>
      </c>
    </row>
    <row r="348" spans="1:41" x14ac:dyDescent="0.2">
      <c r="A348">
        <v>347</v>
      </c>
      <c r="B348" s="464" t="s">
        <v>1349</v>
      </c>
      <c r="C348" s="162" t="s">
        <v>5511</v>
      </c>
      <c r="D348" s="162" t="s">
        <v>5512</v>
      </c>
      <c r="E348" s="162" t="s">
        <v>2122</v>
      </c>
      <c r="F348" s="162" t="s">
        <v>2016</v>
      </c>
      <c r="G348" s="162"/>
      <c r="H348" s="162" t="s">
        <v>2198</v>
      </c>
      <c r="I348" s="162" t="s">
        <v>5117</v>
      </c>
      <c r="J348" s="162" t="s">
        <v>2466</v>
      </c>
      <c r="K348" s="162" t="s">
        <v>1118</v>
      </c>
      <c r="L348" s="162" t="s">
        <v>5513</v>
      </c>
      <c r="M348" s="542">
        <v>630195</v>
      </c>
      <c r="N348" s="162" t="s">
        <v>5511</v>
      </c>
      <c r="O348" s="162" t="s">
        <v>904</v>
      </c>
      <c r="P348" s="162" t="s">
        <v>2529</v>
      </c>
      <c r="Q348" s="162" t="s">
        <v>2274</v>
      </c>
      <c r="R348" s="162" t="s">
        <v>4568</v>
      </c>
      <c r="S348" s="162" t="s">
        <v>5514</v>
      </c>
      <c r="T348" s="162">
        <v>70.83</v>
      </c>
      <c r="U348" s="162" t="s">
        <v>2220</v>
      </c>
      <c r="V348" s="162" t="s">
        <v>5191</v>
      </c>
      <c r="W348" s="162" t="s">
        <v>5515</v>
      </c>
      <c r="X348" s="162" t="s">
        <v>2192</v>
      </c>
      <c r="Y348" s="162" t="s">
        <v>5509</v>
      </c>
      <c r="Z348" s="162" t="s">
        <v>5515</v>
      </c>
      <c r="AA348" s="162" t="s">
        <v>2192</v>
      </c>
      <c r="AB348" s="162"/>
      <c r="AC348" s="162" t="s">
        <v>2193</v>
      </c>
      <c r="AD348" s="162" t="s">
        <v>2194</v>
      </c>
      <c r="AE348" s="162" t="s">
        <v>1760</v>
      </c>
      <c r="AF348" s="162">
        <v>14.1</v>
      </c>
      <c r="AG348" s="162">
        <v>189</v>
      </c>
      <c r="AH348" s="162" t="s">
        <v>4469</v>
      </c>
      <c r="AI348" s="162" t="s">
        <v>5516</v>
      </c>
      <c r="AJ348" s="162"/>
      <c r="AK348" s="162" t="s">
        <v>2195</v>
      </c>
      <c r="AL348" s="162"/>
      <c r="AM348" t="s">
        <v>4874</v>
      </c>
      <c r="AN348" s="480"/>
      <c r="AO348" s="480"/>
    </row>
    <row r="349" spans="1:41" x14ac:dyDescent="0.2">
      <c r="A349">
        <v>348</v>
      </c>
      <c r="B349" s="464" t="s">
        <v>1349</v>
      </c>
      <c r="C349" s="162" t="s">
        <v>1365</v>
      </c>
      <c r="D349" s="162" t="s">
        <v>4256</v>
      </c>
      <c r="E349" s="162" t="s">
        <v>2122</v>
      </c>
      <c r="F349" s="162" t="s">
        <v>2016</v>
      </c>
      <c r="G349" s="162" t="s">
        <v>34</v>
      </c>
      <c r="H349" s="162" t="s">
        <v>2198</v>
      </c>
      <c r="I349" s="162" t="s">
        <v>5723</v>
      </c>
      <c r="J349" s="162" t="s">
        <v>2810</v>
      </c>
      <c r="K349" s="162" t="s">
        <v>2320</v>
      </c>
      <c r="L349" s="162" t="s">
        <v>3298</v>
      </c>
      <c r="M349" s="542">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80">
        <v>0</v>
      </c>
      <c r="AO349" s="480">
        <v>0</v>
      </c>
    </row>
    <row r="350" spans="1:41" x14ac:dyDescent="0.2">
      <c r="A350">
        <v>349</v>
      </c>
      <c r="B350" s="464" t="s">
        <v>1349</v>
      </c>
      <c r="C350" s="162" t="s">
        <v>1370</v>
      </c>
      <c r="D350" s="162" t="s">
        <v>4257</v>
      </c>
      <c r="E350" s="162" t="s">
        <v>2122</v>
      </c>
      <c r="F350" s="162" t="s">
        <v>2016</v>
      </c>
      <c r="G350" s="162" t="s">
        <v>34</v>
      </c>
      <c r="H350" s="162" t="s">
        <v>2198</v>
      </c>
      <c r="I350" s="162" t="s">
        <v>5723</v>
      </c>
      <c r="J350" s="162" t="s">
        <v>2466</v>
      </c>
      <c r="K350" s="162" t="s">
        <v>1121</v>
      </c>
      <c r="L350" s="162" t="s">
        <v>3276</v>
      </c>
      <c r="M350" s="542">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80">
        <v>0</v>
      </c>
      <c r="AO350" s="480">
        <v>0</v>
      </c>
    </row>
    <row r="351" spans="1:41" x14ac:dyDescent="0.2">
      <c r="A351">
        <v>350</v>
      </c>
      <c r="B351" s="464" t="s">
        <v>1349</v>
      </c>
      <c r="C351" s="162" t="s">
        <v>2363</v>
      </c>
      <c r="D351" s="162" t="s">
        <v>5298</v>
      </c>
      <c r="E351" s="162" t="s">
        <v>2122</v>
      </c>
      <c r="F351" s="162" t="s">
        <v>2016</v>
      </c>
      <c r="G351" s="162" t="s">
        <v>34</v>
      </c>
      <c r="H351" s="162" t="s">
        <v>2198</v>
      </c>
      <c r="I351" s="162" t="s">
        <v>5723</v>
      </c>
      <c r="J351" s="162" t="s">
        <v>1766</v>
      </c>
      <c r="K351" s="162" t="s">
        <v>5299</v>
      </c>
      <c r="L351" s="162" t="s">
        <v>5300</v>
      </c>
      <c r="M351" s="542" t="s">
        <v>5301</v>
      </c>
      <c r="N351" s="162" t="s">
        <v>2363</v>
      </c>
      <c r="O351" s="162" t="s">
        <v>2469</v>
      </c>
      <c r="P351" s="162" t="s">
        <v>5302</v>
      </c>
      <c r="Q351" s="162" t="s">
        <v>4932</v>
      </c>
      <c r="R351" s="162" t="s">
        <v>2191</v>
      </c>
      <c r="S351" s="162" t="s">
        <v>5303</v>
      </c>
      <c r="T351" s="162">
        <v>154.04</v>
      </c>
      <c r="U351" s="162" t="s">
        <v>5251</v>
      </c>
      <c r="V351" s="162" t="s">
        <v>5304</v>
      </c>
      <c r="W351" s="162" t="s">
        <v>5305</v>
      </c>
      <c r="X351" s="162" t="s">
        <v>4935</v>
      </c>
      <c r="Y351" s="162" t="s">
        <v>109</v>
      </c>
      <c r="Z351" s="162" t="s">
        <v>109</v>
      </c>
      <c r="AA351" s="162" t="s">
        <v>109</v>
      </c>
      <c r="AB351" s="162" t="s">
        <v>34</v>
      </c>
      <c r="AC351" s="162" t="s">
        <v>2193</v>
      </c>
      <c r="AD351" s="162" t="s">
        <v>5306</v>
      </c>
      <c r="AE351" s="162" t="s">
        <v>1759</v>
      </c>
      <c r="AF351" s="162">
        <v>26.9</v>
      </c>
      <c r="AG351" s="162">
        <v>377</v>
      </c>
      <c r="AH351" s="162" t="s">
        <v>3934</v>
      </c>
      <c r="AI351" s="162" t="s">
        <v>5307</v>
      </c>
      <c r="AJ351" s="162" t="s">
        <v>5308</v>
      </c>
      <c r="AK351" s="162" t="s">
        <v>2195</v>
      </c>
      <c r="AL351" s="162" t="s">
        <v>34</v>
      </c>
      <c r="AM351" t="s">
        <v>4877</v>
      </c>
      <c r="AN351" s="480"/>
      <c r="AO351" s="480"/>
    </row>
    <row r="352" spans="1:41" x14ac:dyDescent="0.2">
      <c r="A352">
        <v>351</v>
      </c>
      <c r="B352" s="464" t="s">
        <v>1349</v>
      </c>
      <c r="C352" s="162" t="s">
        <v>823</v>
      </c>
      <c r="D352" s="162" t="s">
        <v>4258</v>
      </c>
      <c r="E352" s="162" t="s">
        <v>2122</v>
      </c>
      <c r="F352" s="162" t="s">
        <v>2016</v>
      </c>
      <c r="G352" s="162" t="s">
        <v>34</v>
      </c>
      <c r="H352" s="162" t="s">
        <v>2198</v>
      </c>
      <c r="I352" s="162" t="s">
        <v>5723</v>
      </c>
      <c r="J352" s="162" t="s">
        <v>1766</v>
      </c>
      <c r="K352" s="162" t="s">
        <v>1169</v>
      </c>
      <c r="L352" s="162" t="s">
        <v>3269</v>
      </c>
      <c r="M352" s="542">
        <v>380028</v>
      </c>
      <c r="N352" s="162" t="s">
        <v>823</v>
      </c>
      <c r="O352" s="162" t="s">
        <v>904</v>
      </c>
      <c r="P352" s="162" t="s">
        <v>5253</v>
      </c>
      <c r="Q352" s="162" t="s">
        <v>4932</v>
      </c>
      <c r="R352" s="162" t="s">
        <v>2255</v>
      </c>
      <c r="S352" s="162" t="s">
        <v>5254</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80">
        <v>0</v>
      </c>
      <c r="AO352" s="480">
        <v>0</v>
      </c>
    </row>
    <row r="353" spans="1:41" x14ac:dyDescent="0.2">
      <c r="A353">
        <v>352</v>
      </c>
      <c r="B353" s="464" t="s">
        <v>1349</v>
      </c>
      <c r="C353" s="162" t="s">
        <v>1372</v>
      </c>
      <c r="D353" s="162" t="s">
        <v>4259</v>
      </c>
      <c r="E353" s="162" t="s">
        <v>2122</v>
      </c>
      <c r="F353" s="162" t="s">
        <v>2016</v>
      </c>
      <c r="G353" s="162" t="s">
        <v>34</v>
      </c>
      <c r="H353" s="162" t="s">
        <v>2198</v>
      </c>
      <c r="I353" s="162" t="s">
        <v>5723</v>
      </c>
      <c r="J353" s="162" t="s">
        <v>2466</v>
      </c>
      <c r="K353" s="162" t="s">
        <v>1121</v>
      </c>
      <c r="L353" s="162" t="s">
        <v>2313</v>
      </c>
      <c r="M353" s="542"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80">
        <v>0</v>
      </c>
      <c r="AO353" s="480">
        <v>0</v>
      </c>
    </row>
    <row r="354" spans="1:41" x14ac:dyDescent="0.2">
      <c r="A354">
        <v>353</v>
      </c>
      <c r="B354" s="464" t="s">
        <v>1349</v>
      </c>
      <c r="C354" s="162" t="s">
        <v>4600</v>
      </c>
      <c r="D354" s="162" t="s">
        <v>4601</v>
      </c>
      <c r="E354" s="162" t="s">
        <v>2122</v>
      </c>
      <c r="F354" s="162" t="s">
        <v>2016</v>
      </c>
      <c r="G354" s="162" t="s">
        <v>34</v>
      </c>
      <c r="H354" s="162" t="s">
        <v>2198</v>
      </c>
      <c r="I354" s="162" t="s">
        <v>5723</v>
      </c>
      <c r="J354" s="162" t="s">
        <v>1766</v>
      </c>
      <c r="K354" s="162" t="s">
        <v>1121</v>
      </c>
      <c r="L354" s="162" t="s">
        <v>4602</v>
      </c>
      <c r="M354" s="542"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80">
        <v>0</v>
      </c>
      <c r="AO354" s="480">
        <v>0</v>
      </c>
    </row>
    <row r="355" spans="1:41" x14ac:dyDescent="0.2">
      <c r="A355">
        <v>354</v>
      </c>
      <c r="B355" s="464" t="s">
        <v>1349</v>
      </c>
      <c r="C355" s="162" t="s">
        <v>837</v>
      </c>
      <c r="D355" s="162" t="s">
        <v>5332</v>
      </c>
      <c r="E355" s="162" t="s">
        <v>2122</v>
      </c>
      <c r="F355" s="162" t="s">
        <v>2016</v>
      </c>
      <c r="G355" s="162" t="s">
        <v>34</v>
      </c>
      <c r="H355" s="162" t="s">
        <v>2198</v>
      </c>
      <c r="I355" s="162" t="s">
        <v>5723</v>
      </c>
      <c r="J355" s="162" t="s">
        <v>1766</v>
      </c>
      <c r="K355" s="162" t="s">
        <v>1169</v>
      </c>
      <c r="L355" s="162" t="s">
        <v>5333</v>
      </c>
      <c r="M355" s="542">
        <v>330453</v>
      </c>
      <c r="N355" s="162" t="s">
        <v>837</v>
      </c>
      <c r="O355" s="162" t="s">
        <v>904</v>
      </c>
      <c r="P355" s="162" t="s">
        <v>5334</v>
      </c>
      <c r="Q355" s="162" t="s">
        <v>4932</v>
      </c>
      <c r="R355" s="162" t="s">
        <v>2255</v>
      </c>
      <c r="S355" s="162" t="s">
        <v>2856</v>
      </c>
      <c r="T355" s="162">
        <v>10</v>
      </c>
      <c r="U355" s="162" t="s">
        <v>2221</v>
      </c>
      <c r="V355" s="162" t="s">
        <v>5335</v>
      </c>
      <c r="W355" s="162" t="s">
        <v>5336</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80"/>
      <c r="AO355" s="480"/>
    </row>
    <row r="356" spans="1:41" x14ac:dyDescent="0.2">
      <c r="A356">
        <v>355</v>
      </c>
      <c r="B356" s="464" t="s">
        <v>1385</v>
      </c>
      <c r="C356" s="162" t="s">
        <v>1387</v>
      </c>
      <c r="D356" s="162" t="s">
        <v>4260</v>
      </c>
      <c r="E356" s="162" t="s">
        <v>2124</v>
      </c>
      <c r="F356" s="162" t="s">
        <v>2025</v>
      </c>
      <c r="G356" s="162" t="s">
        <v>34</v>
      </c>
      <c r="H356" s="162" t="s">
        <v>2198</v>
      </c>
      <c r="I356" s="162" t="s">
        <v>5723</v>
      </c>
      <c r="J356" s="162" t="s">
        <v>1766</v>
      </c>
      <c r="K356" s="162" t="s">
        <v>2202</v>
      </c>
      <c r="L356" s="162" t="s">
        <v>3328</v>
      </c>
      <c r="M356" s="542">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80">
        <v>0</v>
      </c>
      <c r="AO356" s="480">
        <v>0</v>
      </c>
    </row>
    <row r="357" spans="1:41" x14ac:dyDescent="0.2">
      <c r="A357">
        <v>356</v>
      </c>
      <c r="B357" s="464" t="s">
        <v>1385</v>
      </c>
      <c r="C357" s="162" t="s">
        <v>4519</v>
      </c>
      <c r="D357" s="162" t="s">
        <v>4520</v>
      </c>
      <c r="E357" s="162" t="s">
        <v>2124</v>
      </c>
      <c r="F357" s="162" t="s">
        <v>2025</v>
      </c>
      <c r="G357" s="162" t="s">
        <v>34</v>
      </c>
      <c r="H357" s="162" t="s">
        <v>2198</v>
      </c>
      <c r="I357" s="162" t="s">
        <v>5732</v>
      </c>
      <c r="J357" s="162" t="s">
        <v>1766</v>
      </c>
      <c r="K357" s="162" t="s">
        <v>2202</v>
      </c>
      <c r="L357" s="162" t="s">
        <v>3328</v>
      </c>
      <c r="M357" s="542">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80">
        <v>0</v>
      </c>
      <c r="AO357" s="480">
        <v>0</v>
      </c>
    </row>
    <row r="358" spans="1:41" x14ac:dyDescent="0.2">
      <c r="A358">
        <v>357</v>
      </c>
      <c r="B358" s="464" t="s">
        <v>1385</v>
      </c>
      <c r="C358" s="162" t="s">
        <v>1914</v>
      </c>
      <c r="D358" s="162" t="s">
        <v>4261</v>
      </c>
      <c r="E358" s="162" t="s">
        <v>2124</v>
      </c>
      <c r="F358" s="162" t="s">
        <v>2025</v>
      </c>
      <c r="G358" s="162" t="s">
        <v>34</v>
      </c>
      <c r="H358" s="162" t="s">
        <v>2198</v>
      </c>
      <c r="I358" s="162" t="s">
        <v>5723</v>
      </c>
      <c r="J358" s="162" t="s">
        <v>1766</v>
      </c>
      <c r="K358" s="162" t="s">
        <v>3335</v>
      </c>
      <c r="L358" s="162" t="s">
        <v>3336</v>
      </c>
      <c r="M358" s="542"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80">
        <v>0</v>
      </c>
      <c r="AO358" s="480">
        <v>0</v>
      </c>
    </row>
    <row r="359" spans="1:41" x14ac:dyDescent="0.2">
      <c r="A359">
        <v>358</v>
      </c>
      <c r="B359" s="464" t="s">
        <v>1385</v>
      </c>
      <c r="C359" s="162" t="s">
        <v>1976</v>
      </c>
      <c r="D359" s="162" t="s">
        <v>4262</v>
      </c>
      <c r="E359" s="162" t="s">
        <v>2124</v>
      </c>
      <c r="F359" s="162" t="s">
        <v>2025</v>
      </c>
      <c r="G359" s="162" t="s">
        <v>34</v>
      </c>
      <c r="H359" s="162" t="s">
        <v>2198</v>
      </c>
      <c r="I359" s="162" t="s">
        <v>5723</v>
      </c>
      <c r="J359" s="162" t="s">
        <v>1766</v>
      </c>
      <c r="K359" s="162" t="s">
        <v>3330</v>
      </c>
      <c r="L359" s="162" t="s">
        <v>3331</v>
      </c>
      <c r="M359" s="542"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80">
        <v>0</v>
      </c>
      <c r="AO359" s="480">
        <v>0</v>
      </c>
    </row>
    <row r="360" spans="1:41" x14ac:dyDescent="0.2">
      <c r="A360">
        <v>359</v>
      </c>
      <c r="B360" s="464" t="s">
        <v>1385</v>
      </c>
      <c r="C360" s="162" t="s">
        <v>5600</v>
      </c>
      <c r="D360" s="162" t="s">
        <v>5601</v>
      </c>
      <c r="E360" s="162" t="s">
        <v>5602</v>
      </c>
      <c r="F360" s="162" t="s">
        <v>2043</v>
      </c>
      <c r="G360" s="162"/>
      <c r="H360" s="162" t="s">
        <v>2198</v>
      </c>
      <c r="I360" s="162" t="s">
        <v>5784</v>
      </c>
      <c r="J360" s="162" t="s">
        <v>2186</v>
      </c>
      <c r="K360" s="162" t="s">
        <v>4624</v>
      </c>
      <c r="L360" s="162" t="s">
        <v>5603</v>
      </c>
      <c r="M360" s="542" t="s">
        <v>5604</v>
      </c>
      <c r="N360" s="162" t="s">
        <v>5600</v>
      </c>
      <c r="O360" s="162" t="s">
        <v>3121</v>
      </c>
      <c r="P360" s="162" t="s">
        <v>5605</v>
      </c>
      <c r="Q360" s="162" t="s">
        <v>2274</v>
      </c>
      <c r="R360" s="162" t="s">
        <v>4847</v>
      </c>
      <c r="S360" s="162" t="s">
        <v>5606</v>
      </c>
      <c r="T360" s="162">
        <v>1067.2</v>
      </c>
      <c r="U360" s="162" t="s">
        <v>1950</v>
      </c>
      <c r="V360" s="162" t="s">
        <v>2611</v>
      </c>
      <c r="W360" s="162" t="s">
        <v>5607</v>
      </c>
      <c r="X360" s="162" t="s">
        <v>2192</v>
      </c>
      <c r="Y360" s="162" t="s">
        <v>4657</v>
      </c>
      <c r="Z360" s="162" t="s">
        <v>5608</v>
      </c>
      <c r="AA360" s="162" t="s">
        <v>2192</v>
      </c>
      <c r="AB360" s="162"/>
      <c r="AC360" s="162" t="s">
        <v>2193</v>
      </c>
      <c r="AD360" s="162" t="s">
        <v>5609</v>
      </c>
      <c r="AE360" s="162" t="s">
        <v>1760</v>
      </c>
      <c r="AF360" s="162" t="s">
        <v>3417</v>
      </c>
      <c r="AG360" s="162"/>
      <c r="AH360" s="162"/>
      <c r="AI360" s="162"/>
      <c r="AJ360" s="162"/>
      <c r="AK360" s="162" t="s">
        <v>2195</v>
      </c>
      <c r="AL360" s="162"/>
      <c r="AM360" t="s">
        <v>5047</v>
      </c>
      <c r="AN360" s="480"/>
      <c r="AO360" s="480"/>
    </row>
    <row r="361" spans="1:41" x14ac:dyDescent="0.2">
      <c r="A361">
        <v>360</v>
      </c>
      <c r="B361" s="464" t="s">
        <v>1389</v>
      </c>
      <c r="C361" s="162" t="s">
        <v>878</v>
      </c>
      <c r="D361" s="162" t="s">
        <v>5763</v>
      </c>
      <c r="E361" s="162" t="s">
        <v>2125</v>
      </c>
      <c r="F361" s="162" t="s">
        <v>2023</v>
      </c>
      <c r="G361" s="162" t="s">
        <v>34</v>
      </c>
      <c r="H361" s="162" t="s">
        <v>2198</v>
      </c>
      <c r="I361" s="162" t="s">
        <v>5723</v>
      </c>
      <c r="J361" s="162" t="s">
        <v>1766</v>
      </c>
      <c r="K361" s="162" t="s">
        <v>2374</v>
      </c>
      <c r="L361" s="162" t="s">
        <v>3338</v>
      </c>
      <c r="M361" s="542">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80">
        <v>0</v>
      </c>
      <c r="AO361" s="480">
        <v>0</v>
      </c>
    </row>
    <row r="362" spans="1:41" x14ac:dyDescent="0.2">
      <c r="A362">
        <v>361</v>
      </c>
      <c r="B362" s="464" t="s">
        <v>1389</v>
      </c>
      <c r="C362" s="162" t="s">
        <v>1930</v>
      </c>
      <c r="D362" s="162" t="s">
        <v>4263</v>
      </c>
      <c r="E362" s="162" t="s">
        <v>2125</v>
      </c>
      <c r="F362" s="162" t="s">
        <v>2023</v>
      </c>
      <c r="G362" s="162" t="s">
        <v>34</v>
      </c>
      <c r="H362" s="162" t="s">
        <v>2198</v>
      </c>
      <c r="I362" s="162" t="s">
        <v>5723</v>
      </c>
      <c r="J362" s="162" t="s">
        <v>1766</v>
      </c>
      <c r="K362" s="162" t="s">
        <v>1930</v>
      </c>
      <c r="L362" s="162" t="s">
        <v>3338</v>
      </c>
      <c r="M362" s="542">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80">
        <v>0</v>
      </c>
      <c r="AO362" s="480">
        <v>0</v>
      </c>
    </row>
    <row r="363" spans="1:41" x14ac:dyDescent="0.2">
      <c r="A363">
        <v>362</v>
      </c>
      <c r="B363" s="464" t="s">
        <v>1389</v>
      </c>
      <c r="C363" s="162" t="s">
        <v>1401</v>
      </c>
      <c r="D363" s="162" t="s">
        <v>4264</v>
      </c>
      <c r="E363" s="162" t="s">
        <v>2125</v>
      </c>
      <c r="F363" s="162" t="s">
        <v>2023</v>
      </c>
      <c r="G363" s="162" t="s">
        <v>34</v>
      </c>
      <c r="H363" s="162" t="s">
        <v>2198</v>
      </c>
      <c r="I363" s="162" t="s">
        <v>5737</v>
      </c>
      <c r="J363" s="162" t="s">
        <v>2186</v>
      </c>
      <c r="K363" s="162" t="s">
        <v>2375</v>
      </c>
      <c r="L363" s="162" t="s">
        <v>3347</v>
      </c>
      <c r="M363" s="542"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80">
        <v>0</v>
      </c>
      <c r="AO363" s="480">
        <v>0</v>
      </c>
    </row>
    <row r="364" spans="1:41" x14ac:dyDescent="0.2">
      <c r="A364">
        <v>363</v>
      </c>
      <c r="B364" s="464" t="s">
        <v>1389</v>
      </c>
      <c r="C364" s="162" t="s">
        <v>1395</v>
      </c>
      <c r="D364" s="162" t="s">
        <v>4265</v>
      </c>
      <c r="E364" s="162" t="s">
        <v>2125</v>
      </c>
      <c r="F364" s="162" t="s">
        <v>2023</v>
      </c>
      <c r="G364" s="162" t="s">
        <v>34</v>
      </c>
      <c r="H364" s="162" t="s">
        <v>2198</v>
      </c>
      <c r="I364" s="162" t="s">
        <v>5723</v>
      </c>
      <c r="J364" s="162" t="s">
        <v>1766</v>
      </c>
      <c r="K364" s="162" t="s">
        <v>2202</v>
      </c>
      <c r="L364" s="162" t="s">
        <v>2873</v>
      </c>
      <c r="M364" s="542"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80">
        <v>0</v>
      </c>
      <c r="AO364" s="480">
        <v>0</v>
      </c>
    </row>
    <row r="365" spans="1:41" x14ac:dyDescent="0.2">
      <c r="A365">
        <v>364</v>
      </c>
      <c r="B365" s="464" t="s">
        <v>1389</v>
      </c>
      <c r="C365" s="162" t="s">
        <v>1397</v>
      </c>
      <c r="D365" s="162" t="s">
        <v>4266</v>
      </c>
      <c r="E365" s="162" t="s">
        <v>2125</v>
      </c>
      <c r="F365" s="162" t="s">
        <v>2023</v>
      </c>
      <c r="G365" s="162" t="s">
        <v>34</v>
      </c>
      <c r="H365" s="162" t="s">
        <v>2198</v>
      </c>
      <c r="I365" s="162" t="s">
        <v>5723</v>
      </c>
      <c r="J365" s="162" t="s">
        <v>1766</v>
      </c>
      <c r="K365" s="162" t="s">
        <v>2202</v>
      </c>
      <c r="L365" s="162" t="s">
        <v>3343</v>
      </c>
      <c r="M365" s="542"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80">
        <v>0</v>
      </c>
      <c r="AO365" s="480">
        <v>0</v>
      </c>
    </row>
    <row r="366" spans="1:41" x14ac:dyDescent="0.2">
      <c r="A366">
        <v>365</v>
      </c>
      <c r="B366" s="464" t="s">
        <v>1389</v>
      </c>
      <c r="C366" s="162" t="s">
        <v>1399</v>
      </c>
      <c r="D366" s="162" t="s">
        <v>4267</v>
      </c>
      <c r="E366" s="162" t="s">
        <v>2125</v>
      </c>
      <c r="F366" s="162" t="s">
        <v>2023</v>
      </c>
      <c r="G366" s="162" t="s">
        <v>34</v>
      </c>
      <c r="H366" s="162" t="s">
        <v>2198</v>
      </c>
      <c r="I366" s="162" t="s">
        <v>5723</v>
      </c>
      <c r="J366" s="162" t="s">
        <v>1766</v>
      </c>
      <c r="K366" s="162" t="s">
        <v>2202</v>
      </c>
      <c r="L366" s="162" t="s">
        <v>3343</v>
      </c>
      <c r="M366" s="542"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80">
        <v>0</v>
      </c>
      <c r="AO366" s="480">
        <v>0</v>
      </c>
    </row>
    <row r="367" spans="1:41" x14ac:dyDescent="0.2">
      <c r="A367">
        <v>366</v>
      </c>
      <c r="B367" s="464" t="s">
        <v>1389</v>
      </c>
      <c r="C367" s="162" t="s">
        <v>4698</v>
      </c>
      <c r="D367" s="162" t="s">
        <v>4699</v>
      </c>
      <c r="E367" s="162" t="s">
        <v>2125</v>
      </c>
      <c r="F367" s="162" t="s">
        <v>2023</v>
      </c>
      <c r="G367" s="162" t="s">
        <v>34</v>
      </c>
      <c r="H367" s="162" t="s">
        <v>2198</v>
      </c>
      <c r="I367" s="162" t="s">
        <v>5723</v>
      </c>
      <c r="J367" s="162" t="s">
        <v>1766</v>
      </c>
      <c r="K367" s="162" t="s">
        <v>4698</v>
      </c>
      <c r="L367" s="162" t="s">
        <v>2325</v>
      </c>
      <c r="M367" s="542">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80">
        <v>0</v>
      </c>
      <c r="AO367" s="480">
        <v>0</v>
      </c>
    </row>
    <row r="368" spans="1:41" x14ac:dyDescent="0.2">
      <c r="A368">
        <v>367</v>
      </c>
      <c r="B368" s="464" t="s">
        <v>1389</v>
      </c>
      <c r="C368" s="162" t="s">
        <v>1392</v>
      </c>
      <c r="D368" s="162" t="s">
        <v>4268</v>
      </c>
      <c r="E368" s="162" t="s">
        <v>2125</v>
      </c>
      <c r="F368" s="162" t="s">
        <v>2023</v>
      </c>
      <c r="G368" s="162" t="s">
        <v>34</v>
      </c>
      <c r="H368" s="162" t="s">
        <v>2198</v>
      </c>
      <c r="I368" s="162" t="s">
        <v>5723</v>
      </c>
      <c r="J368" s="162" t="s">
        <v>1766</v>
      </c>
      <c r="K368" s="162" t="s">
        <v>2374</v>
      </c>
      <c r="L368" s="162" t="s">
        <v>3338</v>
      </c>
      <c r="M368" s="542">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80">
        <v>0</v>
      </c>
      <c r="AO368" s="480">
        <v>0</v>
      </c>
    </row>
    <row r="369" spans="1:85" x14ac:dyDescent="0.2">
      <c r="A369">
        <v>368</v>
      </c>
      <c r="B369" s="464" t="s">
        <v>5337</v>
      </c>
      <c r="C369" s="162" t="s">
        <v>5338</v>
      </c>
      <c r="D369" s="162" t="s">
        <v>5339</v>
      </c>
      <c r="E369" s="162" t="s">
        <v>5340</v>
      </c>
      <c r="F369" s="162" t="s">
        <v>5341</v>
      </c>
      <c r="G369" s="162" t="s">
        <v>34</v>
      </c>
      <c r="H369" s="162" t="s">
        <v>2198</v>
      </c>
      <c r="I369" s="162" t="s">
        <v>5723</v>
      </c>
      <c r="J369" s="162" t="s">
        <v>1766</v>
      </c>
      <c r="K369" s="162" t="s">
        <v>5338</v>
      </c>
      <c r="L369" s="162" t="s">
        <v>5342</v>
      </c>
      <c r="M369" s="542" t="s">
        <v>5343</v>
      </c>
      <c r="N369" s="162" t="s">
        <v>5338</v>
      </c>
      <c r="O369" s="162" t="s">
        <v>2469</v>
      </c>
      <c r="P369" s="162" t="s">
        <v>4700</v>
      </c>
      <c r="Q369" s="162" t="s">
        <v>4700</v>
      </c>
      <c r="R369" s="162" t="s">
        <v>2191</v>
      </c>
      <c r="S369" s="162" t="s">
        <v>5344</v>
      </c>
      <c r="T369" s="162">
        <v>4725.9526999999998</v>
      </c>
      <c r="U369" s="162" t="s">
        <v>1950</v>
      </c>
      <c r="V369" s="162" t="s">
        <v>109</v>
      </c>
      <c r="W369" s="162" t="s">
        <v>109</v>
      </c>
      <c r="X369" s="162" t="s">
        <v>109</v>
      </c>
      <c r="Y369" s="162" t="s">
        <v>5345</v>
      </c>
      <c r="Z369" s="162" t="s">
        <v>5346</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80"/>
      <c r="AO369" s="480"/>
    </row>
    <row r="370" spans="1:85" x14ac:dyDescent="0.2">
      <c r="A370">
        <v>369</v>
      </c>
      <c r="B370" s="464" t="s">
        <v>1403</v>
      </c>
      <c r="C370" s="162" t="s">
        <v>1978</v>
      </c>
      <c r="D370" s="162" t="s">
        <v>4269</v>
      </c>
      <c r="E370" s="162" t="s">
        <v>2126</v>
      </c>
      <c r="F370" s="162" t="s">
        <v>2127</v>
      </c>
      <c r="G370" s="162" t="s">
        <v>34</v>
      </c>
      <c r="H370" s="162" t="s">
        <v>2198</v>
      </c>
      <c r="I370" s="162" t="s">
        <v>5723</v>
      </c>
      <c r="J370" s="162" t="s">
        <v>1766</v>
      </c>
      <c r="K370" s="162" t="s">
        <v>3351</v>
      </c>
      <c r="L370" s="162" t="s">
        <v>3352</v>
      </c>
      <c r="M370" s="542">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80">
        <v>0</v>
      </c>
      <c r="AO370" s="480">
        <v>0</v>
      </c>
    </row>
    <row r="371" spans="1:85" x14ac:dyDescent="0.2">
      <c r="A371">
        <v>370</v>
      </c>
      <c r="B371" s="464" t="s">
        <v>1403</v>
      </c>
      <c r="C371" s="162" t="s">
        <v>1407</v>
      </c>
      <c r="D371" s="162" t="s">
        <v>4270</v>
      </c>
      <c r="E371" s="162" t="s">
        <v>2126</v>
      </c>
      <c r="F371" s="162" t="s">
        <v>2127</v>
      </c>
      <c r="G371" s="162" t="s">
        <v>34</v>
      </c>
      <c r="H371" s="162" t="s">
        <v>2198</v>
      </c>
      <c r="I371" s="162" t="s">
        <v>5723</v>
      </c>
      <c r="J371" s="162" t="s">
        <v>1766</v>
      </c>
      <c r="K371" s="162" t="s">
        <v>3355</v>
      </c>
      <c r="L371" s="162" t="s">
        <v>3356</v>
      </c>
      <c r="M371" s="542"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80">
        <v>0</v>
      </c>
      <c r="AO371" s="480">
        <v>0</v>
      </c>
    </row>
    <row r="372" spans="1:85" x14ac:dyDescent="0.2">
      <c r="A372">
        <v>371</v>
      </c>
      <c r="B372" s="464" t="s">
        <v>1403</v>
      </c>
      <c r="C372" s="162">
        <v>411462</v>
      </c>
      <c r="D372" s="162" t="s">
        <v>4901</v>
      </c>
      <c r="E372" s="162" t="s">
        <v>2126</v>
      </c>
      <c r="F372" s="162" t="s">
        <v>2127</v>
      </c>
      <c r="G372" s="162" t="s">
        <v>34</v>
      </c>
      <c r="H372" s="162" t="s">
        <v>2198</v>
      </c>
      <c r="I372" s="162" t="s">
        <v>5723</v>
      </c>
      <c r="J372" s="162" t="s">
        <v>1766</v>
      </c>
      <c r="K372" s="162" t="s">
        <v>2202</v>
      </c>
      <c r="L372" s="162" t="s">
        <v>3340</v>
      </c>
      <c r="M372" s="542">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80">
        <v>0</v>
      </c>
      <c r="AO372" s="480">
        <v>0</v>
      </c>
    </row>
    <row r="373" spans="1:85" x14ac:dyDescent="0.2">
      <c r="A373">
        <v>372</v>
      </c>
      <c r="B373" s="464" t="s">
        <v>1403</v>
      </c>
      <c r="C373" s="162" t="s">
        <v>1405</v>
      </c>
      <c r="D373" s="162" t="s">
        <v>4271</v>
      </c>
      <c r="E373" s="162" t="s">
        <v>2126</v>
      </c>
      <c r="F373" s="162" t="s">
        <v>2127</v>
      </c>
      <c r="G373" s="162" t="s">
        <v>34</v>
      </c>
      <c r="H373" s="162" t="s">
        <v>2198</v>
      </c>
      <c r="I373" s="162" t="s">
        <v>5723</v>
      </c>
      <c r="J373" s="162" t="s">
        <v>1766</v>
      </c>
      <c r="K373" s="162" t="s">
        <v>1908</v>
      </c>
      <c r="L373" s="162" t="s">
        <v>3358</v>
      </c>
      <c r="M373" s="542"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80">
        <v>0</v>
      </c>
      <c r="AO373" s="480">
        <v>0</v>
      </c>
    </row>
    <row r="374" spans="1:85" x14ac:dyDescent="0.2">
      <c r="A374">
        <v>373</v>
      </c>
      <c r="B374" s="464" t="s">
        <v>1981</v>
      </c>
      <c r="C374" s="162" t="s">
        <v>817</v>
      </c>
      <c r="D374" s="162" t="s">
        <v>4272</v>
      </c>
      <c r="E374" s="162" t="s">
        <v>3563</v>
      </c>
      <c r="F374" s="162" t="s">
        <v>3564</v>
      </c>
      <c r="G374" s="162" t="s">
        <v>34</v>
      </c>
      <c r="H374" s="162" t="s">
        <v>2198</v>
      </c>
      <c r="I374" s="162" t="s">
        <v>5764</v>
      </c>
      <c r="J374" s="162" t="s">
        <v>2186</v>
      </c>
      <c r="K374" s="162" t="s">
        <v>2815</v>
      </c>
      <c r="L374" s="162" t="s">
        <v>3361</v>
      </c>
      <c r="M374" s="542" t="s">
        <v>3362</v>
      </c>
      <c r="N374" s="162" t="s">
        <v>817</v>
      </c>
      <c r="O374" s="162" t="s">
        <v>5765</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80">
        <v>0</v>
      </c>
      <c r="AO374" s="480">
        <v>0</v>
      </c>
    </row>
    <row r="375" spans="1:85" s="495" customFormat="1" x14ac:dyDescent="0.2">
      <c r="A375" s="495">
        <v>374</v>
      </c>
      <c r="B375" s="464" t="s">
        <v>1981</v>
      </c>
      <c r="C375" s="162" t="s">
        <v>835</v>
      </c>
      <c r="D375" s="162" t="s">
        <v>4273</v>
      </c>
      <c r="E375" s="162" t="s">
        <v>3563</v>
      </c>
      <c r="F375" s="162" t="s">
        <v>3564</v>
      </c>
      <c r="G375" s="162" t="s">
        <v>34</v>
      </c>
      <c r="H375" s="162" t="s">
        <v>2198</v>
      </c>
      <c r="I375" s="162" t="s">
        <v>5764</v>
      </c>
      <c r="J375" s="162" t="s">
        <v>2186</v>
      </c>
      <c r="K375" s="162" t="s">
        <v>2815</v>
      </c>
      <c r="L375" s="162" t="s">
        <v>3366</v>
      </c>
      <c r="M375" s="542">
        <v>12989</v>
      </c>
      <c r="N375" s="162" t="s">
        <v>835</v>
      </c>
      <c r="O375" s="162" t="s">
        <v>5766</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80">
        <v>0</v>
      </c>
      <c r="AO375" s="480">
        <v>0</v>
      </c>
      <c r="CG375"/>
    </row>
    <row r="376" spans="1:85" x14ac:dyDescent="0.2">
      <c r="A376">
        <v>375</v>
      </c>
      <c r="B376" s="464" t="s">
        <v>5237</v>
      </c>
      <c r="C376" s="162" t="s">
        <v>5517</v>
      </c>
      <c r="D376" s="162" t="s">
        <v>5518</v>
      </c>
      <c r="E376" s="162" t="s">
        <v>3568</v>
      </c>
      <c r="F376" s="162" t="s">
        <v>2132</v>
      </c>
      <c r="G376" s="162" t="s">
        <v>34</v>
      </c>
      <c r="H376" s="162" t="s">
        <v>2198</v>
      </c>
      <c r="I376" s="162" t="s">
        <v>5723</v>
      </c>
      <c r="J376" s="162" t="s">
        <v>2186</v>
      </c>
      <c r="K376" s="162" t="s">
        <v>5517</v>
      </c>
      <c r="L376" s="162" t="s">
        <v>5220</v>
      </c>
      <c r="M376" s="542" t="s">
        <v>5221</v>
      </c>
      <c r="N376" s="162" t="s">
        <v>5517</v>
      </c>
      <c r="O376" s="162" t="s">
        <v>2469</v>
      </c>
      <c r="P376" s="162" t="s">
        <v>2515</v>
      </c>
      <c r="Q376" s="162" t="s">
        <v>2271</v>
      </c>
      <c r="R376" s="162" t="s">
        <v>2191</v>
      </c>
      <c r="S376" s="162" t="s">
        <v>5222</v>
      </c>
      <c r="T376" s="162">
        <v>5730.7</v>
      </c>
      <c r="U376" s="162" t="s">
        <v>2220</v>
      </c>
      <c r="V376" s="162" t="s">
        <v>5223</v>
      </c>
      <c r="W376" s="162" t="s">
        <v>5224</v>
      </c>
      <c r="X376" s="162" t="s">
        <v>2808</v>
      </c>
      <c r="Y376" s="162" t="s">
        <v>5225</v>
      </c>
      <c r="Z376" s="162" t="s">
        <v>5226</v>
      </c>
      <c r="AA376" s="162" t="s">
        <v>2192</v>
      </c>
      <c r="AB376" s="162" t="s">
        <v>3064</v>
      </c>
      <c r="AC376" s="162" t="s">
        <v>2193</v>
      </c>
      <c r="AD376" s="162" t="s">
        <v>2194</v>
      </c>
      <c r="AE376" s="162" t="s">
        <v>1760</v>
      </c>
      <c r="AF376" s="162" t="s">
        <v>5227</v>
      </c>
      <c r="AG376" s="162" t="s">
        <v>34</v>
      </c>
      <c r="AH376" s="162" t="s">
        <v>34</v>
      </c>
      <c r="AI376" s="162" t="s">
        <v>34</v>
      </c>
      <c r="AJ376" s="162" t="s">
        <v>34</v>
      </c>
      <c r="AK376" s="162" t="s">
        <v>2195</v>
      </c>
      <c r="AL376" s="162" t="s">
        <v>34</v>
      </c>
      <c r="AM376" t="s">
        <v>4874</v>
      </c>
      <c r="AN376" s="480">
        <v>0</v>
      </c>
      <c r="AO376" s="480">
        <v>0</v>
      </c>
    </row>
    <row r="377" spans="1:85" x14ac:dyDescent="0.2">
      <c r="A377">
        <v>376</v>
      </c>
      <c r="B377" s="464" t="s">
        <v>1745</v>
      </c>
      <c r="C377" s="162" t="s">
        <v>1829</v>
      </c>
      <c r="D377" s="162" t="s">
        <v>4274</v>
      </c>
      <c r="E377" s="162" t="s">
        <v>3568</v>
      </c>
      <c r="F377" s="162" t="s">
        <v>2132</v>
      </c>
      <c r="G377" s="162" t="s">
        <v>34</v>
      </c>
      <c r="H377" s="162" t="s">
        <v>2198</v>
      </c>
      <c r="I377" s="162" t="s">
        <v>5723</v>
      </c>
      <c r="J377" s="162" t="s">
        <v>1766</v>
      </c>
      <c r="K377" s="162" t="s">
        <v>3391</v>
      </c>
      <c r="L377" s="162" t="s">
        <v>2325</v>
      </c>
      <c r="M377" s="542"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80">
        <v>0</v>
      </c>
      <c r="AO377" s="480">
        <v>0</v>
      </c>
    </row>
    <row r="378" spans="1:85" x14ac:dyDescent="0.2">
      <c r="A378">
        <v>377</v>
      </c>
      <c r="B378" s="464" t="s">
        <v>1745</v>
      </c>
      <c r="C378" s="162" t="s">
        <v>1820</v>
      </c>
      <c r="D378" s="162" t="s">
        <v>4275</v>
      </c>
      <c r="E378" s="162" t="s">
        <v>3568</v>
      </c>
      <c r="F378" s="162" t="s">
        <v>2132</v>
      </c>
      <c r="G378" s="162" t="s">
        <v>34</v>
      </c>
      <c r="H378" s="162" t="s">
        <v>2198</v>
      </c>
      <c r="I378" s="162" t="s">
        <v>5723</v>
      </c>
      <c r="J378" s="162" t="s">
        <v>1766</v>
      </c>
      <c r="K378" s="162" t="s">
        <v>3377</v>
      </c>
      <c r="L378" s="162" t="s">
        <v>3378</v>
      </c>
      <c r="M378" s="542">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80">
        <v>0</v>
      </c>
      <c r="AO378" s="480">
        <v>0</v>
      </c>
    </row>
    <row r="379" spans="1:85" x14ac:dyDescent="0.2">
      <c r="A379">
        <v>378</v>
      </c>
      <c r="B379" s="464" t="s">
        <v>1745</v>
      </c>
      <c r="C379" s="162" t="s">
        <v>1824</v>
      </c>
      <c r="D379" s="162" t="s">
        <v>4276</v>
      </c>
      <c r="E379" s="162" t="s">
        <v>3568</v>
      </c>
      <c r="F379" s="162" t="s">
        <v>2132</v>
      </c>
      <c r="G379" s="162" t="s">
        <v>34</v>
      </c>
      <c r="H379" s="162" t="s">
        <v>2198</v>
      </c>
      <c r="I379" s="162" t="s">
        <v>5723</v>
      </c>
      <c r="J379" s="162" t="s">
        <v>1766</v>
      </c>
      <c r="K379" s="162" t="s">
        <v>3574</v>
      </c>
      <c r="L379" s="162" t="s">
        <v>3575</v>
      </c>
      <c r="M379" s="542"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80">
        <v>0</v>
      </c>
      <c r="AO379" s="480">
        <v>0</v>
      </c>
    </row>
    <row r="380" spans="1:85" x14ac:dyDescent="0.2">
      <c r="A380">
        <v>379</v>
      </c>
      <c r="B380" s="464" t="s">
        <v>1745</v>
      </c>
      <c r="C380" s="162" t="s">
        <v>1822</v>
      </c>
      <c r="D380" s="162" t="s">
        <v>4277</v>
      </c>
      <c r="E380" s="162" t="s">
        <v>3568</v>
      </c>
      <c r="F380" s="162" t="s">
        <v>2132</v>
      </c>
      <c r="G380" s="162" t="s">
        <v>34</v>
      </c>
      <c r="H380" s="162" t="s">
        <v>2198</v>
      </c>
      <c r="I380" s="162" t="s">
        <v>5723</v>
      </c>
      <c r="J380" s="162" t="s">
        <v>1766</v>
      </c>
      <c r="K380" s="162" t="s">
        <v>3370</v>
      </c>
      <c r="L380" s="162" t="s">
        <v>3371</v>
      </c>
      <c r="M380" s="542"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80">
        <v>0</v>
      </c>
      <c r="AO380" s="480">
        <v>0</v>
      </c>
    </row>
    <row r="381" spans="1:85" x14ac:dyDescent="0.2">
      <c r="A381">
        <v>380</v>
      </c>
      <c r="B381" s="464" t="s">
        <v>1745</v>
      </c>
      <c r="C381" s="162" t="s">
        <v>1816</v>
      </c>
      <c r="D381" s="162" t="s">
        <v>4278</v>
      </c>
      <c r="E381" s="162" t="s">
        <v>3568</v>
      </c>
      <c r="F381" s="162" t="s">
        <v>2132</v>
      </c>
      <c r="G381" s="162" t="s">
        <v>34</v>
      </c>
      <c r="H381" s="162" t="s">
        <v>2198</v>
      </c>
      <c r="I381" s="162" t="s">
        <v>5723</v>
      </c>
      <c r="J381" s="162" t="s">
        <v>1766</v>
      </c>
      <c r="K381" s="162" t="s">
        <v>3370</v>
      </c>
      <c r="L381" s="162" t="s">
        <v>3371</v>
      </c>
      <c r="M381" s="542"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80">
        <v>0</v>
      </c>
      <c r="AO381" s="480">
        <v>0</v>
      </c>
    </row>
    <row r="382" spans="1:85" ht="15" customHeight="1" x14ac:dyDescent="0.2">
      <c r="A382">
        <v>381</v>
      </c>
      <c r="B382" s="464" t="s">
        <v>1745</v>
      </c>
      <c r="C382" s="162" t="s">
        <v>1827</v>
      </c>
      <c r="D382" s="162" t="s">
        <v>4279</v>
      </c>
      <c r="E382" s="162" t="s">
        <v>3568</v>
      </c>
      <c r="F382" s="162" t="s">
        <v>2132</v>
      </c>
      <c r="G382" s="162" t="s">
        <v>34</v>
      </c>
      <c r="H382" s="162" t="s">
        <v>2198</v>
      </c>
      <c r="I382" s="162" t="s">
        <v>5723</v>
      </c>
      <c r="J382" s="162" t="s">
        <v>1766</v>
      </c>
      <c r="K382" s="162" t="s">
        <v>3370</v>
      </c>
      <c r="L382" s="162" t="s">
        <v>3371</v>
      </c>
      <c r="M382" s="542"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80">
        <v>0</v>
      </c>
      <c r="AO382" s="480">
        <v>0</v>
      </c>
    </row>
    <row r="383" spans="1:85" ht="15" customHeight="1" x14ac:dyDescent="0.2">
      <c r="A383">
        <v>382</v>
      </c>
      <c r="B383" s="464" t="s">
        <v>1745</v>
      </c>
      <c r="C383" s="162" t="s">
        <v>1826</v>
      </c>
      <c r="D383" s="162" t="s">
        <v>4280</v>
      </c>
      <c r="E383" s="162" t="s">
        <v>3568</v>
      </c>
      <c r="F383" s="162" t="s">
        <v>2132</v>
      </c>
      <c r="G383" s="162" t="s">
        <v>34</v>
      </c>
      <c r="H383" s="162" t="s">
        <v>2198</v>
      </c>
      <c r="I383" s="162" t="s">
        <v>5723</v>
      </c>
      <c r="J383" s="162" t="s">
        <v>2186</v>
      </c>
      <c r="K383" s="162" t="s">
        <v>3384</v>
      </c>
      <c r="L383" s="162" t="s">
        <v>3385</v>
      </c>
      <c r="M383" s="542"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80">
        <v>0</v>
      </c>
      <c r="AO383" s="480">
        <v>0</v>
      </c>
    </row>
    <row r="384" spans="1:85" ht="15" customHeight="1" x14ac:dyDescent="0.2">
      <c r="A384">
        <v>383</v>
      </c>
      <c r="B384" s="464" t="s">
        <v>1745</v>
      </c>
      <c r="C384" s="162" t="s">
        <v>3864</v>
      </c>
      <c r="D384" s="162" t="s">
        <v>4427</v>
      </c>
      <c r="E384" s="162" t="s">
        <v>4428</v>
      </c>
      <c r="F384" s="162" t="s">
        <v>2132</v>
      </c>
      <c r="G384" s="162" t="s">
        <v>34</v>
      </c>
      <c r="H384" s="162" t="s">
        <v>2198</v>
      </c>
      <c r="I384" s="162" t="s">
        <v>5723</v>
      </c>
      <c r="J384" s="162" t="s">
        <v>1766</v>
      </c>
      <c r="K384" s="162" t="s">
        <v>3370</v>
      </c>
      <c r="L384" s="162" t="s">
        <v>3371</v>
      </c>
      <c r="M384" s="542"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80">
        <v>0</v>
      </c>
      <c r="AO384" s="480">
        <v>0</v>
      </c>
    </row>
    <row r="385" spans="1:41" ht="15" customHeight="1" x14ac:dyDescent="0.2">
      <c r="A385">
        <v>384</v>
      </c>
      <c r="B385" t="s">
        <v>1745</v>
      </c>
      <c r="C385" t="s">
        <v>1916</v>
      </c>
      <c r="D385" t="s">
        <v>4281</v>
      </c>
      <c r="E385" t="s">
        <v>3568</v>
      </c>
      <c r="F385" t="s">
        <v>2132</v>
      </c>
      <c r="G385" t="s">
        <v>34</v>
      </c>
      <c r="H385" t="s">
        <v>2198</v>
      </c>
      <c r="I385" t="s">
        <v>5723</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80">
        <v>0</v>
      </c>
      <c r="AO385" s="480">
        <v>0</v>
      </c>
    </row>
    <row r="386" spans="1:41" ht="15" customHeight="1" x14ac:dyDescent="0.2">
      <c r="A386">
        <v>385</v>
      </c>
      <c r="B386" t="s">
        <v>1745</v>
      </c>
      <c r="C386" t="s">
        <v>1818</v>
      </c>
      <c r="D386" t="s">
        <v>4282</v>
      </c>
      <c r="E386" t="s">
        <v>3568</v>
      </c>
      <c r="F386" t="s">
        <v>2132</v>
      </c>
      <c r="G386" t="s">
        <v>34</v>
      </c>
      <c r="H386" t="s">
        <v>2198</v>
      </c>
      <c r="I386" t="s">
        <v>5723</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80">
        <v>0</v>
      </c>
      <c r="AO386" s="480">
        <v>0</v>
      </c>
    </row>
    <row r="387" spans="1:41" ht="15" customHeight="1" x14ac:dyDescent="0.2">
      <c r="A387">
        <v>386</v>
      </c>
      <c r="B387" t="s">
        <v>1416</v>
      </c>
      <c r="C387" t="s">
        <v>1420</v>
      </c>
      <c r="D387" t="s">
        <v>4283</v>
      </c>
      <c r="E387" t="s">
        <v>2133</v>
      </c>
      <c r="F387" t="s">
        <v>2070</v>
      </c>
      <c r="G387" t="s">
        <v>34</v>
      </c>
      <c r="H387" t="s">
        <v>2198</v>
      </c>
      <c r="I387" t="s">
        <v>5723</v>
      </c>
      <c r="J387" t="s">
        <v>2186</v>
      </c>
      <c r="K387" t="s">
        <v>2690</v>
      </c>
      <c r="L387" t="s">
        <v>2614</v>
      </c>
      <c r="M387">
        <v>41745</v>
      </c>
      <c r="N387" t="s">
        <v>1420</v>
      </c>
      <c r="O387" t="s">
        <v>5724</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80">
        <v>0.21</v>
      </c>
      <c r="AO387" s="480">
        <v>0</v>
      </c>
    </row>
    <row r="388" spans="1:41" ht="15" customHeight="1" x14ac:dyDescent="0.2">
      <c r="A388">
        <v>387</v>
      </c>
      <c r="B388" t="s">
        <v>1416</v>
      </c>
      <c r="C388" t="s">
        <v>1418</v>
      </c>
      <c r="D388" t="s">
        <v>4284</v>
      </c>
      <c r="E388" t="s">
        <v>2133</v>
      </c>
      <c r="F388" t="s">
        <v>2070</v>
      </c>
      <c r="G388" t="s">
        <v>34</v>
      </c>
      <c r="H388" t="s">
        <v>2198</v>
      </c>
      <c r="I388" t="s">
        <v>5723</v>
      </c>
      <c r="J388" t="s">
        <v>2186</v>
      </c>
      <c r="K388" t="s">
        <v>2396</v>
      </c>
      <c r="L388" t="s">
        <v>2189</v>
      </c>
      <c r="M388" t="s">
        <v>1418</v>
      </c>
      <c r="N388" t="s">
        <v>1418</v>
      </c>
      <c r="O388" t="s">
        <v>5724</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80">
        <v>1.4583333333333332E-2</v>
      </c>
      <c r="AO388" s="480">
        <v>0</v>
      </c>
    </row>
    <row r="389" spans="1:41" ht="15" customHeight="1" x14ac:dyDescent="0.2">
      <c r="A389">
        <v>388</v>
      </c>
      <c r="B389" t="s">
        <v>1785</v>
      </c>
      <c r="C389" t="s">
        <v>5395</v>
      </c>
      <c r="D389" t="s">
        <v>5396</v>
      </c>
      <c r="E389" t="s">
        <v>2135</v>
      </c>
      <c r="F389" t="s">
        <v>2016</v>
      </c>
      <c r="G389" t="s">
        <v>34</v>
      </c>
      <c r="H389" t="s">
        <v>2198</v>
      </c>
      <c r="I389" t="s">
        <v>5723</v>
      </c>
      <c r="J389" t="s">
        <v>1766</v>
      </c>
      <c r="K389" t="s">
        <v>3395</v>
      </c>
      <c r="L389" t="s">
        <v>2325</v>
      </c>
      <c r="M389" t="s">
        <v>5395</v>
      </c>
      <c r="N389" t="s">
        <v>5395</v>
      </c>
      <c r="O389" t="s">
        <v>2469</v>
      </c>
      <c r="P389" t="s">
        <v>2256</v>
      </c>
      <c r="Q389" t="s">
        <v>2190</v>
      </c>
      <c r="R389" t="s">
        <v>2255</v>
      </c>
      <c r="S389" t="s">
        <v>5397</v>
      </c>
      <c r="T389">
        <v>382.4</v>
      </c>
      <c r="U389" t="s">
        <v>2220</v>
      </c>
      <c r="V389" t="s">
        <v>5398</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80"/>
      <c r="AO389" s="480"/>
    </row>
    <row r="390" spans="1:41" ht="15" customHeight="1" x14ac:dyDescent="0.2">
      <c r="A390">
        <v>389</v>
      </c>
      <c r="B390" t="s">
        <v>1785</v>
      </c>
      <c r="C390" t="s">
        <v>1787</v>
      </c>
      <c r="D390" t="s">
        <v>4285</v>
      </c>
      <c r="E390" t="s">
        <v>2135</v>
      </c>
      <c r="F390" t="s">
        <v>2016</v>
      </c>
      <c r="G390" t="s">
        <v>34</v>
      </c>
      <c r="H390" t="s">
        <v>2198</v>
      </c>
      <c r="I390" t="s">
        <v>5723</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80">
        <v>0</v>
      </c>
      <c r="AO390" s="480">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5649</v>
      </c>
      <c r="O391" t="s">
        <v>2469</v>
      </c>
      <c r="P391" t="s">
        <v>2515</v>
      </c>
      <c r="Q391" t="s">
        <v>2274</v>
      </c>
      <c r="R391" t="s">
        <v>4847</v>
      </c>
      <c r="S391" t="s">
        <v>3592</v>
      </c>
      <c r="T391">
        <v>2730</v>
      </c>
      <c r="U391" t="s">
        <v>2221</v>
      </c>
      <c r="V391" t="s">
        <v>4792</v>
      </c>
      <c r="W391" t="s">
        <v>5650</v>
      </c>
      <c r="X391" t="s">
        <v>2331</v>
      </c>
      <c r="Y391" t="s">
        <v>5651</v>
      </c>
      <c r="Z391" t="s">
        <v>5652</v>
      </c>
      <c r="AA391" t="s">
        <v>2331</v>
      </c>
      <c r="AB391" t="s">
        <v>5653</v>
      </c>
      <c r="AC391" t="s">
        <v>2193</v>
      </c>
      <c r="AD391" t="s">
        <v>4431</v>
      </c>
      <c r="AE391" t="s">
        <v>1760</v>
      </c>
      <c r="AF391" t="s">
        <v>3417</v>
      </c>
      <c r="AG391" t="s">
        <v>34</v>
      </c>
      <c r="AH391" t="s">
        <v>34</v>
      </c>
      <c r="AI391" t="s">
        <v>34</v>
      </c>
      <c r="AJ391" t="s">
        <v>34</v>
      </c>
      <c r="AK391" t="s">
        <v>2195</v>
      </c>
      <c r="AL391" t="s">
        <v>34</v>
      </c>
      <c r="AM391" t="s">
        <v>4874</v>
      </c>
      <c r="AN391" s="480">
        <v>0</v>
      </c>
      <c r="AO391" s="480">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5654</v>
      </c>
      <c r="O392" t="s">
        <v>2469</v>
      </c>
      <c r="P392" t="s">
        <v>2515</v>
      </c>
      <c r="Q392" t="s">
        <v>2274</v>
      </c>
      <c r="R392" t="s">
        <v>4847</v>
      </c>
      <c r="S392" t="s">
        <v>5655</v>
      </c>
      <c r="T392">
        <v>3290</v>
      </c>
      <c r="U392" t="s">
        <v>2221</v>
      </c>
      <c r="V392" t="s">
        <v>5656</v>
      </c>
      <c r="W392" t="s">
        <v>5657</v>
      </c>
      <c r="X392" t="s">
        <v>2331</v>
      </c>
      <c r="Y392" t="s">
        <v>5651</v>
      </c>
      <c r="Z392" t="s">
        <v>5652</v>
      </c>
      <c r="AA392" t="s">
        <v>2331</v>
      </c>
      <c r="AB392" t="s">
        <v>5658</v>
      </c>
      <c r="AC392" t="s">
        <v>2193</v>
      </c>
      <c r="AD392" t="s">
        <v>4431</v>
      </c>
      <c r="AE392" t="s">
        <v>1760</v>
      </c>
      <c r="AF392" t="s">
        <v>3417</v>
      </c>
      <c r="AG392" t="s">
        <v>34</v>
      </c>
      <c r="AH392" t="s">
        <v>34</v>
      </c>
      <c r="AI392" t="s">
        <v>34</v>
      </c>
      <c r="AJ392" t="s">
        <v>34</v>
      </c>
      <c r="AK392" t="s">
        <v>2195</v>
      </c>
      <c r="AL392" t="s">
        <v>34</v>
      </c>
      <c r="AM392" t="s">
        <v>4874</v>
      </c>
      <c r="AN392" s="480">
        <v>0</v>
      </c>
      <c r="AO392" s="480">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80">
        <v>0</v>
      </c>
      <c r="AO393" s="480">
        <v>0</v>
      </c>
    </row>
    <row r="394" spans="1:41" ht="15" customHeight="1" x14ac:dyDescent="0.2">
      <c r="A394">
        <v>393</v>
      </c>
      <c r="B394" t="s">
        <v>1422</v>
      </c>
      <c r="C394" t="s">
        <v>5248</v>
      </c>
      <c r="D394" t="s">
        <v>5249</v>
      </c>
      <c r="E394" t="s">
        <v>3590</v>
      </c>
      <c r="F394" t="s">
        <v>2016</v>
      </c>
      <c r="G394" t="s">
        <v>34</v>
      </c>
      <c r="H394" t="s">
        <v>2198</v>
      </c>
      <c r="I394" t="s">
        <v>2792</v>
      </c>
      <c r="J394" t="s">
        <v>1766</v>
      </c>
      <c r="K394" t="s">
        <v>2362</v>
      </c>
      <c r="L394" t="s">
        <v>2539</v>
      </c>
      <c r="M394">
        <v>4</v>
      </c>
      <c r="N394" t="s">
        <v>5248</v>
      </c>
      <c r="O394" t="s">
        <v>2469</v>
      </c>
      <c r="P394" t="s">
        <v>2515</v>
      </c>
      <c r="Q394" t="s">
        <v>2274</v>
      </c>
      <c r="R394" t="s">
        <v>2255</v>
      </c>
      <c r="S394" t="s">
        <v>5250</v>
      </c>
      <c r="T394">
        <v>3872</v>
      </c>
      <c r="U394" t="s">
        <v>5251</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80"/>
      <c r="AO394" s="480"/>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80">
        <v>0</v>
      </c>
      <c r="AO395" s="480">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5689</v>
      </c>
      <c r="N396" t="s">
        <v>5659</v>
      </c>
      <c r="O396" t="s">
        <v>2469</v>
      </c>
      <c r="P396" t="s">
        <v>2256</v>
      </c>
      <c r="Q396" t="s">
        <v>2190</v>
      </c>
      <c r="R396" t="s">
        <v>4847</v>
      </c>
      <c r="S396" t="s">
        <v>3593</v>
      </c>
      <c r="T396">
        <v>1470</v>
      </c>
      <c r="U396" t="s">
        <v>2221</v>
      </c>
      <c r="V396" t="s">
        <v>5660</v>
      </c>
      <c r="W396" t="s">
        <v>5661</v>
      </c>
      <c r="X396" t="s">
        <v>2331</v>
      </c>
      <c r="Y396" t="s">
        <v>4657</v>
      </c>
      <c r="Z396" t="s">
        <v>5662</v>
      </c>
      <c r="AA396" t="s">
        <v>2331</v>
      </c>
      <c r="AB396" t="s">
        <v>5658</v>
      </c>
      <c r="AC396" t="s">
        <v>2193</v>
      </c>
      <c r="AD396" t="s">
        <v>4431</v>
      </c>
      <c r="AE396" t="s">
        <v>1760</v>
      </c>
      <c r="AF396" t="s">
        <v>3417</v>
      </c>
      <c r="AG396" t="s">
        <v>34</v>
      </c>
      <c r="AH396" t="s">
        <v>34</v>
      </c>
      <c r="AI396" t="s">
        <v>34</v>
      </c>
      <c r="AJ396" t="s">
        <v>34</v>
      </c>
      <c r="AK396" t="s">
        <v>2195</v>
      </c>
      <c r="AL396" t="s">
        <v>34</v>
      </c>
      <c r="AM396" t="s">
        <v>4874</v>
      </c>
      <c r="AN396" s="480">
        <v>0</v>
      </c>
      <c r="AO396" s="480">
        <v>0</v>
      </c>
    </row>
    <row r="397" spans="1:41" x14ac:dyDescent="0.2">
      <c r="A397">
        <v>396</v>
      </c>
      <c r="B397" t="s">
        <v>1422</v>
      </c>
      <c r="C397" t="s">
        <v>5663</v>
      </c>
      <c r="D397" t="s">
        <v>5664</v>
      </c>
      <c r="E397" t="s">
        <v>3590</v>
      </c>
      <c r="F397" t="s">
        <v>2016</v>
      </c>
      <c r="G397" t="s">
        <v>34</v>
      </c>
      <c r="H397" t="s">
        <v>2198</v>
      </c>
      <c r="I397" t="s">
        <v>2792</v>
      </c>
      <c r="J397" t="s">
        <v>1766</v>
      </c>
      <c r="K397" t="s">
        <v>5665</v>
      </c>
      <c r="L397" t="s">
        <v>5666</v>
      </c>
      <c r="M397" t="s">
        <v>5690</v>
      </c>
      <c r="N397" t="s">
        <v>5667</v>
      </c>
      <c r="O397" t="s">
        <v>2469</v>
      </c>
      <c r="P397" t="s">
        <v>5668</v>
      </c>
      <c r="Q397" t="s">
        <v>2190</v>
      </c>
      <c r="R397" t="s">
        <v>4847</v>
      </c>
      <c r="S397" t="s">
        <v>5669</v>
      </c>
      <c r="T397">
        <v>390</v>
      </c>
      <c r="U397" t="s">
        <v>2221</v>
      </c>
      <c r="V397" t="s">
        <v>4792</v>
      </c>
      <c r="W397" t="s">
        <v>3417</v>
      </c>
      <c r="X397" t="s">
        <v>2331</v>
      </c>
      <c r="Y397" t="s">
        <v>4657</v>
      </c>
      <c r="Z397" t="s">
        <v>5662</v>
      </c>
      <c r="AA397" t="s">
        <v>2340</v>
      </c>
      <c r="AB397" t="s">
        <v>5670</v>
      </c>
      <c r="AC397" t="s">
        <v>2193</v>
      </c>
      <c r="AD397" t="s">
        <v>4431</v>
      </c>
      <c r="AE397" t="s">
        <v>1760</v>
      </c>
      <c r="AF397" t="s">
        <v>3417</v>
      </c>
      <c r="AG397" t="s">
        <v>34</v>
      </c>
      <c r="AH397" t="s">
        <v>34</v>
      </c>
      <c r="AI397" t="s">
        <v>34</v>
      </c>
      <c r="AJ397" t="s">
        <v>34</v>
      </c>
      <c r="AK397" t="s">
        <v>2195</v>
      </c>
      <c r="AL397" t="s">
        <v>34</v>
      </c>
      <c r="AM397" t="s">
        <v>4874</v>
      </c>
      <c r="AN397" s="480">
        <v>0</v>
      </c>
      <c r="AO397" s="480">
        <v>0</v>
      </c>
    </row>
    <row r="398" spans="1:41" x14ac:dyDescent="0.2">
      <c r="A398">
        <v>397</v>
      </c>
      <c r="B398" t="s">
        <v>1422</v>
      </c>
      <c r="C398" t="s">
        <v>5671</v>
      </c>
      <c r="D398" t="s">
        <v>5672</v>
      </c>
      <c r="E398" t="s">
        <v>3590</v>
      </c>
      <c r="F398" t="s">
        <v>2016</v>
      </c>
      <c r="G398" t="s">
        <v>34</v>
      </c>
      <c r="H398" t="s">
        <v>2198</v>
      </c>
      <c r="I398" t="s">
        <v>2792</v>
      </c>
      <c r="J398" t="s">
        <v>1766</v>
      </c>
      <c r="K398" t="s">
        <v>5673</v>
      </c>
      <c r="L398" t="s">
        <v>5666</v>
      </c>
      <c r="M398" t="s">
        <v>5691</v>
      </c>
      <c r="N398" t="s">
        <v>5671</v>
      </c>
      <c r="O398" t="s">
        <v>2469</v>
      </c>
      <c r="P398" t="s">
        <v>5674</v>
      </c>
      <c r="Q398" t="s">
        <v>2190</v>
      </c>
      <c r="R398" t="s">
        <v>4847</v>
      </c>
      <c r="S398" t="s">
        <v>5669</v>
      </c>
      <c r="T398">
        <v>390</v>
      </c>
      <c r="U398" t="s">
        <v>2221</v>
      </c>
      <c r="V398" t="s">
        <v>4792</v>
      </c>
      <c r="W398" t="s">
        <v>3417</v>
      </c>
      <c r="X398" t="s">
        <v>2331</v>
      </c>
      <c r="Y398" t="s">
        <v>4657</v>
      </c>
      <c r="Z398" t="s">
        <v>5662</v>
      </c>
      <c r="AA398" t="s">
        <v>2340</v>
      </c>
      <c r="AB398" t="s">
        <v>5675</v>
      </c>
      <c r="AC398" t="s">
        <v>2193</v>
      </c>
      <c r="AD398" t="s">
        <v>4431</v>
      </c>
      <c r="AE398" t="s">
        <v>1760</v>
      </c>
      <c r="AF398" t="s">
        <v>3417</v>
      </c>
      <c r="AG398" t="s">
        <v>34</v>
      </c>
      <c r="AH398" t="s">
        <v>34</v>
      </c>
      <c r="AI398" t="s">
        <v>34</v>
      </c>
      <c r="AJ398" t="s">
        <v>34</v>
      </c>
      <c r="AK398" t="s">
        <v>2195</v>
      </c>
      <c r="AL398" t="s">
        <v>34</v>
      </c>
      <c r="AM398" t="s">
        <v>4874</v>
      </c>
      <c r="AN398" s="480">
        <v>0</v>
      </c>
      <c r="AO398" s="480">
        <v>0</v>
      </c>
    </row>
    <row r="399" spans="1:41" x14ac:dyDescent="0.2">
      <c r="A399">
        <v>398</v>
      </c>
      <c r="B399" t="s">
        <v>1422</v>
      </c>
      <c r="C399" t="s">
        <v>5676</v>
      </c>
      <c r="D399" t="s">
        <v>5677</v>
      </c>
      <c r="E399" t="s">
        <v>3590</v>
      </c>
      <c r="F399" t="s">
        <v>2016</v>
      </c>
      <c r="G399" t="s">
        <v>34</v>
      </c>
      <c r="H399" t="s">
        <v>2198</v>
      </c>
      <c r="I399" t="s">
        <v>2792</v>
      </c>
      <c r="J399" t="s">
        <v>1766</v>
      </c>
      <c r="K399" t="s">
        <v>5678</v>
      </c>
      <c r="L399" t="s">
        <v>5666</v>
      </c>
      <c r="M399" t="s">
        <v>1428</v>
      </c>
      <c r="N399" t="s">
        <v>5676</v>
      </c>
      <c r="O399" t="s">
        <v>2469</v>
      </c>
      <c r="P399" t="s">
        <v>5679</v>
      </c>
      <c r="Q399" t="s">
        <v>2190</v>
      </c>
      <c r="R399" t="s">
        <v>4847</v>
      </c>
      <c r="S399" t="s">
        <v>5669</v>
      </c>
      <c r="T399">
        <v>390</v>
      </c>
      <c r="U399" t="s">
        <v>2221</v>
      </c>
      <c r="V399" t="s">
        <v>4792</v>
      </c>
      <c r="W399" t="s">
        <v>3417</v>
      </c>
      <c r="X399" t="s">
        <v>2331</v>
      </c>
      <c r="Y399" t="s">
        <v>4657</v>
      </c>
      <c r="Z399" t="s">
        <v>5662</v>
      </c>
      <c r="AA399" t="s">
        <v>2340</v>
      </c>
      <c r="AB399" t="s">
        <v>5675</v>
      </c>
      <c r="AC399" t="s">
        <v>2193</v>
      </c>
      <c r="AD399" t="s">
        <v>4431</v>
      </c>
      <c r="AE399" t="s">
        <v>1760</v>
      </c>
      <c r="AF399" t="s">
        <v>3417</v>
      </c>
      <c r="AG399" t="s">
        <v>34</v>
      </c>
      <c r="AH399" t="s">
        <v>34</v>
      </c>
      <c r="AI399" t="s">
        <v>34</v>
      </c>
      <c r="AJ399" t="s">
        <v>34</v>
      </c>
      <c r="AK399" t="s">
        <v>2195</v>
      </c>
      <c r="AL399" t="s">
        <v>34</v>
      </c>
      <c r="AM399" t="s">
        <v>4874</v>
      </c>
      <c r="AN399" s="480">
        <v>0</v>
      </c>
      <c r="AO399" s="480">
        <v>0</v>
      </c>
    </row>
    <row r="400" spans="1:41" x14ac:dyDescent="0.2">
      <c r="A400">
        <v>399</v>
      </c>
      <c r="B400" t="s">
        <v>1422</v>
      </c>
      <c r="C400" t="s">
        <v>5680</v>
      </c>
      <c r="D400" t="s">
        <v>5681</v>
      </c>
      <c r="E400" t="s">
        <v>3590</v>
      </c>
      <c r="F400" t="s">
        <v>2016</v>
      </c>
      <c r="G400" t="s">
        <v>34</v>
      </c>
      <c r="H400" t="s">
        <v>2198</v>
      </c>
      <c r="I400" t="s">
        <v>2792</v>
      </c>
      <c r="J400" t="s">
        <v>1766</v>
      </c>
      <c r="K400" t="s">
        <v>5682</v>
      </c>
      <c r="L400" t="s">
        <v>5666</v>
      </c>
      <c r="M400" t="s">
        <v>5680</v>
      </c>
      <c r="N400" t="s">
        <v>5680</v>
      </c>
      <c r="O400" t="s">
        <v>2469</v>
      </c>
      <c r="P400" t="s">
        <v>5683</v>
      </c>
      <c r="Q400" t="s">
        <v>2190</v>
      </c>
      <c r="R400" t="s">
        <v>4847</v>
      </c>
      <c r="S400" t="s">
        <v>5669</v>
      </c>
      <c r="T400">
        <v>390</v>
      </c>
      <c r="U400" t="s">
        <v>2221</v>
      </c>
      <c r="V400" t="s">
        <v>4792</v>
      </c>
      <c r="W400" t="s">
        <v>3417</v>
      </c>
      <c r="X400" t="s">
        <v>2331</v>
      </c>
      <c r="Y400" t="s">
        <v>4657</v>
      </c>
      <c r="Z400" t="s">
        <v>5662</v>
      </c>
      <c r="AA400" t="s">
        <v>2340</v>
      </c>
      <c r="AB400" t="s">
        <v>5684</v>
      </c>
      <c r="AC400" t="s">
        <v>2193</v>
      </c>
      <c r="AD400" t="s">
        <v>4431</v>
      </c>
      <c r="AE400" t="s">
        <v>1760</v>
      </c>
      <c r="AF400" t="s">
        <v>3417</v>
      </c>
      <c r="AG400" t="s">
        <v>34</v>
      </c>
      <c r="AH400" t="s">
        <v>34</v>
      </c>
      <c r="AI400" t="s">
        <v>34</v>
      </c>
      <c r="AJ400" t="s">
        <v>34</v>
      </c>
      <c r="AK400" t="s">
        <v>2195</v>
      </c>
      <c r="AL400" t="s">
        <v>34</v>
      </c>
      <c r="AM400" t="s">
        <v>4874</v>
      </c>
      <c r="AN400" s="480">
        <v>0</v>
      </c>
      <c r="AO400" s="480">
        <v>0</v>
      </c>
    </row>
    <row r="401" spans="1:41" ht="15" customHeight="1" x14ac:dyDescent="0.2">
      <c r="A401">
        <v>400</v>
      </c>
      <c r="B401" t="s">
        <v>1422</v>
      </c>
      <c r="C401" t="s">
        <v>5685</v>
      </c>
      <c r="D401" t="s">
        <v>5686</v>
      </c>
      <c r="E401" t="s">
        <v>3590</v>
      </c>
      <c r="F401" t="s">
        <v>2016</v>
      </c>
      <c r="G401" t="s">
        <v>34</v>
      </c>
      <c r="H401" t="s">
        <v>2198</v>
      </c>
      <c r="I401" t="s">
        <v>2792</v>
      </c>
      <c r="J401" t="s">
        <v>1766</v>
      </c>
      <c r="K401" t="s">
        <v>5687</v>
      </c>
      <c r="L401" t="s">
        <v>5666</v>
      </c>
      <c r="M401" t="s">
        <v>5692</v>
      </c>
      <c r="N401" t="s">
        <v>5685</v>
      </c>
      <c r="O401" t="s">
        <v>2469</v>
      </c>
      <c r="P401" t="s">
        <v>5674</v>
      </c>
      <c r="Q401" t="s">
        <v>2190</v>
      </c>
      <c r="R401" t="s">
        <v>4847</v>
      </c>
      <c r="S401" t="s">
        <v>5688</v>
      </c>
      <c r="T401">
        <v>78</v>
      </c>
      <c r="U401" t="s">
        <v>2221</v>
      </c>
      <c r="V401" t="s">
        <v>4792</v>
      </c>
      <c r="W401" t="s">
        <v>3417</v>
      </c>
      <c r="X401" t="s">
        <v>2331</v>
      </c>
      <c r="Y401" t="s">
        <v>4657</v>
      </c>
      <c r="Z401" t="s">
        <v>5662</v>
      </c>
      <c r="AA401" t="s">
        <v>2340</v>
      </c>
      <c r="AB401" t="s">
        <v>5675</v>
      </c>
      <c r="AC401" t="s">
        <v>2193</v>
      </c>
      <c r="AD401" t="s">
        <v>4431</v>
      </c>
      <c r="AE401" t="s">
        <v>1760</v>
      </c>
      <c r="AF401" t="s">
        <v>3417</v>
      </c>
      <c r="AG401" t="s">
        <v>34</v>
      </c>
      <c r="AH401" t="s">
        <v>34</v>
      </c>
      <c r="AI401" t="s">
        <v>34</v>
      </c>
      <c r="AJ401" t="s">
        <v>34</v>
      </c>
      <c r="AK401" t="s">
        <v>2195</v>
      </c>
      <c r="AL401" t="s">
        <v>34</v>
      </c>
      <c r="AM401" t="s">
        <v>4874</v>
      </c>
      <c r="AN401" s="480">
        <v>0</v>
      </c>
      <c r="AO401" s="480">
        <v>0</v>
      </c>
    </row>
    <row r="402" spans="1:41" ht="15" customHeight="1" x14ac:dyDescent="0.2">
      <c r="A402">
        <v>401</v>
      </c>
      <c r="B402" t="s">
        <v>5519</v>
      </c>
      <c r="C402" t="s">
        <v>5520</v>
      </c>
      <c r="D402" t="s">
        <v>5521</v>
      </c>
      <c r="E402" t="s">
        <v>5522</v>
      </c>
      <c r="F402" t="s">
        <v>2058</v>
      </c>
      <c r="G402" t="s">
        <v>34</v>
      </c>
      <c r="H402" t="s">
        <v>2198</v>
      </c>
      <c r="I402" t="s">
        <v>2792</v>
      </c>
      <c r="J402" t="s">
        <v>1766</v>
      </c>
      <c r="K402" t="s">
        <v>5523</v>
      </c>
      <c r="L402" t="s">
        <v>2539</v>
      </c>
      <c r="M402" t="s">
        <v>5524</v>
      </c>
      <c r="N402" t="s">
        <v>5523</v>
      </c>
      <c r="O402" t="s">
        <v>2469</v>
      </c>
      <c r="P402" t="s">
        <v>5525</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80"/>
      <c r="AO402" s="480"/>
    </row>
    <row r="403" spans="1:41" ht="15" customHeight="1" x14ac:dyDescent="0.2">
      <c r="A403">
        <v>402</v>
      </c>
      <c r="B403" t="s">
        <v>5519</v>
      </c>
      <c r="C403" t="s">
        <v>5526</v>
      </c>
      <c r="D403" t="s">
        <v>5527</v>
      </c>
      <c r="E403" t="s">
        <v>5522</v>
      </c>
      <c r="F403" t="s">
        <v>2058</v>
      </c>
      <c r="G403" t="s">
        <v>34</v>
      </c>
      <c r="H403" t="s">
        <v>2198</v>
      </c>
      <c r="I403" t="s">
        <v>2792</v>
      </c>
      <c r="J403" t="s">
        <v>1766</v>
      </c>
      <c r="K403" t="s">
        <v>5528</v>
      </c>
      <c r="L403" t="s">
        <v>2539</v>
      </c>
      <c r="M403" t="s">
        <v>5529</v>
      </c>
      <c r="N403" t="s">
        <v>5528</v>
      </c>
      <c r="O403" t="s">
        <v>2469</v>
      </c>
      <c r="P403" t="s">
        <v>5530</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80"/>
      <c r="AO403" s="480"/>
    </row>
    <row r="404" spans="1:41" ht="15" customHeight="1" x14ac:dyDescent="0.2">
      <c r="A404">
        <v>403</v>
      </c>
      <c r="B404" t="s">
        <v>1432</v>
      </c>
      <c r="C404" t="s">
        <v>5057</v>
      </c>
      <c r="D404" t="s">
        <v>5058</v>
      </c>
      <c r="E404" t="s">
        <v>3594</v>
      </c>
      <c r="F404" t="s">
        <v>2138</v>
      </c>
      <c r="G404" t="s">
        <v>34</v>
      </c>
      <c r="H404" t="s">
        <v>2198</v>
      </c>
      <c r="I404" t="s">
        <v>5723</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80"/>
      <c r="AO404" s="480"/>
    </row>
    <row r="405" spans="1:41" ht="15" customHeight="1" x14ac:dyDescent="0.2">
      <c r="A405">
        <v>404</v>
      </c>
      <c r="B405" t="s">
        <v>1432</v>
      </c>
      <c r="C405" t="s">
        <v>876</v>
      </c>
      <c r="D405" t="s">
        <v>4291</v>
      </c>
      <c r="E405" t="s">
        <v>3594</v>
      </c>
      <c r="F405" t="s">
        <v>2138</v>
      </c>
      <c r="G405" t="s">
        <v>34</v>
      </c>
      <c r="H405" t="s">
        <v>2198</v>
      </c>
      <c r="I405" t="s">
        <v>5723</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80">
        <v>0</v>
      </c>
      <c r="AO405" s="480">
        <v>0</v>
      </c>
    </row>
    <row r="406" spans="1:41" ht="15" customHeight="1" x14ac:dyDescent="0.2">
      <c r="A406">
        <v>405</v>
      </c>
      <c r="B406" t="s">
        <v>1432</v>
      </c>
      <c r="C406" t="s">
        <v>5059</v>
      </c>
      <c r="D406" t="s">
        <v>5060</v>
      </c>
      <c r="E406" t="s">
        <v>3594</v>
      </c>
      <c r="F406" t="s">
        <v>2138</v>
      </c>
      <c r="G406" t="s">
        <v>34</v>
      </c>
      <c r="H406" t="s">
        <v>2198</v>
      </c>
      <c r="I406" t="s">
        <v>5767</v>
      </c>
      <c r="J406" t="s">
        <v>2186</v>
      </c>
      <c r="K406" t="s">
        <v>2374</v>
      </c>
      <c r="L406" t="s">
        <v>3429</v>
      </c>
      <c r="M406" t="s">
        <v>3430</v>
      </c>
      <c r="N406" t="s">
        <v>876</v>
      </c>
      <c r="O406" t="s">
        <v>5768</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80"/>
      <c r="AO406" s="480"/>
    </row>
    <row r="407" spans="1:41" ht="15" customHeight="1" x14ac:dyDescent="0.2">
      <c r="A407">
        <v>406</v>
      </c>
      <c r="B407" t="s">
        <v>1432</v>
      </c>
      <c r="C407" t="s">
        <v>1983</v>
      </c>
      <c r="D407" t="s">
        <v>4292</v>
      </c>
      <c r="E407" t="s">
        <v>3594</v>
      </c>
      <c r="F407" t="s">
        <v>2138</v>
      </c>
      <c r="G407" t="s">
        <v>34</v>
      </c>
      <c r="H407" t="s">
        <v>2198</v>
      </c>
      <c r="I407" t="s">
        <v>5723</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80">
        <v>0</v>
      </c>
      <c r="AO407" s="480">
        <v>0</v>
      </c>
    </row>
    <row r="408" spans="1:41" ht="15" customHeight="1" x14ac:dyDescent="0.2">
      <c r="A408">
        <v>407</v>
      </c>
      <c r="B408" t="s">
        <v>1432</v>
      </c>
      <c r="C408" t="s">
        <v>1932</v>
      </c>
      <c r="D408" t="s">
        <v>4293</v>
      </c>
      <c r="E408" t="s">
        <v>3594</v>
      </c>
      <c r="F408" t="s">
        <v>2138</v>
      </c>
      <c r="G408" t="s">
        <v>34</v>
      </c>
      <c r="H408" t="s">
        <v>2198</v>
      </c>
      <c r="I408" t="s">
        <v>5723</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80">
        <v>0</v>
      </c>
      <c r="AO408" s="480">
        <v>0</v>
      </c>
    </row>
    <row r="409" spans="1:41" ht="15" customHeight="1" x14ac:dyDescent="0.2">
      <c r="A409">
        <v>408</v>
      </c>
      <c r="B409" t="s">
        <v>1432</v>
      </c>
      <c r="C409" t="s">
        <v>1934</v>
      </c>
      <c r="D409" t="s">
        <v>4294</v>
      </c>
      <c r="E409" t="s">
        <v>3594</v>
      </c>
      <c r="F409" t="s">
        <v>2138</v>
      </c>
      <c r="G409" t="s">
        <v>34</v>
      </c>
      <c r="H409" t="s">
        <v>2198</v>
      </c>
      <c r="I409" t="s">
        <v>5723</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5347</v>
      </c>
      <c r="AG409" t="s">
        <v>34</v>
      </c>
      <c r="AH409" t="s">
        <v>34</v>
      </c>
      <c r="AI409" t="s">
        <v>34</v>
      </c>
      <c r="AJ409" t="s">
        <v>34</v>
      </c>
      <c r="AK409" t="s">
        <v>2195</v>
      </c>
      <c r="AL409" t="s">
        <v>34</v>
      </c>
      <c r="AM409" t="s">
        <v>4874</v>
      </c>
      <c r="AN409" s="480">
        <v>0</v>
      </c>
      <c r="AO409" s="480">
        <v>0</v>
      </c>
    </row>
    <row r="410" spans="1:41" ht="15" customHeight="1" x14ac:dyDescent="0.2">
      <c r="A410">
        <v>409</v>
      </c>
      <c r="B410" t="s">
        <v>1432</v>
      </c>
      <c r="C410" t="s">
        <v>1443</v>
      </c>
      <c r="D410" t="s">
        <v>4295</v>
      </c>
      <c r="E410" t="s">
        <v>3594</v>
      </c>
      <c r="F410" t="s">
        <v>2138</v>
      </c>
      <c r="G410" t="s">
        <v>34</v>
      </c>
      <c r="H410" t="s">
        <v>2198</v>
      </c>
      <c r="I410" t="s">
        <v>5723</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80">
        <v>0</v>
      </c>
      <c r="AO410" s="480">
        <v>0</v>
      </c>
    </row>
    <row r="411" spans="1:41" ht="15" customHeight="1" x14ac:dyDescent="0.2">
      <c r="A411">
        <v>410</v>
      </c>
      <c r="B411" t="s">
        <v>1432</v>
      </c>
      <c r="C411" t="s">
        <v>1441</v>
      </c>
      <c r="D411" t="s">
        <v>4296</v>
      </c>
      <c r="E411" t="s">
        <v>3594</v>
      </c>
      <c r="F411" t="s">
        <v>2138</v>
      </c>
      <c r="G411" t="s">
        <v>34</v>
      </c>
      <c r="H411" t="s">
        <v>2198</v>
      </c>
      <c r="I411" t="s">
        <v>5723</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5164</v>
      </c>
      <c r="AA411" t="s">
        <v>2192</v>
      </c>
      <c r="AB411" t="s">
        <v>34</v>
      </c>
      <c r="AC411" t="s">
        <v>2193</v>
      </c>
      <c r="AD411" t="s">
        <v>2194</v>
      </c>
      <c r="AE411" t="s">
        <v>1760</v>
      </c>
      <c r="AF411" t="s">
        <v>3953</v>
      </c>
      <c r="AG411">
        <v>0.66</v>
      </c>
      <c r="AH411">
        <v>0.5</v>
      </c>
      <c r="AI411" t="s">
        <v>4020</v>
      </c>
      <c r="AJ411" t="s">
        <v>34</v>
      </c>
      <c r="AK411" t="s">
        <v>2195</v>
      </c>
      <c r="AL411" t="s">
        <v>34</v>
      </c>
      <c r="AM411" t="s">
        <v>4874</v>
      </c>
      <c r="AN411" s="480">
        <v>0</v>
      </c>
      <c r="AO411" s="480">
        <v>0</v>
      </c>
    </row>
    <row r="412" spans="1:41" ht="15" customHeight="1" x14ac:dyDescent="0.2">
      <c r="A412">
        <v>411</v>
      </c>
      <c r="B412" t="s">
        <v>1432</v>
      </c>
      <c r="C412" t="s">
        <v>1984</v>
      </c>
      <c r="D412" t="s">
        <v>4297</v>
      </c>
      <c r="E412" t="s">
        <v>3594</v>
      </c>
      <c r="F412" t="s">
        <v>2138</v>
      </c>
      <c r="G412" t="s">
        <v>34</v>
      </c>
      <c r="H412" t="s">
        <v>2198</v>
      </c>
      <c r="I412" t="s">
        <v>5723</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80">
        <v>0</v>
      </c>
      <c r="AO412" s="480">
        <v>0</v>
      </c>
    </row>
    <row r="413" spans="1:41" ht="15" customHeight="1" x14ac:dyDescent="0.2">
      <c r="A413">
        <v>412</v>
      </c>
      <c r="B413" t="s">
        <v>1432</v>
      </c>
      <c r="C413" t="s">
        <v>5133</v>
      </c>
      <c r="D413" t="s">
        <v>5134</v>
      </c>
      <c r="E413" t="s">
        <v>3594</v>
      </c>
      <c r="F413" t="s">
        <v>2138</v>
      </c>
      <c r="G413" t="s">
        <v>34</v>
      </c>
      <c r="H413" t="s">
        <v>2198</v>
      </c>
      <c r="I413" t="s">
        <v>5723</v>
      </c>
      <c r="J413" t="s">
        <v>1766</v>
      </c>
      <c r="K413" t="s">
        <v>5133</v>
      </c>
      <c r="L413" t="s">
        <v>5135</v>
      </c>
      <c r="M413">
        <v>19008</v>
      </c>
      <c r="N413" t="s">
        <v>5133</v>
      </c>
      <c r="O413" t="s">
        <v>2469</v>
      </c>
      <c r="P413" t="s">
        <v>5136</v>
      </c>
      <c r="Q413" t="s">
        <v>2274</v>
      </c>
      <c r="R413" t="s">
        <v>2191</v>
      </c>
      <c r="S413" t="s">
        <v>5137</v>
      </c>
      <c r="T413">
        <v>22.2</v>
      </c>
      <c r="U413" t="s">
        <v>1950</v>
      </c>
      <c r="V413" t="s">
        <v>2978</v>
      </c>
      <c r="W413" t="s">
        <v>5138</v>
      </c>
      <c r="X413" t="s">
        <v>2192</v>
      </c>
      <c r="Y413" t="s">
        <v>4657</v>
      </c>
      <c r="Z413" t="s">
        <v>5139</v>
      </c>
      <c r="AA413" t="s">
        <v>2192</v>
      </c>
      <c r="AB413" t="s">
        <v>4957</v>
      </c>
      <c r="AC413" t="s">
        <v>2193</v>
      </c>
      <c r="AD413" t="s">
        <v>2194</v>
      </c>
      <c r="AE413" t="s">
        <v>1760</v>
      </c>
      <c r="AF413">
        <v>1</v>
      </c>
      <c r="AG413" t="s">
        <v>5140</v>
      </c>
      <c r="AH413" t="s">
        <v>5140</v>
      </c>
      <c r="AI413" t="s">
        <v>34</v>
      </c>
      <c r="AJ413" t="s">
        <v>34</v>
      </c>
      <c r="AK413" t="s">
        <v>2195</v>
      </c>
      <c r="AL413" t="s">
        <v>34</v>
      </c>
      <c r="AM413" t="s">
        <v>4875</v>
      </c>
      <c r="AN413" s="480"/>
      <c r="AO413" s="480"/>
    </row>
    <row r="414" spans="1:41" ht="15" customHeight="1" x14ac:dyDescent="0.2">
      <c r="A414">
        <v>413</v>
      </c>
      <c r="B414" t="s">
        <v>1432</v>
      </c>
      <c r="C414" t="s">
        <v>5193</v>
      </c>
      <c r="D414" t="s">
        <v>5194</v>
      </c>
      <c r="E414" t="s">
        <v>3594</v>
      </c>
      <c r="F414" t="s">
        <v>2138</v>
      </c>
      <c r="G414" t="s">
        <v>34</v>
      </c>
      <c r="H414" t="s">
        <v>2198</v>
      </c>
      <c r="I414" t="s">
        <v>5723</v>
      </c>
      <c r="J414" t="s">
        <v>1766</v>
      </c>
      <c r="K414" t="s">
        <v>5193</v>
      </c>
      <c r="L414" t="s">
        <v>4950</v>
      </c>
      <c r="M414" t="s">
        <v>4951</v>
      </c>
      <c r="N414" t="s">
        <v>5193</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80"/>
      <c r="AO414" s="480"/>
    </row>
    <row r="415" spans="1:41" x14ac:dyDescent="0.2">
      <c r="A415">
        <v>414</v>
      </c>
      <c r="B415" t="s">
        <v>1432</v>
      </c>
      <c r="C415" t="s">
        <v>4948</v>
      </c>
      <c r="D415" t="s">
        <v>4949</v>
      </c>
      <c r="E415" t="s">
        <v>3594</v>
      </c>
      <c r="F415" t="s">
        <v>2138</v>
      </c>
      <c r="G415" t="s">
        <v>34</v>
      </c>
      <c r="H415" t="s">
        <v>2198</v>
      </c>
      <c r="I415" t="s">
        <v>5723</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80">
        <v>0</v>
      </c>
      <c r="AO415" s="480">
        <v>0</v>
      </c>
    </row>
    <row r="416" spans="1:41" x14ac:dyDescent="0.2">
      <c r="A416">
        <v>415</v>
      </c>
      <c r="B416" t="s">
        <v>1432</v>
      </c>
      <c r="C416" t="s">
        <v>4436</v>
      </c>
      <c r="D416" t="s">
        <v>4437</v>
      </c>
      <c r="E416" t="s">
        <v>3594</v>
      </c>
      <c r="F416" t="s">
        <v>2138</v>
      </c>
      <c r="G416" t="s">
        <v>34</v>
      </c>
      <c r="H416" t="s">
        <v>2198</v>
      </c>
      <c r="I416" t="s">
        <v>5723</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80">
        <v>0</v>
      </c>
      <c r="AO416" s="480">
        <v>0</v>
      </c>
    </row>
    <row r="417" spans="1:88" x14ac:dyDescent="0.2">
      <c r="A417">
        <v>416</v>
      </c>
      <c r="B417" t="s">
        <v>1432</v>
      </c>
      <c r="C417" t="s">
        <v>1867</v>
      </c>
      <c r="D417" t="s">
        <v>4298</v>
      </c>
      <c r="E417" t="s">
        <v>3594</v>
      </c>
      <c r="F417" t="s">
        <v>2138</v>
      </c>
      <c r="G417" t="s">
        <v>34</v>
      </c>
      <c r="H417" t="s">
        <v>2198</v>
      </c>
      <c r="I417" t="s">
        <v>5723</v>
      </c>
      <c r="J417" t="s">
        <v>1766</v>
      </c>
      <c r="K417" t="s">
        <v>2202</v>
      </c>
      <c r="L417" t="s">
        <v>2979</v>
      </c>
      <c r="M417" t="s">
        <v>3409</v>
      </c>
      <c r="N417" t="s">
        <v>1867</v>
      </c>
      <c r="O417" t="s">
        <v>2469</v>
      </c>
      <c r="P417" t="s">
        <v>5068</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80">
        <v>0</v>
      </c>
      <c r="AO417" s="480">
        <v>0</v>
      </c>
    </row>
    <row r="418" spans="1:88" s="550" customFormat="1" x14ac:dyDescent="0.2">
      <c r="A418" s="550">
        <v>417</v>
      </c>
      <c r="B418" t="s">
        <v>1432</v>
      </c>
      <c r="C418" t="s">
        <v>1437</v>
      </c>
      <c r="D418" t="s">
        <v>4299</v>
      </c>
      <c r="E418" t="s">
        <v>3594</v>
      </c>
      <c r="F418" t="s">
        <v>2138</v>
      </c>
      <c r="G418" t="s">
        <v>34</v>
      </c>
      <c r="H418" t="s">
        <v>2198</v>
      </c>
      <c r="I418" t="s">
        <v>5723</v>
      </c>
      <c r="J418" t="s">
        <v>1766</v>
      </c>
      <c r="K418" t="s">
        <v>2202</v>
      </c>
      <c r="L418" t="s">
        <v>2979</v>
      </c>
      <c r="M418" t="s">
        <v>3424</v>
      </c>
      <c r="N418" t="s">
        <v>1437</v>
      </c>
      <c r="O418" t="s">
        <v>2469</v>
      </c>
      <c r="P418" t="s">
        <v>5348</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80">
        <v>0</v>
      </c>
      <c r="AO418" s="480">
        <v>0</v>
      </c>
      <c r="CG418"/>
    </row>
    <row r="419" spans="1:88" x14ac:dyDescent="0.2">
      <c r="A419">
        <v>418</v>
      </c>
      <c r="B419" t="s">
        <v>1432</v>
      </c>
      <c r="C419" t="s">
        <v>1439</v>
      </c>
      <c r="D419" t="s">
        <v>4300</v>
      </c>
      <c r="E419" t="s">
        <v>3594</v>
      </c>
      <c r="F419" t="s">
        <v>2138</v>
      </c>
      <c r="G419" t="s">
        <v>34</v>
      </c>
      <c r="H419" t="s">
        <v>2198</v>
      </c>
      <c r="I419" t="s">
        <v>5723</v>
      </c>
      <c r="J419" t="s">
        <v>1766</v>
      </c>
      <c r="K419" t="s">
        <v>2202</v>
      </c>
      <c r="L419" t="s">
        <v>2979</v>
      </c>
      <c r="M419" t="s">
        <v>3409</v>
      </c>
      <c r="N419" t="s">
        <v>1439</v>
      </c>
      <c r="O419" t="s">
        <v>2469</v>
      </c>
      <c r="P419" t="s">
        <v>5349</v>
      </c>
      <c r="Q419" t="s">
        <v>2681</v>
      </c>
      <c r="R419" t="s">
        <v>2356</v>
      </c>
      <c r="S419" t="s">
        <v>3603</v>
      </c>
      <c r="T419">
        <v>1254</v>
      </c>
      <c r="U419" t="s">
        <v>1950</v>
      </c>
      <c r="V419" t="s">
        <v>3421</v>
      </c>
      <c r="W419" t="s">
        <v>5350</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80">
        <v>0</v>
      </c>
      <c r="AO419" s="480">
        <v>0</v>
      </c>
    </row>
    <row r="420" spans="1:88" ht="15" customHeight="1" x14ac:dyDescent="0.2">
      <c r="A420">
        <v>419</v>
      </c>
      <c r="B420" t="s">
        <v>1445</v>
      </c>
      <c r="C420" t="s">
        <v>1447</v>
      </c>
      <c r="D420" t="s">
        <v>4301</v>
      </c>
      <c r="E420" t="s">
        <v>2139</v>
      </c>
      <c r="F420" t="s">
        <v>2036</v>
      </c>
      <c r="G420" t="s">
        <v>34</v>
      </c>
      <c r="H420" t="s">
        <v>2198</v>
      </c>
      <c r="I420" t="s">
        <v>5723</v>
      </c>
      <c r="J420" t="s">
        <v>2186</v>
      </c>
      <c r="K420" t="s">
        <v>3437</v>
      </c>
      <c r="L420" t="s">
        <v>3438</v>
      </c>
      <c r="M420" t="s">
        <v>3439</v>
      </c>
      <c r="N420" t="s">
        <v>1447</v>
      </c>
      <c r="O420" t="s">
        <v>5741</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80">
        <v>0</v>
      </c>
      <c r="AO420" s="480">
        <v>0</v>
      </c>
    </row>
    <row r="421" spans="1:88" ht="15" customHeight="1" x14ac:dyDescent="0.2">
      <c r="A421">
        <v>420</v>
      </c>
      <c r="B421" t="s">
        <v>1449</v>
      </c>
      <c r="C421" t="s">
        <v>1451</v>
      </c>
      <c r="D421" t="s">
        <v>4302</v>
      </c>
      <c r="E421" t="s">
        <v>3611</v>
      </c>
      <c r="F421" t="s">
        <v>2141</v>
      </c>
      <c r="G421" t="s">
        <v>34</v>
      </c>
      <c r="H421" t="s">
        <v>2198</v>
      </c>
      <c r="I421" t="s">
        <v>5723</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80">
        <v>0</v>
      </c>
      <c r="AO421" s="480">
        <v>0</v>
      </c>
    </row>
    <row r="422" spans="1:88" s="423" customFormat="1" ht="15" customHeight="1" x14ac:dyDescent="0.2">
      <c r="A422">
        <v>421</v>
      </c>
      <c r="B422" t="s">
        <v>1449</v>
      </c>
      <c r="C422" t="s">
        <v>5793</v>
      </c>
      <c r="D422" t="s">
        <v>5794</v>
      </c>
      <c r="E422" t="s">
        <v>3611</v>
      </c>
      <c r="F422" t="s">
        <v>2141</v>
      </c>
      <c r="G422"/>
      <c r="H422" t="s">
        <v>2198</v>
      </c>
      <c r="I422" t="s">
        <v>5723</v>
      </c>
      <c r="J422" t="s">
        <v>1766</v>
      </c>
      <c r="K422" t="s">
        <v>3370</v>
      </c>
      <c r="L422" t="s">
        <v>5795</v>
      </c>
      <c r="M422" t="s">
        <v>5796</v>
      </c>
      <c r="N422" t="s">
        <v>5797</v>
      </c>
      <c r="O422" t="s">
        <v>904</v>
      </c>
      <c r="P422" t="s">
        <v>5798</v>
      </c>
      <c r="Q422" t="s">
        <v>2274</v>
      </c>
      <c r="R422" t="s">
        <v>2365</v>
      </c>
      <c r="S422" t="s">
        <v>5799</v>
      </c>
      <c r="T422">
        <v>1959</v>
      </c>
      <c r="U422" t="s">
        <v>2221</v>
      </c>
      <c r="V422" t="s">
        <v>3544</v>
      </c>
      <c r="W422" t="s">
        <v>2266</v>
      </c>
      <c r="X422" t="s">
        <v>3475</v>
      </c>
      <c r="Y422" t="s">
        <v>109</v>
      </c>
      <c r="Z422" t="s">
        <v>109</v>
      </c>
      <c r="AA422" t="s">
        <v>109</v>
      </c>
      <c r="AB422" t="s">
        <v>5800</v>
      </c>
      <c r="AC422" t="s">
        <v>2193</v>
      </c>
      <c r="AD422" t="s">
        <v>2194</v>
      </c>
      <c r="AE422" t="s">
        <v>1760</v>
      </c>
      <c r="AF422" t="s">
        <v>5801</v>
      </c>
      <c r="AG422"/>
      <c r="AH422"/>
      <c r="AI422"/>
      <c r="AJ422"/>
      <c r="AK422" t="s">
        <v>2195</v>
      </c>
      <c r="AL422"/>
      <c r="AM422" t="s">
        <v>4874</v>
      </c>
      <c r="AN422" s="480">
        <v>0</v>
      </c>
      <c r="AO422" s="480">
        <v>0</v>
      </c>
      <c r="AP422"/>
      <c r="AQ422"/>
      <c r="AR422"/>
      <c r="CE422"/>
      <c r="CG422"/>
      <c r="CI422"/>
      <c r="CJ422"/>
    </row>
    <row r="423" spans="1:88" s="422" customFormat="1" ht="15" customHeight="1" x14ac:dyDescent="0.2">
      <c r="A423">
        <v>422</v>
      </c>
      <c r="B423" t="s">
        <v>1449</v>
      </c>
      <c r="C423" t="s">
        <v>1453</v>
      </c>
      <c r="D423" t="s">
        <v>4303</v>
      </c>
      <c r="E423" t="s">
        <v>3611</v>
      </c>
      <c r="F423" t="s">
        <v>2141</v>
      </c>
      <c r="G423" t="s">
        <v>34</v>
      </c>
      <c r="H423" t="s">
        <v>2198</v>
      </c>
      <c r="I423" t="s">
        <v>5723</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80">
        <v>0</v>
      </c>
      <c r="AO423" s="480">
        <v>0</v>
      </c>
      <c r="AP423"/>
      <c r="AQ423"/>
      <c r="AR423"/>
      <c r="CE423"/>
      <c r="CG423"/>
      <c r="CI423"/>
      <c r="CJ423"/>
    </row>
    <row r="424" spans="1:88" s="423" customFormat="1" ht="15" customHeight="1" x14ac:dyDescent="0.2">
      <c r="A424">
        <v>423</v>
      </c>
      <c r="B424" t="s">
        <v>1449</v>
      </c>
      <c r="C424" t="s">
        <v>1455</v>
      </c>
      <c r="D424" t="s">
        <v>4304</v>
      </c>
      <c r="E424" t="s">
        <v>3611</v>
      </c>
      <c r="F424" t="s">
        <v>2141</v>
      </c>
      <c r="G424" t="s">
        <v>34</v>
      </c>
      <c r="H424" t="s">
        <v>2198</v>
      </c>
      <c r="I424" t="s">
        <v>5723</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80">
        <v>0</v>
      </c>
      <c r="AO424" s="480">
        <v>0</v>
      </c>
      <c r="AP424"/>
      <c r="AQ424"/>
      <c r="AR424"/>
      <c r="CE424"/>
      <c r="CG424"/>
      <c r="CI424"/>
      <c r="CJ424"/>
    </row>
    <row r="425" spans="1:88" s="422" customFormat="1" ht="15" customHeight="1" x14ac:dyDescent="0.2">
      <c r="A425">
        <v>424</v>
      </c>
      <c r="B425" t="s">
        <v>1449</v>
      </c>
      <c r="C425" t="s">
        <v>1986</v>
      </c>
      <c r="D425" t="s">
        <v>4305</v>
      </c>
      <c r="E425" t="s">
        <v>3611</v>
      </c>
      <c r="F425" t="s">
        <v>2141</v>
      </c>
      <c r="G425" t="s">
        <v>34</v>
      </c>
      <c r="H425" t="s">
        <v>2198</v>
      </c>
      <c r="I425" t="s">
        <v>5752</v>
      </c>
      <c r="J425" t="s">
        <v>2186</v>
      </c>
      <c r="K425" t="s">
        <v>3442</v>
      </c>
      <c r="L425" t="s">
        <v>2325</v>
      </c>
      <c r="M425" t="s">
        <v>1986</v>
      </c>
      <c r="N425" t="s">
        <v>1986</v>
      </c>
      <c r="O425" t="s">
        <v>4987</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80"/>
      <c r="AO425" s="480"/>
      <c r="AP425"/>
      <c r="AQ425"/>
      <c r="AR425"/>
      <c r="CE425"/>
      <c r="CG425"/>
      <c r="CI425"/>
      <c r="CJ425"/>
    </row>
    <row r="426" spans="1:88" s="423" customFormat="1" ht="15" customHeight="1" x14ac:dyDescent="0.2">
      <c r="A426">
        <v>425</v>
      </c>
      <c r="B426" t="s">
        <v>1449</v>
      </c>
      <c r="C426" t="s">
        <v>5072</v>
      </c>
      <c r="D426" t="s">
        <v>5073</v>
      </c>
      <c r="E426" t="s">
        <v>3611</v>
      </c>
      <c r="F426" t="s">
        <v>2141</v>
      </c>
      <c r="G426" t="s">
        <v>34</v>
      </c>
      <c r="H426" t="s">
        <v>2198</v>
      </c>
      <c r="I426" t="s">
        <v>5723</v>
      </c>
      <c r="J426" t="s">
        <v>1766</v>
      </c>
      <c r="K426" t="s">
        <v>5074</v>
      </c>
      <c r="L426" t="s">
        <v>5075</v>
      </c>
      <c r="M426" t="s">
        <v>5076</v>
      </c>
      <c r="N426" t="s">
        <v>5077</v>
      </c>
      <c r="O426" t="s">
        <v>5078</v>
      </c>
      <c r="P426" t="s">
        <v>2258</v>
      </c>
      <c r="Q426" t="s">
        <v>2274</v>
      </c>
      <c r="R426" t="s">
        <v>2191</v>
      </c>
      <c r="S426" t="s">
        <v>5079</v>
      </c>
      <c r="T426">
        <v>2340.4</v>
      </c>
      <c r="U426" t="s">
        <v>2221</v>
      </c>
      <c r="V426" t="s">
        <v>2611</v>
      </c>
      <c r="W426" t="s">
        <v>5080</v>
      </c>
      <c r="X426" t="s">
        <v>2192</v>
      </c>
      <c r="Y426" t="s">
        <v>4657</v>
      </c>
      <c r="Z426" t="s">
        <v>5081</v>
      </c>
      <c r="AA426" t="s">
        <v>2192</v>
      </c>
      <c r="AB426" t="s">
        <v>34</v>
      </c>
      <c r="AC426" t="s">
        <v>2193</v>
      </c>
      <c r="AD426" t="s">
        <v>2194</v>
      </c>
      <c r="AE426" t="s">
        <v>1760</v>
      </c>
      <c r="AF426" t="s">
        <v>3417</v>
      </c>
      <c r="AG426" t="s">
        <v>34</v>
      </c>
      <c r="AH426" t="s">
        <v>34</v>
      </c>
      <c r="AI426" t="s">
        <v>34</v>
      </c>
      <c r="AJ426" t="s">
        <v>34</v>
      </c>
      <c r="AK426" t="s">
        <v>2195</v>
      </c>
      <c r="AL426" t="s">
        <v>34</v>
      </c>
      <c r="AM426" t="s">
        <v>4874</v>
      </c>
      <c r="AN426" s="480">
        <v>0</v>
      </c>
      <c r="AO426" s="480">
        <v>0</v>
      </c>
      <c r="AP426"/>
      <c r="AQ426"/>
      <c r="AR426"/>
      <c r="CE426"/>
      <c r="CG426"/>
      <c r="CI426"/>
      <c r="CJ426"/>
    </row>
    <row r="427" spans="1:88" s="422" customFormat="1" ht="15" customHeight="1" x14ac:dyDescent="0.2">
      <c r="A427">
        <v>426</v>
      </c>
      <c r="B427" t="s">
        <v>1449</v>
      </c>
      <c r="C427" t="s">
        <v>5842</v>
      </c>
      <c r="D427" t="s">
        <v>5843</v>
      </c>
      <c r="E427" t="s">
        <v>3611</v>
      </c>
      <c r="F427" t="s">
        <v>2141</v>
      </c>
      <c r="G427"/>
      <c r="H427" t="s">
        <v>2198</v>
      </c>
      <c r="I427" t="s">
        <v>5723</v>
      </c>
      <c r="J427" t="s">
        <v>1766</v>
      </c>
      <c r="K427" t="s">
        <v>5844</v>
      </c>
      <c r="L427" t="s">
        <v>5845</v>
      </c>
      <c r="M427" t="s">
        <v>5846</v>
      </c>
      <c r="N427" t="s">
        <v>5842</v>
      </c>
      <c r="O427" t="s">
        <v>2469</v>
      </c>
      <c r="P427" t="s">
        <v>5847</v>
      </c>
      <c r="Q427" t="s">
        <v>2274</v>
      </c>
      <c r="R427" t="s">
        <v>4847</v>
      </c>
      <c r="S427" t="s">
        <v>5848</v>
      </c>
      <c r="T427">
        <v>190.3</v>
      </c>
      <c r="U427"/>
      <c r="V427" t="s">
        <v>2325</v>
      </c>
      <c r="W427" t="s">
        <v>5849</v>
      </c>
      <c r="X427" t="s">
        <v>2192</v>
      </c>
      <c r="Y427" t="s">
        <v>2325</v>
      </c>
      <c r="Z427" t="s">
        <v>5849</v>
      </c>
      <c r="AA427" t="s">
        <v>2192</v>
      </c>
      <c r="AB427"/>
      <c r="AC427" t="s">
        <v>2193</v>
      </c>
      <c r="AD427" t="s">
        <v>2194</v>
      </c>
      <c r="AE427" t="s">
        <v>1760</v>
      </c>
      <c r="AF427" t="s">
        <v>3417</v>
      </c>
      <c r="AG427"/>
      <c r="AH427"/>
      <c r="AI427"/>
      <c r="AJ427"/>
      <c r="AK427" t="s">
        <v>2195</v>
      </c>
      <c r="AL427"/>
      <c r="AM427" t="s">
        <v>4874</v>
      </c>
      <c r="AN427" s="480"/>
      <c r="AO427" s="480"/>
      <c r="AP427"/>
      <c r="AQ427"/>
      <c r="AR427"/>
      <c r="CE427"/>
      <c r="CG427"/>
      <c r="CI427"/>
      <c r="CJ427"/>
    </row>
    <row r="428" spans="1:88" s="423" customFormat="1" ht="15" customHeight="1" x14ac:dyDescent="0.2">
      <c r="A428">
        <v>427</v>
      </c>
      <c r="B428" t="s">
        <v>1449</v>
      </c>
      <c r="C428" t="s">
        <v>5850</v>
      </c>
      <c r="D428" t="s">
        <v>5851</v>
      </c>
      <c r="E428" t="s">
        <v>3611</v>
      </c>
      <c r="F428" t="s">
        <v>2141</v>
      </c>
      <c r="G428"/>
      <c r="H428" t="s">
        <v>2198</v>
      </c>
      <c r="I428" t="s">
        <v>5723</v>
      </c>
      <c r="J428" t="s">
        <v>1766</v>
      </c>
      <c r="K428" t="s">
        <v>5852</v>
      </c>
      <c r="L428" t="s">
        <v>5845</v>
      </c>
      <c r="M428" t="s">
        <v>5853</v>
      </c>
      <c r="N428" t="s">
        <v>5850</v>
      </c>
      <c r="O428" t="s">
        <v>2469</v>
      </c>
      <c r="P428" t="s">
        <v>5847</v>
      </c>
      <c r="Q428" t="s">
        <v>2274</v>
      </c>
      <c r="R428" t="s">
        <v>4847</v>
      </c>
      <c r="S428" t="s">
        <v>5848</v>
      </c>
      <c r="T428">
        <v>190.3</v>
      </c>
      <c r="U428"/>
      <c r="V428" t="s">
        <v>2325</v>
      </c>
      <c r="W428" t="s">
        <v>5849</v>
      </c>
      <c r="X428" t="s">
        <v>2192</v>
      </c>
      <c r="Y428" t="s">
        <v>2325</v>
      </c>
      <c r="Z428" t="s">
        <v>5849</v>
      </c>
      <c r="AA428" t="s">
        <v>2192</v>
      </c>
      <c r="AB428"/>
      <c r="AC428" t="s">
        <v>2193</v>
      </c>
      <c r="AD428" t="s">
        <v>2194</v>
      </c>
      <c r="AE428" t="s">
        <v>1760</v>
      </c>
      <c r="AF428" t="s">
        <v>3417</v>
      </c>
      <c r="AG428"/>
      <c r="AH428"/>
      <c r="AI428"/>
      <c r="AJ428"/>
      <c r="AK428" t="s">
        <v>2195</v>
      </c>
      <c r="AL428"/>
      <c r="AM428" t="s">
        <v>4874</v>
      </c>
      <c r="AN428" s="480"/>
      <c r="AO428" s="480"/>
      <c r="AP428"/>
      <c r="AQ428"/>
      <c r="AR428"/>
      <c r="CE428"/>
      <c r="CG428"/>
      <c r="CI428"/>
      <c r="CJ428"/>
    </row>
    <row r="429" spans="1:88" s="422" customFormat="1" ht="15" customHeight="1" x14ac:dyDescent="0.2">
      <c r="A429">
        <v>428</v>
      </c>
      <c r="B429" t="s">
        <v>1449</v>
      </c>
      <c r="C429" t="s">
        <v>5854</v>
      </c>
      <c r="D429" t="s">
        <v>5855</v>
      </c>
      <c r="E429" t="s">
        <v>3611</v>
      </c>
      <c r="F429" t="s">
        <v>2141</v>
      </c>
      <c r="G429"/>
      <c r="H429" t="s">
        <v>2198</v>
      </c>
      <c r="I429" t="s">
        <v>5723</v>
      </c>
      <c r="J429" t="s">
        <v>1766</v>
      </c>
      <c r="K429" t="s">
        <v>5856</v>
      </c>
      <c r="L429" t="s">
        <v>5845</v>
      </c>
      <c r="M429" t="s">
        <v>5857</v>
      </c>
      <c r="N429" t="s">
        <v>5854</v>
      </c>
      <c r="O429" t="s">
        <v>2469</v>
      </c>
      <c r="P429" t="s">
        <v>5858</v>
      </c>
      <c r="Q429" t="s">
        <v>2274</v>
      </c>
      <c r="R429" t="s">
        <v>4847</v>
      </c>
      <c r="S429" t="s">
        <v>5848</v>
      </c>
      <c r="T429">
        <v>190.3</v>
      </c>
      <c r="U429"/>
      <c r="V429" t="s">
        <v>2325</v>
      </c>
      <c r="W429" t="s">
        <v>5849</v>
      </c>
      <c r="X429" t="s">
        <v>2192</v>
      </c>
      <c r="Y429" t="s">
        <v>2325</v>
      </c>
      <c r="Z429" t="s">
        <v>5849</v>
      </c>
      <c r="AA429" t="s">
        <v>2192</v>
      </c>
      <c r="AB429"/>
      <c r="AC429" t="s">
        <v>2193</v>
      </c>
      <c r="AD429" t="s">
        <v>2194</v>
      </c>
      <c r="AE429" t="s">
        <v>1760</v>
      </c>
      <c r="AF429" t="s">
        <v>3417</v>
      </c>
      <c r="AG429"/>
      <c r="AH429"/>
      <c r="AI429"/>
      <c r="AJ429"/>
      <c r="AK429" t="s">
        <v>2195</v>
      </c>
      <c r="AL429"/>
      <c r="AM429" t="s">
        <v>4874</v>
      </c>
      <c r="AN429" s="480"/>
      <c r="AO429" s="480"/>
      <c r="AP429"/>
      <c r="AQ429"/>
      <c r="AR429"/>
      <c r="CE429"/>
      <c r="CG429"/>
      <c r="CI429"/>
      <c r="CJ429"/>
    </row>
    <row r="430" spans="1:88" s="423" customFormat="1" ht="12.75" customHeight="1" x14ac:dyDescent="0.2">
      <c r="A430">
        <v>429</v>
      </c>
      <c r="B430" t="s">
        <v>1449</v>
      </c>
      <c r="C430" t="s">
        <v>5859</v>
      </c>
      <c r="D430" t="s">
        <v>5860</v>
      </c>
      <c r="E430" t="s">
        <v>3611</v>
      </c>
      <c r="F430" t="s">
        <v>2141</v>
      </c>
      <c r="G430"/>
      <c r="H430" t="s">
        <v>2198</v>
      </c>
      <c r="I430" t="s">
        <v>5723</v>
      </c>
      <c r="J430" t="s">
        <v>1766</v>
      </c>
      <c r="K430" t="s">
        <v>5861</v>
      </c>
      <c r="L430" t="s">
        <v>5845</v>
      </c>
      <c r="M430" t="s">
        <v>5862</v>
      </c>
      <c r="N430" t="s">
        <v>5859</v>
      </c>
      <c r="O430" t="s">
        <v>2469</v>
      </c>
      <c r="P430" t="s">
        <v>5858</v>
      </c>
      <c r="Q430" t="s">
        <v>2274</v>
      </c>
      <c r="R430" t="s">
        <v>4847</v>
      </c>
      <c r="S430" t="s">
        <v>5848</v>
      </c>
      <c r="T430">
        <v>190.3</v>
      </c>
      <c r="U430"/>
      <c r="V430" t="s">
        <v>2325</v>
      </c>
      <c r="W430" t="s">
        <v>5849</v>
      </c>
      <c r="X430" t="s">
        <v>2192</v>
      </c>
      <c r="Y430" t="s">
        <v>2325</v>
      </c>
      <c r="Z430" t="s">
        <v>5849</v>
      </c>
      <c r="AA430" t="s">
        <v>2192</v>
      </c>
      <c r="AB430"/>
      <c r="AC430" t="s">
        <v>2193</v>
      </c>
      <c r="AD430" t="s">
        <v>2194</v>
      </c>
      <c r="AE430" t="s">
        <v>1760</v>
      </c>
      <c r="AF430" t="s">
        <v>3417</v>
      </c>
      <c r="AG430"/>
      <c r="AH430"/>
      <c r="AI430"/>
      <c r="AJ430"/>
      <c r="AK430" t="s">
        <v>2195</v>
      </c>
      <c r="AL430"/>
      <c r="AM430" t="s">
        <v>4874</v>
      </c>
      <c r="AN430" s="480"/>
      <c r="AO430" s="480"/>
      <c r="AP430"/>
      <c r="AQ430"/>
      <c r="AR430"/>
      <c r="CE430"/>
      <c r="CG430"/>
      <c r="CI430"/>
      <c r="CJ430"/>
    </row>
    <row r="431" spans="1:88" s="422" customFormat="1" ht="15" customHeight="1" x14ac:dyDescent="0.2">
      <c r="A431">
        <v>430</v>
      </c>
      <c r="B431" t="s">
        <v>1449</v>
      </c>
      <c r="C431" t="s">
        <v>5863</v>
      </c>
      <c r="D431" t="s">
        <v>5864</v>
      </c>
      <c r="E431" t="s">
        <v>3611</v>
      </c>
      <c r="F431" t="s">
        <v>2141</v>
      </c>
      <c r="G431"/>
      <c r="H431" t="s">
        <v>2198</v>
      </c>
      <c r="I431" t="s">
        <v>5723</v>
      </c>
      <c r="J431" t="s">
        <v>1766</v>
      </c>
      <c r="K431" t="s">
        <v>5865</v>
      </c>
      <c r="L431" t="s">
        <v>5845</v>
      </c>
      <c r="M431" t="s">
        <v>5866</v>
      </c>
      <c r="N431" t="s">
        <v>5863</v>
      </c>
      <c r="O431" t="s">
        <v>2469</v>
      </c>
      <c r="P431" t="s">
        <v>5867</v>
      </c>
      <c r="Q431" t="s">
        <v>2274</v>
      </c>
      <c r="R431" t="s">
        <v>4847</v>
      </c>
      <c r="S431" t="s">
        <v>5848</v>
      </c>
      <c r="T431">
        <v>190.3</v>
      </c>
      <c r="U431"/>
      <c r="V431" t="s">
        <v>2325</v>
      </c>
      <c r="W431" t="s">
        <v>5849</v>
      </c>
      <c r="X431" t="s">
        <v>2192</v>
      </c>
      <c r="Y431" t="s">
        <v>2325</v>
      </c>
      <c r="Z431" t="s">
        <v>5849</v>
      </c>
      <c r="AA431" t="s">
        <v>2192</v>
      </c>
      <c r="AB431"/>
      <c r="AC431" t="s">
        <v>2193</v>
      </c>
      <c r="AD431" t="s">
        <v>2194</v>
      </c>
      <c r="AE431" t="s">
        <v>1760</v>
      </c>
      <c r="AF431" t="s">
        <v>3417</v>
      </c>
      <c r="AG431"/>
      <c r="AH431"/>
      <c r="AI431"/>
      <c r="AJ431"/>
      <c r="AK431" t="s">
        <v>2195</v>
      </c>
      <c r="AL431"/>
      <c r="AM431" t="s">
        <v>4874</v>
      </c>
      <c r="AN431" s="480"/>
      <c r="AO431" s="480"/>
      <c r="AP431"/>
      <c r="AQ431"/>
      <c r="AR431"/>
      <c r="CE431"/>
      <c r="CG431"/>
      <c r="CI431"/>
      <c r="CJ431"/>
    </row>
    <row r="432" spans="1:88" s="423" customFormat="1" ht="15" customHeight="1" x14ac:dyDescent="0.2">
      <c r="A432">
        <v>431</v>
      </c>
      <c r="B432" t="s">
        <v>1449</v>
      </c>
      <c r="C432" t="s">
        <v>5868</v>
      </c>
      <c r="D432" t="s">
        <v>5869</v>
      </c>
      <c r="E432" t="s">
        <v>3611</v>
      </c>
      <c r="F432" t="s">
        <v>2141</v>
      </c>
      <c r="G432"/>
      <c r="H432" t="s">
        <v>2198</v>
      </c>
      <c r="I432" t="s">
        <v>5723</v>
      </c>
      <c r="J432" t="s">
        <v>1766</v>
      </c>
      <c r="K432" t="s">
        <v>5870</v>
      </c>
      <c r="L432" t="s">
        <v>5845</v>
      </c>
      <c r="M432" t="s">
        <v>5871</v>
      </c>
      <c r="N432" t="s">
        <v>5868</v>
      </c>
      <c r="O432" t="s">
        <v>2469</v>
      </c>
      <c r="P432" t="s">
        <v>5872</v>
      </c>
      <c r="Q432" t="s">
        <v>2274</v>
      </c>
      <c r="R432" t="s">
        <v>4847</v>
      </c>
      <c r="S432" t="s">
        <v>5848</v>
      </c>
      <c r="T432">
        <v>190.3</v>
      </c>
      <c r="U432"/>
      <c r="V432" t="s">
        <v>2325</v>
      </c>
      <c r="W432" t="s">
        <v>5849</v>
      </c>
      <c r="X432" t="s">
        <v>2192</v>
      </c>
      <c r="Y432" t="s">
        <v>2325</v>
      </c>
      <c r="Z432" t="s">
        <v>5849</v>
      </c>
      <c r="AA432" t="s">
        <v>2192</v>
      </c>
      <c r="AB432"/>
      <c r="AC432" t="s">
        <v>2193</v>
      </c>
      <c r="AD432" t="s">
        <v>2194</v>
      </c>
      <c r="AE432" t="s">
        <v>1760</v>
      </c>
      <c r="AF432" t="s">
        <v>3417</v>
      </c>
      <c r="AG432"/>
      <c r="AH432"/>
      <c r="AI432"/>
      <c r="AJ432"/>
      <c r="AK432" t="s">
        <v>2195</v>
      </c>
      <c r="AL432"/>
      <c r="AM432" t="s">
        <v>4874</v>
      </c>
      <c r="AN432" s="480"/>
      <c r="AO432" s="480"/>
      <c r="AP432"/>
      <c r="AQ432"/>
      <c r="AR432"/>
      <c r="CE432"/>
      <c r="CG432"/>
      <c r="CI432"/>
      <c r="CJ432"/>
    </row>
    <row r="433" spans="1:88" s="422" customFormat="1" ht="15" customHeight="1" x14ac:dyDescent="0.2">
      <c r="A433">
        <v>432</v>
      </c>
      <c r="B433" t="s">
        <v>1449</v>
      </c>
      <c r="C433" t="s">
        <v>5873</v>
      </c>
      <c r="D433" t="s">
        <v>5874</v>
      </c>
      <c r="E433" t="s">
        <v>3611</v>
      </c>
      <c r="F433" t="s">
        <v>2141</v>
      </c>
      <c r="G433"/>
      <c r="H433" t="s">
        <v>2198</v>
      </c>
      <c r="I433" t="s">
        <v>5723</v>
      </c>
      <c r="J433" t="s">
        <v>1766</v>
      </c>
      <c r="K433" t="s">
        <v>5875</v>
      </c>
      <c r="L433" t="s">
        <v>5845</v>
      </c>
      <c r="M433" t="s">
        <v>5876</v>
      </c>
      <c r="N433" t="s">
        <v>5873</v>
      </c>
      <c r="O433" t="s">
        <v>2469</v>
      </c>
      <c r="P433" t="s">
        <v>5867</v>
      </c>
      <c r="Q433" t="s">
        <v>2274</v>
      </c>
      <c r="R433" t="s">
        <v>4847</v>
      </c>
      <c r="S433" t="s">
        <v>5848</v>
      </c>
      <c r="T433">
        <v>190.3</v>
      </c>
      <c r="U433"/>
      <c r="V433" t="s">
        <v>2325</v>
      </c>
      <c r="W433" t="s">
        <v>5849</v>
      </c>
      <c r="X433" t="s">
        <v>2192</v>
      </c>
      <c r="Y433" t="s">
        <v>2325</v>
      </c>
      <c r="Z433" t="s">
        <v>5849</v>
      </c>
      <c r="AA433" t="s">
        <v>2192</v>
      </c>
      <c r="AB433"/>
      <c r="AC433" t="s">
        <v>2193</v>
      </c>
      <c r="AD433" t="s">
        <v>2194</v>
      </c>
      <c r="AE433" t="s">
        <v>1760</v>
      </c>
      <c r="AF433" t="s">
        <v>3417</v>
      </c>
      <c r="AG433"/>
      <c r="AH433"/>
      <c r="AI433"/>
      <c r="AJ433"/>
      <c r="AK433" t="s">
        <v>2195</v>
      </c>
      <c r="AL433"/>
      <c r="AM433" t="s">
        <v>4874</v>
      </c>
      <c r="AN433" s="480"/>
      <c r="AO433" s="480"/>
      <c r="AP433"/>
      <c r="AQ433"/>
      <c r="AR433"/>
      <c r="CE433"/>
      <c r="CG433"/>
      <c r="CI433"/>
      <c r="CJ433"/>
    </row>
    <row r="434" spans="1:88" s="423" customFormat="1" ht="15" customHeight="1" x14ac:dyDescent="0.2">
      <c r="A434">
        <v>433</v>
      </c>
      <c r="B434" t="s">
        <v>1449</v>
      </c>
      <c r="C434" t="s">
        <v>5877</v>
      </c>
      <c r="D434" t="s">
        <v>5878</v>
      </c>
      <c r="E434" t="s">
        <v>3611</v>
      </c>
      <c r="F434" t="s">
        <v>2141</v>
      </c>
      <c r="G434"/>
      <c r="H434" t="s">
        <v>2198</v>
      </c>
      <c r="I434" t="s">
        <v>5723</v>
      </c>
      <c r="J434" t="s">
        <v>1766</v>
      </c>
      <c r="K434" t="s">
        <v>5879</v>
      </c>
      <c r="L434" t="s">
        <v>5845</v>
      </c>
      <c r="M434" t="s">
        <v>5880</v>
      </c>
      <c r="N434" t="s">
        <v>5877</v>
      </c>
      <c r="O434" t="s">
        <v>2469</v>
      </c>
      <c r="P434" t="s">
        <v>5847</v>
      </c>
      <c r="Q434" t="s">
        <v>2274</v>
      </c>
      <c r="R434" t="s">
        <v>4847</v>
      </c>
      <c r="S434" t="s">
        <v>5848</v>
      </c>
      <c r="T434">
        <v>190.3</v>
      </c>
      <c r="U434"/>
      <c r="V434" t="s">
        <v>2325</v>
      </c>
      <c r="W434" t="s">
        <v>5849</v>
      </c>
      <c r="X434" t="s">
        <v>2192</v>
      </c>
      <c r="Y434" t="s">
        <v>2325</v>
      </c>
      <c r="Z434" t="s">
        <v>5849</v>
      </c>
      <c r="AA434" t="s">
        <v>2192</v>
      </c>
      <c r="AB434"/>
      <c r="AC434" t="s">
        <v>2193</v>
      </c>
      <c r="AD434" t="s">
        <v>2194</v>
      </c>
      <c r="AE434" t="s">
        <v>1760</v>
      </c>
      <c r="AF434" t="s">
        <v>3417</v>
      </c>
      <c r="AG434"/>
      <c r="AH434"/>
      <c r="AI434"/>
      <c r="AJ434"/>
      <c r="AK434" t="s">
        <v>2195</v>
      </c>
      <c r="AL434"/>
      <c r="AM434" t="s">
        <v>4874</v>
      </c>
      <c r="AN434" s="480"/>
      <c r="AO434" s="480"/>
      <c r="AP434"/>
      <c r="AQ434"/>
      <c r="AR434"/>
      <c r="CE434"/>
      <c r="CG434"/>
      <c r="CI434"/>
      <c r="CJ434"/>
    </row>
    <row r="435" spans="1:88" s="422" customFormat="1" ht="15" customHeight="1" x14ac:dyDescent="0.2">
      <c r="A435">
        <v>434</v>
      </c>
      <c r="B435" t="s">
        <v>1449</v>
      </c>
      <c r="C435" t="s">
        <v>5881</v>
      </c>
      <c r="D435" t="s">
        <v>5882</v>
      </c>
      <c r="E435" t="s">
        <v>3611</v>
      </c>
      <c r="F435" t="s">
        <v>2141</v>
      </c>
      <c r="G435"/>
      <c r="H435" t="s">
        <v>2198</v>
      </c>
      <c r="I435" t="s">
        <v>5723</v>
      </c>
      <c r="J435" t="s">
        <v>1766</v>
      </c>
      <c r="K435" t="s">
        <v>5883</v>
      </c>
      <c r="L435" t="s">
        <v>5845</v>
      </c>
      <c r="M435" t="s">
        <v>5884</v>
      </c>
      <c r="N435" t="s">
        <v>5881</v>
      </c>
      <c r="O435" t="s">
        <v>2469</v>
      </c>
      <c r="P435" t="s">
        <v>5847</v>
      </c>
      <c r="Q435" t="s">
        <v>2274</v>
      </c>
      <c r="R435" t="s">
        <v>4847</v>
      </c>
      <c r="S435" t="s">
        <v>5848</v>
      </c>
      <c r="T435">
        <v>190.3</v>
      </c>
      <c r="U435"/>
      <c r="V435" t="s">
        <v>2325</v>
      </c>
      <c r="W435" t="s">
        <v>5849</v>
      </c>
      <c r="X435" t="s">
        <v>2192</v>
      </c>
      <c r="Y435" t="s">
        <v>2325</v>
      </c>
      <c r="Z435" t="s">
        <v>5849</v>
      </c>
      <c r="AA435" t="s">
        <v>2192</v>
      </c>
      <c r="AB435"/>
      <c r="AC435" t="s">
        <v>2193</v>
      </c>
      <c r="AD435" t="s">
        <v>2194</v>
      </c>
      <c r="AE435" t="s">
        <v>1760</v>
      </c>
      <c r="AF435" t="s">
        <v>3417</v>
      </c>
      <c r="AG435"/>
      <c r="AH435"/>
      <c r="AI435"/>
      <c r="AJ435"/>
      <c r="AK435" t="s">
        <v>2195</v>
      </c>
      <c r="AL435"/>
      <c r="AM435" t="s">
        <v>4874</v>
      </c>
      <c r="AN435" s="480"/>
      <c r="AO435" s="480"/>
      <c r="AP435"/>
      <c r="AQ435"/>
      <c r="AR435"/>
      <c r="CE435"/>
      <c r="CG435"/>
      <c r="CI435"/>
      <c r="CJ435"/>
    </row>
    <row r="436" spans="1:88" s="423" customFormat="1" ht="15" customHeight="1" x14ac:dyDescent="0.2">
      <c r="A436">
        <v>435</v>
      </c>
      <c r="B436" t="s">
        <v>1449</v>
      </c>
      <c r="C436" t="s">
        <v>5885</v>
      </c>
      <c r="D436" t="s">
        <v>5886</v>
      </c>
      <c r="E436" t="s">
        <v>3611</v>
      </c>
      <c r="F436" t="s">
        <v>2141</v>
      </c>
      <c r="G436"/>
      <c r="H436" t="s">
        <v>2198</v>
      </c>
      <c r="I436" t="s">
        <v>5723</v>
      </c>
      <c r="J436" t="s">
        <v>1766</v>
      </c>
      <c r="K436" t="s">
        <v>5887</v>
      </c>
      <c r="L436" t="s">
        <v>5845</v>
      </c>
      <c r="M436" t="s">
        <v>5888</v>
      </c>
      <c r="N436" t="s">
        <v>5885</v>
      </c>
      <c r="O436" t="s">
        <v>2469</v>
      </c>
      <c r="P436" t="s">
        <v>5889</v>
      </c>
      <c r="Q436" t="s">
        <v>2274</v>
      </c>
      <c r="R436" t="s">
        <v>4847</v>
      </c>
      <c r="S436" t="s">
        <v>5848</v>
      </c>
      <c r="T436">
        <v>190.3</v>
      </c>
      <c r="U436"/>
      <c r="V436" t="s">
        <v>2325</v>
      </c>
      <c r="W436" t="s">
        <v>5849</v>
      </c>
      <c r="X436" t="s">
        <v>2192</v>
      </c>
      <c r="Y436" t="s">
        <v>2325</v>
      </c>
      <c r="Z436" t="s">
        <v>5849</v>
      </c>
      <c r="AA436" t="s">
        <v>2192</v>
      </c>
      <c r="AB436"/>
      <c r="AC436" t="s">
        <v>2193</v>
      </c>
      <c r="AD436" t="s">
        <v>2194</v>
      </c>
      <c r="AE436" t="s">
        <v>1760</v>
      </c>
      <c r="AF436" t="s">
        <v>3417</v>
      </c>
      <c r="AG436"/>
      <c r="AH436"/>
      <c r="AI436"/>
      <c r="AJ436"/>
      <c r="AK436" t="s">
        <v>2195</v>
      </c>
      <c r="AL436"/>
      <c r="AM436" t="s">
        <v>4874</v>
      </c>
      <c r="AN436" s="480"/>
      <c r="AO436" s="480"/>
      <c r="AP436"/>
      <c r="AQ436"/>
      <c r="AR436"/>
      <c r="CE436"/>
      <c r="CG436"/>
      <c r="CI436"/>
      <c r="CJ436"/>
    </row>
    <row r="437" spans="1:88" s="422" customFormat="1" ht="15" customHeight="1" x14ac:dyDescent="0.2">
      <c r="A437">
        <v>436</v>
      </c>
      <c r="B437" t="s">
        <v>1449</v>
      </c>
      <c r="C437" t="s">
        <v>5890</v>
      </c>
      <c r="D437" t="s">
        <v>5891</v>
      </c>
      <c r="E437" t="s">
        <v>3611</v>
      </c>
      <c r="F437" t="s">
        <v>2141</v>
      </c>
      <c r="G437"/>
      <c r="H437" t="s">
        <v>2198</v>
      </c>
      <c r="I437" t="s">
        <v>5723</v>
      </c>
      <c r="J437" t="s">
        <v>1766</v>
      </c>
      <c r="K437" t="s">
        <v>5892</v>
      </c>
      <c r="L437" t="s">
        <v>5845</v>
      </c>
      <c r="M437" t="s">
        <v>5893</v>
      </c>
      <c r="N437" t="s">
        <v>5890</v>
      </c>
      <c r="O437" t="s">
        <v>2469</v>
      </c>
      <c r="P437" t="s">
        <v>5894</v>
      </c>
      <c r="Q437" t="s">
        <v>2274</v>
      </c>
      <c r="R437" t="s">
        <v>4847</v>
      </c>
      <c r="S437" t="s">
        <v>5848</v>
      </c>
      <c r="T437">
        <v>190.3</v>
      </c>
      <c r="U437"/>
      <c r="V437" t="s">
        <v>2325</v>
      </c>
      <c r="W437" t="s">
        <v>5849</v>
      </c>
      <c r="X437" t="s">
        <v>2192</v>
      </c>
      <c r="Y437" t="s">
        <v>2325</v>
      </c>
      <c r="Z437" t="s">
        <v>5849</v>
      </c>
      <c r="AA437" t="s">
        <v>2192</v>
      </c>
      <c r="AB437"/>
      <c r="AC437" t="s">
        <v>2193</v>
      </c>
      <c r="AD437" t="s">
        <v>2194</v>
      </c>
      <c r="AE437" t="s">
        <v>1760</v>
      </c>
      <c r="AF437" t="s">
        <v>3417</v>
      </c>
      <c r="AG437"/>
      <c r="AH437"/>
      <c r="AI437"/>
      <c r="AJ437"/>
      <c r="AK437" t="s">
        <v>2195</v>
      </c>
      <c r="AL437"/>
      <c r="AM437" t="s">
        <v>4874</v>
      </c>
      <c r="AN437" s="480"/>
      <c r="AO437" s="480"/>
      <c r="AP437"/>
      <c r="AQ437"/>
      <c r="AR437"/>
      <c r="CE437"/>
      <c r="CG437"/>
      <c r="CI437"/>
      <c r="CJ437"/>
    </row>
    <row r="438" spans="1:88" s="423" customFormat="1" ht="15" customHeight="1" x14ac:dyDescent="0.2">
      <c r="A438">
        <v>437</v>
      </c>
      <c r="B438" t="s">
        <v>1449</v>
      </c>
      <c r="C438" t="s">
        <v>5895</v>
      </c>
      <c r="D438" t="s">
        <v>5896</v>
      </c>
      <c r="E438" t="s">
        <v>3611</v>
      </c>
      <c r="F438" t="s">
        <v>2141</v>
      </c>
      <c r="G438"/>
      <c r="H438" t="s">
        <v>2198</v>
      </c>
      <c r="I438" t="s">
        <v>5723</v>
      </c>
      <c r="J438" t="s">
        <v>1766</v>
      </c>
      <c r="K438" t="s">
        <v>5897</v>
      </c>
      <c r="L438" t="s">
        <v>5845</v>
      </c>
      <c r="M438" t="s">
        <v>5898</v>
      </c>
      <c r="N438" t="s">
        <v>5895</v>
      </c>
      <c r="O438" t="s">
        <v>2469</v>
      </c>
      <c r="P438" t="s">
        <v>5894</v>
      </c>
      <c r="Q438" t="s">
        <v>2274</v>
      </c>
      <c r="R438" t="s">
        <v>4847</v>
      </c>
      <c r="S438" t="s">
        <v>5848</v>
      </c>
      <c r="T438">
        <v>190.3</v>
      </c>
      <c r="U438"/>
      <c r="V438" t="s">
        <v>2325</v>
      </c>
      <c r="W438" t="s">
        <v>5849</v>
      </c>
      <c r="X438" t="s">
        <v>2192</v>
      </c>
      <c r="Y438" t="s">
        <v>2325</v>
      </c>
      <c r="Z438" t="s">
        <v>5849</v>
      </c>
      <c r="AA438" t="s">
        <v>2192</v>
      </c>
      <c r="AB438"/>
      <c r="AC438" t="s">
        <v>2193</v>
      </c>
      <c r="AD438" t="s">
        <v>2194</v>
      </c>
      <c r="AE438" t="s">
        <v>1760</v>
      </c>
      <c r="AF438" t="s">
        <v>3417</v>
      </c>
      <c r="AG438"/>
      <c r="AH438"/>
      <c r="AI438"/>
      <c r="AJ438"/>
      <c r="AK438" t="s">
        <v>2195</v>
      </c>
      <c r="AL438"/>
      <c r="AM438" t="s">
        <v>4874</v>
      </c>
      <c r="AN438" s="480"/>
      <c r="AO438" s="480"/>
      <c r="AP438"/>
      <c r="AQ438"/>
      <c r="AR438"/>
      <c r="CE438"/>
      <c r="CG438"/>
      <c r="CI438"/>
      <c r="CJ438"/>
    </row>
    <row r="439" spans="1:88" ht="15" customHeight="1" x14ac:dyDescent="0.2">
      <c r="A439">
        <v>438</v>
      </c>
      <c r="B439" t="s">
        <v>1449</v>
      </c>
      <c r="C439" t="s">
        <v>5899</v>
      </c>
      <c r="D439" t="s">
        <v>5900</v>
      </c>
      <c r="E439" t="s">
        <v>3611</v>
      </c>
      <c r="F439" t="s">
        <v>2141</v>
      </c>
      <c r="H439" t="s">
        <v>2198</v>
      </c>
      <c r="I439" t="s">
        <v>5723</v>
      </c>
      <c r="J439" t="s">
        <v>1766</v>
      </c>
      <c r="K439" t="s">
        <v>5901</v>
      </c>
      <c r="L439" t="s">
        <v>5845</v>
      </c>
      <c r="M439" t="s">
        <v>5902</v>
      </c>
      <c r="N439" t="s">
        <v>5899</v>
      </c>
      <c r="O439" t="s">
        <v>2469</v>
      </c>
      <c r="P439" t="s">
        <v>5903</v>
      </c>
      <c r="Q439" t="s">
        <v>2274</v>
      </c>
      <c r="R439" t="s">
        <v>4847</v>
      </c>
      <c r="S439" t="s">
        <v>5848</v>
      </c>
      <c r="T439">
        <v>190.3</v>
      </c>
      <c r="V439" t="s">
        <v>2325</v>
      </c>
      <c r="W439" t="s">
        <v>5849</v>
      </c>
      <c r="X439" t="s">
        <v>2192</v>
      </c>
      <c r="Y439" t="s">
        <v>2325</v>
      </c>
      <c r="Z439" t="s">
        <v>5849</v>
      </c>
      <c r="AA439" t="s">
        <v>2192</v>
      </c>
      <c r="AC439" t="s">
        <v>2193</v>
      </c>
      <c r="AD439" t="s">
        <v>2194</v>
      </c>
      <c r="AE439" t="s">
        <v>1760</v>
      </c>
      <c r="AF439" t="s">
        <v>3417</v>
      </c>
      <c r="AK439" t="s">
        <v>2195</v>
      </c>
      <c r="AM439" t="s">
        <v>4874</v>
      </c>
      <c r="AN439" s="480"/>
      <c r="AO439" s="480"/>
    </row>
    <row r="440" spans="1:88" s="423" customFormat="1" ht="15" customHeight="1" x14ac:dyDescent="0.2">
      <c r="A440">
        <v>439</v>
      </c>
      <c r="B440" t="s">
        <v>1449</v>
      </c>
      <c r="C440" t="s">
        <v>5904</v>
      </c>
      <c r="D440" t="s">
        <v>5905</v>
      </c>
      <c r="E440" t="s">
        <v>3611</v>
      </c>
      <c r="F440" t="s">
        <v>2141</v>
      </c>
      <c r="G440"/>
      <c r="H440" t="s">
        <v>2198</v>
      </c>
      <c r="I440" t="s">
        <v>5723</v>
      </c>
      <c r="J440" t="s">
        <v>1766</v>
      </c>
      <c r="K440" t="s">
        <v>5906</v>
      </c>
      <c r="L440" t="s">
        <v>5845</v>
      </c>
      <c r="M440" t="s">
        <v>5907</v>
      </c>
      <c r="N440" t="s">
        <v>5904</v>
      </c>
      <c r="O440" t="s">
        <v>2469</v>
      </c>
      <c r="P440" t="s">
        <v>5908</v>
      </c>
      <c r="Q440" t="s">
        <v>2274</v>
      </c>
      <c r="R440" t="s">
        <v>4847</v>
      </c>
      <c r="S440" t="s">
        <v>5848</v>
      </c>
      <c r="T440">
        <v>190.3</v>
      </c>
      <c r="U440"/>
      <c r="V440" t="s">
        <v>2325</v>
      </c>
      <c r="W440" t="s">
        <v>5849</v>
      </c>
      <c r="X440" t="s">
        <v>2192</v>
      </c>
      <c r="Y440" t="s">
        <v>2325</v>
      </c>
      <c r="Z440" t="s">
        <v>5849</v>
      </c>
      <c r="AA440" t="s">
        <v>2192</v>
      </c>
      <c r="AB440"/>
      <c r="AC440" t="s">
        <v>2193</v>
      </c>
      <c r="AD440" t="s">
        <v>2194</v>
      </c>
      <c r="AE440" t="s">
        <v>1760</v>
      </c>
      <c r="AF440" t="s">
        <v>3417</v>
      </c>
      <c r="AG440"/>
      <c r="AH440"/>
      <c r="AI440"/>
      <c r="AJ440"/>
      <c r="AK440" t="s">
        <v>2195</v>
      </c>
      <c r="AL440"/>
      <c r="AM440" t="s">
        <v>4874</v>
      </c>
      <c r="AN440" s="480"/>
      <c r="AO440" s="480"/>
      <c r="AP440"/>
      <c r="AQ440"/>
      <c r="AR440"/>
      <c r="CE440"/>
      <c r="CG440"/>
      <c r="CI440"/>
      <c r="CJ440"/>
    </row>
    <row r="441" spans="1:88" s="422" customFormat="1" ht="15" customHeight="1" x14ac:dyDescent="0.2">
      <c r="A441">
        <v>440</v>
      </c>
      <c r="B441" t="s">
        <v>1457</v>
      </c>
      <c r="C441">
        <v>330735</v>
      </c>
      <c r="D441" t="s">
        <v>4868</v>
      </c>
      <c r="E441" t="s">
        <v>4869</v>
      </c>
      <c r="F441" t="s">
        <v>2079</v>
      </c>
      <c r="G441" t="s">
        <v>34</v>
      </c>
      <c r="H441" t="s">
        <v>2198</v>
      </c>
      <c r="I441" t="s">
        <v>5723</v>
      </c>
      <c r="J441" t="s">
        <v>2810</v>
      </c>
      <c r="K441" t="s">
        <v>1061</v>
      </c>
      <c r="L441" t="s">
        <v>2855</v>
      </c>
      <c r="M441">
        <v>330735</v>
      </c>
      <c r="N441">
        <v>330735</v>
      </c>
      <c r="O441" t="s">
        <v>904</v>
      </c>
      <c r="P441" t="s">
        <v>2264</v>
      </c>
      <c r="Q441" t="s">
        <v>2271</v>
      </c>
      <c r="R441" t="s">
        <v>2255</v>
      </c>
      <c r="S441" t="s">
        <v>2856</v>
      </c>
      <c r="T441">
        <v>8</v>
      </c>
      <c r="U441" t="s">
        <v>1950</v>
      </c>
      <c r="V441" t="s">
        <v>5531</v>
      </c>
      <c r="W441" t="s">
        <v>5532</v>
      </c>
      <c r="X441" t="s">
        <v>2192</v>
      </c>
      <c r="Y441" t="s">
        <v>5533</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80"/>
      <c r="AO441" s="480"/>
      <c r="AP441"/>
      <c r="AQ441"/>
      <c r="AR441"/>
      <c r="CE441"/>
      <c r="CG441"/>
      <c r="CI441"/>
      <c r="CJ441"/>
    </row>
    <row r="442" spans="1:88" s="423" customFormat="1" ht="15" customHeight="1" x14ac:dyDescent="0.2">
      <c r="A442">
        <v>441</v>
      </c>
      <c r="B442" t="s">
        <v>1457</v>
      </c>
      <c r="C442" t="s">
        <v>1846</v>
      </c>
      <c r="D442" t="s">
        <v>5107</v>
      </c>
      <c r="E442" t="s">
        <v>2142</v>
      </c>
      <c r="F442" t="s">
        <v>2025</v>
      </c>
      <c r="G442" t="s">
        <v>34</v>
      </c>
      <c r="H442" t="s">
        <v>2198</v>
      </c>
      <c r="I442" t="s">
        <v>5723</v>
      </c>
      <c r="J442" t="s">
        <v>1766</v>
      </c>
      <c r="K442" t="s">
        <v>1846</v>
      </c>
      <c r="L442" t="s">
        <v>5108</v>
      </c>
      <c r="M442" t="s">
        <v>2852</v>
      </c>
      <c r="N442" t="s">
        <v>1846</v>
      </c>
      <c r="O442" t="s">
        <v>2469</v>
      </c>
      <c r="P442" t="s">
        <v>5109</v>
      </c>
      <c r="Q442" t="s">
        <v>2274</v>
      </c>
      <c r="R442" t="s">
        <v>4568</v>
      </c>
      <c r="S442" t="s">
        <v>3555</v>
      </c>
      <c r="T442">
        <v>19.28</v>
      </c>
      <c r="U442" t="s">
        <v>1950</v>
      </c>
      <c r="V442" t="s">
        <v>2266</v>
      </c>
      <c r="W442" t="s">
        <v>5110</v>
      </c>
      <c r="X442" t="s">
        <v>2192</v>
      </c>
      <c r="Y442" t="s">
        <v>2266</v>
      </c>
      <c r="Z442" t="s">
        <v>5110</v>
      </c>
      <c r="AA442" t="s">
        <v>2192</v>
      </c>
      <c r="AB442" t="s">
        <v>34</v>
      </c>
      <c r="AC442" t="s">
        <v>2193</v>
      </c>
      <c r="AD442" t="s">
        <v>4572</v>
      </c>
      <c r="AE442" t="s">
        <v>1760</v>
      </c>
      <c r="AF442" t="s">
        <v>3417</v>
      </c>
      <c r="AG442" t="s">
        <v>34</v>
      </c>
      <c r="AH442" t="s">
        <v>34</v>
      </c>
      <c r="AI442" t="s">
        <v>34</v>
      </c>
      <c r="AJ442" t="s">
        <v>34</v>
      </c>
      <c r="AK442" t="s">
        <v>2195</v>
      </c>
      <c r="AL442" t="s">
        <v>34</v>
      </c>
      <c r="AM442" t="s">
        <v>4875</v>
      </c>
      <c r="AN442" s="480">
        <v>0</v>
      </c>
      <c r="AO442" s="480">
        <v>0</v>
      </c>
      <c r="AP442"/>
      <c r="AQ442"/>
      <c r="AR442"/>
      <c r="CE442"/>
      <c r="CG442"/>
      <c r="CI442"/>
      <c r="CJ442"/>
    </row>
    <row r="443" spans="1:88" s="422" customFormat="1" ht="15" customHeight="1" x14ac:dyDescent="0.2">
      <c r="A443">
        <v>442</v>
      </c>
      <c r="B443" t="s">
        <v>1457</v>
      </c>
      <c r="C443" t="s">
        <v>1465</v>
      </c>
      <c r="D443" t="s">
        <v>4306</v>
      </c>
      <c r="E443" t="s">
        <v>2142</v>
      </c>
      <c r="F443" t="s">
        <v>2025</v>
      </c>
      <c r="G443" t="s">
        <v>34</v>
      </c>
      <c r="H443" t="s">
        <v>2198</v>
      </c>
      <c r="I443" t="s">
        <v>5723</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80">
        <v>0</v>
      </c>
      <c r="AO443" s="480">
        <v>0</v>
      </c>
      <c r="AP443"/>
      <c r="AQ443"/>
      <c r="AR443"/>
      <c r="CE443"/>
      <c r="CG443"/>
      <c r="CI443"/>
      <c r="CJ443"/>
    </row>
    <row r="444" spans="1:88" s="423" customFormat="1" ht="15" customHeight="1" x14ac:dyDescent="0.2">
      <c r="A444">
        <v>443</v>
      </c>
      <c r="B444" t="s">
        <v>1457</v>
      </c>
      <c r="C444" t="s">
        <v>4958</v>
      </c>
      <c r="D444" t="s">
        <v>4959</v>
      </c>
      <c r="E444" t="s">
        <v>2142</v>
      </c>
      <c r="F444" t="s">
        <v>2025</v>
      </c>
      <c r="G444" t="s">
        <v>34</v>
      </c>
      <c r="H444" t="s">
        <v>2198</v>
      </c>
      <c r="I444" t="s">
        <v>5723</v>
      </c>
      <c r="J444" t="s">
        <v>1766</v>
      </c>
      <c r="K444" t="s">
        <v>2375</v>
      </c>
      <c r="L444" t="s">
        <v>3477</v>
      </c>
      <c r="M444" t="s">
        <v>3478</v>
      </c>
      <c r="N444" t="s">
        <v>4958</v>
      </c>
      <c r="O444" t="s">
        <v>109</v>
      </c>
      <c r="P444" t="s">
        <v>5534</v>
      </c>
      <c r="Q444" t="s">
        <v>5534</v>
      </c>
      <c r="R444" t="s">
        <v>2255</v>
      </c>
      <c r="S444" t="s">
        <v>3626</v>
      </c>
      <c r="T444">
        <v>136</v>
      </c>
      <c r="U444" t="s">
        <v>1950</v>
      </c>
      <c r="V444" t="s">
        <v>2458</v>
      </c>
      <c r="W444" t="s">
        <v>3478</v>
      </c>
      <c r="X444" t="s">
        <v>3081</v>
      </c>
      <c r="Y444" t="s">
        <v>4915</v>
      </c>
      <c r="Z444" t="s">
        <v>4916</v>
      </c>
      <c r="AA444" t="s">
        <v>5535</v>
      </c>
      <c r="AB444" t="s">
        <v>4917</v>
      </c>
      <c r="AC444" t="s">
        <v>2193</v>
      </c>
      <c r="AD444" t="s">
        <v>2194</v>
      </c>
      <c r="AE444" t="s">
        <v>1760</v>
      </c>
      <c r="AF444" t="s">
        <v>34</v>
      </c>
      <c r="AG444" t="s">
        <v>34</v>
      </c>
      <c r="AH444" t="s">
        <v>34</v>
      </c>
      <c r="AI444" t="s">
        <v>34</v>
      </c>
      <c r="AJ444" t="s">
        <v>34</v>
      </c>
      <c r="AK444" t="s">
        <v>2195</v>
      </c>
      <c r="AL444" t="s">
        <v>34</v>
      </c>
      <c r="AM444" t="s">
        <v>4891</v>
      </c>
      <c r="AN444" s="480"/>
      <c r="AO444" s="480"/>
      <c r="AP444"/>
      <c r="AQ444"/>
      <c r="AR444"/>
      <c r="CE444"/>
      <c r="CG444"/>
      <c r="CI444"/>
      <c r="CJ444"/>
    </row>
    <row r="445" spans="1:88" s="422" customFormat="1" ht="15" customHeight="1" x14ac:dyDescent="0.2">
      <c r="A445">
        <v>444</v>
      </c>
      <c r="B445" t="s">
        <v>1457</v>
      </c>
      <c r="C445" t="s">
        <v>5536</v>
      </c>
      <c r="D445" t="s">
        <v>5537</v>
      </c>
      <c r="E445" t="s">
        <v>2142</v>
      </c>
      <c r="F445" t="s">
        <v>2025</v>
      </c>
      <c r="G445" t="s">
        <v>34</v>
      </c>
      <c r="H445" t="s">
        <v>2198</v>
      </c>
      <c r="I445" t="s">
        <v>5723</v>
      </c>
      <c r="J445" t="s">
        <v>1766</v>
      </c>
      <c r="K445" t="s">
        <v>1465</v>
      </c>
      <c r="L445" t="s">
        <v>5538</v>
      </c>
      <c r="M445" t="s">
        <v>5539</v>
      </c>
      <c r="N445" t="s">
        <v>5536</v>
      </c>
      <c r="O445" t="s">
        <v>109</v>
      </c>
      <c r="P445" t="s">
        <v>3629</v>
      </c>
      <c r="Q445" t="s">
        <v>3629</v>
      </c>
      <c r="R445" t="s">
        <v>2255</v>
      </c>
      <c r="S445" t="s">
        <v>5540</v>
      </c>
      <c r="T445">
        <v>56.25</v>
      </c>
      <c r="U445" t="s">
        <v>1950</v>
      </c>
      <c r="V445" t="s">
        <v>5541</v>
      </c>
      <c r="W445" t="s">
        <v>5542</v>
      </c>
      <c r="X445" t="s">
        <v>2808</v>
      </c>
      <c r="Y445" t="s">
        <v>5176</v>
      </c>
      <c r="Z445" t="s">
        <v>4974</v>
      </c>
      <c r="AA445" t="s">
        <v>5177</v>
      </c>
      <c r="AB445" t="s">
        <v>3476</v>
      </c>
      <c r="AC445" t="s">
        <v>2193</v>
      </c>
      <c r="AD445" t="s">
        <v>5543</v>
      </c>
      <c r="AE445" t="s">
        <v>1760</v>
      </c>
      <c r="AF445" t="s">
        <v>4453</v>
      </c>
      <c r="AG445" t="s">
        <v>34</v>
      </c>
      <c r="AH445" t="s">
        <v>34</v>
      </c>
      <c r="AI445" t="s">
        <v>34</v>
      </c>
      <c r="AJ445" t="s">
        <v>34</v>
      </c>
      <c r="AK445" t="s">
        <v>2195</v>
      </c>
      <c r="AL445" t="s">
        <v>34</v>
      </c>
      <c r="AM445" t="s">
        <v>4891</v>
      </c>
      <c r="AN445" s="480">
        <v>0</v>
      </c>
      <c r="AO445" s="480">
        <v>0</v>
      </c>
      <c r="AP445"/>
      <c r="AQ445"/>
      <c r="AR445"/>
      <c r="CE445"/>
      <c r="CG445"/>
      <c r="CI445"/>
      <c r="CJ445"/>
    </row>
    <row r="446" spans="1:88" s="423" customFormat="1" ht="15" customHeight="1" x14ac:dyDescent="0.2">
      <c r="A446">
        <v>445</v>
      </c>
      <c r="B446" t="s">
        <v>1457</v>
      </c>
      <c r="C446" t="s">
        <v>1277</v>
      </c>
      <c r="D446" t="s">
        <v>5178</v>
      </c>
      <c r="E446" t="s">
        <v>2142</v>
      </c>
      <c r="F446" t="s">
        <v>2025</v>
      </c>
      <c r="G446" t="s">
        <v>34</v>
      </c>
      <c r="H446" t="s">
        <v>2198</v>
      </c>
      <c r="I446" t="s">
        <v>5723</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5176</v>
      </c>
      <c r="Z446" t="s">
        <v>4447</v>
      </c>
      <c r="AA446" t="s">
        <v>5177</v>
      </c>
      <c r="AB446" t="s">
        <v>3476</v>
      </c>
      <c r="AC446" t="s">
        <v>2193</v>
      </c>
      <c r="AD446" t="s">
        <v>2194</v>
      </c>
      <c r="AE446" t="s">
        <v>1760</v>
      </c>
      <c r="AF446" t="s">
        <v>34</v>
      </c>
      <c r="AG446" t="s">
        <v>34</v>
      </c>
      <c r="AH446" t="s">
        <v>34</v>
      </c>
      <c r="AI446" t="s">
        <v>34</v>
      </c>
      <c r="AJ446" t="s">
        <v>34</v>
      </c>
      <c r="AK446" t="s">
        <v>2195</v>
      </c>
      <c r="AL446" t="s">
        <v>34</v>
      </c>
      <c r="AM446" t="s">
        <v>4891</v>
      </c>
      <c r="AN446" s="480">
        <v>0</v>
      </c>
      <c r="AO446" s="480">
        <v>0</v>
      </c>
      <c r="AP446"/>
      <c r="AQ446"/>
      <c r="AR446"/>
      <c r="CE446"/>
      <c r="CG446"/>
      <c r="CI446"/>
      <c r="CJ446"/>
    </row>
    <row r="447" spans="1:88" s="422" customFormat="1" ht="15" customHeight="1" x14ac:dyDescent="0.2">
      <c r="A447">
        <v>446</v>
      </c>
      <c r="B447" t="s">
        <v>1457</v>
      </c>
      <c r="C447" t="s">
        <v>1467</v>
      </c>
      <c r="D447" t="s">
        <v>4307</v>
      </c>
      <c r="E447" t="s">
        <v>2142</v>
      </c>
      <c r="F447" t="s">
        <v>2025</v>
      </c>
      <c r="G447" t="s">
        <v>34</v>
      </c>
      <c r="H447" t="s">
        <v>2198</v>
      </c>
      <c r="I447" t="s">
        <v>5723</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80">
        <v>0</v>
      </c>
      <c r="AO447" s="480">
        <v>0</v>
      </c>
      <c r="AP447"/>
      <c r="AQ447"/>
      <c r="AR447"/>
      <c r="CE447"/>
      <c r="CG447"/>
      <c r="CI447"/>
      <c r="CJ447"/>
    </row>
    <row r="448" spans="1:88" s="423" customFormat="1" ht="15" customHeight="1" x14ac:dyDescent="0.2">
      <c r="A448">
        <v>447</v>
      </c>
      <c r="B448" t="s">
        <v>1457</v>
      </c>
      <c r="C448" t="s">
        <v>1473</v>
      </c>
      <c r="D448" t="s">
        <v>4308</v>
      </c>
      <c r="E448" t="s">
        <v>2142</v>
      </c>
      <c r="F448" t="s">
        <v>2025</v>
      </c>
      <c r="G448" t="s">
        <v>34</v>
      </c>
      <c r="H448" t="s">
        <v>2198</v>
      </c>
      <c r="I448" t="s">
        <v>5723</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80">
        <v>0</v>
      </c>
      <c r="AO448" s="480">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5723</v>
      </c>
      <c r="J449" t="s">
        <v>1766</v>
      </c>
      <c r="K449" t="s">
        <v>4920</v>
      </c>
      <c r="L449" t="s">
        <v>5622</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80">
        <v>0</v>
      </c>
      <c r="AO449" s="480">
        <v>0</v>
      </c>
    </row>
    <row r="450" spans="1:88" s="423" customFormat="1" ht="15" customHeight="1" x14ac:dyDescent="0.2">
      <c r="A450">
        <v>449</v>
      </c>
      <c r="B450" t="s">
        <v>1457</v>
      </c>
      <c r="C450" t="s">
        <v>1471</v>
      </c>
      <c r="D450" t="s">
        <v>4309</v>
      </c>
      <c r="E450" t="s">
        <v>2142</v>
      </c>
      <c r="F450" t="s">
        <v>2025</v>
      </c>
      <c r="G450" t="s">
        <v>34</v>
      </c>
      <c r="H450" t="s">
        <v>2198</v>
      </c>
      <c r="I450" t="s">
        <v>5723</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80">
        <v>0</v>
      </c>
      <c r="AO450" s="480">
        <v>0</v>
      </c>
      <c r="AP450"/>
      <c r="AQ450"/>
      <c r="AR450"/>
      <c r="CE450"/>
      <c r="CG450"/>
      <c r="CI450"/>
      <c r="CJ450"/>
    </row>
    <row r="451" spans="1:88" s="422" customFormat="1" ht="15" customHeight="1" x14ac:dyDescent="0.2">
      <c r="A451">
        <v>450</v>
      </c>
      <c r="B451" t="s">
        <v>1457</v>
      </c>
      <c r="C451" t="s">
        <v>1477</v>
      </c>
      <c r="D451" t="s">
        <v>4310</v>
      </c>
      <c r="E451" t="s">
        <v>2142</v>
      </c>
      <c r="F451" t="s">
        <v>2025</v>
      </c>
      <c r="G451" t="s">
        <v>34</v>
      </c>
      <c r="H451" t="s">
        <v>2198</v>
      </c>
      <c r="I451" t="s">
        <v>5723</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5255</v>
      </c>
      <c r="AB451" t="s">
        <v>5256</v>
      </c>
      <c r="AC451" t="s">
        <v>2193</v>
      </c>
      <c r="AD451" t="s">
        <v>2194</v>
      </c>
      <c r="AE451" t="s">
        <v>1760</v>
      </c>
      <c r="AF451" t="s">
        <v>109</v>
      </c>
      <c r="AG451" t="s">
        <v>34</v>
      </c>
      <c r="AH451" t="s">
        <v>34</v>
      </c>
      <c r="AI451" t="s">
        <v>34</v>
      </c>
      <c r="AJ451" t="s">
        <v>34</v>
      </c>
      <c r="AK451" t="s">
        <v>2195</v>
      </c>
      <c r="AL451" t="s">
        <v>34</v>
      </c>
      <c r="AM451" t="s">
        <v>4891</v>
      </c>
      <c r="AN451" s="480">
        <v>0</v>
      </c>
      <c r="AO451" s="480">
        <v>0</v>
      </c>
      <c r="AP451"/>
      <c r="AQ451"/>
      <c r="AR451"/>
      <c r="CE451"/>
      <c r="CG451"/>
      <c r="CI451"/>
      <c r="CJ451"/>
    </row>
    <row r="452" spans="1:88" s="423" customFormat="1" ht="15" customHeight="1" x14ac:dyDescent="0.2">
      <c r="A452">
        <v>451</v>
      </c>
      <c r="B452" t="s">
        <v>1457</v>
      </c>
      <c r="C452" t="s">
        <v>1475</v>
      </c>
      <c r="D452" t="s">
        <v>4311</v>
      </c>
      <c r="E452" t="s">
        <v>2142</v>
      </c>
      <c r="F452" t="s">
        <v>2025</v>
      </c>
      <c r="G452" t="s">
        <v>34</v>
      </c>
      <c r="H452" t="s">
        <v>2198</v>
      </c>
      <c r="I452" t="s">
        <v>5723</v>
      </c>
      <c r="J452" t="s">
        <v>1766</v>
      </c>
      <c r="K452" t="s">
        <v>1465</v>
      </c>
      <c r="L452" t="s">
        <v>3463</v>
      </c>
      <c r="M452">
        <v>910620</v>
      </c>
      <c r="N452" t="s">
        <v>1475</v>
      </c>
      <c r="O452" t="s">
        <v>109</v>
      </c>
      <c r="P452" t="s">
        <v>3620</v>
      </c>
      <c r="Q452" t="s">
        <v>3620</v>
      </c>
      <c r="R452" t="s">
        <v>2191</v>
      </c>
      <c r="S452" t="s">
        <v>3622</v>
      </c>
      <c r="T452">
        <v>4.3</v>
      </c>
      <c r="U452" t="s">
        <v>1950</v>
      </c>
      <c r="V452" t="s">
        <v>5445</v>
      </c>
      <c r="W452" t="s">
        <v>3466</v>
      </c>
      <c r="X452" t="s">
        <v>2808</v>
      </c>
      <c r="Y452" t="s">
        <v>4464</v>
      </c>
      <c r="Z452" t="s">
        <v>4447</v>
      </c>
      <c r="AA452" t="s">
        <v>5446</v>
      </c>
      <c r="AB452" t="s">
        <v>5447</v>
      </c>
      <c r="AC452" t="s">
        <v>2193</v>
      </c>
      <c r="AD452" t="s">
        <v>2194</v>
      </c>
      <c r="AE452" t="s">
        <v>1760</v>
      </c>
      <c r="AF452" t="s">
        <v>34</v>
      </c>
      <c r="AG452" t="s">
        <v>34</v>
      </c>
      <c r="AH452" t="s">
        <v>34</v>
      </c>
      <c r="AI452" t="s">
        <v>34</v>
      </c>
      <c r="AJ452" t="s">
        <v>34</v>
      </c>
      <c r="AK452" t="s">
        <v>2195</v>
      </c>
      <c r="AL452" t="s">
        <v>34</v>
      </c>
      <c r="AM452" t="s">
        <v>4891</v>
      </c>
      <c r="AN452" s="480"/>
      <c r="AO452" s="480"/>
      <c r="AP452"/>
      <c r="AQ452"/>
      <c r="AR452"/>
      <c r="CE452"/>
      <c r="CG452"/>
      <c r="CI452"/>
      <c r="CJ452"/>
    </row>
    <row r="453" spans="1:88" s="422" customFormat="1" ht="15" customHeight="1" x14ac:dyDescent="0.2">
      <c r="A453">
        <v>452</v>
      </c>
      <c r="B453" t="s">
        <v>1457</v>
      </c>
      <c r="C453" t="s">
        <v>5544</v>
      </c>
      <c r="D453" t="s">
        <v>5545</v>
      </c>
      <c r="E453" t="s">
        <v>2142</v>
      </c>
      <c r="F453" t="s">
        <v>2025</v>
      </c>
      <c r="G453" t="s">
        <v>34</v>
      </c>
      <c r="H453" t="s">
        <v>2198</v>
      </c>
      <c r="I453" t="s">
        <v>5723</v>
      </c>
      <c r="J453" t="s">
        <v>1766</v>
      </c>
      <c r="K453" t="s">
        <v>1465</v>
      </c>
      <c r="L453" t="s">
        <v>5546</v>
      </c>
      <c r="M453">
        <v>506311</v>
      </c>
      <c r="N453" t="s">
        <v>5544</v>
      </c>
      <c r="O453" t="s">
        <v>109</v>
      </c>
      <c r="P453" t="s">
        <v>3625</v>
      </c>
      <c r="Q453" t="s">
        <v>5547</v>
      </c>
      <c r="R453" t="s">
        <v>2255</v>
      </c>
      <c r="S453" t="s">
        <v>5548</v>
      </c>
      <c r="T453">
        <v>14.35</v>
      </c>
      <c r="U453" t="s">
        <v>1950</v>
      </c>
      <c r="V453" t="s">
        <v>5445</v>
      </c>
      <c r="W453" t="s">
        <v>5549</v>
      </c>
      <c r="X453" t="s">
        <v>2808</v>
      </c>
      <c r="Y453" t="s">
        <v>5176</v>
      </c>
      <c r="Z453" t="s">
        <v>4974</v>
      </c>
      <c r="AA453" t="s">
        <v>5550</v>
      </c>
      <c r="AB453" t="s">
        <v>3476</v>
      </c>
      <c r="AC453" t="s">
        <v>2193</v>
      </c>
      <c r="AD453" t="s">
        <v>5551</v>
      </c>
      <c r="AE453" t="s">
        <v>1760</v>
      </c>
      <c r="AF453" t="s">
        <v>4453</v>
      </c>
      <c r="AG453" t="s">
        <v>34</v>
      </c>
      <c r="AH453" t="s">
        <v>34</v>
      </c>
      <c r="AI453" t="s">
        <v>34</v>
      </c>
      <c r="AJ453" t="s">
        <v>34</v>
      </c>
      <c r="AK453" t="s">
        <v>2195</v>
      </c>
      <c r="AL453" t="s">
        <v>34</v>
      </c>
      <c r="AM453" t="s">
        <v>4891</v>
      </c>
      <c r="AN453" s="480">
        <v>0</v>
      </c>
      <c r="AO453" s="480">
        <v>0</v>
      </c>
      <c r="AP453"/>
      <c r="AQ453"/>
      <c r="AR453"/>
      <c r="CE453"/>
      <c r="CG453"/>
      <c r="CI453"/>
      <c r="CJ453"/>
    </row>
    <row r="454" spans="1:88" s="423" customFormat="1" x14ac:dyDescent="0.2">
      <c r="A454">
        <v>453</v>
      </c>
      <c r="B454" t="s">
        <v>1457</v>
      </c>
      <c r="C454" t="s">
        <v>1481</v>
      </c>
      <c r="D454" t="s">
        <v>4312</v>
      </c>
      <c r="E454" t="s">
        <v>2142</v>
      </c>
      <c r="F454" t="s">
        <v>2025</v>
      </c>
      <c r="G454" t="s">
        <v>34</v>
      </c>
      <c r="H454" t="s">
        <v>2198</v>
      </c>
      <c r="I454" t="s">
        <v>5723</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80">
        <v>0</v>
      </c>
      <c r="AO454" s="480">
        <v>0</v>
      </c>
      <c r="AP454"/>
      <c r="AQ454"/>
      <c r="AR454"/>
      <c r="CE454"/>
      <c r="CG454"/>
      <c r="CI454"/>
      <c r="CJ454"/>
    </row>
    <row r="455" spans="1:88" s="422" customFormat="1" ht="15" customHeight="1" x14ac:dyDescent="0.2">
      <c r="A455">
        <v>454</v>
      </c>
      <c r="B455" t="s">
        <v>1457</v>
      </c>
      <c r="C455" t="s">
        <v>1459</v>
      </c>
      <c r="D455" t="s">
        <v>4313</v>
      </c>
      <c r="E455" t="s">
        <v>2142</v>
      </c>
      <c r="F455" t="s">
        <v>2025</v>
      </c>
      <c r="G455" t="s">
        <v>34</v>
      </c>
      <c r="H455" t="s">
        <v>2198</v>
      </c>
      <c r="I455" t="s">
        <v>5723</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80">
        <v>0</v>
      </c>
      <c r="AO455" s="480">
        <v>0</v>
      </c>
      <c r="AP455"/>
      <c r="AQ455"/>
      <c r="AR455"/>
      <c r="CE455"/>
      <c r="CG455"/>
      <c r="CI455"/>
      <c r="CJ455"/>
    </row>
    <row r="456" spans="1:88" s="423"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80">
        <v>0</v>
      </c>
      <c r="AO456" s="480">
        <v>0</v>
      </c>
      <c r="AP456"/>
      <c r="AQ456"/>
      <c r="AR456"/>
      <c r="CE456"/>
      <c r="CG456"/>
      <c r="CI456"/>
      <c r="CJ456"/>
    </row>
    <row r="457" spans="1:88" s="422" customFormat="1" ht="15" customHeight="1" x14ac:dyDescent="0.2">
      <c r="A457">
        <v>456</v>
      </c>
      <c r="B457" t="s">
        <v>1457</v>
      </c>
      <c r="C457" t="s">
        <v>4564</v>
      </c>
      <c r="D457" t="s">
        <v>4565</v>
      </c>
      <c r="E457" t="s">
        <v>2142</v>
      </c>
      <c r="F457" t="s">
        <v>2025</v>
      </c>
      <c r="G457" t="s">
        <v>34</v>
      </c>
      <c r="H457" t="s">
        <v>2198</v>
      </c>
      <c r="I457" t="s">
        <v>5723</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80">
        <v>0</v>
      </c>
      <c r="AO457" s="480">
        <v>0</v>
      </c>
      <c r="AP457"/>
      <c r="AQ457"/>
      <c r="AR457"/>
      <c r="CE457"/>
      <c r="CG457"/>
      <c r="CI457"/>
      <c r="CJ457"/>
    </row>
    <row r="458" spans="1:88" x14ac:dyDescent="0.2">
      <c r="A458">
        <v>457</v>
      </c>
      <c r="B458" t="s">
        <v>1457</v>
      </c>
      <c r="C458" t="s">
        <v>1490</v>
      </c>
      <c r="D458" t="s">
        <v>4315</v>
      </c>
      <c r="E458" t="s">
        <v>2142</v>
      </c>
      <c r="F458" t="s">
        <v>2025</v>
      </c>
      <c r="G458" t="s">
        <v>34</v>
      </c>
      <c r="H458" t="s">
        <v>2198</v>
      </c>
      <c r="I458" t="s">
        <v>5723</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80">
        <v>0</v>
      </c>
      <c r="AO458" s="480">
        <v>0</v>
      </c>
    </row>
    <row r="459" spans="1:88" s="422" customFormat="1" ht="15" customHeight="1" x14ac:dyDescent="0.2">
      <c r="A459">
        <v>458</v>
      </c>
      <c r="B459" t="s">
        <v>1457</v>
      </c>
      <c r="C459" t="s">
        <v>1463</v>
      </c>
      <c r="D459" t="s">
        <v>4316</v>
      </c>
      <c r="E459" t="s">
        <v>2142</v>
      </c>
      <c r="F459" t="s">
        <v>2025</v>
      </c>
      <c r="G459" t="s">
        <v>34</v>
      </c>
      <c r="H459" t="s">
        <v>2198</v>
      </c>
      <c r="I459" t="s">
        <v>5723</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80">
        <v>0</v>
      </c>
      <c r="AO459" s="480">
        <v>0</v>
      </c>
      <c r="AP459"/>
      <c r="AQ459"/>
      <c r="AR459"/>
      <c r="CE459"/>
      <c r="CG459"/>
      <c r="CI459"/>
      <c r="CJ459"/>
    </row>
    <row r="460" spans="1:88" s="423" customFormat="1" ht="15" customHeight="1" x14ac:dyDescent="0.2">
      <c r="A460">
        <v>459</v>
      </c>
      <c r="B460" t="s">
        <v>1457</v>
      </c>
      <c r="C460" t="s">
        <v>1488</v>
      </c>
      <c r="D460" t="s">
        <v>4317</v>
      </c>
      <c r="E460" t="s">
        <v>2142</v>
      </c>
      <c r="F460" t="s">
        <v>2025</v>
      </c>
      <c r="G460" t="s">
        <v>34</v>
      </c>
      <c r="H460" t="s">
        <v>2198</v>
      </c>
      <c r="I460" t="s">
        <v>5723</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5448</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80">
        <v>0</v>
      </c>
      <c r="AO460" s="480">
        <v>0</v>
      </c>
      <c r="AP460"/>
      <c r="AQ460"/>
      <c r="AR460"/>
      <c r="CE460"/>
      <c r="CG460"/>
      <c r="CI460"/>
      <c r="CJ460"/>
    </row>
    <row r="461" spans="1:88" x14ac:dyDescent="0.2">
      <c r="A461">
        <v>460</v>
      </c>
      <c r="B461" t="s">
        <v>1457</v>
      </c>
      <c r="C461" t="s">
        <v>1492</v>
      </c>
      <c r="D461" t="s">
        <v>4318</v>
      </c>
      <c r="E461" t="s">
        <v>2142</v>
      </c>
      <c r="F461" t="s">
        <v>2025</v>
      </c>
      <c r="G461" t="s">
        <v>34</v>
      </c>
      <c r="H461" t="s">
        <v>2198</v>
      </c>
      <c r="I461" t="s">
        <v>5723</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80">
        <v>0</v>
      </c>
      <c r="AO461" s="480">
        <v>0</v>
      </c>
    </row>
    <row r="462" spans="1:88" s="423" customFormat="1" x14ac:dyDescent="0.2">
      <c r="A462">
        <v>461</v>
      </c>
      <c r="B462" t="s">
        <v>1457</v>
      </c>
      <c r="C462" t="s">
        <v>4923</v>
      </c>
      <c r="D462" t="s">
        <v>4924</v>
      </c>
      <c r="E462" t="s">
        <v>2142</v>
      </c>
      <c r="F462" t="s">
        <v>2025</v>
      </c>
      <c r="G462" t="s">
        <v>34</v>
      </c>
      <c r="H462" t="s">
        <v>2198</v>
      </c>
      <c r="I462" t="s">
        <v>5723</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80">
        <v>0</v>
      </c>
      <c r="AO462" s="480">
        <v>0</v>
      </c>
      <c r="AP462"/>
      <c r="AQ462"/>
      <c r="AR462"/>
      <c r="CE462"/>
      <c r="CG462"/>
      <c r="CI462"/>
      <c r="CJ462"/>
    </row>
    <row r="463" spans="1:88" x14ac:dyDescent="0.2">
      <c r="A463">
        <v>462</v>
      </c>
      <c r="B463" t="s">
        <v>1457</v>
      </c>
      <c r="C463" t="s">
        <v>1485</v>
      </c>
      <c r="D463" t="s">
        <v>4319</v>
      </c>
      <c r="E463" t="s">
        <v>2142</v>
      </c>
      <c r="F463" t="s">
        <v>2025</v>
      </c>
      <c r="G463" t="s">
        <v>34</v>
      </c>
      <c r="H463" t="s">
        <v>2198</v>
      </c>
      <c r="I463" t="s">
        <v>5723</v>
      </c>
      <c r="J463" t="s">
        <v>1766</v>
      </c>
      <c r="K463" t="s">
        <v>3510</v>
      </c>
      <c r="L463" t="s">
        <v>3511</v>
      </c>
      <c r="M463">
        <v>300135477</v>
      </c>
      <c r="N463" t="s">
        <v>1485</v>
      </c>
      <c r="O463" t="s">
        <v>109</v>
      </c>
      <c r="P463" t="s">
        <v>5552</v>
      </c>
      <c r="Q463" t="s">
        <v>5552</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80">
        <v>0</v>
      </c>
      <c r="AO463" s="480">
        <v>0</v>
      </c>
    </row>
    <row r="464" spans="1:88" x14ac:dyDescent="0.2">
      <c r="A464">
        <v>463</v>
      </c>
      <c r="B464" t="s">
        <v>1457</v>
      </c>
      <c r="C464" t="s">
        <v>1937</v>
      </c>
      <c r="D464" t="s">
        <v>4320</v>
      </c>
      <c r="E464" t="s">
        <v>2142</v>
      </c>
      <c r="F464" t="s">
        <v>2025</v>
      </c>
      <c r="G464" t="s">
        <v>34</v>
      </c>
      <c r="H464" t="s">
        <v>2198</v>
      </c>
      <c r="I464" t="s">
        <v>5723</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5176</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80">
        <v>0</v>
      </c>
      <c r="AO464" s="480">
        <v>0</v>
      </c>
    </row>
    <row r="465" spans="1:88" s="422" customFormat="1" ht="15" customHeight="1" x14ac:dyDescent="0.2">
      <c r="A465">
        <v>464</v>
      </c>
      <c r="B465" t="s">
        <v>1457</v>
      </c>
      <c r="C465" t="s">
        <v>4476</v>
      </c>
      <c r="D465" t="s">
        <v>4477</v>
      </c>
      <c r="E465" t="s">
        <v>2142</v>
      </c>
      <c r="F465" t="s">
        <v>2025</v>
      </c>
      <c r="G465" t="s">
        <v>34</v>
      </c>
      <c r="H465" t="s">
        <v>2198</v>
      </c>
      <c r="I465" t="s">
        <v>5723</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80">
        <v>0</v>
      </c>
      <c r="AO465" s="480">
        <v>0</v>
      </c>
      <c r="AP465"/>
      <c r="AQ465"/>
      <c r="AR465"/>
      <c r="CE465"/>
      <c r="CG465"/>
      <c r="CI465"/>
      <c r="CJ465"/>
    </row>
    <row r="466" spans="1:88" s="423" customFormat="1" ht="15" customHeight="1" x14ac:dyDescent="0.2">
      <c r="A466">
        <v>465</v>
      </c>
      <c r="B466" t="s">
        <v>1457</v>
      </c>
      <c r="C466" t="s">
        <v>4608</v>
      </c>
      <c r="D466" t="s">
        <v>4609</v>
      </c>
      <c r="E466" t="s">
        <v>2142</v>
      </c>
      <c r="F466" t="s">
        <v>2025</v>
      </c>
      <c r="G466" t="s">
        <v>34</v>
      </c>
      <c r="H466" t="s">
        <v>2198</v>
      </c>
      <c r="I466" t="s">
        <v>5723</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80">
        <v>0</v>
      </c>
      <c r="AO466" s="480">
        <v>0</v>
      </c>
      <c r="AP466"/>
      <c r="AQ466"/>
      <c r="AR466"/>
      <c r="CE466"/>
      <c r="CG466"/>
      <c r="CI466"/>
      <c r="CJ466"/>
    </row>
    <row r="467" spans="1:88" s="422" customFormat="1" ht="15" customHeight="1" x14ac:dyDescent="0.2">
      <c r="A467">
        <v>466</v>
      </c>
      <c r="B467" t="s">
        <v>1494</v>
      </c>
      <c r="C467" t="s">
        <v>4587</v>
      </c>
      <c r="D467" t="s">
        <v>4588</v>
      </c>
      <c r="E467" t="s">
        <v>2143</v>
      </c>
      <c r="F467" t="s">
        <v>2025</v>
      </c>
      <c r="G467" t="s">
        <v>34</v>
      </c>
      <c r="H467" t="s">
        <v>2198</v>
      </c>
      <c r="I467" t="s">
        <v>5723</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80">
        <v>0</v>
      </c>
      <c r="AO467" s="480">
        <v>0</v>
      </c>
      <c r="AP467"/>
      <c r="AQ467"/>
      <c r="AR467"/>
      <c r="CE467"/>
      <c r="CG467"/>
      <c r="CI467"/>
      <c r="CJ467"/>
    </row>
    <row r="468" spans="1:88" s="423" customFormat="1" ht="15" customHeight="1" x14ac:dyDescent="0.2">
      <c r="A468">
        <v>467</v>
      </c>
      <c r="B468" t="s">
        <v>1494</v>
      </c>
      <c r="C468" t="s">
        <v>4774</v>
      </c>
      <c r="D468" t="s">
        <v>4775</v>
      </c>
      <c r="E468" t="s">
        <v>2143</v>
      </c>
      <c r="F468" t="s">
        <v>2025</v>
      </c>
      <c r="G468" t="s">
        <v>34</v>
      </c>
      <c r="H468" t="s">
        <v>2198</v>
      </c>
      <c r="I468" t="s">
        <v>5723</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5585</v>
      </c>
      <c r="AC468" t="s">
        <v>2193</v>
      </c>
      <c r="AD468" t="s">
        <v>2194</v>
      </c>
      <c r="AE468" t="s">
        <v>1760</v>
      </c>
      <c r="AF468" t="s">
        <v>34</v>
      </c>
      <c r="AG468" t="s">
        <v>34</v>
      </c>
      <c r="AH468" t="s">
        <v>34</v>
      </c>
      <c r="AI468" t="s">
        <v>34</v>
      </c>
      <c r="AJ468" t="s">
        <v>34</v>
      </c>
      <c r="AK468" t="s">
        <v>2195</v>
      </c>
      <c r="AL468" t="s">
        <v>34</v>
      </c>
      <c r="AM468" t="s">
        <v>4879</v>
      </c>
      <c r="AN468" s="480">
        <v>0</v>
      </c>
      <c r="AO468" s="480">
        <v>0</v>
      </c>
      <c r="AP468"/>
      <c r="AQ468"/>
      <c r="AR468"/>
      <c r="CE468"/>
      <c r="CG468"/>
      <c r="CI468"/>
      <c r="CJ468"/>
    </row>
    <row r="469" spans="1:88" s="422" customFormat="1" ht="15" customHeight="1" x14ac:dyDescent="0.2">
      <c r="A469">
        <v>468</v>
      </c>
      <c r="B469" t="s">
        <v>1494</v>
      </c>
      <c r="C469" t="s">
        <v>1501</v>
      </c>
      <c r="D469" t="s">
        <v>4321</v>
      </c>
      <c r="E469" t="s">
        <v>2143</v>
      </c>
      <c r="F469" t="s">
        <v>2025</v>
      </c>
      <c r="G469" t="s">
        <v>34</v>
      </c>
      <c r="H469" t="s">
        <v>2198</v>
      </c>
      <c r="I469" t="s">
        <v>5723</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80">
        <v>0</v>
      </c>
      <c r="AO469" s="480">
        <v>0</v>
      </c>
      <c r="AP469"/>
      <c r="AQ469"/>
      <c r="AR469"/>
      <c r="CE469"/>
      <c r="CG469"/>
      <c r="CI469"/>
      <c r="CJ469"/>
    </row>
    <row r="470" spans="1:88" s="423" customFormat="1" ht="15" customHeight="1" x14ac:dyDescent="0.2">
      <c r="A470">
        <v>469</v>
      </c>
      <c r="B470" t="s">
        <v>1494</v>
      </c>
      <c r="C470" t="s">
        <v>1503</v>
      </c>
      <c r="D470" t="s">
        <v>4322</v>
      </c>
      <c r="E470" t="s">
        <v>2143</v>
      </c>
      <c r="F470" t="s">
        <v>2025</v>
      </c>
      <c r="G470" t="s">
        <v>34</v>
      </c>
      <c r="H470" t="s">
        <v>2198</v>
      </c>
      <c r="I470" t="s">
        <v>5769</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80">
        <v>0</v>
      </c>
      <c r="AO470" s="480">
        <v>0</v>
      </c>
      <c r="AP470"/>
      <c r="AQ470"/>
      <c r="AR470"/>
      <c r="CE470"/>
      <c r="CG470"/>
      <c r="CI470"/>
      <c r="CJ470"/>
    </row>
    <row r="471" spans="1:88" s="422" customFormat="1" ht="15" customHeight="1" x14ac:dyDescent="0.2">
      <c r="A471">
        <v>470</v>
      </c>
      <c r="B471" t="s">
        <v>1494</v>
      </c>
      <c r="C471" t="s">
        <v>1505</v>
      </c>
      <c r="D471" t="s">
        <v>4323</v>
      </c>
      <c r="E471" t="s">
        <v>2143</v>
      </c>
      <c r="F471" t="s">
        <v>2025</v>
      </c>
      <c r="G471" t="s">
        <v>34</v>
      </c>
      <c r="H471" t="s">
        <v>2198</v>
      </c>
      <c r="I471" t="s">
        <v>5723</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80">
        <v>0</v>
      </c>
      <c r="AO471" s="480">
        <v>0</v>
      </c>
      <c r="AP471"/>
      <c r="AQ471"/>
      <c r="AR471"/>
      <c r="CE471"/>
      <c r="CG471"/>
      <c r="CI471"/>
      <c r="CJ471"/>
    </row>
    <row r="472" spans="1:88" s="423" customFormat="1" ht="15" customHeight="1" x14ac:dyDescent="0.2">
      <c r="A472">
        <v>471</v>
      </c>
      <c r="B472" t="s">
        <v>1494</v>
      </c>
      <c r="C472" t="s">
        <v>1507</v>
      </c>
      <c r="D472" t="s">
        <v>4324</v>
      </c>
      <c r="E472" t="s">
        <v>2143</v>
      </c>
      <c r="F472" t="s">
        <v>2025</v>
      </c>
      <c r="G472" t="s">
        <v>34</v>
      </c>
      <c r="H472" t="s">
        <v>2198</v>
      </c>
      <c r="I472" t="s">
        <v>5723</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80">
        <v>0</v>
      </c>
      <c r="AO472" s="480">
        <v>0</v>
      </c>
      <c r="AP472"/>
      <c r="AQ472"/>
      <c r="AR472"/>
      <c r="CE472"/>
      <c r="CG472"/>
      <c r="CI472"/>
      <c r="CJ472"/>
    </row>
    <row r="473" spans="1:88" s="422" customFormat="1" ht="15" customHeight="1" x14ac:dyDescent="0.2">
      <c r="A473">
        <v>472</v>
      </c>
      <c r="B473" t="s">
        <v>1494</v>
      </c>
      <c r="C473" t="s">
        <v>1509</v>
      </c>
      <c r="D473" t="s">
        <v>4325</v>
      </c>
      <c r="E473" t="s">
        <v>2143</v>
      </c>
      <c r="F473" t="s">
        <v>2025</v>
      </c>
      <c r="G473" t="s">
        <v>34</v>
      </c>
      <c r="H473" t="s">
        <v>2198</v>
      </c>
      <c r="I473" t="s">
        <v>5769</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80">
        <v>0</v>
      </c>
      <c r="AO473" s="480">
        <v>0</v>
      </c>
      <c r="AP473"/>
      <c r="AQ473"/>
      <c r="AR473"/>
      <c r="CE473"/>
      <c r="CG473"/>
      <c r="CI473"/>
      <c r="CJ473"/>
    </row>
    <row r="474" spans="1:88" s="423" customFormat="1" ht="15" customHeight="1" x14ac:dyDescent="0.2">
      <c r="A474">
        <v>473</v>
      </c>
      <c r="B474" t="s">
        <v>1494</v>
      </c>
      <c r="C474" t="s">
        <v>1511</v>
      </c>
      <c r="D474" t="s">
        <v>4326</v>
      </c>
      <c r="E474" t="s">
        <v>2143</v>
      </c>
      <c r="F474" t="s">
        <v>2025</v>
      </c>
      <c r="G474" t="s">
        <v>34</v>
      </c>
      <c r="H474" t="s">
        <v>2198</v>
      </c>
      <c r="I474" t="s">
        <v>5723</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80">
        <v>0</v>
      </c>
      <c r="AO474" s="480">
        <v>0</v>
      </c>
      <c r="AP474"/>
      <c r="AQ474"/>
      <c r="AR474"/>
      <c r="CE474"/>
      <c r="CG474"/>
      <c r="CI474"/>
      <c r="CJ474"/>
    </row>
    <row r="475" spans="1:88" s="422" customFormat="1" ht="15" customHeight="1" x14ac:dyDescent="0.2">
      <c r="A475">
        <v>474</v>
      </c>
      <c r="B475" t="s">
        <v>1494</v>
      </c>
      <c r="C475" t="s">
        <v>4673</v>
      </c>
      <c r="D475" t="s">
        <v>4674</v>
      </c>
      <c r="E475" t="s">
        <v>2143</v>
      </c>
      <c r="F475" t="s">
        <v>2025</v>
      </c>
      <c r="G475" t="s">
        <v>34</v>
      </c>
      <c r="H475" t="s">
        <v>2198</v>
      </c>
      <c r="I475" t="s">
        <v>5723</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80">
        <v>0</v>
      </c>
      <c r="AO475" s="480">
        <v>0</v>
      </c>
      <c r="AP475"/>
      <c r="AQ475"/>
      <c r="AR475"/>
      <c r="CE475"/>
      <c r="CG475"/>
      <c r="CI475"/>
      <c r="CJ475"/>
    </row>
    <row r="476" spans="1:88" s="423" customFormat="1" ht="15" customHeight="1" x14ac:dyDescent="0.2">
      <c r="A476">
        <v>475</v>
      </c>
      <c r="B476" t="s">
        <v>1494</v>
      </c>
      <c r="C476" t="s">
        <v>817</v>
      </c>
      <c r="D476" t="s">
        <v>4327</v>
      </c>
      <c r="E476" t="s">
        <v>2143</v>
      </c>
      <c r="F476" t="s">
        <v>2025</v>
      </c>
      <c r="G476" t="s">
        <v>34</v>
      </c>
      <c r="H476" t="s">
        <v>2198</v>
      </c>
      <c r="I476" t="s">
        <v>5723</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80">
        <v>0</v>
      </c>
      <c r="AO476" s="480">
        <v>0</v>
      </c>
      <c r="AP476"/>
      <c r="AQ476"/>
      <c r="AR476"/>
      <c r="CE476"/>
      <c r="CG476"/>
      <c r="CI476"/>
      <c r="CJ476"/>
    </row>
    <row r="477" spans="1:88" s="422" customFormat="1" ht="15" customHeight="1" x14ac:dyDescent="0.2">
      <c r="A477">
        <v>476</v>
      </c>
      <c r="B477" t="s">
        <v>1494</v>
      </c>
      <c r="C477" t="s">
        <v>835</v>
      </c>
      <c r="D477" t="s">
        <v>4328</v>
      </c>
      <c r="E477" t="s">
        <v>2143</v>
      </c>
      <c r="F477" t="s">
        <v>2025</v>
      </c>
      <c r="G477" t="s">
        <v>34</v>
      </c>
      <c r="H477" t="s">
        <v>2198</v>
      </c>
      <c r="I477" t="s">
        <v>5723</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80">
        <v>0</v>
      </c>
      <c r="AO477" s="480">
        <v>0</v>
      </c>
      <c r="AP477"/>
      <c r="AQ477"/>
      <c r="AR477"/>
      <c r="CE477"/>
      <c r="CG477"/>
      <c r="CI477"/>
      <c r="CJ477"/>
    </row>
    <row r="478" spans="1:88" s="423" customFormat="1" ht="15" customHeight="1" x14ac:dyDescent="0.2">
      <c r="A478">
        <v>477</v>
      </c>
      <c r="B478" t="s">
        <v>1494</v>
      </c>
      <c r="C478" t="s">
        <v>1872</v>
      </c>
      <c r="D478" t="s">
        <v>4329</v>
      </c>
      <c r="E478" t="s">
        <v>2143</v>
      </c>
      <c r="F478" t="s">
        <v>2025</v>
      </c>
      <c r="G478" t="s">
        <v>34</v>
      </c>
      <c r="H478" t="s">
        <v>2198</v>
      </c>
      <c r="I478" t="s">
        <v>5723</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80">
        <v>0</v>
      </c>
      <c r="AO478" s="480">
        <v>0</v>
      </c>
      <c r="AP478"/>
      <c r="AQ478"/>
      <c r="AR478"/>
      <c r="CE478"/>
      <c r="CG478"/>
      <c r="CI478"/>
      <c r="CJ478"/>
    </row>
    <row r="479" spans="1:88" s="422" customFormat="1" ht="15" customHeight="1" x14ac:dyDescent="0.2">
      <c r="A479">
        <v>478</v>
      </c>
      <c r="B479" t="s">
        <v>1494</v>
      </c>
      <c r="C479" t="s">
        <v>1513</v>
      </c>
      <c r="D479" t="s">
        <v>4330</v>
      </c>
      <c r="E479" t="s">
        <v>2143</v>
      </c>
      <c r="F479" t="s">
        <v>2025</v>
      </c>
      <c r="G479" t="s">
        <v>34</v>
      </c>
      <c r="H479" t="s">
        <v>2198</v>
      </c>
      <c r="I479" t="s">
        <v>5723</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80">
        <v>0</v>
      </c>
      <c r="AO479" s="480">
        <v>0</v>
      </c>
      <c r="AP479"/>
      <c r="AQ479"/>
      <c r="AR479"/>
      <c r="CE479"/>
      <c r="CG479"/>
      <c r="CI479"/>
      <c r="CJ479"/>
    </row>
    <row r="480" spans="1:88" s="423" customFormat="1" ht="15" customHeight="1" x14ac:dyDescent="0.2">
      <c r="A480">
        <v>479</v>
      </c>
      <c r="B480" t="s">
        <v>1494</v>
      </c>
      <c r="C480" t="s">
        <v>1515</v>
      </c>
      <c r="D480" t="s">
        <v>4331</v>
      </c>
      <c r="E480" t="s">
        <v>2143</v>
      </c>
      <c r="F480" t="s">
        <v>2025</v>
      </c>
      <c r="G480" t="s">
        <v>34</v>
      </c>
      <c r="H480" t="s">
        <v>2198</v>
      </c>
      <c r="I480" t="s">
        <v>5723</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80">
        <v>0</v>
      </c>
      <c r="AO480" s="480">
        <v>0</v>
      </c>
      <c r="AP480"/>
      <c r="AQ480"/>
      <c r="AR480"/>
      <c r="CE480"/>
      <c r="CG480"/>
      <c r="CI480"/>
      <c r="CJ480"/>
    </row>
    <row r="481" spans="1:88" s="422" customFormat="1" ht="15" customHeight="1" x14ac:dyDescent="0.2">
      <c r="A481">
        <v>480</v>
      </c>
      <c r="B481" t="s">
        <v>1494</v>
      </c>
      <c r="C481" t="s">
        <v>1990</v>
      </c>
      <c r="D481" t="s">
        <v>4332</v>
      </c>
      <c r="E481" t="s">
        <v>2143</v>
      </c>
      <c r="F481" t="s">
        <v>2025</v>
      </c>
      <c r="G481" t="s">
        <v>34</v>
      </c>
      <c r="H481" t="s">
        <v>2198</v>
      </c>
      <c r="I481" t="s">
        <v>5723</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80">
        <v>0</v>
      </c>
      <c r="AO481" s="480">
        <v>0</v>
      </c>
      <c r="AP481"/>
      <c r="AQ481"/>
      <c r="AR481"/>
      <c r="CE481"/>
      <c r="CG481"/>
      <c r="CI481"/>
      <c r="CJ481"/>
    </row>
    <row r="482" spans="1:88" s="423" customFormat="1" ht="15" customHeight="1" x14ac:dyDescent="0.2">
      <c r="A482">
        <v>481</v>
      </c>
      <c r="B482" t="s">
        <v>1494</v>
      </c>
      <c r="C482" t="s">
        <v>1517</v>
      </c>
      <c r="D482" t="s">
        <v>4333</v>
      </c>
      <c r="E482" t="s">
        <v>2143</v>
      </c>
      <c r="F482" t="s">
        <v>2025</v>
      </c>
      <c r="G482" t="s">
        <v>34</v>
      </c>
      <c r="H482" t="s">
        <v>2198</v>
      </c>
      <c r="I482" t="s">
        <v>5723</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80">
        <v>0</v>
      </c>
      <c r="AO482" s="480">
        <v>0</v>
      </c>
      <c r="AP482"/>
      <c r="AQ482"/>
      <c r="AR482"/>
      <c r="CE482"/>
      <c r="CG482"/>
      <c r="CI482"/>
      <c r="CJ482"/>
    </row>
    <row r="483" spans="1:88" s="422" customFormat="1" ht="15" customHeight="1" x14ac:dyDescent="0.2">
      <c r="A483">
        <v>482</v>
      </c>
      <c r="B483" t="s">
        <v>1494</v>
      </c>
      <c r="C483" t="s">
        <v>1519</v>
      </c>
      <c r="D483" t="s">
        <v>4334</v>
      </c>
      <c r="E483" t="s">
        <v>2143</v>
      </c>
      <c r="F483" t="s">
        <v>2025</v>
      </c>
      <c r="G483" t="s">
        <v>34</v>
      </c>
      <c r="H483" t="s">
        <v>2198</v>
      </c>
      <c r="I483" t="s">
        <v>5723</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80">
        <v>0</v>
      </c>
      <c r="AO483" s="480">
        <v>0</v>
      </c>
      <c r="AP483"/>
      <c r="AQ483"/>
      <c r="AR483"/>
      <c r="CE483"/>
      <c r="CG483"/>
      <c r="CI483"/>
      <c r="CJ483"/>
    </row>
    <row r="484" spans="1:88" x14ac:dyDescent="0.2">
      <c r="A484">
        <v>483</v>
      </c>
      <c r="B484" t="s">
        <v>1494</v>
      </c>
      <c r="C484" t="s">
        <v>1521</v>
      </c>
      <c r="D484" t="s">
        <v>4335</v>
      </c>
      <c r="E484" t="s">
        <v>2143</v>
      </c>
      <c r="F484" t="s">
        <v>2025</v>
      </c>
      <c r="G484" t="s">
        <v>34</v>
      </c>
      <c r="H484" t="s">
        <v>2198</v>
      </c>
      <c r="I484" t="s">
        <v>5723</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80">
        <v>0</v>
      </c>
      <c r="AO484" s="480">
        <v>0</v>
      </c>
    </row>
    <row r="485" spans="1:88" x14ac:dyDescent="0.2">
      <c r="A485">
        <v>484</v>
      </c>
      <c r="B485" t="s">
        <v>1494</v>
      </c>
      <c r="C485" t="s">
        <v>1523</v>
      </c>
      <c r="D485" t="s">
        <v>4336</v>
      </c>
      <c r="E485" t="s">
        <v>2143</v>
      </c>
      <c r="F485" t="s">
        <v>2025</v>
      </c>
      <c r="G485" t="s">
        <v>34</v>
      </c>
      <c r="H485" t="s">
        <v>2198</v>
      </c>
      <c r="I485" t="s">
        <v>5723</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80">
        <v>0</v>
      </c>
      <c r="AO485" s="480">
        <v>0</v>
      </c>
    </row>
    <row r="486" spans="1:88" x14ac:dyDescent="0.2">
      <c r="A486">
        <v>485</v>
      </c>
      <c r="B486" t="s">
        <v>1494</v>
      </c>
      <c r="C486" t="s">
        <v>1988</v>
      </c>
      <c r="D486" t="s">
        <v>4337</v>
      </c>
      <c r="E486" t="s">
        <v>2143</v>
      </c>
      <c r="F486" t="s">
        <v>2025</v>
      </c>
      <c r="G486" t="s">
        <v>34</v>
      </c>
      <c r="H486" t="s">
        <v>2198</v>
      </c>
      <c r="I486" t="s">
        <v>5723</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80">
        <v>0</v>
      </c>
      <c r="AO486" s="480">
        <v>0</v>
      </c>
    </row>
    <row r="487" spans="1:88" x14ac:dyDescent="0.2">
      <c r="A487">
        <v>486</v>
      </c>
      <c r="B487" t="s">
        <v>1494</v>
      </c>
      <c r="C487" t="s">
        <v>1525</v>
      </c>
      <c r="D487" t="s">
        <v>4338</v>
      </c>
      <c r="E487" t="s">
        <v>2143</v>
      </c>
      <c r="F487" t="s">
        <v>2025</v>
      </c>
      <c r="G487" t="s">
        <v>34</v>
      </c>
      <c r="H487" t="s">
        <v>2198</v>
      </c>
      <c r="I487" t="s">
        <v>5723</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80">
        <v>0</v>
      </c>
      <c r="AO487" s="480">
        <v>0</v>
      </c>
    </row>
    <row r="488" spans="1:88" x14ac:dyDescent="0.2">
      <c r="A488">
        <v>487</v>
      </c>
      <c r="B488" t="s">
        <v>1494</v>
      </c>
      <c r="C488" t="s">
        <v>1527</v>
      </c>
      <c r="D488" t="s">
        <v>4339</v>
      </c>
      <c r="E488" t="s">
        <v>2143</v>
      </c>
      <c r="F488" t="s">
        <v>2025</v>
      </c>
      <c r="G488" t="s">
        <v>34</v>
      </c>
      <c r="H488" t="s">
        <v>2198</v>
      </c>
      <c r="I488" t="s">
        <v>5723</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80">
        <v>0</v>
      </c>
      <c r="AO488" s="480">
        <v>0</v>
      </c>
    </row>
    <row r="489" spans="1:88" x14ac:dyDescent="0.2">
      <c r="A489">
        <v>488</v>
      </c>
      <c r="B489" t="s">
        <v>1494</v>
      </c>
      <c r="C489" t="s">
        <v>1529</v>
      </c>
      <c r="D489" t="s">
        <v>4340</v>
      </c>
      <c r="E489" t="s">
        <v>2143</v>
      </c>
      <c r="F489" t="s">
        <v>2025</v>
      </c>
      <c r="G489" t="s">
        <v>34</v>
      </c>
      <c r="H489" t="s">
        <v>2198</v>
      </c>
      <c r="I489" t="s">
        <v>5723</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80">
        <v>0</v>
      </c>
      <c r="AO489" s="480">
        <v>0</v>
      </c>
    </row>
    <row r="490" spans="1:88" ht="15" customHeight="1" x14ac:dyDescent="0.2">
      <c r="A490">
        <v>489</v>
      </c>
      <c r="B490" t="s">
        <v>1494</v>
      </c>
      <c r="C490" t="s">
        <v>1531</v>
      </c>
      <c r="D490" t="s">
        <v>4341</v>
      </c>
      <c r="E490" t="s">
        <v>2143</v>
      </c>
      <c r="F490" t="s">
        <v>2025</v>
      </c>
      <c r="G490" t="s">
        <v>34</v>
      </c>
      <c r="H490" t="s">
        <v>2198</v>
      </c>
      <c r="I490" t="s">
        <v>5723</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80">
        <v>0</v>
      </c>
      <c r="AO490" s="480">
        <v>0</v>
      </c>
    </row>
    <row r="491" spans="1:88" ht="15" customHeight="1" x14ac:dyDescent="0.2">
      <c r="A491">
        <v>490</v>
      </c>
      <c r="B491" t="s">
        <v>1494</v>
      </c>
      <c r="C491" t="s">
        <v>1497</v>
      </c>
      <c r="D491" t="s">
        <v>4342</v>
      </c>
      <c r="E491" t="s">
        <v>2143</v>
      </c>
      <c r="F491" t="s">
        <v>2025</v>
      </c>
      <c r="G491" t="s">
        <v>34</v>
      </c>
      <c r="H491" t="s">
        <v>2198</v>
      </c>
      <c r="I491" t="s">
        <v>5723</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80">
        <v>0</v>
      </c>
      <c r="AO491" s="480">
        <v>0</v>
      </c>
    </row>
    <row r="492" spans="1:88" ht="15" customHeight="1" x14ac:dyDescent="0.2">
      <c r="A492">
        <v>491</v>
      </c>
      <c r="B492" t="s">
        <v>1831</v>
      </c>
      <c r="C492" t="s">
        <v>1833</v>
      </c>
      <c r="D492" t="s">
        <v>4343</v>
      </c>
      <c r="E492" t="s">
        <v>3648</v>
      </c>
      <c r="F492" t="s">
        <v>2056</v>
      </c>
      <c r="G492" t="s">
        <v>34</v>
      </c>
      <c r="H492" t="s">
        <v>2198</v>
      </c>
      <c r="I492" t="s">
        <v>5737</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80"/>
      <c r="AO492" s="480"/>
    </row>
    <row r="493" spans="1:88" ht="15" customHeight="1" x14ac:dyDescent="0.2">
      <c r="A493">
        <v>492</v>
      </c>
      <c r="B493" t="s">
        <v>5351</v>
      </c>
      <c r="C493" t="s">
        <v>837</v>
      </c>
      <c r="D493" t="s">
        <v>5449</v>
      </c>
      <c r="E493" t="s">
        <v>5353</v>
      </c>
      <c r="F493" t="s">
        <v>2043</v>
      </c>
      <c r="G493" t="s">
        <v>34</v>
      </c>
      <c r="H493" t="s">
        <v>2198</v>
      </c>
      <c r="I493" t="s">
        <v>5723</v>
      </c>
      <c r="J493" t="s">
        <v>2466</v>
      </c>
      <c r="K493" t="s">
        <v>1118</v>
      </c>
      <c r="L493" t="s">
        <v>2313</v>
      </c>
      <c r="M493" t="s">
        <v>837</v>
      </c>
      <c r="N493" t="s">
        <v>837</v>
      </c>
      <c r="O493" t="s">
        <v>904</v>
      </c>
      <c r="P493" t="s">
        <v>5450</v>
      </c>
      <c r="Q493" t="s">
        <v>2196</v>
      </c>
      <c r="R493" t="s">
        <v>5451</v>
      </c>
      <c r="S493" t="s">
        <v>5452</v>
      </c>
      <c r="T493">
        <v>6.4</v>
      </c>
      <c r="U493" t="s">
        <v>1950</v>
      </c>
      <c r="V493" t="s">
        <v>5453</v>
      </c>
      <c r="W493" t="s">
        <v>5454</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80"/>
      <c r="AO493" s="480"/>
    </row>
    <row r="494" spans="1:88" ht="15" customHeight="1" x14ac:dyDescent="0.2">
      <c r="A494">
        <v>493</v>
      </c>
      <c r="B494" t="s">
        <v>5351</v>
      </c>
      <c r="C494" t="s">
        <v>835</v>
      </c>
      <c r="D494" t="s">
        <v>5455</v>
      </c>
      <c r="E494" t="s">
        <v>5353</v>
      </c>
      <c r="F494" t="s">
        <v>2043</v>
      </c>
      <c r="G494" t="s">
        <v>34</v>
      </c>
      <c r="H494" t="s">
        <v>2198</v>
      </c>
      <c r="I494" t="s">
        <v>5723</v>
      </c>
      <c r="J494" t="s">
        <v>2466</v>
      </c>
      <c r="K494" t="s">
        <v>1118</v>
      </c>
      <c r="L494" t="s">
        <v>2313</v>
      </c>
      <c r="M494" t="s">
        <v>835</v>
      </c>
      <c r="N494" t="s">
        <v>835</v>
      </c>
      <c r="O494" t="s">
        <v>904</v>
      </c>
      <c r="P494" t="s">
        <v>5456</v>
      </c>
      <c r="Q494" t="s">
        <v>2196</v>
      </c>
      <c r="R494" t="s">
        <v>2365</v>
      </c>
      <c r="S494" t="s">
        <v>5457</v>
      </c>
      <c r="T494">
        <v>282.5</v>
      </c>
      <c r="U494" t="s">
        <v>1950</v>
      </c>
      <c r="V494" t="s">
        <v>5458</v>
      </c>
      <c r="W494" t="s">
        <v>5459</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80"/>
      <c r="AO494" s="480"/>
    </row>
    <row r="495" spans="1:88" ht="15" customHeight="1" x14ac:dyDescent="0.2">
      <c r="A495">
        <v>494</v>
      </c>
      <c r="B495" t="s">
        <v>5351</v>
      </c>
      <c r="C495" t="s">
        <v>817</v>
      </c>
      <c r="D495" t="s">
        <v>5352</v>
      </c>
      <c r="E495" t="s">
        <v>5353</v>
      </c>
      <c r="F495" t="s">
        <v>2043</v>
      </c>
      <c r="G495" t="s">
        <v>34</v>
      </c>
      <c r="H495" t="s">
        <v>2198</v>
      </c>
      <c r="I495" t="s">
        <v>5723</v>
      </c>
      <c r="J495" t="s">
        <v>2466</v>
      </c>
      <c r="K495" t="s">
        <v>1118</v>
      </c>
      <c r="L495" t="s">
        <v>2313</v>
      </c>
      <c r="M495" t="s">
        <v>817</v>
      </c>
      <c r="N495" t="s">
        <v>817</v>
      </c>
      <c r="O495" t="s">
        <v>904</v>
      </c>
      <c r="P495" t="s">
        <v>5354</v>
      </c>
      <c r="Q495" t="s">
        <v>2196</v>
      </c>
      <c r="R495" t="s">
        <v>2365</v>
      </c>
      <c r="S495" t="s">
        <v>5355</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80">
        <v>0</v>
      </c>
      <c r="AO495" s="480">
        <v>0</v>
      </c>
    </row>
    <row r="496" spans="1:88" x14ac:dyDescent="0.2">
      <c r="A496">
        <v>495</v>
      </c>
      <c r="B496" t="s">
        <v>3876</v>
      </c>
      <c r="C496" t="s">
        <v>4902</v>
      </c>
      <c r="D496" t="s">
        <v>4903</v>
      </c>
      <c r="E496" t="s">
        <v>4904</v>
      </c>
      <c r="F496" t="s">
        <v>4905</v>
      </c>
      <c r="G496" t="s">
        <v>34</v>
      </c>
      <c r="H496" t="s">
        <v>2198</v>
      </c>
      <c r="I496" t="s">
        <v>5723</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5553</v>
      </c>
      <c r="Y496" t="s">
        <v>109</v>
      </c>
      <c r="Z496" t="s">
        <v>109</v>
      </c>
      <c r="AA496" t="s">
        <v>109</v>
      </c>
      <c r="AB496" t="s">
        <v>5778</v>
      </c>
      <c r="AC496" t="s">
        <v>2193</v>
      </c>
      <c r="AD496" t="s">
        <v>2194</v>
      </c>
      <c r="AE496" t="s">
        <v>1760</v>
      </c>
      <c r="AF496">
        <v>5</v>
      </c>
      <c r="AG496">
        <v>1</v>
      </c>
      <c r="AH496">
        <v>75</v>
      </c>
      <c r="AI496" t="s">
        <v>3982</v>
      </c>
      <c r="AJ496" t="s">
        <v>4906</v>
      </c>
      <c r="AK496" t="s">
        <v>2195</v>
      </c>
      <c r="AL496" t="s">
        <v>34</v>
      </c>
      <c r="AM496" t="s">
        <v>4874</v>
      </c>
      <c r="AN496" s="480">
        <v>0</v>
      </c>
      <c r="AO496" s="480">
        <v>0</v>
      </c>
    </row>
    <row r="497" spans="1:41" x14ac:dyDescent="0.2">
      <c r="A497">
        <v>496</v>
      </c>
      <c r="B497" t="s">
        <v>1587</v>
      </c>
      <c r="C497" t="s">
        <v>1603</v>
      </c>
      <c r="D497" t="s">
        <v>4344</v>
      </c>
      <c r="E497" t="s">
        <v>2151</v>
      </c>
      <c r="F497" t="s">
        <v>2152</v>
      </c>
      <c r="G497" t="s">
        <v>34</v>
      </c>
      <c r="H497" t="s">
        <v>2198</v>
      </c>
      <c r="I497" t="s">
        <v>5723</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80">
        <v>0</v>
      </c>
      <c r="AO497" s="480">
        <v>0</v>
      </c>
    </row>
    <row r="498" spans="1:41" x14ac:dyDescent="0.2">
      <c r="A498">
        <v>497</v>
      </c>
      <c r="B498" t="s">
        <v>1587</v>
      </c>
      <c r="C498" t="s">
        <v>1594</v>
      </c>
      <c r="D498" t="s">
        <v>4345</v>
      </c>
      <c r="E498" t="s">
        <v>2151</v>
      </c>
      <c r="F498" t="s">
        <v>2152</v>
      </c>
      <c r="G498" t="s">
        <v>34</v>
      </c>
      <c r="H498" t="s">
        <v>2198</v>
      </c>
      <c r="I498" t="s">
        <v>5723</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80">
        <v>0</v>
      </c>
      <c r="AO498" s="480">
        <v>0</v>
      </c>
    </row>
    <row r="499" spans="1:41" x14ac:dyDescent="0.2">
      <c r="A499">
        <v>498</v>
      </c>
      <c r="B499" t="s">
        <v>1587</v>
      </c>
      <c r="C499" t="s">
        <v>1596</v>
      </c>
      <c r="D499" t="s">
        <v>4346</v>
      </c>
      <c r="E499" t="s">
        <v>2151</v>
      </c>
      <c r="F499" t="s">
        <v>2152</v>
      </c>
      <c r="G499" t="s">
        <v>34</v>
      </c>
      <c r="H499" t="s">
        <v>2198</v>
      </c>
      <c r="I499" t="s">
        <v>5723</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80">
        <v>0</v>
      </c>
      <c r="AO499" s="480">
        <v>0</v>
      </c>
    </row>
    <row r="500" spans="1:41" x14ac:dyDescent="0.2">
      <c r="A500">
        <v>499</v>
      </c>
      <c r="B500" t="s">
        <v>1587</v>
      </c>
      <c r="C500" t="s">
        <v>1589</v>
      </c>
      <c r="D500" t="s">
        <v>4347</v>
      </c>
      <c r="E500" t="s">
        <v>2151</v>
      </c>
      <c r="F500" t="s">
        <v>2152</v>
      </c>
      <c r="G500" t="s">
        <v>34</v>
      </c>
      <c r="H500" t="s">
        <v>2198</v>
      </c>
      <c r="I500" t="s">
        <v>5723</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80">
        <v>0</v>
      </c>
      <c r="AO500" s="480">
        <v>0</v>
      </c>
    </row>
    <row r="501" spans="1:41" x14ac:dyDescent="0.2">
      <c r="A501">
        <v>500</v>
      </c>
      <c r="B501" t="s">
        <v>1587</v>
      </c>
      <c r="C501" t="s">
        <v>1617</v>
      </c>
      <c r="D501" t="s">
        <v>4348</v>
      </c>
      <c r="E501" t="s">
        <v>2151</v>
      </c>
      <c r="F501" t="s">
        <v>2152</v>
      </c>
      <c r="G501" t="s">
        <v>34</v>
      </c>
      <c r="H501" t="s">
        <v>2198</v>
      </c>
      <c r="I501" t="s">
        <v>5723</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80">
        <v>0</v>
      </c>
      <c r="AO501" s="480">
        <v>0</v>
      </c>
    </row>
    <row r="502" spans="1:41" x14ac:dyDescent="0.2">
      <c r="A502">
        <v>501</v>
      </c>
      <c r="B502" t="s">
        <v>1587</v>
      </c>
      <c r="C502" t="s">
        <v>1600</v>
      </c>
      <c r="D502" t="s">
        <v>4349</v>
      </c>
      <c r="E502" t="s">
        <v>2151</v>
      </c>
      <c r="F502" t="s">
        <v>2152</v>
      </c>
      <c r="G502" t="s">
        <v>34</v>
      </c>
      <c r="H502" t="s">
        <v>2198</v>
      </c>
      <c r="I502" t="s">
        <v>5723</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80">
        <v>0</v>
      </c>
      <c r="AO502" s="480">
        <v>0</v>
      </c>
    </row>
    <row r="503" spans="1:41" x14ac:dyDescent="0.2">
      <c r="A503">
        <v>502</v>
      </c>
      <c r="B503" t="s">
        <v>1587</v>
      </c>
      <c r="C503" t="s">
        <v>1607</v>
      </c>
      <c r="D503" t="s">
        <v>4350</v>
      </c>
      <c r="E503" t="s">
        <v>2151</v>
      </c>
      <c r="F503" t="s">
        <v>2152</v>
      </c>
      <c r="G503" t="s">
        <v>34</v>
      </c>
      <c r="H503" t="s">
        <v>2198</v>
      </c>
      <c r="I503" t="s">
        <v>5723</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80">
        <v>0</v>
      </c>
      <c r="AO503" s="480">
        <v>0</v>
      </c>
    </row>
    <row r="504" spans="1:41" x14ac:dyDescent="0.2">
      <c r="A504">
        <v>503</v>
      </c>
      <c r="B504" t="s">
        <v>1587</v>
      </c>
      <c r="C504" t="s">
        <v>1021</v>
      </c>
      <c r="D504" t="s">
        <v>4351</v>
      </c>
      <c r="E504" t="s">
        <v>2151</v>
      </c>
      <c r="F504" t="s">
        <v>2152</v>
      </c>
      <c r="G504" t="s">
        <v>34</v>
      </c>
      <c r="H504" t="s">
        <v>2198</v>
      </c>
      <c r="I504" t="s">
        <v>5723</v>
      </c>
      <c r="J504" t="s">
        <v>2186</v>
      </c>
      <c r="K504" t="s">
        <v>1061</v>
      </c>
      <c r="L504" t="s">
        <v>3759</v>
      </c>
      <c r="M504">
        <v>6469</v>
      </c>
      <c r="N504" t="s">
        <v>1021</v>
      </c>
      <c r="O504" t="s">
        <v>5724</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80">
        <v>1.4583333333333332E-2</v>
      </c>
      <c r="AO504" s="480">
        <v>0</v>
      </c>
    </row>
    <row r="505" spans="1:41" x14ac:dyDescent="0.2">
      <c r="A505">
        <v>504</v>
      </c>
      <c r="B505" t="s">
        <v>1587</v>
      </c>
      <c r="C505" t="s">
        <v>1011</v>
      </c>
      <c r="D505" t="s">
        <v>4352</v>
      </c>
      <c r="E505" t="s">
        <v>2151</v>
      </c>
      <c r="F505" t="s">
        <v>2152</v>
      </c>
      <c r="G505" t="s">
        <v>34</v>
      </c>
      <c r="H505" t="s">
        <v>2198</v>
      </c>
      <c r="I505" t="s">
        <v>5723</v>
      </c>
      <c r="J505" t="s">
        <v>2186</v>
      </c>
      <c r="K505" t="s">
        <v>1061</v>
      </c>
      <c r="L505" t="s">
        <v>3754</v>
      </c>
      <c r="M505">
        <v>5214</v>
      </c>
      <c r="N505" t="s">
        <v>1011</v>
      </c>
      <c r="O505" t="s">
        <v>5770</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80">
        <v>1.4583333333333332E-2</v>
      </c>
      <c r="AO505" s="480">
        <v>0</v>
      </c>
    </row>
    <row r="506" spans="1:41" x14ac:dyDescent="0.2">
      <c r="A506">
        <v>505</v>
      </c>
      <c r="B506" t="s">
        <v>1587</v>
      </c>
      <c r="C506" t="s">
        <v>334</v>
      </c>
      <c r="D506" t="s">
        <v>4353</v>
      </c>
      <c r="E506" t="s">
        <v>2151</v>
      </c>
      <c r="F506" t="s">
        <v>2152</v>
      </c>
      <c r="G506" t="s">
        <v>34</v>
      </c>
      <c r="H506" t="s">
        <v>2198</v>
      </c>
      <c r="I506" t="s">
        <v>5723</v>
      </c>
      <c r="J506" t="s">
        <v>2186</v>
      </c>
      <c r="K506" t="s">
        <v>1061</v>
      </c>
      <c r="L506" t="s">
        <v>3750</v>
      </c>
      <c r="M506" t="s">
        <v>3751</v>
      </c>
      <c r="N506" t="s">
        <v>334</v>
      </c>
      <c r="O506" t="s">
        <v>5724</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80">
        <v>0</v>
      </c>
      <c r="AO506" s="480">
        <v>0</v>
      </c>
    </row>
    <row r="507" spans="1:41" x14ac:dyDescent="0.2">
      <c r="A507">
        <v>506</v>
      </c>
      <c r="B507" t="s">
        <v>1587</v>
      </c>
      <c r="C507" t="s">
        <v>1605</v>
      </c>
      <c r="D507" t="s">
        <v>4354</v>
      </c>
      <c r="E507" t="s">
        <v>2151</v>
      </c>
      <c r="F507" t="s">
        <v>2152</v>
      </c>
      <c r="G507" t="s">
        <v>34</v>
      </c>
      <c r="H507" t="s">
        <v>2198</v>
      </c>
      <c r="I507" t="s">
        <v>5723</v>
      </c>
      <c r="J507" t="s">
        <v>2186</v>
      </c>
      <c r="K507" t="s">
        <v>3729</v>
      </c>
      <c r="L507" t="s">
        <v>3730</v>
      </c>
      <c r="M507">
        <v>18612</v>
      </c>
      <c r="N507" t="s">
        <v>1605</v>
      </c>
      <c r="O507" t="s">
        <v>5746</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80">
        <v>1.4583333333333332E-2</v>
      </c>
      <c r="AO507" s="480">
        <v>0</v>
      </c>
    </row>
    <row r="508" spans="1:41" x14ac:dyDescent="0.2">
      <c r="A508">
        <v>507</v>
      </c>
      <c r="B508" t="s">
        <v>1587</v>
      </c>
      <c r="C508" t="s">
        <v>1063</v>
      </c>
      <c r="D508" t="s">
        <v>4355</v>
      </c>
      <c r="E508" t="s">
        <v>2151</v>
      </c>
      <c r="F508" t="s">
        <v>2152</v>
      </c>
      <c r="G508" t="s">
        <v>34</v>
      </c>
      <c r="H508" t="s">
        <v>2198</v>
      </c>
      <c r="I508" t="s">
        <v>5723</v>
      </c>
      <c r="J508" t="s">
        <v>2186</v>
      </c>
      <c r="K508" t="s">
        <v>1063</v>
      </c>
      <c r="L508" t="s">
        <v>3736</v>
      </c>
      <c r="M508">
        <v>7280010</v>
      </c>
      <c r="N508" t="s">
        <v>1063</v>
      </c>
      <c r="O508" t="s">
        <v>5724</v>
      </c>
      <c r="P508" t="s">
        <v>3737</v>
      </c>
      <c r="Q508" t="s">
        <v>4934</v>
      </c>
      <c r="R508" t="s">
        <v>2191</v>
      </c>
      <c r="S508" t="s">
        <v>3738</v>
      </c>
      <c r="T508">
        <v>172</v>
      </c>
      <c r="U508" t="s">
        <v>2220</v>
      </c>
      <c r="V508" t="s">
        <v>2422</v>
      </c>
      <c r="W508" t="s">
        <v>3739</v>
      </c>
      <c r="X508" t="s">
        <v>5247</v>
      </c>
      <c r="Y508" t="s">
        <v>2537</v>
      </c>
      <c r="Z508" t="s">
        <v>3741</v>
      </c>
      <c r="AA508" t="s">
        <v>5247</v>
      </c>
      <c r="AB508" t="s">
        <v>34</v>
      </c>
      <c r="AC508" t="s">
        <v>2193</v>
      </c>
      <c r="AD508" t="s">
        <v>2194</v>
      </c>
      <c r="AE508" t="s">
        <v>1760</v>
      </c>
      <c r="AF508">
        <v>2.5</v>
      </c>
      <c r="AG508">
        <v>1</v>
      </c>
      <c r="AH508">
        <v>2</v>
      </c>
      <c r="AI508" t="s">
        <v>4036</v>
      </c>
      <c r="AJ508" t="s">
        <v>4037</v>
      </c>
      <c r="AK508" t="s">
        <v>2195</v>
      </c>
      <c r="AL508" t="s">
        <v>34</v>
      </c>
      <c r="AM508" t="s">
        <v>4877</v>
      </c>
      <c r="AN508" s="480">
        <v>0</v>
      </c>
      <c r="AO508" s="480">
        <v>2.1527777777777781E-2</v>
      </c>
    </row>
    <row r="509" spans="1:41" x14ac:dyDescent="0.2">
      <c r="A509">
        <v>508</v>
      </c>
      <c r="B509" t="s">
        <v>1587</v>
      </c>
      <c r="C509" t="s">
        <v>1619</v>
      </c>
      <c r="D509" t="s">
        <v>4356</v>
      </c>
      <c r="E509" t="s">
        <v>2151</v>
      </c>
      <c r="F509" t="s">
        <v>2152</v>
      </c>
      <c r="G509" t="s">
        <v>34</v>
      </c>
      <c r="H509" t="s">
        <v>2198</v>
      </c>
      <c r="I509" t="s">
        <v>5723</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80">
        <v>0</v>
      </c>
      <c r="AO509" s="480">
        <v>0</v>
      </c>
    </row>
    <row r="510" spans="1:41" x14ac:dyDescent="0.2">
      <c r="A510">
        <v>509</v>
      </c>
      <c r="B510" t="s">
        <v>1587</v>
      </c>
      <c r="C510" t="s">
        <v>1611</v>
      </c>
      <c r="D510" t="s">
        <v>4357</v>
      </c>
      <c r="E510" t="s">
        <v>2151</v>
      </c>
      <c r="F510" t="s">
        <v>2152</v>
      </c>
      <c r="G510" t="s">
        <v>34</v>
      </c>
      <c r="H510" t="s">
        <v>2198</v>
      </c>
      <c r="I510" t="s">
        <v>5723</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80">
        <v>0</v>
      </c>
      <c r="AO510" s="480">
        <v>0</v>
      </c>
    </row>
    <row r="511" spans="1:41" x14ac:dyDescent="0.2">
      <c r="A511">
        <v>510</v>
      </c>
      <c r="B511" t="s">
        <v>1587</v>
      </c>
      <c r="C511" t="s">
        <v>1613</v>
      </c>
      <c r="D511" t="s">
        <v>4358</v>
      </c>
      <c r="E511" t="s">
        <v>2151</v>
      </c>
      <c r="F511" t="s">
        <v>2152</v>
      </c>
      <c r="G511" t="s">
        <v>34</v>
      </c>
      <c r="H511" t="s">
        <v>2198</v>
      </c>
      <c r="I511" t="s">
        <v>5723</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80">
        <v>0</v>
      </c>
      <c r="AO511" s="480">
        <v>0</v>
      </c>
    </row>
    <row r="512" spans="1:41" x14ac:dyDescent="0.2">
      <c r="A512">
        <v>511</v>
      </c>
      <c r="B512" t="s">
        <v>1587</v>
      </c>
      <c r="C512" t="s">
        <v>1615</v>
      </c>
      <c r="D512" t="s">
        <v>4359</v>
      </c>
      <c r="E512" t="s">
        <v>2151</v>
      </c>
      <c r="F512" t="s">
        <v>2152</v>
      </c>
      <c r="G512" t="s">
        <v>34</v>
      </c>
      <c r="H512" t="s">
        <v>2198</v>
      </c>
      <c r="I512" t="s">
        <v>5723</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80">
        <v>0</v>
      </c>
      <c r="AO512" s="480">
        <v>0</v>
      </c>
    </row>
    <row r="513" spans="1:41" x14ac:dyDescent="0.2">
      <c r="A513">
        <v>512</v>
      </c>
      <c r="B513" t="s">
        <v>1587</v>
      </c>
      <c r="C513" t="s">
        <v>1609</v>
      </c>
      <c r="D513" t="s">
        <v>4360</v>
      </c>
      <c r="E513" t="s">
        <v>2151</v>
      </c>
      <c r="F513" t="s">
        <v>2152</v>
      </c>
      <c r="G513" t="s">
        <v>34</v>
      </c>
      <c r="H513" t="s">
        <v>2198</v>
      </c>
      <c r="I513" t="s">
        <v>5723</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80">
        <v>1.4583333333333332E-2</v>
      </c>
      <c r="AO513" s="480">
        <v>2.1527777777777781E-2</v>
      </c>
    </row>
    <row r="514" spans="1:41" x14ac:dyDescent="0.2">
      <c r="A514">
        <v>513</v>
      </c>
      <c r="B514" t="s">
        <v>1587</v>
      </c>
      <c r="C514" t="s">
        <v>1418</v>
      </c>
      <c r="D514" t="s">
        <v>4361</v>
      </c>
      <c r="E514" t="s">
        <v>2151</v>
      </c>
      <c r="F514" t="s">
        <v>2152</v>
      </c>
      <c r="G514" t="s">
        <v>34</v>
      </c>
      <c r="H514" t="s">
        <v>2198</v>
      </c>
      <c r="I514" t="s">
        <v>5723</v>
      </c>
      <c r="J514" t="s">
        <v>2186</v>
      </c>
      <c r="K514" t="s">
        <v>2396</v>
      </c>
      <c r="L514" t="s">
        <v>2189</v>
      </c>
      <c r="M514" t="s">
        <v>5829</v>
      </c>
      <c r="N514" t="s">
        <v>1418</v>
      </c>
      <c r="O514" t="s">
        <v>5724</v>
      </c>
      <c r="P514" t="s">
        <v>5830</v>
      </c>
      <c r="Q514" t="s">
        <v>4934</v>
      </c>
      <c r="R514" t="s">
        <v>2191</v>
      </c>
      <c r="S514" t="s">
        <v>3745</v>
      </c>
      <c r="T514">
        <v>85.6</v>
      </c>
      <c r="U514" t="s">
        <v>2218</v>
      </c>
      <c r="V514" t="s">
        <v>5831</v>
      </c>
      <c r="W514" t="s">
        <v>5832</v>
      </c>
      <c r="X514" t="s">
        <v>4935</v>
      </c>
      <c r="Y514" t="s">
        <v>5833</v>
      </c>
      <c r="Z514" t="s">
        <v>5834</v>
      </c>
      <c r="AA514" t="s">
        <v>4935</v>
      </c>
      <c r="AB514" t="s">
        <v>34</v>
      </c>
      <c r="AC514" t="s">
        <v>2193</v>
      </c>
      <c r="AD514" t="s">
        <v>2194</v>
      </c>
      <c r="AE514" t="s">
        <v>1760</v>
      </c>
      <c r="AF514" t="s">
        <v>5835</v>
      </c>
      <c r="AG514">
        <v>0.1</v>
      </c>
      <c r="AH514">
        <v>0.1</v>
      </c>
      <c r="AI514" t="s">
        <v>34</v>
      </c>
      <c r="AJ514" t="s">
        <v>34</v>
      </c>
      <c r="AK514" t="s">
        <v>2195</v>
      </c>
      <c r="AL514" t="s">
        <v>34</v>
      </c>
      <c r="AM514" t="s">
        <v>4874</v>
      </c>
      <c r="AN514" s="480">
        <v>0</v>
      </c>
      <c r="AO514" s="480">
        <v>0</v>
      </c>
    </row>
    <row r="515" spans="1:41" x14ac:dyDescent="0.2">
      <c r="A515">
        <v>514</v>
      </c>
      <c r="B515" t="s">
        <v>1621</v>
      </c>
      <c r="C515" t="s">
        <v>1623</v>
      </c>
      <c r="D515" t="s">
        <v>4362</v>
      </c>
      <c r="E515" t="s">
        <v>2153</v>
      </c>
      <c r="F515" t="s">
        <v>2154</v>
      </c>
      <c r="G515" t="s">
        <v>34</v>
      </c>
      <c r="H515" t="s">
        <v>2198</v>
      </c>
      <c r="I515" t="s">
        <v>5723</v>
      </c>
      <c r="J515" t="s">
        <v>1766</v>
      </c>
      <c r="K515" t="s">
        <v>1118</v>
      </c>
      <c r="L515" t="s">
        <v>3768</v>
      </c>
      <c r="M515">
        <v>620185</v>
      </c>
      <c r="N515" t="s">
        <v>1623</v>
      </c>
      <c r="O515" t="s">
        <v>2469</v>
      </c>
      <c r="P515" t="s">
        <v>3769</v>
      </c>
      <c r="Q515" t="s">
        <v>3740</v>
      </c>
      <c r="R515" t="s">
        <v>2191</v>
      </c>
      <c r="S515" t="s">
        <v>3770</v>
      </c>
      <c r="T515">
        <v>43.8</v>
      </c>
      <c r="U515" t="s">
        <v>1950</v>
      </c>
      <c r="V515" t="s">
        <v>5356</v>
      </c>
      <c r="W515" t="s">
        <v>5357</v>
      </c>
      <c r="X515" t="s">
        <v>2192</v>
      </c>
      <c r="Y515" t="s">
        <v>109</v>
      </c>
      <c r="Z515" t="s">
        <v>109</v>
      </c>
      <c r="AA515" t="s">
        <v>109</v>
      </c>
      <c r="AB515" t="s">
        <v>34</v>
      </c>
      <c r="AC515" t="s">
        <v>2193</v>
      </c>
      <c r="AD515" t="s">
        <v>2194</v>
      </c>
      <c r="AE515" t="s">
        <v>1760</v>
      </c>
      <c r="AF515">
        <v>1</v>
      </c>
      <c r="AG515">
        <v>106</v>
      </c>
      <c r="AH515" t="s">
        <v>5289</v>
      </c>
      <c r="AI515" t="s">
        <v>5358</v>
      </c>
      <c r="AJ515" t="s">
        <v>5359</v>
      </c>
      <c r="AK515" t="s">
        <v>2195</v>
      </c>
      <c r="AL515" t="s">
        <v>34</v>
      </c>
      <c r="AM515" t="s">
        <v>4874</v>
      </c>
      <c r="AN515" s="480">
        <v>0</v>
      </c>
      <c r="AO515" s="480">
        <v>0</v>
      </c>
    </row>
    <row r="516" spans="1:41" x14ac:dyDescent="0.2">
      <c r="A516">
        <v>515</v>
      </c>
      <c r="B516" t="s">
        <v>1621</v>
      </c>
      <c r="C516" t="s">
        <v>1794</v>
      </c>
      <c r="D516" t="s">
        <v>4363</v>
      </c>
      <c r="E516" t="s">
        <v>2153</v>
      </c>
      <c r="F516" t="s">
        <v>2154</v>
      </c>
      <c r="G516" t="s">
        <v>34</v>
      </c>
      <c r="H516" t="s">
        <v>2198</v>
      </c>
      <c r="I516" t="s">
        <v>5723</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80"/>
      <c r="AO516" s="480"/>
    </row>
    <row r="517" spans="1:41" x14ac:dyDescent="0.2">
      <c r="A517">
        <v>516</v>
      </c>
      <c r="B517" t="s">
        <v>1621</v>
      </c>
      <c r="C517" t="s">
        <v>5360</v>
      </c>
      <c r="D517" t="s">
        <v>5361</v>
      </c>
      <c r="E517" t="s">
        <v>2153</v>
      </c>
      <c r="F517" t="s">
        <v>2154</v>
      </c>
      <c r="G517" t="s">
        <v>34</v>
      </c>
      <c r="H517" t="s">
        <v>5117</v>
      </c>
      <c r="I517" t="s">
        <v>5723</v>
      </c>
      <c r="J517" t="s">
        <v>1766</v>
      </c>
      <c r="K517" t="s">
        <v>5362</v>
      </c>
      <c r="L517" t="s">
        <v>3378</v>
      </c>
      <c r="M517">
        <v>43122353</v>
      </c>
      <c r="N517">
        <v>6042</v>
      </c>
      <c r="O517" t="s">
        <v>2469</v>
      </c>
      <c r="P517" t="s">
        <v>5708</v>
      </c>
      <c r="Q517" t="s">
        <v>2271</v>
      </c>
      <c r="R517" t="s">
        <v>2191</v>
      </c>
      <c r="S517" t="s">
        <v>5363</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80"/>
      <c r="AO517" s="480"/>
    </row>
    <row r="518" spans="1:41" x14ac:dyDescent="0.2">
      <c r="A518">
        <v>517</v>
      </c>
      <c r="B518" t="s">
        <v>1621</v>
      </c>
      <c r="C518" t="s">
        <v>5364</v>
      </c>
      <c r="D518" t="s">
        <v>5365</v>
      </c>
      <c r="E518" t="s">
        <v>2153</v>
      </c>
      <c r="F518" t="s">
        <v>2154</v>
      </c>
      <c r="G518" t="s">
        <v>34</v>
      </c>
      <c r="H518" t="s">
        <v>5117</v>
      </c>
      <c r="I518" t="s">
        <v>5723</v>
      </c>
      <c r="J518" t="s">
        <v>1766</v>
      </c>
      <c r="K518" t="s">
        <v>5366</v>
      </c>
      <c r="L518" t="s">
        <v>3378</v>
      </c>
      <c r="M518">
        <v>43122366</v>
      </c>
      <c r="N518">
        <v>6043</v>
      </c>
      <c r="O518" t="s">
        <v>2469</v>
      </c>
      <c r="P518" t="s">
        <v>5708</v>
      </c>
      <c r="Q518" t="s">
        <v>2271</v>
      </c>
      <c r="R518" t="s">
        <v>2191</v>
      </c>
      <c r="S518" t="s">
        <v>5363</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80"/>
      <c r="AO518" s="480"/>
    </row>
    <row r="519" spans="1:41" x14ac:dyDescent="0.2">
      <c r="A519">
        <v>518</v>
      </c>
      <c r="B519" t="s">
        <v>1621</v>
      </c>
      <c r="C519" t="s">
        <v>5367</v>
      </c>
      <c r="D519" t="s">
        <v>5368</v>
      </c>
      <c r="E519" t="s">
        <v>2153</v>
      </c>
      <c r="F519" t="s">
        <v>2154</v>
      </c>
      <c r="G519" t="s">
        <v>34</v>
      </c>
      <c r="H519" t="s">
        <v>5117</v>
      </c>
      <c r="I519" t="s">
        <v>5723</v>
      </c>
      <c r="J519" t="s">
        <v>1766</v>
      </c>
      <c r="K519" t="s">
        <v>5369</v>
      </c>
      <c r="L519" t="s">
        <v>3378</v>
      </c>
      <c r="M519">
        <v>43122354</v>
      </c>
      <c r="N519">
        <v>6044</v>
      </c>
      <c r="O519" t="s">
        <v>2469</v>
      </c>
      <c r="P519" t="s">
        <v>5708</v>
      </c>
      <c r="Q519" t="s">
        <v>2271</v>
      </c>
      <c r="R519" t="s">
        <v>2191</v>
      </c>
      <c r="S519" t="s">
        <v>5363</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80"/>
      <c r="AO519" s="480"/>
    </row>
    <row r="520" spans="1:41" x14ac:dyDescent="0.2">
      <c r="A520">
        <v>519</v>
      </c>
      <c r="B520" t="s">
        <v>1621</v>
      </c>
      <c r="C520" t="s">
        <v>5370</v>
      </c>
      <c r="D520" t="s">
        <v>5371</v>
      </c>
      <c r="E520" t="s">
        <v>2153</v>
      </c>
      <c r="F520" t="s">
        <v>2154</v>
      </c>
      <c r="G520" t="s">
        <v>34</v>
      </c>
      <c r="H520" t="s">
        <v>5117</v>
      </c>
      <c r="I520" t="s">
        <v>5723</v>
      </c>
      <c r="J520" t="s">
        <v>1766</v>
      </c>
      <c r="K520" t="s">
        <v>5372</v>
      </c>
      <c r="L520" t="s">
        <v>3378</v>
      </c>
      <c r="M520">
        <v>43122367</v>
      </c>
      <c r="N520">
        <v>6045</v>
      </c>
      <c r="O520" t="s">
        <v>2469</v>
      </c>
      <c r="P520" t="s">
        <v>5708</v>
      </c>
      <c r="Q520" t="s">
        <v>2271</v>
      </c>
      <c r="R520" t="s">
        <v>2191</v>
      </c>
      <c r="S520" t="s">
        <v>5363</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80">
        <v>0</v>
      </c>
      <c r="AO520" s="480">
        <v>0</v>
      </c>
    </row>
    <row r="521" spans="1:41" x14ac:dyDescent="0.2">
      <c r="A521">
        <v>520</v>
      </c>
      <c r="B521" t="s">
        <v>1625</v>
      </c>
      <c r="C521" t="s">
        <v>1483</v>
      </c>
      <c r="D521" t="s">
        <v>4364</v>
      </c>
      <c r="E521" t="s">
        <v>3780</v>
      </c>
      <c r="F521" t="s">
        <v>2025</v>
      </c>
      <c r="G521" t="s">
        <v>34</v>
      </c>
      <c r="H521" t="s">
        <v>2198</v>
      </c>
      <c r="I521" t="s">
        <v>5723</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80">
        <v>0</v>
      </c>
      <c r="AO521" s="480">
        <v>0</v>
      </c>
    </row>
    <row r="522" spans="1:41" x14ac:dyDescent="0.2">
      <c r="A522">
        <v>521</v>
      </c>
      <c r="B522" t="s">
        <v>1625</v>
      </c>
      <c r="C522" t="s">
        <v>1461</v>
      </c>
      <c r="D522" t="s">
        <v>4365</v>
      </c>
      <c r="E522" t="s">
        <v>3780</v>
      </c>
      <c r="F522" t="s">
        <v>2025</v>
      </c>
      <c r="G522" t="s">
        <v>34</v>
      </c>
      <c r="H522" t="s">
        <v>2198</v>
      </c>
      <c r="I522" t="s">
        <v>5723</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80"/>
      <c r="AO522" s="480"/>
    </row>
    <row r="523" spans="1:41" x14ac:dyDescent="0.2">
      <c r="A523">
        <v>522</v>
      </c>
      <c r="B523" t="s">
        <v>1625</v>
      </c>
      <c r="C523" t="s">
        <v>5171</v>
      </c>
      <c r="D523" t="s">
        <v>5174</v>
      </c>
      <c r="E523" t="s">
        <v>3780</v>
      </c>
      <c r="F523" t="s">
        <v>2025</v>
      </c>
      <c r="G523" t="s">
        <v>34</v>
      </c>
      <c r="H523" t="s">
        <v>2198</v>
      </c>
      <c r="I523" t="s">
        <v>5723</v>
      </c>
      <c r="J523" t="s">
        <v>1766</v>
      </c>
      <c r="K523" t="s">
        <v>1465</v>
      </c>
      <c r="L523" t="s">
        <v>5166</v>
      </c>
      <c r="M523" t="s">
        <v>5172</v>
      </c>
      <c r="N523" t="s">
        <v>5171</v>
      </c>
      <c r="O523" t="s">
        <v>2469</v>
      </c>
      <c r="P523" t="s">
        <v>2449</v>
      </c>
      <c r="Q523" t="s">
        <v>2449</v>
      </c>
      <c r="R523" t="s">
        <v>2255</v>
      </c>
      <c r="S523" t="s">
        <v>5168</v>
      </c>
      <c r="T523">
        <v>29.17</v>
      </c>
      <c r="U523" t="s">
        <v>1950</v>
      </c>
      <c r="V523" t="s">
        <v>5169</v>
      </c>
      <c r="W523" t="s">
        <v>5173</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80"/>
      <c r="AO523" s="480"/>
    </row>
    <row r="524" spans="1:41" x14ac:dyDescent="0.2">
      <c r="A524">
        <v>523</v>
      </c>
      <c r="B524" t="s">
        <v>1625</v>
      </c>
      <c r="C524" t="s">
        <v>5165</v>
      </c>
      <c r="D524" t="s">
        <v>5175</v>
      </c>
      <c r="E524" t="s">
        <v>3780</v>
      </c>
      <c r="F524" t="s">
        <v>2025</v>
      </c>
      <c r="G524" t="s">
        <v>34</v>
      </c>
      <c r="H524" t="s">
        <v>2198</v>
      </c>
      <c r="I524" t="s">
        <v>5723</v>
      </c>
      <c r="J524" t="s">
        <v>1766</v>
      </c>
      <c r="K524" t="s">
        <v>1465</v>
      </c>
      <c r="L524" t="s">
        <v>5166</v>
      </c>
      <c r="M524" t="s">
        <v>5167</v>
      </c>
      <c r="N524" t="s">
        <v>5165</v>
      </c>
      <c r="O524" t="s">
        <v>2469</v>
      </c>
      <c r="P524" t="s">
        <v>2449</v>
      </c>
      <c r="Q524" t="s">
        <v>2449</v>
      </c>
      <c r="R524" t="s">
        <v>2255</v>
      </c>
      <c r="S524" t="s">
        <v>5168</v>
      </c>
      <c r="T524">
        <v>29.17</v>
      </c>
      <c r="U524" t="s">
        <v>1950</v>
      </c>
      <c r="V524" t="s">
        <v>5169</v>
      </c>
      <c r="W524" t="s">
        <v>5170</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80"/>
      <c r="AO524" s="480"/>
    </row>
    <row r="525" spans="1:41" x14ac:dyDescent="0.2">
      <c r="A525">
        <v>524</v>
      </c>
      <c r="AN525" s="480"/>
      <c r="AO525" s="480"/>
    </row>
    <row r="526" spans="1:41" x14ac:dyDescent="0.2">
      <c r="A526">
        <v>525</v>
      </c>
      <c r="AN526" s="480"/>
      <c r="AO526" s="480"/>
    </row>
    <row r="527" spans="1:41" x14ac:dyDescent="0.2">
      <c r="A527">
        <v>526</v>
      </c>
      <c r="AN527" s="480"/>
      <c r="AO527" s="480"/>
    </row>
    <row r="528" spans="1:41" x14ac:dyDescent="0.2">
      <c r="A528">
        <v>527</v>
      </c>
      <c r="AN528" s="480"/>
      <c r="AO528" s="480"/>
    </row>
    <row r="529" spans="1:41" x14ac:dyDescent="0.2">
      <c r="A529">
        <v>528</v>
      </c>
      <c r="AN529" s="480"/>
      <c r="AO529" s="480"/>
    </row>
    <row r="530" spans="1:41" x14ac:dyDescent="0.2">
      <c r="A530">
        <v>529</v>
      </c>
      <c r="AN530" s="480"/>
      <c r="AO530" s="480"/>
    </row>
    <row r="531" spans="1:41" x14ac:dyDescent="0.2">
      <c r="A531">
        <v>530</v>
      </c>
      <c r="AN531" s="480"/>
      <c r="AO531" s="480"/>
    </row>
    <row r="532" spans="1:41" x14ac:dyDescent="0.2">
      <c r="A532">
        <v>531</v>
      </c>
      <c r="AN532" s="480"/>
      <c r="AO532" s="480"/>
    </row>
    <row r="533" spans="1:41" x14ac:dyDescent="0.2">
      <c r="A533">
        <v>532</v>
      </c>
      <c r="AN533" s="480"/>
      <c r="AO533" s="480"/>
    </row>
    <row r="534" spans="1:41" x14ac:dyDescent="0.2">
      <c r="A534">
        <v>533</v>
      </c>
      <c r="AN534" s="480"/>
      <c r="AO534" s="480"/>
    </row>
    <row r="535" spans="1:41" x14ac:dyDescent="0.2">
      <c r="A535">
        <v>534</v>
      </c>
      <c r="AN535" s="480"/>
      <c r="AO535" s="480"/>
    </row>
    <row r="536" spans="1:41" x14ac:dyDescent="0.2">
      <c r="A536">
        <v>535</v>
      </c>
      <c r="AN536" s="480"/>
      <c r="AO536" s="480"/>
    </row>
    <row r="537" spans="1:41" x14ac:dyDescent="0.2">
      <c r="A537">
        <v>536</v>
      </c>
      <c r="AN537" s="480"/>
      <c r="AO537" s="480"/>
    </row>
    <row r="538" spans="1:41" x14ac:dyDescent="0.2">
      <c r="A538">
        <v>537</v>
      </c>
      <c r="AN538" s="480"/>
      <c r="AO538" s="480"/>
    </row>
    <row r="539" spans="1:41" x14ac:dyDescent="0.2">
      <c r="A539">
        <v>538</v>
      </c>
      <c r="AN539" s="480"/>
      <c r="AO539" s="480"/>
    </row>
    <row r="540" spans="1:41" x14ac:dyDescent="0.2">
      <c r="A540">
        <v>539</v>
      </c>
      <c r="AN540" s="480"/>
      <c r="AO540" s="480"/>
    </row>
    <row r="541" spans="1:41" x14ac:dyDescent="0.2">
      <c r="A541">
        <v>540</v>
      </c>
      <c r="AN541" s="480"/>
      <c r="AO541" s="480"/>
    </row>
    <row r="542" spans="1:41" x14ac:dyDescent="0.2">
      <c r="A542">
        <v>541</v>
      </c>
      <c r="AN542" s="480"/>
      <c r="AO542" s="480"/>
    </row>
    <row r="543" spans="1:41" x14ac:dyDescent="0.2">
      <c r="A543">
        <v>542</v>
      </c>
      <c r="AN543" s="480"/>
      <c r="AO543" s="480"/>
    </row>
    <row r="544" spans="1:41" x14ac:dyDescent="0.2">
      <c r="A544">
        <v>543</v>
      </c>
      <c r="AN544" s="480"/>
      <c r="AO544" s="480"/>
    </row>
    <row r="545" spans="1:41" x14ac:dyDescent="0.2">
      <c r="A545">
        <v>544</v>
      </c>
      <c r="AN545" s="480"/>
      <c r="AO545" s="480"/>
    </row>
    <row r="546" spans="1:41" x14ac:dyDescent="0.2">
      <c r="A546">
        <v>545</v>
      </c>
      <c r="AN546" s="480"/>
      <c r="AO546" s="480"/>
    </row>
    <row r="547" spans="1:41" x14ac:dyDescent="0.2">
      <c r="AN547" s="480"/>
      <c r="AO547" s="480"/>
    </row>
    <row r="548" spans="1:41" x14ac:dyDescent="0.2">
      <c r="AN548" s="480"/>
      <c r="AO548" s="480"/>
    </row>
    <row r="549" spans="1:41" x14ac:dyDescent="0.2">
      <c r="AN549" s="480"/>
      <c r="AO549" s="480"/>
    </row>
    <row r="550" spans="1:41" x14ac:dyDescent="0.2">
      <c r="AN550" s="480"/>
      <c r="AO550" s="480"/>
    </row>
    <row r="551" spans="1:41" x14ac:dyDescent="0.2">
      <c r="AN551" s="480"/>
      <c r="AO551" s="480"/>
    </row>
    <row r="552" spans="1:41" x14ac:dyDescent="0.2">
      <c r="AN552" s="480"/>
      <c r="AO552" s="480"/>
    </row>
    <row r="553" spans="1:41" x14ac:dyDescent="0.2">
      <c r="AN553" s="480"/>
      <c r="AO553" s="480"/>
    </row>
    <row r="554" spans="1:41" x14ac:dyDescent="0.2">
      <c r="AN554" s="480"/>
      <c r="AO554" s="480"/>
    </row>
    <row r="555" spans="1:41" x14ac:dyDescent="0.2">
      <c r="AN555" s="480"/>
      <c r="AO555" s="480"/>
    </row>
    <row r="556" spans="1:41" x14ac:dyDescent="0.2">
      <c r="AN556" s="480"/>
      <c r="AO556" s="480"/>
    </row>
    <row r="557" spans="1:41" x14ac:dyDescent="0.2">
      <c r="AN557" s="480"/>
      <c r="AO557" s="480"/>
    </row>
    <row r="558" spans="1:41" x14ac:dyDescent="0.2">
      <c r="AN558" s="480"/>
      <c r="AO558" s="480"/>
    </row>
    <row r="559" spans="1:41" x14ac:dyDescent="0.2">
      <c r="AN559" s="480"/>
      <c r="AO559" s="480"/>
    </row>
    <row r="560" spans="1:41" x14ac:dyDescent="0.2">
      <c r="AN560" s="480"/>
      <c r="AO560" s="480"/>
    </row>
    <row r="561" spans="40:41" x14ac:dyDescent="0.2">
      <c r="AN561" s="480"/>
      <c r="AO561" s="480"/>
    </row>
    <row r="562" spans="40:41" x14ac:dyDescent="0.2">
      <c r="AN562" s="480"/>
      <c r="AO562" s="480"/>
    </row>
    <row r="563" spans="40:41" x14ac:dyDescent="0.2">
      <c r="AN563" s="480"/>
      <c r="AO563" s="480"/>
    </row>
    <row r="564" spans="40:41" x14ac:dyDescent="0.2">
      <c r="AN564" s="480"/>
      <c r="AO564" s="480"/>
    </row>
    <row r="565" spans="40:41" x14ac:dyDescent="0.2">
      <c r="AN565" s="480"/>
      <c r="AO565" s="480"/>
    </row>
    <row r="566" spans="40:41" x14ac:dyDescent="0.2">
      <c r="AN566" s="480"/>
      <c r="AO566" s="480"/>
    </row>
    <row r="567" spans="40:41" x14ac:dyDescent="0.2">
      <c r="AN567" s="480"/>
      <c r="AO567" s="480"/>
    </row>
    <row r="568" spans="40:41" x14ac:dyDescent="0.2">
      <c r="AN568" s="480"/>
      <c r="AO568" s="480"/>
    </row>
    <row r="569" spans="40:41" x14ac:dyDescent="0.2">
      <c r="AN569" s="480"/>
      <c r="AO569" s="480"/>
    </row>
    <row r="570" spans="40:41" x14ac:dyDescent="0.2">
      <c r="AN570" s="480"/>
      <c r="AO570" s="480"/>
    </row>
    <row r="571" spans="40:41" x14ac:dyDescent="0.2">
      <c r="AN571" s="480"/>
      <c r="AO571" s="480"/>
    </row>
    <row r="572" spans="40:41" x14ac:dyDescent="0.2">
      <c r="AN572" s="480"/>
      <c r="AO572" s="480"/>
    </row>
    <row r="573" spans="40:41" x14ac:dyDescent="0.2">
      <c r="AN573" s="480"/>
      <c r="AO573" s="480"/>
    </row>
    <row r="574" spans="40:41" x14ac:dyDescent="0.2">
      <c r="AN574" s="480"/>
      <c r="AO574" s="480"/>
    </row>
    <row r="575" spans="40:41" x14ac:dyDescent="0.2">
      <c r="AN575" s="480"/>
      <c r="AO575" s="480"/>
    </row>
    <row r="576" spans="40:41" x14ac:dyDescent="0.2">
      <c r="AN576" s="480"/>
      <c r="AO576" s="480"/>
    </row>
    <row r="577" spans="40:41" x14ac:dyDescent="0.2">
      <c r="AN577" s="480"/>
      <c r="AO577" s="480"/>
    </row>
    <row r="578" spans="40:41" x14ac:dyDescent="0.2">
      <c r="AN578" s="480"/>
      <c r="AO578" s="480"/>
    </row>
    <row r="579" spans="40:41" x14ac:dyDescent="0.2">
      <c r="AN579" s="480"/>
      <c r="AO579" s="480"/>
    </row>
    <row r="580" spans="40:41" x14ac:dyDescent="0.2">
      <c r="AN580" s="480"/>
      <c r="AO580" s="480"/>
    </row>
    <row r="581" spans="40:41" x14ac:dyDescent="0.2">
      <c r="AN581" s="480"/>
      <c r="AO581" s="480"/>
    </row>
    <row r="582" spans="40:41" x14ac:dyDescent="0.2">
      <c r="AN582" s="480"/>
      <c r="AO582" s="480"/>
    </row>
    <row r="583" spans="40:41" x14ac:dyDescent="0.2">
      <c r="AN583" s="480"/>
      <c r="AO583" s="480"/>
    </row>
    <row r="584" spans="40:41" x14ac:dyDescent="0.2">
      <c r="AN584" s="480"/>
      <c r="AO584" s="480"/>
    </row>
    <row r="585" spans="40:41" x14ac:dyDescent="0.2">
      <c r="AN585" s="480"/>
      <c r="AO585" s="480"/>
    </row>
    <row r="586" spans="40:41" x14ac:dyDescent="0.2">
      <c r="AN586" s="480"/>
      <c r="AO586" s="480"/>
    </row>
    <row r="587" spans="40:41" x14ac:dyDescent="0.2">
      <c r="AN587" s="480"/>
      <c r="AO587" s="480"/>
    </row>
    <row r="588" spans="40:41" x14ac:dyDescent="0.2">
      <c r="AN588" s="480"/>
      <c r="AO588" s="480"/>
    </row>
    <row r="589" spans="40:41" x14ac:dyDescent="0.2">
      <c r="AN589" s="480"/>
      <c r="AO589" s="480"/>
    </row>
    <row r="590" spans="40:41" x14ac:dyDescent="0.2">
      <c r="AN590" s="480"/>
      <c r="AO590" s="480"/>
    </row>
    <row r="591" spans="40:41" x14ac:dyDescent="0.2">
      <c r="AN591" s="480"/>
      <c r="AO591" s="480"/>
    </row>
    <row r="592" spans="40:41" x14ac:dyDescent="0.2">
      <c r="AN592" s="480"/>
      <c r="AO592" s="480"/>
    </row>
    <row r="593" spans="40:41" x14ac:dyDescent="0.2">
      <c r="AN593" s="480"/>
      <c r="AO593" s="480"/>
    </row>
    <row r="594" spans="40:41" x14ac:dyDescent="0.2">
      <c r="AN594" s="480"/>
      <c r="AO594" s="480"/>
    </row>
    <row r="595" spans="40:41" x14ac:dyDescent="0.2">
      <c r="AN595" s="480"/>
      <c r="AO595" s="480"/>
    </row>
    <row r="596" spans="40:41" x14ac:dyDescent="0.2">
      <c r="AN596" s="480"/>
      <c r="AO596" s="480"/>
    </row>
    <row r="597" spans="40:41" x14ac:dyDescent="0.2">
      <c r="AN597" s="480"/>
      <c r="AO597" s="480"/>
    </row>
    <row r="598" spans="40:41" x14ac:dyDescent="0.2">
      <c r="AN598" s="480"/>
      <c r="AO598" s="480"/>
    </row>
    <row r="599" spans="40:41" x14ac:dyDescent="0.2">
      <c r="AN599" s="480"/>
      <c r="AO599" s="480"/>
    </row>
    <row r="600" spans="40:41" x14ac:dyDescent="0.2">
      <c r="AN600" s="480"/>
      <c r="AO600" s="480"/>
    </row>
    <row r="601" spans="40:41" x14ac:dyDescent="0.2">
      <c r="AN601" s="480"/>
      <c r="AO601" s="480"/>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5462</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5632</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5631</v>
      </c>
      <c r="AG3" s="44" t="s">
        <v>5633</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5628</v>
      </c>
      <c r="U6" s="44" t="s">
        <v>161</v>
      </c>
      <c r="Y6" t="s">
        <v>479</v>
      </c>
      <c r="AG6" s="44" t="s">
        <v>143</v>
      </c>
    </row>
    <row r="7" spans="1:33" x14ac:dyDescent="0.2">
      <c r="A7" s="40" t="s">
        <v>76</v>
      </c>
      <c r="B7" s="40" t="s">
        <v>73</v>
      </c>
      <c r="C7" s="40">
        <v>807409</v>
      </c>
      <c r="D7" s="40" t="s">
        <v>91</v>
      </c>
      <c r="E7" s="40">
        <v>40</v>
      </c>
      <c r="O7" t="s">
        <v>199</v>
      </c>
      <c r="Q7" s="44" t="s">
        <v>5629</v>
      </c>
      <c r="U7" s="44" t="s">
        <v>289</v>
      </c>
      <c r="Y7" t="s">
        <v>482</v>
      </c>
      <c r="AG7" s="44" t="s">
        <v>5321</v>
      </c>
    </row>
    <row r="8" spans="1:33" x14ac:dyDescent="0.2">
      <c r="A8" s="40" t="s">
        <v>163</v>
      </c>
      <c r="B8" s="106" t="s">
        <v>73</v>
      </c>
      <c r="C8" s="106">
        <v>808005</v>
      </c>
      <c r="D8" s="40" t="s">
        <v>91</v>
      </c>
      <c r="E8" s="40">
        <v>28</v>
      </c>
      <c r="O8" t="s">
        <v>198</v>
      </c>
      <c r="Q8" s="44" t="s">
        <v>5630</v>
      </c>
      <c r="U8" t="str">
        <f>IF(AND(Main!D17&lt;&gt;"",Main!D17&gt;14),"Data_Sheet_15_28","")</f>
        <v/>
      </c>
      <c r="Y8" t="s">
        <v>485</v>
      </c>
      <c r="AE8" s="95" t="s">
        <v>4383</v>
      </c>
      <c r="AG8" s="44" t="s">
        <v>5461</v>
      </c>
    </row>
    <row r="9" spans="1:33" x14ac:dyDescent="0.2">
      <c r="A9" s="152" t="s">
        <v>241</v>
      </c>
      <c r="B9" s="91" t="s">
        <v>73</v>
      </c>
      <c r="C9" s="40">
        <v>808173</v>
      </c>
      <c r="D9" s="91" t="s">
        <v>91</v>
      </c>
      <c r="E9" s="40">
        <v>40</v>
      </c>
      <c r="O9" t="s">
        <v>18</v>
      </c>
      <c r="U9" t="str">
        <f>IF(AND(Main!D17&lt;&gt;"",Main!D17&gt;28),"Data_Sheet_29_40","")</f>
        <v/>
      </c>
      <c r="Y9" t="s">
        <v>488</v>
      </c>
      <c r="AE9" s="44" t="s">
        <v>3907</v>
      </c>
      <c r="AG9" s="44" t="s">
        <v>5909</v>
      </c>
    </row>
    <row r="10" spans="1:33" x14ac:dyDescent="0.2">
      <c r="A10" s="40" t="s">
        <v>180</v>
      </c>
      <c r="B10" s="40" t="s">
        <v>73</v>
      </c>
      <c r="C10" s="40">
        <v>807702</v>
      </c>
      <c r="D10" s="40" t="s">
        <v>92</v>
      </c>
      <c r="E10" s="40">
        <v>28</v>
      </c>
      <c r="O10" t="s">
        <v>197</v>
      </c>
      <c r="Y10" t="s">
        <v>491</v>
      </c>
      <c r="AE10" s="44" t="s">
        <v>4384</v>
      </c>
      <c r="AG10" s="44" t="s">
        <v>5910</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5399</v>
      </c>
      <c r="AE12" s="44" t="s">
        <v>4385</v>
      </c>
    </row>
    <row r="13" spans="1:33" x14ac:dyDescent="0.2">
      <c r="O13" s="44" t="s">
        <v>5623</v>
      </c>
      <c r="Y13" t="s">
        <v>495</v>
      </c>
      <c r="AE13" s="44" t="s">
        <v>4386</v>
      </c>
    </row>
    <row r="14" spans="1:33" x14ac:dyDescent="0.2">
      <c r="Y14" t="s">
        <v>498</v>
      </c>
      <c r="AE14" s="44" t="s">
        <v>4387</v>
      </c>
    </row>
    <row r="15" spans="1:33" x14ac:dyDescent="0.2">
      <c r="Y15" t="s">
        <v>501</v>
      </c>
      <c r="AE15" s="44" t="s">
        <v>5586</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5693</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5460</v>
      </c>
      <c r="S55" s="207" t="s">
        <v>1724</v>
      </c>
      <c r="T55" s="207" t="s">
        <v>463</v>
      </c>
      <c r="U55" s="207" t="s">
        <v>493</v>
      </c>
      <c r="V55" s="44" t="s">
        <v>5399</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7aMV1/7sgjmy55Ko4KrIfZuO2YjTbydBwP9OWY3Y8r9jlXf7M2UJxk3hCN9kTv+X+Ey+ni0y38uiTUkjYM5CjQ==" saltValue="kAvhVOP2Dn9QmtqVQsuip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5693</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5560</v>
      </c>
      <c r="C38" s="44" t="s">
        <v>5561</v>
      </c>
      <c r="D38" s="44" t="s">
        <v>5562</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4982</v>
      </c>
      <c r="C71" s="44" t="s">
        <v>4983</v>
      </c>
      <c r="D71" s="103">
        <v>44544</v>
      </c>
      <c r="E71" s="44" t="s">
        <v>4984</v>
      </c>
      <c r="F71" s="44" t="s">
        <v>259</v>
      </c>
      <c r="G71" s="44" t="s">
        <v>259</v>
      </c>
    </row>
    <row r="72" spans="1:7" x14ac:dyDescent="0.2">
      <c r="A72" s="142" t="s">
        <v>5472</v>
      </c>
      <c r="C72" s="44" t="s">
        <v>5473</v>
      </c>
      <c r="D72" s="103">
        <v>45266</v>
      </c>
      <c r="E72" s="44" t="s">
        <v>5474</v>
      </c>
      <c r="F72" s="44" t="s">
        <v>259</v>
      </c>
      <c r="G72" s="44" t="s">
        <v>259</v>
      </c>
    </row>
    <row r="73" spans="1:7" x14ac:dyDescent="0.2">
      <c r="A73" s="142" t="s">
        <v>5634</v>
      </c>
      <c r="C73" s="44" t="s">
        <v>5625</v>
      </c>
      <c r="D73" s="103">
        <v>45392</v>
      </c>
      <c r="E73" s="44" t="s">
        <v>5626</v>
      </c>
      <c r="F73" s="44" t="s">
        <v>5627</v>
      </c>
      <c r="G73" s="44" t="s">
        <v>211</v>
      </c>
    </row>
    <row r="74" spans="1:7" x14ac:dyDescent="0.2">
      <c r="A74" s="142" t="s">
        <v>5635</v>
      </c>
      <c r="C74" s="44" t="s">
        <v>1762</v>
      </c>
      <c r="D74" s="103">
        <v>45394</v>
      </c>
      <c r="E74" s="44" t="s">
        <v>5636</v>
      </c>
      <c r="F74" s="44" t="s">
        <v>5627</v>
      </c>
      <c r="G74" s="44" t="s">
        <v>211</v>
      </c>
    </row>
    <row r="75" spans="1:7" x14ac:dyDescent="0.2">
      <c r="A75" s="142" t="s">
        <v>5771</v>
      </c>
      <c r="C75" s="44" t="s">
        <v>5772</v>
      </c>
      <c r="D75" s="103">
        <v>45518</v>
      </c>
      <c r="E75" s="44" t="s">
        <v>5773</v>
      </c>
      <c r="F75" s="44" t="s">
        <v>5627</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2025-04-01T22:49:11Z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